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\\gfs1\users$\SteinD\DS files\Systems\"/>
    </mc:Choice>
  </mc:AlternateContent>
  <xr:revisionPtr revIDLastSave="0" documentId="14_{752E8B58-CC43-4E84-8F21-FBE820EA5AEC}" xr6:coauthVersionLast="47" xr6:coauthVersionMax="47" xr10:uidLastSave="{00000000-0000-0000-0000-000000000000}"/>
  <bookViews>
    <workbookView xWindow="-120" yWindow="-120" windowWidth="29040" windowHeight="15840" firstSheet="2" activeTab="2" xr2:uid="{8E7022D3-C71D-413C-893C-DC9477C412F5}"/>
  </bookViews>
  <sheets>
    <sheet name="BTR Quoting Rents" sheetId="2" r:id="rId1"/>
    <sheet name="PRS Quoting rents" sheetId="3" r:id="rId2"/>
    <sheet name="All Qube commercial units" sheetId="5" r:id="rId3"/>
    <sheet name="DS Tenanted units" sheetId="7" state="hidden" r:id="rId4"/>
  </sheets>
  <definedNames>
    <definedName name="_xlnm._FilterDatabase" localSheetId="2" hidden="1">'All Qube commercial units'!$A$2:$L$754</definedName>
    <definedName name="_xlnm._FilterDatabase" localSheetId="0" hidden="1">'BTR Quoting Rents'!$A$4:$AV$96</definedName>
    <definedName name="_xlnm.Print_Area" localSheetId="0">'BTR Quoting Rents'!$A$3:$AU$94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5" l="1"/>
  <c r="S8" i="5"/>
  <c r="S4" i="5"/>
  <c r="S5" i="5"/>
  <c r="S6" i="5"/>
  <c r="S7" i="5"/>
  <c r="S3" i="5"/>
  <c r="Q4" i="5"/>
  <c r="Q5" i="5"/>
  <c r="Q6" i="5"/>
  <c r="Q7" i="5"/>
  <c r="Q3" i="5"/>
  <c r="P8" i="5"/>
  <c r="O8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2" i="5"/>
  <c r="C33" i="5"/>
  <c r="C34" i="5"/>
  <c r="C35" i="5"/>
  <c r="C36" i="5"/>
  <c r="C37" i="5"/>
  <c r="C38" i="5"/>
  <c r="C39" i="5"/>
  <c r="C40" i="5"/>
  <c r="C41" i="5"/>
  <c r="C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31" i="5"/>
  <c r="C131" i="5"/>
  <c r="C132" i="5"/>
  <c r="C133" i="5"/>
  <c r="C134" i="5"/>
  <c r="C135" i="5"/>
  <c r="C136" i="5"/>
  <c r="C137" i="5"/>
  <c r="C138" i="5"/>
  <c r="C139" i="5"/>
  <c r="C140" i="5"/>
  <c r="C3" i="5"/>
  <c r="F574" i="7"/>
  <c r="F577" i="7" s="1"/>
  <c r="D574" i="7"/>
  <c r="D577" i="7" s="1"/>
  <c r="E572" i="7"/>
  <c r="E574" i="7" s="1"/>
  <c r="E577" i="7" s="1"/>
  <c r="T569" i="7"/>
  <c r="T568" i="7"/>
  <c r="T567" i="7"/>
  <c r="T566" i="7"/>
  <c r="T565" i="7"/>
  <c r="T564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1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8" i="7"/>
  <c r="T537" i="7"/>
  <c r="T536" i="7"/>
  <c r="T535" i="7"/>
  <c r="T534" i="7"/>
  <c r="T533" i="7"/>
  <c r="T532" i="7"/>
  <c r="T531" i="7"/>
  <c r="T530" i="7"/>
  <c r="T529" i="7"/>
  <c r="T528" i="7"/>
  <c r="T527" i="7"/>
  <c r="T526" i="7"/>
  <c r="T525" i="7"/>
  <c r="T524" i="7"/>
  <c r="T523" i="7"/>
  <c r="T522" i="7"/>
  <c r="T521" i="7"/>
  <c r="T520" i="7"/>
  <c r="T519" i="7"/>
  <c r="T518" i="7"/>
  <c r="T517" i="7"/>
  <c r="T516" i="7"/>
  <c r="T515" i="7"/>
  <c r="T514" i="7"/>
  <c r="T513" i="7"/>
  <c r="T512" i="7"/>
  <c r="T511" i="7"/>
  <c r="T510" i="7"/>
  <c r="T509" i="7"/>
  <c r="T508" i="7"/>
  <c r="T507" i="7"/>
  <c r="T506" i="7"/>
  <c r="T505" i="7"/>
  <c r="T504" i="7"/>
  <c r="T503" i="7"/>
  <c r="T502" i="7"/>
  <c r="T501" i="7"/>
  <c r="T500" i="7"/>
  <c r="T499" i="7"/>
  <c r="T498" i="7"/>
  <c r="T497" i="7"/>
  <c r="T496" i="7"/>
  <c r="T495" i="7"/>
  <c r="T494" i="7"/>
  <c r="T493" i="7"/>
  <c r="T492" i="7"/>
  <c r="T491" i="7"/>
  <c r="T490" i="7"/>
  <c r="T489" i="7"/>
  <c r="T488" i="7"/>
  <c r="T487" i="7"/>
  <c r="T486" i="7"/>
  <c r="T485" i="7"/>
  <c r="T484" i="7"/>
  <c r="T483" i="7"/>
  <c r="T482" i="7"/>
  <c r="T481" i="7"/>
  <c r="T480" i="7"/>
  <c r="T479" i="7"/>
  <c r="T478" i="7"/>
  <c r="T477" i="7"/>
  <c r="T476" i="7"/>
  <c r="T475" i="7"/>
  <c r="T474" i="7"/>
  <c r="T473" i="7"/>
  <c r="T472" i="7"/>
  <c r="T471" i="7"/>
  <c r="T470" i="7"/>
  <c r="T469" i="7"/>
  <c r="T468" i="7"/>
  <c r="T467" i="7"/>
  <c r="T466" i="7"/>
  <c r="T465" i="7"/>
  <c r="T464" i="7"/>
  <c r="T463" i="7"/>
  <c r="T462" i="7"/>
  <c r="T461" i="7"/>
  <c r="T460" i="7"/>
  <c r="T459" i="7"/>
  <c r="T458" i="7"/>
  <c r="T457" i="7"/>
  <c r="T456" i="7"/>
  <c r="T455" i="7"/>
  <c r="T454" i="7"/>
  <c r="T453" i="7"/>
  <c r="T452" i="7"/>
  <c r="T451" i="7"/>
  <c r="T450" i="7"/>
  <c r="T449" i="7"/>
  <c r="T448" i="7"/>
  <c r="T447" i="7"/>
  <c r="T446" i="7"/>
  <c r="T445" i="7"/>
  <c r="T444" i="7"/>
  <c r="T443" i="7"/>
  <c r="T442" i="7"/>
  <c r="T441" i="7"/>
  <c r="T440" i="7"/>
  <c r="T439" i="7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T421" i="7"/>
  <c r="T420" i="7"/>
  <c r="T419" i="7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Q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tc={72E00440-C9F4-418E-9566-8104A0453DE4}</author>
    <author>tc={B5932F13-62B5-4F82-910C-F5DD343BEAF7}</author>
    <author>tc={E6410B72-8B58-4788-8B34-EB2259931E9C}</author>
    <author>tc={2BF4BAC2-C6D3-4A00-8CDE-99CFAE0AD5A0}</author>
    <author>tc={64F4EEB7-ABD2-4528-A786-9649D0FB0F8D}</author>
    <author>tc={565988F9-CC0E-45F5-A633-9B244F15815C}</author>
    <author>tc={38B96763-39BA-40ED-BBF3-9FAF5BD88EA0}</author>
  </authors>
  <commentList>
    <comment ref="AG8" authorId="0" shapeId="0" xr:uid="{72E00440-C9F4-418E-9566-8104A0453DE4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Intercompany Rent</t>
      </text>
    </comment>
    <comment ref="Y12" authorId="1" shapeId="0" xr:uid="{B5932F13-62B5-4F82-910C-F5DD343BEAF7}">
      <text>
        <t>[Threaded comment]
Your version of Excel allows you to read this threaded comment; however, any edits to it will get removed if the file is opened in a newer version of Excel. Learn more: https://go.microsoft.com/fwlink/?linkid=870924
Comment:
    Lease says "ancillary rent commencement date - the Term Start Date" but also says that main rent until March 2023 is a peppercorn per annum (I assume this means rent free but want to double check)</t>
      </text>
    </comment>
    <comment ref="Y47" authorId="2" shapeId="0" xr:uid="{E6410B72-8B58-4788-8B34-EB2259931E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can't open the lease </t>
      </text>
    </comment>
    <comment ref="AF51" authorId="3" shapeId="0" xr:uid="{2BF4BAC2-C6D3-4A00-8CDE-99CFAE0AD5A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lease quotes "the lower of £100,000 and the sum detailed on the invoices which the Tenant provides relating to the Works".</t>
      </text>
    </comment>
    <comment ref="B52" authorId="4" shapeId="0" xr:uid="{64F4EEB7-ABD2-4528-A786-9649D0FB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Called Weavers Yard on Qube</t>
      </text>
    </comment>
    <comment ref="AS52" authorId="5" shapeId="0" xr:uid="{565988F9-CC0E-45F5-A633-9B244F15815C}">
      <text>
        <t>[Threaded comment]
Your version of Excel allows you to read this threaded comment; however, any edits to it will get removed if the file is opened in a newer version of Excel. Learn more: https://go.microsoft.com/fwlink/?linkid=870924
Comment:
    @Filip Pszczolkowski  here
Reply:
    thank you!</t>
      </text>
    </comment>
    <comment ref="B67" authorId="6" shapeId="0" xr:uid="{38B96763-39BA-40ED-BBF3-9FAF5BD88EA0}">
      <text>
        <t>[Threaded comment]
Your version of Excel allows you to read this threaded comment; however, any edits to it will get removed if the file is opened in a newer version of Excel. Learn more: https://go.microsoft.com/fwlink/?linkid=870924
Comment:
    Nautilus on Qube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Garcia</author>
    <author>tc={4A3826DB-6C6C-4DE4-868F-1060961B75E5}</author>
  </authors>
  <commentList>
    <comment ref="J10" authorId="0" shapeId="0" xr:uid="{EA23ED5E-416D-4A12-A503-33F0A0D54232}">
      <text>
        <r>
          <rPr>
            <b/>
            <i/>
            <sz val="9"/>
            <color indexed="81"/>
            <rFont val="Tahoma"/>
            <family val="2"/>
          </rPr>
          <t>Garcia:</t>
        </r>
        <r>
          <rPr>
            <sz val="9"/>
            <color indexed="81"/>
            <rFont val="Tahoma"/>
            <family val="2"/>
          </rPr>
          <t xml:space="preserve">
No evidence of lease for this company name</t>
        </r>
      </text>
    </comment>
    <comment ref="AI11" authorId="1" shapeId="0" xr:uid="{4A3826DB-6C6C-4DE4-868F-1060961B75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@Bradley Wallace </t>
      </text>
    </comment>
  </commentList>
</comments>
</file>

<file path=xl/sharedStrings.xml><?xml version="1.0" encoding="utf-8"?>
<sst xmlns="http://schemas.openxmlformats.org/spreadsheetml/2006/main" count="14380" uniqueCount="2607">
  <si>
    <t>COMMERCIAL HOLDINGS</t>
  </si>
  <si>
    <t>Property</t>
  </si>
  <si>
    <t>Marketing Name</t>
  </si>
  <si>
    <t>Commercial Asset Manager</t>
  </si>
  <si>
    <t>Asset Manager</t>
  </si>
  <si>
    <t>Development Manager</t>
  </si>
  <si>
    <t>Location</t>
  </si>
  <si>
    <t>Region</t>
  </si>
  <si>
    <t>Unit No.</t>
  </si>
  <si>
    <t>Qube Reference</t>
  </si>
  <si>
    <t>Qube Unit ref</t>
  </si>
  <si>
    <t>Qube Unit Description</t>
  </si>
  <si>
    <t>Salesforce uniit id</t>
  </si>
  <si>
    <t>Completion Date (PC)</t>
  </si>
  <si>
    <t>Status</t>
  </si>
  <si>
    <t>Units</t>
  </si>
  <si>
    <t>Leases</t>
  </si>
  <si>
    <t>Floor Area</t>
  </si>
  <si>
    <t>Tenant</t>
  </si>
  <si>
    <t>U/O</t>
  </si>
  <si>
    <t>Months Vacant</t>
  </si>
  <si>
    <t>Service Charge</t>
  </si>
  <si>
    <t>EPC Rating</t>
  </si>
  <si>
    <t>Lease Start</t>
  </si>
  <si>
    <t>Rent Commencement</t>
  </si>
  <si>
    <t>RF Expiry</t>
  </si>
  <si>
    <t>RF - Time Value</t>
  </si>
  <si>
    <t>RF - [£]Value</t>
  </si>
  <si>
    <t>Rent Review Date</t>
  </si>
  <si>
    <t>Break Date</t>
  </si>
  <si>
    <t>Lease Expiration Date</t>
  </si>
  <si>
    <t>Capital Contribution £</t>
  </si>
  <si>
    <t>Headline Rent £PA</t>
  </si>
  <si>
    <t>Headline Rent £/sqft</t>
  </si>
  <si>
    <t>NER [£]</t>
  </si>
  <si>
    <t>Grown Underwritten Rent</t>
  </si>
  <si>
    <t>Cap. Con - Time Value</t>
  </si>
  <si>
    <t>Total TI - Time Value</t>
  </si>
  <si>
    <t>Total TI - [£] Value</t>
  </si>
  <si>
    <t>Lease Length</t>
  </si>
  <si>
    <t>Unexpired Term</t>
  </si>
  <si>
    <t>Time to Rent Review</t>
  </si>
  <si>
    <t>Lease Length - Break</t>
  </si>
  <si>
    <t>Time to Break</t>
  </si>
  <si>
    <t>CBRE ERV £pa</t>
  </si>
  <si>
    <t>CBRE ERV £psf</t>
  </si>
  <si>
    <t>Current QR £pa</t>
  </si>
  <si>
    <t>Current QR £psf</t>
  </si>
  <si>
    <t>Clippers Quay1 Zegera Way</t>
  </si>
  <si>
    <t>Clippers Quay</t>
  </si>
  <si>
    <t>Stewart Blackford</t>
  </si>
  <si>
    <t>Vicki Turnbull</t>
  </si>
  <si>
    <t>Manchester</t>
  </si>
  <si>
    <t>Regions</t>
  </si>
  <si>
    <t>1 Zegera Way</t>
  </si>
  <si>
    <t>Clippers - Unit 1 Zerega Way M50</t>
  </si>
  <si>
    <t>a1G4J0000025xoHUAQ</t>
  </si>
  <si>
    <t>21/12/2018</t>
  </si>
  <si>
    <t>Operational</t>
  </si>
  <si>
    <t xml:space="preserve">Teta Ltd </t>
  </si>
  <si>
    <t>-</t>
  </si>
  <si>
    <t>exclusive</t>
  </si>
  <si>
    <t>Clippers Quay2 Zegera Way</t>
  </si>
  <si>
    <t>2 Zegera Way</t>
  </si>
  <si>
    <t>Clippers - Unit 2 Zerega Way M50</t>
  </si>
  <si>
    <t>a1G4J0000025xMrUAI</t>
  </si>
  <si>
    <t>OB1 Bars Ltd.</t>
  </si>
  <si>
    <t>Clippers QuayUnit 4 &amp; 5 Waterman Walk</t>
  </si>
  <si>
    <t>Unit 4 &amp; 5 Waterman Walk</t>
  </si>
  <si>
    <t>Clippers - Unit 4-5 Waterman Walk</t>
  </si>
  <si>
    <t>a1G4J0000025xf4UAA</t>
  </si>
  <si>
    <t>Co-Operative Group Food Ltd.</t>
  </si>
  <si>
    <t>Clippers Quay2 &amp; 3 Waterman Walk</t>
  </si>
  <si>
    <t>2 &amp; 3 Waterman Walk</t>
  </si>
  <si>
    <t>Clippers - Unit 2 Waterman Walk (GPLC Office)</t>
  </si>
  <si>
    <t>a1G4J0000025x0gUAA</t>
  </si>
  <si>
    <t>Grainger Plc</t>
  </si>
  <si>
    <t>Clippers - Unit 3 Waterman Walk (GPLC Office)</t>
  </si>
  <si>
    <t>a1G4J0000025xvyUAA</t>
  </si>
  <si>
    <t>Clippers Quay1 Waterman Walk</t>
  </si>
  <si>
    <t>1 Waterman Walk</t>
  </si>
  <si>
    <t>Clippers - Unit 1 Waterman Walk</t>
  </si>
  <si>
    <t>a1G4J0000025xRhUAI</t>
  </si>
  <si>
    <t>Cult Group Ltd</t>
  </si>
  <si>
    <t>Hawkins &amp; George1</t>
  </si>
  <si>
    <t>Hawkins &amp; George</t>
  </si>
  <si>
    <t>Becky Day</t>
  </si>
  <si>
    <t>Bristol</t>
  </si>
  <si>
    <t>Unit 1, Hawkins Lane Building, East Tucker St</t>
  </si>
  <si>
    <t>a1G4J0000025wsUUAQ</t>
  </si>
  <si>
    <t>21/05/2019</t>
  </si>
  <si>
    <t>Vacant</t>
  </si>
  <si>
    <t>B</t>
  </si>
  <si>
    <t>Hawkins &amp; George2</t>
  </si>
  <si>
    <t>Unit 2, Hawkins Lane Building, East Tucker St</t>
  </si>
  <si>
    <t>a1G4J0000025y18UAA</t>
  </si>
  <si>
    <r>
      <t>T</t>
    </r>
    <r>
      <rPr>
        <sz val="8"/>
        <color rgb="FF305496"/>
        <rFont val="Aptos Narrow"/>
        <family val="2"/>
        <scheme val="minor"/>
      </rPr>
      <t xml:space="preserve">he </t>
    </r>
    <r>
      <rPr>
        <b/>
        <sz val="8"/>
        <color rgb="FF305496"/>
        <rFont val="Aptos Narrow"/>
        <family val="2"/>
        <scheme val="minor"/>
      </rPr>
      <t xml:space="preserve">Ruby Hue Ltd </t>
    </r>
  </si>
  <si>
    <t>C</t>
  </si>
  <si>
    <t>Hawkins &amp; George3</t>
  </si>
  <si>
    <t>Unit 3, Hawkins Lane Building, East Tucker St</t>
  </si>
  <si>
    <t>a1G4J0000025xJHUAY</t>
  </si>
  <si>
    <t>Redcliffe Quarter1.1</t>
  </si>
  <si>
    <t>Redcliffe Quarter</t>
  </si>
  <si>
    <t>Glasshouse Square</t>
  </si>
  <si>
    <t>Bradley Wallace</t>
  </si>
  <si>
    <t>Sarah Norstrom</t>
  </si>
  <si>
    <t>Unit 1.1 Redcliffe Quarter, Bristol. BS1 6WL</t>
  </si>
  <si>
    <t>a1G8d0000005cWREAY</t>
  </si>
  <si>
    <t>13/07/2022</t>
  </si>
  <si>
    <t>Redcliffe Quarter1.2</t>
  </si>
  <si>
    <t>Unit 1.2 Redcliffe Quarter, Bristol. BS1 6WL</t>
  </si>
  <si>
    <t>a1G8d0000005cWWEAY</t>
  </si>
  <si>
    <t>J Turok t/a Doubleshot barbers</t>
  </si>
  <si>
    <t>Redcliffe Quarter1.3</t>
  </si>
  <si>
    <t>Unit 1.3 Redcliffe Quarter, Bristol. BS1 6WL</t>
  </si>
  <si>
    <t>a1G8d0000005cWbEAI</t>
  </si>
  <si>
    <t>UKGolfbox Bristol Ltd</t>
  </si>
  <si>
    <t>Redcliffe Quarter2.1</t>
  </si>
  <si>
    <t>Unit 2.1 Redcliffe Quarter, Bristol. BS1 6WL</t>
  </si>
  <si>
    <t>a1G8d0000005cWgEAI</t>
  </si>
  <si>
    <t>Under Offer</t>
  </si>
  <si>
    <t>ASDA</t>
  </si>
  <si>
    <t>Redcliffe Quarter2.2 (Unit 5)</t>
  </si>
  <si>
    <t>2.2 (Unit 5)</t>
  </si>
  <si>
    <t>Not on Qube yet</t>
  </si>
  <si>
    <t>Not on SF yet</t>
  </si>
  <si>
    <t>est. 01/09/2025</t>
  </si>
  <si>
    <t>Under Construction</t>
  </si>
  <si>
    <t xml:space="preserve">Winvic Construction </t>
  </si>
  <si>
    <t>this is on the market as the tenant will be vacating in a few months</t>
  </si>
  <si>
    <t>Redcliffe Quarter2.3 (unit 6)</t>
  </si>
  <si>
    <t>2.3 (unit 6)</t>
  </si>
  <si>
    <t>Glasshouse1</t>
  </si>
  <si>
    <t>Glasshouse</t>
  </si>
  <si>
    <t>Maria Sabat</t>
  </si>
  <si>
    <t>est 08/08/2025</t>
  </si>
  <si>
    <t>Glasshouse2</t>
  </si>
  <si>
    <t>Glasshouse3</t>
  </si>
  <si>
    <t>Glasshouse4</t>
  </si>
  <si>
    <t>est 14/04/2025 (Dev think 26/05/2025)</t>
  </si>
  <si>
    <t>Brook Place1/2</t>
  </si>
  <si>
    <t>Brook Place</t>
  </si>
  <si>
    <t>Sheffield</t>
  </si>
  <si>
    <t>1/2</t>
  </si>
  <si>
    <t>Unit 1 Brook Place 110 Napier Street S11 8BR</t>
  </si>
  <si>
    <t>a1G4J0000025y3lUAA</t>
  </si>
  <si>
    <t>30/09/2019</t>
  </si>
  <si>
    <t>R1SE Brook Place Ltd</t>
  </si>
  <si>
    <t>Inclusive</t>
  </si>
  <si>
    <t>Unit 2, Brook Place, 112 Napier Street, S11 8</t>
  </si>
  <si>
    <t>a1G4J0000025x8FUAQ</t>
  </si>
  <si>
    <t>Brook Place3</t>
  </si>
  <si>
    <t>Unit 3, Brook Place, 114 Napier Street, S11 8</t>
  </si>
  <si>
    <t>a1G4J0000025yBfUAI</t>
  </si>
  <si>
    <t>Smile 2  Impress</t>
  </si>
  <si>
    <t>Solstice Apartments1/2</t>
  </si>
  <si>
    <t>Solstice Apartments</t>
  </si>
  <si>
    <t>Milton Keynes</t>
  </si>
  <si>
    <t>809, Silbury Boulevard, Milton Keynes, MK9</t>
  </si>
  <si>
    <t>a1G4J0000025y5HUAQ</t>
  </si>
  <si>
    <t>Spectrum Associates (MK) Ltd</t>
  </si>
  <si>
    <t>811, Silbury Boulevard, Milton Keynes, MK9</t>
  </si>
  <si>
    <t>a1G4J0000025y35UAA</t>
  </si>
  <si>
    <t>Millet Place1</t>
  </si>
  <si>
    <t>Millet Place</t>
  </si>
  <si>
    <t>Harriet Shaw &amp; Sarah Norstrom</t>
  </si>
  <si>
    <t>London</t>
  </si>
  <si>
    <t>Unit 1, 1 Millet Place, London E16 2YJ</t>
  </si>
  <si>
    <t>a1G4J00000260JEUAY</t>
  </si>
  <si>
    <t>Millet Place2</t>
  </si>
  <si>
    <t>Unit 2, 5 Millet Place, London E16 2YJ</t>
  </si>
  <si>
    <t>a1G4J000002605CUAQ</t>
  </si>
  <si>
    <t>Tesco</t>
  </si>
  <si>
    <t>A</t>
  </si>
  <si>
    <t>Millet Place3</t>
  </si>
  <si>
    <t>Unit 3,7 Millet Place, London E16 2YJ</t>
  </si>
  <si>
    <t>a1G4J000002607zUAA</t>
  </si>
  <si>
    <t>Millet Place4</t>
  </si>
  <si>
    <t>Unit 4, 9 Millet Place, London E16 2YJ</t>
  </si>
  <si>
    <t>a1G4J00000260MYUAY</t>
  </si>
  <si>
    <t>Subway</t>
  </si>
  <si>
    <t>The FilamentsPodium A/B - Unit 1</t>
  </si>
  <si>
    <t>The Filaments</t>
  </si>
  <si>
    <t>Podium A/B - Unit 1</t>
  </si>
  <si>
    <t>Unit 1  Halogen House, 217 Chapel St, Salford</t>
  </si>
  <si>
    <t>a1G8d0000004Me4EAE</t>
  </si>
  <si>
    <t>19/02/2021</t>
  </si>
  <si>
    <t>Fiori Ltd</t>
  </si>
  <si>
    <t>The FilamentsPodium A/B - Unit 2</t>
  </si>
  <si>
    <t>Podium A/B - Unit 2</t>
  </si>
  <si>
    <t>Unit 2, Halogen House, 217 Chapel St, Salford</t>
  </si>
  <si>
    <t>a1G8d0000004Me9EAE</t>
  </si>
  <si>
    <t>K&amp;K Hospitality</t>
  </si>
  <si>
    <t>D</t>
  </si>
  <si>
    <t>The FilamentsPodium A/B - Unit 3</t>
  </si>
  <si>
    <t>Podium A/B - Unit 3</t>
  </si>
  <si>
    <t>Unit 3, Halogen House, 217 Chapel St, Salford</t>
  </si>
  <si>
    <t>a1G8d0000004MeEEAU</t>
  </si>
  <si>
    <t>Inner West Coffee</t>
  </si>
  <si>
    <t>The FilamentsPodium C - Unit 4</t>
  </si>
  <si>
    <t>Podium C - Unit 4</t>
  </si>
  <si>
    <t>Unit 4, Neon House, 207 Chapel St, Salford, M</t>
  </si>
  <si>
    <t>a1G8d0000004MeJEAU</t>
  </si>
  <si>
    <t>14/03/2021</t>
  </si>
  <si>
    <t>Shoalter Automation (UK)</t>
  </si>
  <si>
    <t>The FilamentsPodium C - Unit 5</t>
  </si>
  <si>
    <t>Podium C - Unit 5</t>
  </si>
  <si>
    <t>Unit 5, Neon House, 207 Chapel St, Salford, M</t>
  </si>
  <si>
    <t>a1G8d0000004MeOEAU</t>
  </si>
  <si>
    <t xml:space="preserve">Rush242 Ltd </t>
  </si>
  <si>
    <t>The FilamentsPodium C - Unit 6</t>
  </si>
  <si>
    <t>Podium C - Unit 6</t>
  </si>
  <si>
    <t>Unit 6, Neon House, 207 Chapel St, Salford, M</t>
  </si>
  <si>
    <t>a1G8d0000004MeTEAU</t>
  </si>
  <si>
    <t>BLS International Services</t>
  </si>
  <si>
    <t>Apex Gardens1</t>
  </si>
  <si>
    <t>Apex Gardens</t>
  </si>
  <si>
    <t>Harriet Shaw &amp; Alexa Byrne</t>
  </si>
  <si>
    <t>Unit 1, Aster Apartments.</t>
  </si>
  <si>
    <t>a1G8d0000004RxMEAU</t>
  </si>
  <si>
    <t>21/06/2021</t>
  </si>
  <si>
    <t>Ellies Nursery</t>
  </si>
  <si>
    <t>Apex Gardens2</t>
  </si>
  <si>
    <t>Unit 2, Juniper House</t>
  </si>
  <si>
    <t>a1G8d0000004RwxEAE</t>
  </si>
  <si>
    <t>Pure Gym</t>
  </si>
  <si>
    <t>25/09/2033</t>
  </si>
  <si>
    <t>Unit 3, Juniper House</t>
  </si>
  <si>
    <t>a1G8d0000004Rx2EAE</t>
  </si>
  <si>
    <t>Unit 4, Juniper House</t>
  </si>
  <si>
    <t>a1G8d0000004Rx7EAE</t>
  </si>
  <si>
    <t>Unit 5, Juniper House</t>
  </si>
  <si>
    <t>a1G8d0000004RxCEAU</t>
  </si>
  <si>
    <t>Unit 6, Juniper House</t>
  </si>
  <si>
    <t>a1G8d0000004RxHEAU</t>
  </si>
  <si>
    <t>Gilders YardB02</t>
  </si>
  <si>
    <t>Gilders Yard</t>
  </si>
  <si>
    <t>Birmingham</t>
  </si>
  <si>
    <t>B02</t>
  </si>
  <si>
    <t>Gilders Yard - B.02, 12 Great Hampton St</t>
  </si>
  <si>
    <t>a1G8d0000004bzrEAA</t>
  </si>
  <si>
    <t>16/08/2022</t>
  </si>
  <si>
    <t>Gilders YardA02</t>
  </si>
  <si>
    <t>A02</t>
  </si>
  <si>
    <t>Gilders Yard  - A.02, 1 Harford Street</t>
  </si>
  <si>
    <t>a1G8d0000004bzmEAA</t>
  </si>
  <si>
    <t xml:space="preserve">C Barber Ltd </t>
  </si>
  <si>
    <t>21/04/2028</t>
  </si>
  <si>
    <t>Gilders YardA01</t>
  </si>
  <si>
    <t>A01</t>
  </si>
  <si>
    <t>Gilders Yard - A.01, 19/21 Great Hampton St</t>
  </si>
  <si>
    <t>a1G8d0000004bzhEAA</t>
  </si>
  <si>
    <t>J S Convenience Stores</t>
  </si>
  <si>
    <t xml:space="preserve">  </t>
  </si>
  <si>
    <t>Gilders YardOffices</t>
  </si>
  <si>
    <t>Offices</t>
  </si>
  <si>
    <t>Gilders Yard-Office, 16/18 Great Hampton St</t>
  </si>
  <si>
    <t>a1G8d0000004bzwEAA</t>
  </si>
  <si>
    <t>Grainger Residential Management</t>
  </si>
  <si>
    <t>Gatehouse Apartments1</t>
  </si>
  <si>
    <t>Gatehouse Apartments</t>
  </si>
  <si>
    <t>Southampton</t>
  </si>
  <si>
    <t>Unit 1, 87 East St, Southampton</t>
  </si>
  <si>
    <t>a1G8d0000004MdpEAE</t>
  </si>
  <si>
    <t>Aesthetic House</t>
  </si>
  <si>
    <t>The Forge1</t>
  </si>
  <si>
    <t>The Forge</t>
  </si>
  <si>
    <t>Newcastle</t>
  </si>
  <si>
    <t>Unit 1, The Forge, Newcastle, NE1 3AA</t>
  </si>
  <si>
    <t>a1G8d0000004Gl5EAE</t>
  </si>
  <si>
    <t>Under offer</t>
  </si>
  <si>
    <t>Sanco Pizza Limited</t>
  </si>
  <si>
    <t>The Headline1</t>
  </si>
  <si>
    <t>The Headline</t>
  </si>
  <si>
    <t>Leeds</t>
  </si>
  <si>
    <t>Unit 1, Wellington Park Way, Leeds</t>
  </si>
  <si>
    <t>a1G8d0000004Jy5EAE</t>
  </si>
  <si>
    <t>18/06/2021</t>
  </si>
  <si>
    <t>Dexastrong Ltd</t>
  </si>
  <si>
    <t>Weavers YardBlock A - Unit 1 (Unit A Bamboo House)</t>
  </si>
  <si>
    <t>Weavers Yard</t>
  </si>
  <si>
    <t>Becky Day / Bradley Wallace</t>
  </si>
  <si>
    <t>Newbury</t>
  </si>
  <si>
    <t>Block A - Unit 1 (Unit A Bamboo House)</t>
  </si>
  <si>
    <t>Unit A Bamboo House, Weavers Yard, Newbury</t>
  </si>
  <si>
    <t>a1G8d0000004qhAEAQ</t>
  </si>
  <si>
    <t>Craft Beer</t>
  </si>
  <si>
    <t>Weavers YardBlock B - Unit 2 (Unit A)</t>
  </si>
  <si>
    <t>Block B - Unit 2 (Unit A)</t>
  </si>
  <si>
    <t>Unit A Garter House, Weavers Yard, Newbury</t>
  </si>
  <si>
    <t>a1G8d0000004qhKEAQ</t>
  </si>
  <si>
    <t>13/12/2023</t>
  </si>
  <si>
    <t>Weavers YardBlock B - Unit 3 (Unit B)</t>
  </si>
  <si>
    <t>Block B - Unit 3 (Unit B)</t>
  </si>
  <si>
    <t>Unit B Garter House, Weavers Yard, Newbury</t>
  </si>
  <si>
    <t>a1G8d0000004qhUEAQ</t>
  </si>
  <si>
    <t>Sundaes Gelato</t>
  </si>
  <si>
    <t>Weavers YardBlock C - Unit 4 (Unit A)</t>
  </si>
  <si>
    <t>Block C - Unit 4 (Unit A)</t>
  </si>
  <si>
    <t>Unit A Purl House, Weavers Yard, Newbury</t>
  </si>
  <si>
    <t>a1G8d0000004qheEAA</t>
  </si>
  <si>
    <t>Weavers YardBlock D - Unit 5 (Linen Place)</t>
  </si>
  <si>
    <t>Block D - Unit 5 (Linen Place)</t>
  </si>
  <si>
    <t>Unit A Linen Place, Weavers Yard, Newbury</t>
  </si>
  <si>
    <t>a1G8d0000004qZvEAI</t>
  </si>
  <si>
    <t>24/06/2024</t>
  </si>
  <si>
    <t>Weavers YardBlock G - Unit 6 (Unit A)</t>
  </si>
  <si>
    <t>Block G - Unit 6 (Unit A)</t>
  </si>
  <si>
    <t>Unit A Farrow House, Weavers Yard, Newbury</t>
  </si>
  <si>
    <t>a1G8d0000004qeREAQ</t>
  </si>
  <si>
    <t>30/08/2023</t>
  </si>
  <si>
    <t>Weavers YardBlock H - Unit 7 (5 Station Approach)</t>
  </si>
  <si>
    <t>Block H - Unit 7 (5 Station Approach)</t>
  </si>
  <si>
    <t>5 Station Approach, Weavers Yard, Newbury</t>
  </si>
  <si>
    <t>a1G8d0000004qhoEAA</t>
  </si>
  <si>
    <t>17/06/2024</t>
  </si>
  <si>
    <t>Weavers YardBlock H - Unit 8 (4 Station Approach)</t>
  </si>
  <si>
    <t>Block H - Unit 8 (4 Station Approach)</t>
  </si>
  <si>
    <t>4 Station Approach, Weavers Yard, Newbury</t>
  </si>
  <si>
    <t>a1G8d0000004qf5EAA</t>
  </si>
  <si>
    <t>Parasol Coffee</t>
  </si>
  <si>
    <t>Weavers YardBlock H - Unit 9 (3 Station Approach)</t>
  </si>
  <si>
    <t>Block H - Unit 9 (3 Station Approach)</t>
  </si>
  <si>
    <t>3 Station Approach, Weavers Yard, Newbury</t>
  </si>
  <si>
    <t>a1G8d0000004qi3EAA</t>
  </si>
  <si>
    <t>Strawberry Local</t>
  </si>
  <si>
    <t>Exchange Square1</t>
  </si>
  <si>
    <t>Exchange Square</t>
  </si>
  <si>
    <t>The Silver Yard</t>
  </si>
  <si>
    <t>Commercial Unit, 98 Moor Street Queensway</t>
  </si>
  <si>
    <t>a1GNz000001HUHFMA4</t>
  </si>
  <si>
    <t>Londis</t>
  </si>
  <si>
    <t xml:space="preserve">Capital QuarterMSCP Car Park Office + 5 Parking spaces </t>
  </si>
  <si>
    <t>Capital Quarter</t>
  </si>
  <si>
    <t>The Copper Works</t>
  </si>
  <si>
    <t>Cardiff</t>
  </si>
  <si>
    <t xml:space="preserve">MSCP Car Park Office + 5 Parking spaces </t>
  </si>
  <si>
    <t>MSCP Office</t>
  </si>
  <si>
    <t>a1GNz000002oc8BMAQ</t>
  </si>
  <si>
    <t>please add</t>
  </si>
  <si>
    <t>Specialist Security Co Ltd</t>
  </si>
  <si>
    <t>Capital Quarter1</t>
  </si>
  <si>
    <t>Copperworks, 5 Capital Quarter, Cardiff</t>
  </si>
  <si>
    <t>a1G8d000002PHNdEAO</t>
  </si>
  <si>
    <t>No Service charge</t>
  </si>
  <si>
    <t>Enigma Square1</t>
  </si>
  <si>
    <t>Enigma Square</t>
  </si>
  <si>
    <t>Commercial unit 1 Enigma Square</t>
  </si>
  <si>
    <t>a1G8d0000005r5aEAA</t>
  </si>
  <si>
    <t>Krishna Asian Food Market Limited</t>
  </si>
  <si>
    <t>19/12/2025</t>
  </si>
  <si>
    <t>Enigma Square2</t>
  </si>
  <si>
    <t>Commercial unit 2 Enigma Square</t>
  </si>
  <si>
    <t>a1G8d0000005r5fEAA</t>
  </si>
  <si>
    <t>Enigma Square3</t>
  </si>
  <si>
    <t>Commercial unit 3 Enigma Square</t>
  </si>
  <si>
    <t>a1G8d0000005r5kEAA</t>
  </si>
  <si>
    <t>Block D2 Hallsville Q Unit 1</t>
  </si>
  <si>
    <t xml:space="preserve">Block D2 Hallsville Q </t>
  </si>
  <si>
    <t>Nautilus Apartments</t>
  </si>
  <si>
    <t xml:space="preserve">Kate Casey </t>
  </si>
  <si>
    <t>Unit 1</t>
  </si>
  <si>
    <t>Commercial unit 1, 18 Silvertown way, London</t>
  </si>
  <si>
    <t>a1G8d000002QBVNEA4</t>
  </si>
  <si>
    <t>28/07/2023</t>
  </si>
  <si>
    <t>Kiki Miu Miu</t>
  </si>
  <si>
    <t>Block D2 Hallsville Q Unit 2</t>
  </si>
  <si>
    <t>Unit 2</t>
  </si>
  <si>
    <t>Commercial unit 2, 18 Silvertown way, London</t>
  </si>
  <si>
    <t>a1G8d000002QBVSEA4</t>
  </si>
  <si>
    <t>Block D2 Hallsville Q Unit 3</t>
  </si>
  <si>
    <t>Unit 3</t>
  </si>
  <si>
    <t>Commercial unit 3, 18 Silvertown way, London</t>
  </si>
  <si>
    <t>a1G8d000002QBVXEA4</t>
  </si>
  <si>
    <t>NewCo (247 Dental)</t>
  </si>
  <si>
    <t>Block D2 Hallsville Q Unit 4</t>
  </si>
  <si>
    <t>Unit 4</t>
  </si>
  <si>
    <t>Commercial unit 4, 18 Silvertown way, London</t>
  </si>
  <si>
    <t>a1G8d000002QBVcEAO</t>
  </si>
  <si>
    <t>Norman H Barnett</t>
  </si>
  <si>
    <t>Block D2 Hallsville Q Workspace</t>
  </si>
  <si>
    <t>Workspace</t>
  </si>
  <si>
    <t>Commercial unit 5, 18 Silvertown way, London</t>
  </si>
  <si>
    <t>a1G8d000002QBVhEAO</t>
  </si>
  <si>
    <t>Block D1 Hallsville Q Unit 1</t>
  </si>
  <si>
    <t xml:space="preserve">Block D1 Hallsville Q </t>
  </si>
  <si>
    <t>Seraphina Apartments</t>
  </si>
  <si>
    <t>est 15/05/2025</t>
  </si>
  <si>
    <t>Block D1 Hallsville Q Unit 2</t>
  </si>
  <si>
    <t>Holland &amp; Barrett</t>
  </si>
  <si>
    <t>Block D1 Hallsville Q Unit 3</t>
  </si>
  <si>
    <t>Nail luxury (interest)</t>
  </si>
  <si>
    <t>Block D1 Hallsville Q Unit 4</t>
  </si>
  <si>
    <t>Nandos Chickenland Ltd</t>
  </si>
  <si>
    <t>Block D1 Hallsville Q Unit 5</t>
  </si>
  <si>
    <t>Unit 5</t>
  </si>
  <si>
    <t>Block D1 Hallsville Q Unit 6</t>
  </si>
  <si>
    <t>Unit 6</t>
  </si>
  <si>
    <t>Queens Road1</t>
  </si>
  <si>
    <t>Queens Road</t>
  </si>
  <si>
    <t>The Barnum</t>
  </si>
  <si>
    <t>Nottingham</t>
  </si>
  <si>
    <t>Commercial unit, 21 Queens Road</t>
  </si>
  <si>
    <t>a1GNz0000000zgDMAQ</t>
  </si>
  <si>
    <t>The Tilt Works1</t>
  </si>
  <si>
    <t>The Tilt Works</t>
  </si>
  <si>
    <t>86 Upper Allen Street, Sheffield</t>
  </si>
  <si>
    <t>a1GNz0000000v37MAA</t>
  </si>
  <si>
    <t>18/08/2023</t>
  </si>
  <si>
    <t>The Condor1</t>
  </si>
  <si>
    <t>The Condor</t>
  </si>
  <si>
    <t>Derby</t>
  </si>
  <si>
    <t>Commercial Unit 1, 1 Springwell Sq</t>
  </si>
  <si>
    <t>a1G8d000002QBf5EAG</t>
  </si>
  <si>
    <t>31/07/2023</t>
  </si>
  <si>
    <t>Phenix UK Realty</t>
  </si>
  <si>
    <t>Phenix Realty</t>
  </si>
  <si>
    <t>The Condor2</t>
  </si>
  <si>
    <t>Commercial Unit 2, 1 Springwell Sq</t>
  </si>
  <si>
    <t>a1G8d000002QBhOEAW</t>
  </si>
  <si>
    <t>Coffee #1</t>
  </si>
  <si>
    <t>The Astley1</t>
  </si>
  <si>
    <t>The Astley</t>
  </si>
  <si>
    <t>Commercial Unit 1, Great Ancoats Street</t>
  </si>
  <si>
    <t>a1GNz000002tEQzMAM</t>
  </si>
  <si>
    <t>22/05/2024</t>
  </si>
  <si>
    <t>Colony (Astley) Ltd</t>
  </si>
  <si>
    <t>The Astley2</t>
  </si>
  <si>
    <t>Commercial Unit 2, Great Ancoats Street</t>
  </si>
  <si>
    <t>a1GNz000002tESbMAM</t>
  </si>
  <si>
    <t>The Victoria Altrincham</t>
  </si>
  <si>
    <t>The Astley3</t>
  </si>
  <si>
    <t>Commercial Unit 3, Great Ancoats Street</t>
  </si>
  <si>
    <t>a1GNz000002tCFWMA2</t>
  </si>
  <si>
    <t>Not Just Barbers</t>
  </si>
  <si>
    <t>Merrick Place1</t>
  </si>
  <si>
    <t>Merrick Place</t>
  </si>
  <si>
    <t>Jessica Leedham</t>
  </si>
  <si>
    <t>est 01/04/2026</t>
  </si>
  <si>
    <t>Merrick Place2</t>
  </si>
  <si>
    <t>est 01/09/2026</t>
  </si>
  <si>
    <t>Merrick Place3</t>
  </si>
  <si>
    <t>West Way Square1</t>
  </si>
  <si>
    <t>West Way Square</t>
  </si>
  <si>
    <t>The Kimmeridge</t>
  </si>
  <si>
    <t>Katherine Stephens</t>
  </si>
  <si>
    <t>Oxford</t>
  </si>
  <si>
    <t>The Kimmeridge Retail Unit 1</t>
  </si>
  <si>
    <t>a1GNz000006cEcoMAE</t>
  </si>
  <si>
    <t>West Way Square2</t>
  </si>
  <si>
    <t>The Kimmeridge Retail Unit 2</t>
  </si>
  <si>
    <t>a1GNz000006cG0HMAU</t>
  </si>
  <si>
    <t>West Way Square3</t>
  </si>
  <si>
    <t>The Kimmeridge Retail Unit 3</t>
  </si>
  <si>
    <t>a1GNz000006c7eYMAQ</t>
  </si>
  <si>
    <t>West Way Square4</t>
  </si>
  <si>
    <t>The Kimmeridge Retail Unit 4</t>
  </si>
  <si>
    <t>a1GNz000006cG8LMAU</t>
  </si>
  <si>
    <t>West Way Square5</t>
  </si>
  <si>
    <t>The Kimmeridge Retail Unit 5</t>
  </si>
  <si>
    <t>a1GNz000006cENWMA2</t>
  </si>
  <si>
    <t>West Way Square6</t>
  </si>
  <si>
    <t>The Kimmeridge Retail Unit 6</t>
  </si>
  <si>
    <t>a1GNz000006cGGPMA2</t>
  </si>
  <si>
    <t>West Way Square7</t>
  </si>
  <si>
    <t>The Kimmeridge Retail Unit 7</t>
  </si>
  <si>
    <t>a1GNz000006cGMrMAM</t>
  </si>
  <si>
    <t>Hale Wharf 21</t>
  </si>
  <si>
    <t>Hale Wharf 2</t>
  </si>
  <si>
    <t>Ganesh Vijayan</t>
  </si>
  <si>
    <t>Commerical Approach, 6 Ferry Lane, Tottenham</t>
  </si>
  <si>
    <t>a1GNz0000054K5KMAU</t>
  </si>
  <si>
    <t>Hale Wharf 22</t>
  </si>
  <si>
    <t>This is not a Commercial unit-it is being converted to an amenity</t>
  </si>
  <si>
    <t>Address</t>
  </si>
  <si>
    <t>Qube ref</t>
  </si>
  <si>
    <t>Qube description</t>
  </si>
  <si>
    <t>Salesforce id</t>
  </si>
  <si>
    <t>Quoting rent</t>
  </si>
  <si>
    <t>QR £psf</t>
  </si>
  <si>
    <t>Lessee / Assignee</t>
  </si>
  <si>
    <t>Description</t>
  </si>
  <si>
    <t>Use Class</t>
  </si>
  <si>
    <t>Term</t>
  </si>
  <si>
    <t>Start</t>
  </si>
  <si>
    <t>Expiry</t>
  </si>
  <si>
    <t>Rent
Review</t>
  </si>
  <si>
    <t>Earliest Break Date / Landlord &amp; Tenants Enforcement</t>
  </si>
  <si>
    <t>Excluded from '54 Act</t>
  </si>
  <si>
    <t>Insurance</t>
  </si>
  <si>
    <t>Rent Deposit</t>
  </si>
  <si>
    <t>Current Rent (p.a.)</t>
  </si>
  <si>
    <t>CBRE September
 2024 ERV</t>
  </si>
  <si>
    <t>Measured Floor Areas</t>
  </si>
  <si>
    <t>NIA</t>
  </si>
  <si>
    <t>ITZA
(sq. ft.)</t>
  </si>
  <si>
    <t>£/Sqft</t>
  </si>
  <si>
    <t>Remarks / Action</t>
  </si>
  <si>
    <t>Ospringe House</t>
  </si>
  <si>
    <t>Ospringe House, SE1 8TP</t>
  </si>
  <si>
    <t>Ospringe House Grnd Flr office Wooton St SE1</t>
  </si>
  <si>
    <t>a1G4J0000025yKMUAY</t>
  </si>
  <si>
    <t>VACANT</t>
  </si>
  <si>
    <t>Office</t>
  </si>
  <si>
    <t>B1</t>
  </si>
  <si>
    <t>Keys held with Rebecca Crow / Maria Dev</t>
  </si>
  <si>
    <t>Refresh quote requested</t>
  </si>
  <si>
    <t>16 &amp; 18</t>
  </si>
  <si>
    <t>Wilcox Rd, SW8 2UX</t>
  </si>
  <si>
    <t>16/18 Wilcox Road London SW8 2UX</t>
  </si>
  <si>
    <t>a1G4J000002632zUAA</t>
  </si>
  <si>
    <t xml:space="preserve">Colin Gallagher
27/11/24 -lease forfieted </t>
  </si>
  <si>
    <t>Ground floor shop and yard</t>
  </si>
  <si>
    <t>A1</t>
  </si>
  <si>
    <t xml:space="preserve">10 years </t>
  </si>
  <si>
    <t>21/11/2022</t>
  </si>
  <si>
    <t>20/11/2032</t>
  </si>
  <si>
    <t>21/11/2027</t>
  </si>
  <si>
    <t>Yes</t>
  </si>
  <si>
    <t>Exclusive</t>
  </si>
  <si>
    <t>£1743.91
(Holding £1644.08)</t>
  </si>
  <si>
    <t>27/11/24 russell cooke forfieted lease, houston lawrence estimated rent between £30-£35k, passing rent £28k need to inspect. 13/01 agent opinion awaited, exploring refresh of unit. Pedro owns 32/34 viewed wk comm 2nd feb. viewing with estate agent scheduled 06/02. Collin gallagher is offering to pay arrears off. QR £35k</t>
  </si>
  <si>
    <t>G01</t>
  </si>
  <si>
    <t>ABILITY PLAZA, 298-316 KINGSLAND RD, 1A ARBUTUS ST, E8 4DT</t>
  </si>
  <si>
    <t>Unit 1 Ability Plaza, London, E8</t>
  </si>
  <si>
    <t>a1G4J0000025zy0UAA</t>
  </si>
  <si>
    <t>Ground floor</t>
  </si>
  <si>
    <t>B1 with ancillary A2</t>
  </si>
  <si>
    <t>BKR</t>
  </si>
  <si>
    <t>D82</t>
  </si>
  <si>
    <t>lease discalimed 08/10/24 on market Strettons / Ellis Brown at "22.50 psf</t>
  </si>
  <si>
    <t>Ellis Brown</t>
  </si>
  <si>
    <t>Rightmove</t>
  </si>
  <si>
    <t>G02
(SEE ABOVE)</t>
  </si>
  <si>
    <t>Unit 2 Ability Plaza, London, E8</t>
  </si>
  <si>
    <t>a1G4J000002600AUAQ</t>
  </si>
  <si>
    <t xml:space="preserve">B1  </t>
  </si>
  <si>
    <t>At Will</t>
  </si>
  <si>
    <t>monthly</t>
  </si>
  <si>
    <t>Tenancy
at 
will</t>
  </si>
  <si>
    <t>D78</t>
  </si>
  <si>
    <t xml:space="preserve">as above </t>
  </si>
  <si>
    <t xml:space="preserve">Strettons </t>
  </si>
  <si>
    <t>Rightmove
Zoopla</t>
  </si>
  <si>
    <t>G03</t>
  </si>
  <si>
    <t>Unit 3 Ability Plaza, London, E8</t>
  </si>
  <si>
    <t>a1G4J0000025zx3UAA</t>
  </si>
  <si>
    <t>Ground &amp; Mezzanine floor</t>
  </si>
  <si>
    <t>C69</t>
  </si>
  <si>
    <t>G04</t>
  </si>
  <si>
    <t>Unit 4 Ability Plaza, London, E8</t>
  </si>
  <si>
    <t>a1G4J0000025zuGUAQ</t>
  </si>
  <si>
    <t>None</t>
  </si>
  <si>
    <t>C70</t>
  </si>
  <si>
    <t>G05</t>
  </si>
  <si>
    <t>Unit 5 Ability Plaza, London, E8</t>
  </si>
  <si>
    <t>a1G4J0000025zM4UAI</t>
  </si>
  <si>
    <t xml:space="preserve">VACANT   </t>
  </si>
  <si>
    <t>25/05/2023</t>
  </si>
  <si>
    <t>Monthly</t>
  </si>
  <si>
    <t>N/A</t>
  </si>
  <si>
    <t>Landlord</t>
  </si>
  <si>
    <t>D97</t>
  </si>
  <si>
    <t>1 space</t>
  </si>
  <si>
    <t>keys back 16th jan, agents have inspected, office revival instruted to clear unit and get marketing (chased for update 10/02/25)</t>
  </si>
  <si>
    <t>Unit GA1
(222)</t>
  </si>
  <si>
    <t xml:space="preserve">ABILITY VIEW, 218/222 KINGSLAND RD, E2 </t>
  </si>
  <si>
    <t>Unit GA1, 222 Kingsland Road, E2 8AX</t>
  </si>
  <si>
    <t>a1G4J0000025zr9UAA</t>
  </si>
  <si>
    <t xml:space="preserve">RWD Since 2001 Ltd </t>
  </si>
  <si>
    <t>Ground &amp; Lower ground floors</t>
  </si>
  <si>
    <t>5 years</t>
  </si>
  <si>
    <t xml:space="preserve">N/A </t>
  </si>
  <si>
    <t xml:space="preserve">Yes </t>
  </si>
  <si>
    <t xml:space="preserve">Exclusive  </t>
  </si>
  <si>
    <t>E116</t>
  </si>
  <si>
    <t>28/01 Initial approach to tenant on their intentions at lease expiry</t>
  </si>
  <si>
    <t>Unit GA2
(Unit 2 - 222)</t>
  </si>
  <si>
    <t>Unit GA2 Ability view, 222 Kingsland Road</t>
  </si>
  <si>
    <t>a1G4J0000025zj4UAA</t>
  </si>
  <si>
    <t>Skyway Charity</t>
  </si>
  <si>
    <t>10 Years</t>
  </si>
  <si>
    <t xml:space="preserve">Exclusive - 3.2% </t>
  </si>
  <si>
    <t>tenant has advised they will not be renewing 31/03/25. Awaitng marketing report from Strettons &amp; Ellis Brown, chased 10/02/25</t>
  </si>
  <si>
    <t>ABILITY TOWERS, EC1V 5AE</t>
  </si>
  <si>
    <t>GF</t>
  </si>
  <si>
    <t>Office
B1</t>
  </si>
  <si>
    <t>C65</t>
  </si>
  <si>
    <t>QR dropped to £22.50 psf. agents have advised full flexible use class to include e and f1 - to reach out to planner</t>
  </si>
  <si>
    <t>as above</t>
  </si>
  <si>
    <t xml:space="preserve">Unit 22 &amp; 23 </t>
  </si>
  <si>
    <t>SPRINGFIELD HOUSE LOFTS, TYSSEN ST, E8 2LY</t>
  </si>
  <si>
    <t>Unit 22 &amp; 23 Springfield Hse,Tyssen St</t>
  </si>
  <si>
    <t>a1G4J000002605ZUAQ</t>
  </si>
  <si>
    <t>1671</t>
  </si>
  <si>
    <t>B47</t>
  </si>
  <si>
    <t>on market with Strettons &amp; Belcor,  qr reduced to £47,500. 09/07 rent reduced to £25 psf. whats the latest on planning app? no interest at present</t>
  </si>
  <si>
    <t>Belcor</t>
  </si>
  <si>
    <t>Zoopla
rightmove</t>
  </si>
  <si>
    <t>1. Vacant Units</t>
  </si>
  <si>
    <t>Qube Unit  Reference</t>
  </si>
  <si>
    <t>sheet</t>
  </si>
  <si>
    <t>DS sheet</t>
  </si>
  <si>
    <t>SF unit id</t>
  </si>
  <si>
    <t>Portfolio</t>
  </si>
  <si>
    <t>Old Reference</t>
  </si>
  <si>
    <t>Qube and Salesforce Description</t>
  </si>
  <si>
    <t>Type</t>
  </si>
  <si>
    <t>Tenure</t>
  </si>
  <si>
    <t>ERV</t>
  </si>
  <si>
    <t>ERV As At</t>
  </si>
  <si>
    <t>On Commercial quoting Rent sheet</t>
  </si>
  <si>
    <t>Total</t>
  </si>
  <si>
    <t>Missing from SF</t>
  </si>
  <si>
    <t>On SF</t>
  </si>
  <si>
    <t>On Comm Team sheet</t>
  </si>
  <si>
    <t>Not on Comm Team sheet</t>
  </si>
  <si>
    <t>GRML</t>
  </si>
  <si>
    <t>Commercial</t>
  </si>
  <si>
    <t>For Let</t>
  </si>
  <si>
    <t>Vac-C</t>
  </si>
  <si>
    <t>Vacant Units</t>
  </si>
  <si>
    <t>Tenanted units-CommLease</t>
  </si>
  <si>
    <t>Tenanted units-Comm LIC</t>
  </si>
  <si>
    <t>GRIP</t>
  </si>
  <si>
    <t>COMMERCIAL</t>
  </si>
  <si>
    <t>Tenanted Units-Queries  e.g Wayleaves</t>
  </si>
  <si>
    <t>Tenanted Units-Comm-Let</t>
  </si>
  <si>
    <t>Vesta</t>
  </si>
  <si>
    <t>a1G4J0000025udgUAA</t>
  </si>
  <si>
    <t>7a, Three Trees, Castle Street SY11 4DB</t>
  </si>
  <si>
    <t>For Sale</t>
  </si>
  <si>
    <t>No</t>
  </si>
  <si>
    <t>a1G4J0000025v08UAA</t>
  </si>
  <si>
    <t>Land at Knightley Grange Estate, Stafford</t>
  </si>
  <si>
    <t>Land</t>
  </si>
  <si>
    <t>AwaitDecision</t>
  </si>
  <si>
    <t>a1G4J0000025v3eUAA</t>
  </si>
  <si>
    <t>Ashwoodhead Farm Hse, Knightley, Stafford St.</t>
  </si>
  <si>
    <t>Wayleave</t>
  </si>
  <si>
    <t>a1GNz0000080yijMAA</t>
  </si>
  <si>
    <t>Martlesham: Land North of Burgess Place</t>
  </si>
  <si>
    <t>a1GNz0000080tb0MAA</t>
  </si>
  <si>
    <t>Martlesham: Land East of Lark Rise</t>
  </si>
  <si>
    <t>a1GNz0000080ykLMAQ</t>
  </si>
  <si>
    <t>Martlesham: Land South of Village Centre</t>
  </si>
  <si>
    <t>a1GNz0000080ylxMAA</t>
  </si>
  <si>
    <t>Martlesham: Land South of Village</t>
  </si>
  <si>
    <t>a1G8d00000067yxEAA</t>
  </si>
  <si>
    <t>Aldershot AA0008 ABRO Building 14</t>
  </si>
  <si>
    <t>Missing</t>
  </si>
  <si>
    <t>Aldershot AA0009 ABRO West Workshop</t>
  </si>
  <si>
    <t>Aldershot AA0010 ABRO Building 9</t>
  </si>
  <si>
    <t>Aldershot AA0111 ABRO Building 10</t>
  </si>
  <si>
    <t>Aldershot AA0112 ABRO Building 11</t>
  </si>
  <si>
    <t>Aldershot AA0113 ABRO Building 12</t>
  </si>
  <si>
    <t>Aldershot AA0114 ABRO Building 13</t>
  </si>
  <si>
    <t>Aldershot AA0115 ABRO Building 14</t>
  </si>
  <si>
    <t>Aldershot AA0116 ABRO Building 15</t>
  </si>
  <si>
    <t>Aldershot AA0119 ABRO Building 18</t>
  </si>
  <si>
    <t>Aldershot AA0120 ABRO Building 18</t>
  </si>
  <si>
    <t>Aldershot AG0079M Mandora House</t>
  </si>
  <si>
    <t>Aldershot AG0079R St Annes Building</t>
  </si>
  <si>
    <t>Aldershot AG0079L Mandora House Office</t>
  </si>
  <si>
    <t>Aldershot RV0034 RAVC Building 7 Main Store</t>
  </si>
  <si>
    <t>Aldershot RV0036 RAVC Building 9 Pharmacy</t>
  </si>
  <si>
    <t>Aldershot RV0041 RAVC Main Gas Point</t>
  </si>
  <si>
    <t>Aldershot AG0034 Garrison Civil Serv Club</t>
  </si>
  <si>
    <t>Aldershot AG0035 Garrison HQ Army Welfare</t>
  </si>
  <si>
    <t>Aldershot AG0033 Knollys Nest, Knollys Rd</t>
  </si>
  <si>
    <t>Aldershot BG0074 BROWNING HQ Office Bldg</t>
  </si>
  <si>
    <t>Aldershot BG0075 BROWNING Gym Block 2</t>
  </si>
  <si>
    <t>Aldershot BG0077 BROWNING Squash Crts 2B</t>
  </si>
  <si>
    <t>Aldershot BG0080 BROWNING Ridgeway Acc 5C</t>
  </si>
  <si>
    <t>Aldershot BG0081 BROWNING Harden Acc 5C</t>
  </si>
  <si>
    <t>Aldershot BG0082 BROWNING Farmer Acc 5D</t>
  </si>
  <si>
    <t>Aldershot BG0083 BROWNING Pearson Acc 9/18</t>
  </si>
  <si>
    <t>Aldershot BG0084 BROWNING Rhq Museum 10</t>
  </si>
  <si>
    <t>Aldershot BG0088 BROWNING Offcrs Mess Acc 16</t>
  </si>
  <si>
    <t>Aldershot BG0089 BROWNING PSO Recpt ctr 18A</t>
  </si>
  <si>
    <t>Aldershot BG0097 BROWNING Office for Bldg 1</t>
  </si>
  <si>
    <t>Aldershot BG0103 BROWNING Troop Shelter</t>
  </si>
  <si>
    <t>Aldershot BG0104 BROWNING Distrt SubStn 2/31</t>
  </si>
  <si>
    <t>Aldershot BG0094/R Grassland/Browning Brks</t>
  </si>
  <si>
    <t>Aldershot BG0084 Museum Bldg Browning Brks</t>
  </si>
  <si>
    <t>Aldershot yard/prem circa MT Wrkshp Browning</t>
  </si>
  <si>
    <t>Aldershot BGD092.18 quartermasters stores</t>
  </si>
  <si>
    <t>Aldershot BGD092.19 quartermasters stores</t>
  </si>
  <si>
    <t>Aldershot BGD092.20 quartermasters stores</t>
  </si>
  <si>
    <t>Aldershot BGD092.21 quartermasters stores</t>
  </si>
  <si>
    <t>Aldershot BGD092.22 quartermasters stores</t>
  </si>
  <si>
    <t>Aldershot BGD092.23 quartermasters stores</t>
  </si>
  <si>
    <t>Aldershot BGD092 10 quartermasters stores</t>
  </si>
  <si>
    <t>Aldershot BGD092 09 quartermasters stores</t>
  </si>
  <si>
    <t>Aldershot BG0093 BROWNING COMPOUND</t>
  </si>
  <si>
    <t>Aldershot BG0094 BROWNING Parade Ground</t>
  </si>
  <si>
    <t>Aldershot BGA092 BROWNING 14 DOORS Security</t>
  </si>
  <si>
    <t>Aldershot BG0094/R Grsland/Browning SECURITY</t>
  </si>
  <si>
    <t>Tenanted</t>
  </si>
  <si>
    <t>a1GNz0000080yCTMAY</t>
  </si>
  <si>
    <t>Aldershot BL0188 BULLER Block B Offcr Mess Ac</t>
  </si>
  <si>
    <t>a1GNz0000080yE5MAI</t>
  </si>
  <si>
    <t>Aldershot BL0190 BULLER Block D Stewarts qtr</t>
  </si>
  <si>
    <t>a1GNz0000080yFhMAI</t>
  </si>
  <si>
    <t>Aldershot BL0191 BULLER A17 medical centre</t>
  </si>
  <si>
    <t>a1GNz0000080yKXMAY</t>
  </si>
  <si>
    <t>Aldershot BL0192 BULLER QM Stores</t>
  </si>
  <si>
    <t>Aldershot CLA261 CLAYTON Bldg C Offices</t>
  </si>
  <si>
    <t>Aldershot CLA264 CLAYTON Bldg H General off</t>
  </si>
  <si>
    <t>Aldershot CLA265 CLAYTON Bldg L Barrack</t>
  </si>
  <si>
    <t>Aldershot CLA266 CLAYTON Bldg M Sport control</t>
  </si>
  <si>
    <t>Aldershot CLA267 CLAYTON Bldg P Brk Acc</t>
  </si>
  <si>
    <t>Aldershot CLA268 CLAYTON Bldg Q Brk Acc</t>
  </si>
  <si>
    <t>Aldershot CLA269 CLAYTON Bldg R Brk Acc</t>
  </si>
  <si>
    <t>Aldershot CLA270 CLAYTON Bldg S Brk Acc</t>
  </si>
  <si>
    <t>Aldershot CLA272 CLAYTON Bldg K Brk Acc</t>
  </si>
  <si>
    <t>Aldershot CLA273 CLAYTON Sub Station (Elec)</t>
  </si>
  <si>
    <t>Aldershot CLA280 CLAYTON Steam House</t>
  </si>
  <si>
    <t>Aldershot H4A011 HQ4DIV Alison House(offices)</t>
  </si>
  <si>
    <t>Aldershot H4A012 HQ4DIV Camp Block</t>
  </si>
  <si>
    <t>Aldershot H4A015 HQ4DIV Cranbrook Hse(off)</t>
  </si>
  <si>
    <t>Aldershot H4A021 HQ4DIV Listed Bldg(off)</t>
  </si>
  <si>
    <t>Aldershot H4A023 HQ4DIV Part3 Lstd Bldg(off)</t>
  </si>
  <si>
    <t>Aldershot H4A027 HQ4DIV District SS 2/25</t>
  </si>
  <si>
    <t>Aldershot H4B024 HQ4DIV Generator Bldg</t>
  </si>
  <si>
    <t>Aldershot PR0042 PARSONS Sgnts Mess Acc</t>
  </si>
  <si>
    <t>Aldershot PR0066 PARSONS Labs/Fridge Store</t>
  </si>
  <si>
    <t>Aldershot PR0067 PARSONS Offices</t>
  </si>
  <si>
    <t>Aldershot PR0071 PARSONS Hse/Office/Store</t>
  </si>
  <si>
    <t>Malta Barracks Parade Square</t>
  </si>
  <si>
    <t>n/a</t>
  </si>
  <si>
    <t>Land at Forge Lane opp Runways End</t>
  </si>
  <si>
    <t>a1GNz000003M2XhMAK</t>
  </si>
  <si>
    <t>Unit 1, The Arches, John St, Cardiff CF10 5PE</t>
  </si>
  <si>
    <t>a1GNz000003M8V4MAK</t>
  </si>
  <si>
    <t>Unit 2, The Arches, John St, Cardiff CF10 5PE</t>
  </si>
  <si>
    <t>a1GNz000003M4KMMA0</t>
  </si>
  <si>
    <t>Unit 4, The Arches, John St, Cardiff CF10 5PE</t>
  </si>
  <si>
    <t>a1GNz000003MAWrMAO</t>
  </si>
  <si>
    <t>Unit 5, The Arches, John St, Cardiff CF10 5PE</t>
  </si>
  <si>
    <t>a1GNz000003MCAUMA4</t>
  </si>
  <si>
    <t>Unit 6, The Arches, John St, Cardiff CF10 5PE</t>
  </si>
  <si>
    <t>a1G4J0000025yHRUAY</t>
  </si>
  <si>
    <t>Workshop, Ospringe House, Wotton St, SE1 8TB</t>
  </si>
  <si>
    <t>a1G4J0000025yVqUAI</t>
  </si>
  <si>
    <t>Ethelm House, London, SE1</t>
  </si>
  <si>
    <t>a1G4J0000025zt7UAA</t>
  </si>
  <si>
    <t>146 Central St London EC1V 8AY</t>
  </si>
  <si>
    <t>a1G4J000002605uUAA</t>
  </si>
  <si>
    <t>Car Park Space 12 Ability Plaza, London, E8</t>
  </si>
  <si>
    <t>ParkingSpac</t>
  </si>
  <si>
    <t>2. Tenanted Units</t>
  </si>
  <si>
    <t>Reference</t>
  </si>
  <si>
    <t>CommLease</t>
  </si>
  <si>
    <t>COMMERCIAL - 10095619137</t>
  </si>
  <si>
    <t>a1G4J0000025v4IUAQ</t>
  </si>
  <si>
    <t>40/42 Kensington Park Rd G/F &amp; Basement</t>
  </si>
  <si>
    <t>a1GNz0000031qSfMAI</t>
  </si>
  <si>
    <t>Berewood - Woodside House Orchard</t>
  </si>
  <si>
    <t>Berewood -  Berewood Allotment</t>
  </si>
  <si>
    <t>a1GNz0000080xxxMAA</t>
  </si>
  <si>
    <t>Telephone Mast 7 Kennel Fm Dummer</t>
  </si>
  <si>
    <t>a1GNz0000018ftTMAQ</t>
  </si>
  <si>
    <t>Woodcroft Farm Petersfield Fields Waterloovil</t>
  </si>
  <si>
    <t>a1GNz0000018fHkMAI</t>
  </si>
  <si>
    <t>Woodcroft Farm Eastland Gate Fields Waterloov</t>
  </si>
  <si>
    <t>a1GNz000007y2HRMAY</t>
  </si>
  <si>
    <t>Kesgrave - Dev Site</t>
  </si>
  <si>
    <t>a1GNz0000080vXyMAI</t>
  </si>
  <si>
    <t>Bell Lane, Kesgrave,Ipswich. Right of Way</t>
  </si>
  <si>
    <t>a1G8d0000005tqUEAQ</t>
  </si>
  <si>
    <t>Unit A, The Old Generator House, Foxall, Ipsw</t>
  </si>
  <si>
    <t>a1G8d0000005riXEAQ</t>
  </si>
  <si>
    <t>Land @Foxall Martlesham. Telecomm Mast</t>
  </si>
  <si>
    <t>a1G4J000004jjDuUAI</t>
  </si>
  <si>
    <t>Aldershot CM0065 McGrigor Barracks Hosp</t>
  </si>
  <si>
    <t>a1GNz000001K6ofMAC</t>
  </si>
  <si>
    <t>Aldershot TS0031 Resettlement Centre.</t>
  </si>
  <si>
    <t>Aldershot TS0108 Resettlement Centre</t>
  </si>
  <si>
    <t>Aldershot TS0106 Resettlement Centre</t>
  </si>
  <si>
    <t>a1GNz000002mR83MAE</t>
  </si>
  <si>
    <t>Aldershot RV0032 Resettlement Centre/ Galwey</t>
  </si>
  <si>
    <t>a1GNz000004b2i5MAA</t>
  </si>
  <si>
    <t>Aldershot RV0035 RAVC Building 8’</t>
  </si>
  <si>
    <t>a1G8d000000681NEAQ</t>
  </si>
  <si>
    <t>Storage and Hardstanding at Fitzwygram House</t>
  </si>
  <si>
    <t>a1G4J000004jjEYUAY</t>
  </si>
  <si>
    <t>Aldershot BG0091 BROWNING Drill Shed 19A</t>
  </si>
  <si>
    <t>a1GNz0000000zczMAA</t>
  </si>
  <si>
    <t>Aldershot BGA092 BROWNING 14 DOORS.</t>
  </si>
  <si>
    <t>a1G4J000004jjEdUAI</t>
  </si>
  <si>
    <t>Aldershot BGD092.11 quartermasters stores</t>
  </si>
  <si>
    <t>Aldershot BG0088/BG0080 Browning Mess/ac</t>
  </si>
  <si>
    <t>Aldershot 2 Grass Open spaceBrowning barracks</t>
  </si>
  <si>
    <t>a1G4J000004PtjIUAS</t>
  </si>
  <si>
    <t>Aldershot BG0090 MT Workshop Browning Brks.</t>
  </si>
  <si>
    <t>Aldershot BG0094R Portacabin Browning Brks</t>
  </si>
  <si>
    <t>a1G4J000004jjEiUAI</t>
  </si>
  <si>
    <t>Aldershot BGD092 L quartermasters stores</t>
  </si>
  <si>
    <t>Aldershot BGD092 R quartermasters stores</t>
  </si>
  <si>
    <t>a1GNz0000000uQPMAY</t>
  </si>
  <si>
    <t>Aldershot BGD092.17 quartermasters stores</t>
  </si>
  <si>
    <t>Aldershot BGD092 BROWNING quartermasters stor</t>
  </si>
  <si>
    <t>a1GNz0000000zbNMAQ</t>
  </si>
  <si>
    <t>Aldershot BGA092 BROWNING 14 DOORS UTILITIES.</t>
  </si>
  <si>
    <t>a1GNz0000009qdhMAA</t>
  </si>
  <si>
    <t>East Car Park at Mandora House.</t>
  </si>
  <si>
    <t>a1GNz00000081bdMAA</t>
  </si>
  <si>
    <t>Aldershot Mandora Part of West Car Park 1</t>
  </si>
  <si>
    <t>a1GNz0000080pigMAA</t>
  </si>
  <si>
    <t>Aldershot BL0187 BULLER Block A Offcrs Mess</t>
  </si>
  <si>
    <t>a1GNz0000032CpmMAE</t>
  </si>
  <si>
    <t>Clayton Barracks -  Hardstanding.</t>
  </si>
  <si>
    <t>a1GNz000003z5AjMAI</t>
  </si>
  <si>
    <t>Aldershot GS0061 GARRISON Sergeants Mess</t>
  </si>
  <si>
    <t>Aldershot PR0041 Parsons Barracks Portakabin</t>
  </si>
  <si>
    <t>a1GNz0000001gRpMAI</t>
  </si>
  <si>
    <t>Aldershot AG0049 Maida Gym</t>
  </si>
  <si>
    <t>a1GNz00000012sbMAA</t>
  </si>
  <si>
    <t>Aldershot AG0050 Smith Dorrien Part of Bldg.</t>
  </si>
  <si>
    <t>Wellesley Barracks ABRO Warehouse</t>
  </si>
  <si>
    <t>a1G4J0000025wuXUAQ</t>
  </si>
  <si>
    <t>GR-Hotel, Kings Dock Mill, Liverpool, L1</t>
  </si>
  <si>
    <t>a1GNz0000000uILMAY</t>
  </si>
  <si>
    <t>Compound - Marrelsmoor - Phase 9 Redrow</t>
  </si>
  <si>
    <t>a1GNz000007tyU9MAI</t>
  </si>
  <si>
    <t>Compound at Berewood – 6b Local Centre</t>
  </si>
  <si>
    <t>a1G8d0000005rHWEAY</t>
  </si>
  <si>
    <t>Parking 19 Enigma Square</t>
  </si>
  <si>
    <t>a1G8d0000005rIyEAI</t>
  </si>
  <si>
    <t>Parking 30 Enigma Square</t>
  </si>
  <si>
    <t>a1G8d0000005rJXEAY</t>
  </si>
  <si>
    <t>Parking 37 Enigma Square</t>
  </si>
  <si>
    <t>a1G8d0000005rQiEAI</t>
  </si>
  <si>
    <t>Parking 102 Enigma Square</t>
  </si>
  <si>
    <t>a1G8d0000005rRMEAY</t>
  </si>
  <si>
    <t>Parking 107 Enigma Square</t>
  </si>
  <si>
    <t>a1G8d0000005rJdEAI</t>
  </si>
  <si>
    <t>Parking 108 Enigma Square</t>
  </si>
  <si>
    <t>a1G8d0000005rPSEAY</t>
  </si>
  <si>
    <t>Parking 112 Enigma Square</t>
  </si>
  <si>
    <t>a1G8d0000005rBsEAI</t>
  </si>
  <si>
    <t>Parking 153 Enigma Square</t>
  </si>
  <si>
    <t>a1G8d0000005rBxEAI</t>
  </si>
  <si>
    <t>Parking 154 Enigma Square</t>
  </si>
  <si>
    <t>a1G8d0000005rBZEAY</t>
  </si>
  <si>
    <t>Parking 162 Enigma Square</t>
  </si>
  <si>
    <t>a1G4J0000025yUBUAY</t>
  </si>
  <si>
    <t>GINVEST</t>
  </si>
  <si>
    <t>227 Maida Vale Bsmnt/Grnd/Gge</t>
  </si>
  <si>
    <t>a1G4J0000025yYvUAI</t>
  </si>
  <si>
    <t>229 Maida Vale Bsmnt/Grnd Flr</t>
  </si>
  <si>
    <t>a1G4J0000025yCHUAY</t>
  </si>
  <si>
    <t>231 Maida Vale Bsmnt/Grnd Flr</t>
  </si>
  <si>
    <t>a1G4J0000025w8nUAA</t>
  </si>
  <si>
    <t>233 Maida Vale Bsmnt/Grnd Flr</t>
  </si>
  <si>
    <t>a1G4J0000025yXsUAI</t>
  </si>
  <si>
    <t>235 Maida Vale Bsmnt/Grnd Flr</t>
  </si>
  <si>
    <t>a1G4J0000025yZOUAY</t>
  </si>
  <si>
    <t>237 Maida Vale Bsmnt/Grnd Flr</t>
  </si>
  <si>
    <t>a1G4J0000025yX9UAI</t>
  </si>
  <si>
    <t>239 Maida Vale joint lease 237 Maida</t>
  </si>
  <si>
    <t>a1G4J0000025yPqUAI</t>
  </si>
  <si>
    <t>241 Maida Vale Bsmnt/Grnd Flr</t>
  </si>
  <si>
    <t>a1G4J0000025yXAUAY</t>
  </si>
  <si>
    <t>243 Maida Vale Bsmnt/Grnd Flr</t>
  </si>
  <si>
    <t>a1G4J0000025yZdUAI</t>
  </si>
  <si>
    <t>245 Maida Vale Bsmnt/Grnd Flr</t>
  </si>
  <si>
    <t>a1G4J0000025yKyUAI</t>
  </si>
  <si>
    <t>Benson House Unit 1 Grnd Flr/Serv Yard</t>
  </si>
  <si>
    <t>a1G4J0000025yKtUAI</t>
  </si>
  <si>
    <t>Benson House Unit 2 Grnd Flr/Serv Yard</t>
  </si>
  <si>
    <t>a1G4J0000025wiCUAQ</t>
  </si>
  <si>
    <t>Benson House Unit 3 Grnd Flr/Serv Yard</t>
  </si>
  <si>
    <t>a1G4J0000025ySdUAI</t>
  </si>
  <si>
    <t>Benson House Unit 4/5 Grnd Flr/Serv Yard</t>
  </si>
  <si>
    <t>a1G4J0000025yRbUAI</t>
  </si>
  <si>
    <t>Benson House Unit 6 Grnd Flr/Serv Yard</t>
  </si>
  <si>
    <t>a1G4J0000025yTpUAI</t>
  </si>
  <si>
    <t>Benson House Unit 5</t>
  </si>
  <si>
    <t>a1G4J00000260clUAA</t>
  </si>
  <si>
    <t>2 Wilcox Road, London, SW8 2UX</t>
  </si>
  <si>
    <t>a1G4J000002632aUAA</t>
  </si>
  <si>
    <t>4 Wilcox Road London SW8 2UX</t>
  </si>
  <si>
    <t>a1G4J00000260dFUAQ</t>
  </si>
  <si>
    <t>6 Wilcox Road London SW8 2UX</t>
  </si>
  <si>
    <t>a1G4J00000260dPUAQ</t>
  </si>
  <si>
    <t>8 Wilcox Road London SW8 2UX</t>
  </si>
  <si>
    <t>a1G4J000002632fUAA</t>
  </si>
  <si>
    <t>10 Wilcox Road London SW8 2UX</t>
  </si>
  <si>
    <t>a1G4J000002632kUAA</t>
  </si>
  <si>
    <t>12 Wilcox Road London SW8 2UX</t>
  </si>
  <si>
    <t>a1G4J000002632pUAA</t>
  </si>
  <si>
    <t>14A Wilcox Road London SW8 2UX</t>
  </si>
  <si>
    <t>a1G4J000002632uUAA</t>
  </si>
  <si>
    <t>14b Wilcox Road London SW8 2UX</t>
  </si>
  <si>
    <t>a1G4J00000262qDUAQ</t>
  </si>
  <si>
    <t>20 Wilcox Road London SW8 2UX</t>
  </si>
  <si>
    <t>a1G4J0000026334UAA</t>
  </si>
  <si>
    <t>22 Wilcox Road London SW8 2UX</t>
  </si>
  <si>
    <t>a1G4J00000262zNUAQ</t>
  </si>
  <si>
    <t>24 Wilcox Road London SW8 2UX</t>
  </si>
  <si>
    <t>a1G4J0000026339UAA</t>
  </si>
  <si>
    <t>26 Wilcox Road London SW8 2UX</t>
  </si>
  <si>
    <t>a1G4J000002631iUAA</t>
  </si>
  <si>
    <t>30 Wilcox Road London SW8 2UX</t>
  </si>
  <si>
    <t>a1G4J00000262uXUAQ</t>
  </si>
  <si>
    <t>32 and 34 Wilcox Road London SW8 2UX</t>
  </si>
  <si>
    <t>a1G4J00000260cvUAA</t>
  </si>
  <si>
    <t>36 Wilcox Road London SW8 2UX</t>
  </si>
  <si>
    <t>a1G4J00000262jeUAA</t>
  </si>
  <si>
    <t>38 Wilcox Road London SW8 2UX</t>
  </si>
  <si>
    <t>a1G4J000002633EUAQ</t>
  </si>
  <si>
    <t>40 Wilcox Road London SW8 2UX</t>
  </si>
  <si>
    <t>a1G4J000002633JUAQ</t>
  </si>
  <si>
    <t>42 Wilcox Road London SW8 2UX</t>
  </si>
  <si>
    <t>a1G4J000002633OUAQ</t>
  </si>
  <si>
    <t>44 and 46 Wilcox Road London SW8 2UX</t>
  </si>
  <si>
    <t>a1G4J000002633TUAQ</t>
  </si>
  <si>
    <t>48 Wilcox Road London SW8 2UX</t>
  </si>
  <si>
    <t>a1G4J000002631nUAA</t>
  </si>
  <si>
    <t>50 Wilcox Road London SW8 2UX</t>
  </si>
  <si>
    <t>a1G4J000002633YUAQ</t>
  </si>
  <si>
    <t>52/54 Wilcox Road London SW8 2UX</t>
  </si>
  <si>
    <t>a1G4J000002633dUAA</t>
  </si>
  <si>
    <t>28 Wilcox Road London SW8 2UX</t>
  </si>
  <si>
    <t>a1G4J0000025zQ9UAI</t>
  </si>
  <si>
    <t>124-130 Tabernacle St Grnd Flr / Bsmt office</t>
  </si>
  <si>
    <t>a1G4J0000025zaxUAA</t>
  </si>
  <si>
    <t>5 Bath Street, London, EC1V 9LB</t>
  </si>
  <si>
    <t>a1G4J0000025zb0UAA</t>
  </si>
  <si>
    <t>Unit 1 Ability Towers, London, EC1V 5AE</t>
  </si>
  <si>
    <t>a1G4J0000025zvlUAA</t>
  </si>
  <si>
    <t>Unit 2 Ability Towers, London, EC1V 5AE</t>
  </si>
  <si>
    <t>a1G4J0000025zssUAA</t>
  </si>
  <si>
    <t>Unit 6 Ability Plaza, London, E8</t>
  </si>
  <si>
    <t>a1G4J000002600fUAA</t>
  </si>
  <si>
    <t>Unit 7 Ability Plaza, London, E8</t>
  </si>
  <si>
    <t>a1G4J0000025zpzUAA</t>
  </si>
  <si>
    <t>Unit 8 Ability Plaza, London, E8</t>
  </si>
  <si>
    <t>a1G4J0000025zleUAA</t>
  </si>
  <si>
    <t>308 Ability Plaza, London, E8</t>
  </si>
  <si>
    <t>a1G4J000002604DUAQ</t>
  </si>
  <si>
    <t>Car Park Space 9 Ability Plaza, London, E8</t>
  </si>
  <si>
    <t>a1G4J000002606OUAQ</t>
  </si>
  <si>
    <t>312 Kingsland Road. London E8</t>
  </si>
  <si>
    <t>a1G4J0000025zzGUAQ</t>
  </si>
  <si>
    <t>Ability Plaza Lock Up Store</t>
  </si>
  <si>
    <t>a1G4J0000025yaQUAQ</t>
  </si>
  <si>
    <t>Ability Plaza Electricity Chamber (TC44229)</t>
  </si>
  <si>
    <t>Sub Station</t>
  </si>
  <si>
    <t>a1G4J0000025zpVUAQ</t>
  </si>
  <si>
    <t>Unit GA4 Ability view, 222 Kingsland Road, Lo</t>
  </si>
  <si>
    <t>a1G4J0000025zpTUAQ</t>
  </si>
  <si>
    <t>Unit GA5 Ability view, 222 Kingsland Road</t>
  </si>
  <si>
    <t>a1G4J0000025zpEUAQ</t>
  </si>
  <si>
    <t>Elec.Transformer (40109),218-226 Kingsland Rd</t>
  </si>
  <si>
    <t>a1G4J0000025yp0UAA</t>
  </si>
  <si>
    <t>Unit 12/13 Springfield House, Tyssen Street</t>
  </si>
  <si>
    <t>a1G4J0000025zZDUAY</t>
  </si>
  <si>
    <t>Unit 13 Springfield House, Tyssen Street, Lon</t>
  </si>
  <si>
    <t>a1G4J0000025zuHUAQ</t>
  </si>
  <si>
    <t>Unit 18 Springfield House, Tyssen St</t>
  </si>
  <si>
    <t>a1G4J0000025zlOUAQ</t>
  </si>
  <si>
    <t>Unit 19 Springfield House, Tyssen Street, Lon</t>
  </si>
  <si>
    <t>a1G4J0000025zsEUAQ</t>
  </si>
  <si>
    <t>Unit 21 Springfield Hse, Tyssen St London</t>
  </si>
  <si>
    <t>a1G4J0000026030UAA</t>
  </si>
  <si>
    <t>Unit 24,25,84Springfield Hse,Tyssen St,London</t>
  </si>
  <si>
    <t>a1G4J0000025zp4UAA</t>
  </si>
  <si>
    <t>Unit 96-102 Springfield House Tyssen St</t>
  </si>
  <si>
    <t>a1G4J0000025zudUAA</t>
  </si>
  <si>
    <t>Car Park Space 2 Springfield House, Tyssen St</t>
  </si>
  <si>
    <t>a1G4J0000025zdYUAQ</t>
  </si>
  <si>
    <t>Unit 13-15, Grove House, 11-20 Tudor Grove</t>
  </si>
  <si>
    <t>a1G4J0000025ztHUAQ</t>
  </si>
  <si>
    <t>Unit 17-20, Grove House, 11-20 Tudor Grove</t>
  </si>
  <si>
    <t>a1G4J0000025zcqUAA</t>
  </si>
  <si>
    <t>Car Space 3 (RHS) Grove House, Tudor Grove</t>
  </si>
  <si>
    <t>a1G4J0000025zUiUAI</t>
  </si>
  <si>
    <t>Car Space 4 (RHS) Grove House, Tudor Grove</t>
  </si>
  <si>
    <t>a1G4J0000025zmgUAA</t>
  </si>
  <si>
    <t>Car Space 5 (RHS) Grove House, Tudor Grove</t>
  </si>
  <si>
    <t>a1G4J0000025zPmUAI</t>
  </si>
  <si>
    <t>Car Space 6 (RHS) Grove House, Tudor Grove</t>
  </si>
  <si>
    <t>a1G4J0000025zefUAA</t>
  </si>
  <si>
    <t>184 Peckham Rye, GF, London SE22 9QA</t>
  </si>
  <si>
    <t>a1GNz0000080yM9MAI</t>
  </si>
  <si>
    <t>Aldershot Buller Barracks PrdGrnd1/hardstndng</t>
  </si>
  <si>
    <t>CommLic</t>
  </si>
  <si>
    <t>a1GNz000002odGLMAY</t>
  </si>
  <si>
    <t>0.01 MSCP, 5 Capital Quarter, Tyndall St.</t>
  </si>
  <si>
    <t>a1GNz000002odJZMAY</t>
  </si>
  <si>
    <t>0.02 MSCP, 5 Capital Quarter, Tyndall St,</t>
  </si>
  <si>
    <t>a1GNz000002odLBMAY</t>
  </si>
  <si>
    <t>0.03 MSCP, 5 Capital Quarter, Tyndall St,</t>
  </si>
  <si>
    <t>a1GNz000002odOPMAY</t>
  </si>
  <si>
    <t>0.05 MSCP, 5 Capital Quarter, Tyndall St,</t>
  </si>
  <si>
    <t>a1GNz000002odQ1MAI</t>
  </si>
  <si>
    <t>0.06 MSCP, 5 Capital Quarter, Tyndall St,</t>
  </si>
  <si>
    <t>a1GNz000002odRdMAI</t>
  </si>
  <si>
    <t>0.07 MSCP, 5 Capital Quarter, Tyndall St,</t>
  </si>
  <si>
    <t>a1GNz000002odTFMAY</t>
  </si>
  <si>
    <t>0.08 MSCP, 5 Capital Quarter, Tyndall St,</t>
  </si>
  <si>
    <t>a1GNz000002odUrMAI</t>
  </si>
  <si>
    <t>0.09 MSCP, 5 Capital Quarter, Tyndall St,</t>
  </si>
  <si>
    <t>a1GNz000002odWTMAY</t>
  </si>
  <si>
    <t>0.10 MSCP, 5 Capital Quarter, Tyndall St,</t>
  </si>
  <si>
    <t>a1GNz000002ocDqMAI</t>
  </si>
  <si>
    <t>0.11 MSCP, 5 Capital Quarter, Tyndall St,</t>
  </si>
  <si>
    <t>a1GNz000002odY5MAI</t>
  </si>
  <si>
    <t>0.12 MSCP, 5 Capital Quarter, Tyndall St,</t>
  </si>
  <si>
    <t>a1GNz000002odZhMAI</t>
  </si>
  <si>
    <t>0.13 MSCP, 5 Capital Quarter, Tyndall St,</t>
  </si>
  <si>
    <t>a1GNz000002odbJMAQ</t>
  </si>
  <si>
    <t>0.14 MSCP, 5 Capital Quarter, Tyndall St,</t>
  </si>
  <si>
    <t>a1GNz000002ocVaMAI</t>
  </si>
  <si>
    <t>0.15 MSCP, 5 Capital Quarter, Tyndall St,</t>
  </si>
  <si>
    <t>a1GNz000002odcvMAA</t>
  </si>
  <si>
    <t>0.16 MSCP, 5 Capital Quarter, Tyndall St,</t>
  </si>
  <si>
    <t>a1GNz000002ocDrMAI</t>
  </si>
  <si>
    <t>0.17 MSCP, 5 Capital Quarter, Tyndall St,</t>
  </si>
  <si>
    <t>a1GNz000002odg9MAA</t>
  </si>
  <si>
    <t>0.18 MSCP, 5 Capital Quarter, Tyndall St,</t>
  </si>
  <si>
    <t>a1GNz000002odhlMAA</t>
  </si>
  <si>
    <t>0.19 MSCP, 5 Capital Quarter, Tyndall St,</t>
  </si>
  <si>
    <t>a1GNz000002ocT9MAI</t>
  </si>
  <si>
    <t>0.20 MSCP, 5 Capital Quarter, Tyndall St,</t>
  </si>
  <si>
    <t>a1GNz000002odoDMAQ</t>
  </si>
  <si>
    <t>0.21 MSCP, 5 Capital Quarter, Tyndall St,</t>
  </si>
  <si>
    <t>a1GNz000002oc6ZMAQ</t>
  </si>
  <si>
    <t>0.22 MSCP, 5 Capital Quarter, Tyndall St,</t>
  </si>
  <si>
    <t>a1GNz000002odppMAA</t>
  </si>
  <si>
    <t>0.23 MSCP, 5 Capital Quarter, Tyndall St,</t>
  </si>
  <si>
    <t>a1GNz000002od3SMAQ</t>
  </si>
  <si>
    <t>0.24 MSCP, 5 Capital Quarter, Tyndall St,</t>
  </si>
  <si>
    <t>a1GNz000002odrRMAQ</t>
  </si>
  <si>
    <t>0.25 MSCP, 5 Capital Quarter, Tyndall St,</t>
  </si>
  <si>
    <t>a1GNz000002odt3MAA</t>
  </si>
  <si>
    <t>0.26 MSCP, 5 Capital Quarter, Tyndall St,</t>
  </si>
  <si>
    <t>a1GNz000002odufMAA</t>
  </si>
  <si>
    <t>0.27 MSCP, 5 Capital Quarter, Tyndall St,</t>
  </si>
  <si>
    <t>a1GNz000002odwHMAQ</t>
  </si>
  <si>
    <t>0.28 MSCP, 5 Capital Quarter, Tyndall St,</t>
  </si>
  <si>
    <t>a1GNz000002odxtMAA</t>
  </si>
  <si>
    <t>0.29 MSCP, 5 Capital Quarter, Tyndall St,</t>
  </si>
  <si>
    <t>a1GNz000002odzVMAQ</t>
  </si>
  <si>
    <t>1.01 MSCP, 5 Capital Quarter, Tyndall St,</t>
  </si>
  <si>
    <t>a1GNz000002odhmMAA</t>
  </si>
  <si>
    <t>1.02 MSCP, 5 Capital Quarter, Tyndall St,</t>
  </si>
  <si>
    <t>a1GNz000002oe17MAA</t>
  </si>
  <si>
    <t>1.03 MSCP, 5 Capital Quarter, Tyndall St,</t>
  </si>
  <si>
    <t>a1GNz000002oe2jMAA</t>
  </si>
  <si>
    <t>1.04 MSCP, 5 Capital Quarter, Tyndall St,</t>
  </si>
  <si>
    <t>a1GNz000002oe4LMAQ</t>
  </si>
  <si>
    <t>1.05 MSCP, 5 Capital Quarter, Tyndall St,</t>
  </si>
  <si>
    <t>a1GNz000002oe5xMAA</t>
  </si>
  <si>
    <t>1.06 MSCP, 5 Capital Quarter, Tyndall St,</t>
  </si>
  <si>
    <t>a1GNz000002oe7ZMAQ</t>
  </si>
  <si>
    <t>1.07 MSCP, 5 Capital Quarter, Tyndall St,</t>
  </si>
  <si>
    <t>a1GNz000002ob4tMAA</t>
  </si>
  <si>
    <t>1.08 MSCP, 5 Capital Quarter, Tyndall St,</t>
  </si>
  <si>
    <t>a1GNz000002oe9BMAQ</t>
  </si>
  <si>
    <t>1.09 MSCP, 5 Capital Quarter, Tyndall St,</t>
  </si>
  <si>
    <t>a1GNz000002oeAnMAI</t>
  </si>
  <si>
    <t>1.10 MSCP, 5 Capital Quarter, Tyndall St,</t>
  </si>
  <si>
    <t>a1GNz000002ob4uMAA</t>
  </si>
  <si>
    <t>1.11 MSCP, 5 Capital Quarter, Tyndall St,</t>
  </si>
  <si>
    <t>a1GNz000002oeCPMAY</t>
  </si>
  <si>
    <t>1.12 MSCP, 5 Capital Quarter, Tyndall St,</t>
  </si>
  <si>
    <t>a1GNz000002oeE1MAI</t>
  </si>
  <si>
    <t>1.13 MSCP, 5 Capital Quarter, Tyndall St,</t>
  </si>
  <si>
    <t>a1GNz000002obQmMAI</t>
  </si>
  <si>
    <t>1.14 MSCP, 5 Capital Quarter, Tyndall St,</t>
  </si>
  <si>
    <t>a1GNz000002oeFdMAI</t>
  </si>
  <si>
    <t>1.15 MSCP, 5 Capital Quarter, Tyndall St,</t>
  </si>
  <si>
    <t>a1GNz000002oeHFMAY</t>
  </si>
  <si>
    <t>1.16 MSCP, 5 Capital Quarter, Tyndall St,</t>
  </si>
  <si>
    <t>a1GNz000002oeIrMAI</t>
  </si>
  <si>
    <t>1.17 MSCP, 5 Capital Quarter, Tyndall St,</t>
  </si>
  <si>
    <t>a1GNz000002oeKTMAY</t>
  </si>
  <si>
    <t>1.18 MSCP, 5 Capital Quarter, Tyndall St,</t>
  </si>
  <si>
    <t>a1GNz000002oeM5MAI</t>
  </si>
  <si>
    <t>1.19 MSCP, 5 Capital Quarter, Tyndall St,</t>
  </si>
  <si>
    <t>a1GNz000002oeNhMAI</t>
  </si>
  <si>
    <t>1.20 MSCP, 5 Capital Quarter, Tyndall St,</t>
  </si>
  <si>
    <t>a1GNz000002oeM6MAI</t>
  </si>
  <si>
    <t>1.21 MSCP, 5 Capital Quarter, Tyndall St,</t>
  </si>
  <si>
    <t>a1GNz000002oePJMAY</t>
  </si>
  <si>
    <t>1.22 MSCP, 5 Capital Quarter, Tyndall St,</t>
  </si>
  <si>
    <t>a1GNz000002oeQvMAI</t>
  </si>
  <si>
    <t>1.23 MSCP, 5 Capital Quarter, Tyndall St,</t>
  </si>
  <si>
    <t>a1GNz000002oeSXMAY</t>
  </si>
  <si>
    <t>1.24 MSCP, 5 Capital Quarter, Tyndall St,</t>
  </si>
  <si>
    <t>a1GNz000002oeU9MAI</t>
  </si>
  <si>
    <t>1.25 MSCP, 5 Capital Quarter, Tyndall St,</t>
  </si>
  <si>
    <t>a1GNz000002odTGMAY</t>
  </si>
  <si>
    <t>1.26 MSCP, 5 Capital Quarter, Tyndall St,</t>
  </si>
  <si>
    <t>a1GNz000002oeXNMAY</t>
  </si>
  <si>
    <t>1.27 MSCP, 5 Capital Quarter, Tyndall St,</t>
  </si>
  <si>
    <t>a1GNz000002oeYzMAI</t>
  </si>
  <si>
    <t>1.28 MSCP, 5 Capital Quarter, Tyndall St,</t>
  </si>
  <si>
    <t>a1GNz000002oeabMAA</t>
  </si>
  <si>
    <t>1.29 MSCP, 5 Capital Quarter, Tyndall St,</t>
  </si>
  <si>
    <t>a1GNz000002obXvMAI</t>
  </si>
  <si>
    <t>1.30 MSCP, 5 Capital Quarter, Tyndall St,</t>
  </si>
  <si>
    <t>a1GNz000002oecDMAQ</t>
  </si>
  <si>
    <t>1.31 MSCP, 5 Capital Quarter, Tyndall St,</t>
  </si>
  <si>
    <t>a1GNz000002oedpMAA</t>
  </si>
  <si>
    <t>1.32 MSCP, 5 Capital Quarter, Tyndall St,</t>
  </si>
  <si>
    <t>a1GNz000002oefRMAQ</t>
  </si>
  <si>
    <t>1.33 MSCP, 5 Capital Quarter, Tyndall St,</t>
  </si>
  <si>
    <t>a1GNz000002oeh3MAA</t>
  </si>
  <si>
    <t>1.34 MSCP, 5 Capital Quarter, Tyndall St,</t>
  </si>
  <si>
    <t>a1GNz000002odEkMAI</t>
  </si>
  <si>
    <t>1.35 MSCP, 5 Capital Quarter, Tyndall St,</t>
  </si>
  <si>
    <t>a1GNz000002oeifMAA</t>
  </si>
  <si>
    <t>1.36 MSCP, 5 Capital Quarter, Tyndall St,</t>
  </si>
  <si>
    <t>a1GNz000002oekHMAQ</t>
  </si>
  <si>
    <t>1.37 MSCP, 5 Capital Quarter, Tyndall St,</t>
  </si>
  <si>
    <t>a1GNz000002oc4xMAA</t>
  </si>
  <si>
    <t>1.38 MSCP, 5 Capital Quarter, Tyndall St,</t>
  </si>
  <si>
    <t>a1GNz000002ob86MAA</t>
  </si>
  <si>
    <t>1.39 MSCP, 5 Capital Quarter, Tyndall St,</t>
  </si>
  <si>
    <t>a1GNz000002oeltMAA</t>
  </si>
  <si>
    <t>1.40 MSCP, 5 Capital Quarter, Tyndall St,</t>
  </si>
  <si>
    <t>a1GNz000002oenVMAQ</t>
  </si>
  <si>
    <t>1.41 MSCP, 5 Capital Quarter, Tyndall St,</t>
  </si>
  <si>
    <t>a1GNz000002oep7MAA</t>
  </si>
  <si>
    <t>1.42 MSCP, 5 Capital Quarter, Tyndall St,</t>
  </si>
  <si>
    <t>a1GNz000002oeqjMAA</t>
  </si>
  <si>
    <t>1.43 MSCP, 5 Capital Quarter, Tyndall St,</t>
  </si>
  <si>
    <t>a1GNz000002oesLMAQ</t>
  </si>
  <si>
    <t>1.44 MSCP, 5 Capital Quarter, Tyndall St,</t>
  </si>
  <si>
    <t>a1GNz000002oetxMAA</t>
  </si>
  <si>
    <t>2.01 MSCP, 5 Capital Quarter, Tyndall St,</t>
  </si>
  <si>
    <t>a1GNz000002obUoMAI</t>
  </si>
  <si>
    <t>2.02 MSCP, 5 Capital Quarter, Tyndall St,</t>
  </si>
  <si>
    <t>a1GNz000002odbKMAQ</t>
  </si>
  <si>
    <t>2.03 MSCP, 5 Capital Quarter, Tyndall St,</t>
  </si>
  <si>
    <t>a1GNz000002oekIMAQ</t>
  </si>
  <si>
    <t>2.04 MSCP, 5 Capital Quarter, Tyndall St,</t>
  </si>
  <si>
    <t>a1GNz000002oevZMAQ</t>
  </si>
  <si>
    <t>2.05 MSCP, 5 Capital Quarter, Tyndall St,</t>
  </si>
  <si>
    <t>a1GNz000002oexBMAQ</t>
  </si>
  <si>
    <t>2.06 MSCP, 5 Capital Quarter, Tyndall St,</t>
  </si>
  <si>
    <t>a1GNz000002oeynMAA</t>
  </si>
  <si>
    <t>2.07 MSCP, 5 Capital Quarter, Tyndall St,</t>
  </si>
  <si>
    <t>a1GNz000002of0PMAQ</t>
  </si>
  <si>
    <t>2.08 MSCP, 5 Capital Quarter, Tyndall St,</t>
  </si>
  <si>
    <t>a1GNz000002of21MAA</t>
  </si>
  <si>
    <t>2.09 MSCP, 5 Capital Quarter, Tyndall St,</t>
  </si>
  <si>
    <t>a1GNz000002of3dMAA</t>
  </si>
  <si>
    <t>2.10 MSCP, 5 Capital Quarter, Tyndall St,</t>
  </si>
  <si>
    <t>a1GNz000002oekJMAQ</t>
  </si>
  <si>
    <t>2.11 MSCP, 5 Capital Quarter, Tyndall St,</t>
  </si>
  <si>
    <t>a1GNz000002of5FMAQ</t>
  </si>
  <si>
    <t>2.12 MSCP, 5 Capital Quarter, Tyndall St,</t>
  </si>
  <si>
    <t>a1GNz000002of6rMAA</t>
  </si>
  <si>
    <t>2.13 MSCP, 5 Capital Quarter, Tyndall St,</t>
  </si>
  <si>
    <t>a1GNz000002oaMVMAY</t>
  </si>
  <si>
    <t>2.14 MSCP, 5 Capital Quarter, Tyndall St,</t>
  </si>
  <si>
    <t>a1GNz000002obQnMAI</t>
  </si>
  <si>
    <t>2.15 MSCP, 5 Capital Quarter, Tyndall St,</t>
  </si>
  <si>
    <t>a1GNz000002of8TMAQ</t>
  </si>
  <si>
    <t>2.16 MSCP, 5 Capital Quarter, Tyndall St,</t>
  </si>
  <si>
    <t>a1GNz000002oaMWMAY</t>
  </si>
  <si>
    <t>2.17 MSCP, 5 Capital Quarter, Tyndall St,</t>
  </si>
  <si>
    <t>a1GNz000002ofBhMAI</t>
  </si>
  <si>
    <t>2.18 MSCP, 5 Capital Quarter, Tyndall St,</t>
  </si>
  <si>
    <t>a1GNz000002oYeCMAU</t>
  </si>
  <si>
    <t>2.19 MSCP, 5 Capital Quarter, Tyndall St,</t>
  </si>
  <si>
    <t>a1GNz000002ofDJMAY</t>
  </si>
  <si>
    <t>2.20 MSCP, 5 Capital Quarter, Tyndall St,</t>
  </si>
  <si>
    <t>a1GNz000002ofEvMAI</t>
  </si>
  <si>
    <t>2.21 MSCP, 5 Capital Quarter, Tyndall St,</t>
  </si>
  <si>
    <t>a1GNz000002odbLMAQ</t>
  </si>
  <si>
    <t>2.22 MSCP, 5 Capital Quarter, Tyndall St,</t>
  </si>
  <si>
    <t>a1GNz000002ofGXMAY</t>
  </si>
  <si>
    <t>2.23 MSCP, 5 Capital Quarter, Tyndall St,</t>
  </si>
  <si>
    <t>a1GNz000002ofI9MAI</t>
  </si>
  <si>
    <t>2.24 MSCP, 5 Capital Quarter, Tyndall St,</t>
  </si>
  <si>
    <t>a1GNz000002ofJlMAI</t>
  </si>
  <si>
    <t>2.25 MSCP, 5 Capital Quarter, Tyndall St,</t>
  </si>
  <si>
    <t>a1GNz000002ofLNMAY</t>
  </si>
  <si>
    <t>2.26 MSCP, 5 Capital Quarter, Tyndall St,</t>
  </si>
  <si>
    <t>a1GNz000002ofMzMAI</t>
  </si>
  <si>
    <t>2.27 MSCP, 5 Capital Quarter, Tyndall St,</t>
  </si>
  <si>
    <t>a1GNz000002ofObMAI</t>
  </si>
  <si>
    <t>2.28 MSCP, 5 Capital Quarter, Tyndall St,</t>
  </si>
  <si>
    <t>a1GNz000002ofQDMAY</t>
  </si>
  <si>
    <t>2.29 MSCP, 5 Capital Quarter, Tyndall St,</t>
  </si>
  <si>
    <t>a1GNz000002ofRpMAI</t>
  </si>
  <si>
    <t>2.30 MSCP, 5 Capital Quarter, Tyndall St,</t>
  </si>
  <si>
    <t>a1GNz000002ofTRMAY</t>
  </si>
  <si>
    <t>2.31 MSCP, 5 Capital Quarter, Tyndall St,</t>
  </si>
  <si>
    <t>a1GNz000002ofV3MAI</t>
  </si>
  <si>
    <t>2.32 MSCP, 5 Capital Quarter, Tyndall St,</t>
  </si>
  <si>
    <t>a1GNz000002ofWfMAI</t>
  </si>
  <si>
    <t>2.33 MSCP, 5 Capital Quarter, Tyndall St,</t>
  </si>
  <si>
    <t>a1GNz000002ofYHMAY</t>
  </si>
  <si>
    <t>2.34 MSCP, 5 Capital Quarter, Tyndall St,</t>
  </si>
  <si>
    <t>a1GNz000002ofZtMAI</t>
  </si>
  <si>
    <t>2.35 MSCP, 5 Capital Quarter, Tyndall St,</t>
  </si>
  <si>
    <t>a1GNz000002oaslMAA</t>
  </si>
  <si>
    <t>2.36 MSCP, 5 Capital Quarter, Tyndall St,</t>
  </si>
  <si>
    <t>a1GNz000002ofbVMAQ</t>
  </si>
  <si>
    <t>2.37 MSCP, 5 Capital Quarter, Tyndall St,</t>
  </si>
  <si>
    <t>a1GNz000002oasmMAA</t>
  </si>
  <si>
    <t>2.38 MSCP, 5 Capital Quarter, Tyndall St,</t>
  </si>
  <si>
    <t>a1GNz000002odl1MAA</t>
  </si>
  <si>
    <t>2.39 MSCP, 5 Capital Quarter, Tyndall St,</t>
  </si>
  <si>
    <t>a1GNz000002ofd7MAA</t>
  </si>
  <si>
    <t>2.40 MSCP, 5 Capital Quarter, Tyndall St,</t>
  </si>
  <si>
    <t>a1GNz000002ofejMAA</t>
  </si>
  <si>
    <t>2.41 MSCP, 5 Capital Quarter, Tyndall St,</t>
  </si>
  <si>
    <t>a1GNz000002oep8MAA</t>
  </si>
  <si>
    <t>2.42 MSCP, 5 Capital Quarter, Tyndall St,</t>
  </si>
  <si>
    <t>a1GNz000002oeM7MAI</t>
  </si>
  <si>
    <t>2.43 MSCP, 5 Capital Quarter, Tyndall St,</t>
  </si>
  <si>
    <t>a1GNz000002ofLOMAY</t>
  </si>
  <si>
    <t>2.44 MSCP, 5 Capital Quarter, Tyndall St,</t>
  </si>
  <si>
    <t>a1GNz000002ofgLMAQ</t>
  </si>
  <si>
    <t>3.01 MSCP, 5 Capital Quarter, Tyndall St,</t>
  </si>
  <si>
    <t>a1GNz000002ofhxMAA</t>
  </si>
  <si>
    <t>3.02 MSCP, 5 Capital Quarter, Tyndall St,</t>
  </si>
  <si>
    <t>a1GNz000002ofjZMAQ</t>
  </si>
  <si>
    <t>3.03 MSCP, 5 Capital Quarter, Tyndall St,</t>
  </si>
  <si>
    <t>a1GNz000002ofd8MAA</t>
  </si>
  <si>
    <t>3.04 MSCP, 5 Capital Quarter, Tyndall St,</t>
  </si>
  <si>
    <t>a1GNz000002odCJMAY</t>
  </si>
  <si>
    <t>3.05 MSCP, 5 Capital Quarter, Tyndall St,</t>
  </si>
  <si>
    <t>a1GNz000002oflBMAQ</t>
  </si>
  <si>
    <t>3.06 MSCP, 5 Capital Quarter, Tyndall St,</t>
  </si>
  <si>
    <t>a1GNz000002ocY8MAI</t>
  </si>
  <si>
    <t>3.07 MSCP, 5 Capital Quarter, Tyndall St,</t>
  </si>
  <si>
    <t>a1GNz000002ofmnMAA</t>
  </si>
  <si>
    <t>3.08 MSCP, 5 Capital Quarter, Tyndall St,</t>
  </si>
  <si>
    <t>a1GNz000002of6sMAA</t>
  </si>
  <si>
    <t>3.09 MSCP, 5 Capital Quarter, Tyndall St,</t>
  </si>
  <si>
    <t>a1GNz000002ofoPMAQ</t>
  </si>
  <si>
    <t>3.10 MSCP, 5 Capital Quarter, Tyndall St,</t>
  </si>
  <si>
    <t>a1GNz000002oZfoMAE</t>
  </si>
  <si>
    <t>3.11 MSCP, 5 Capital Quarter, Tyndall St,</t>
  </si>
  <si>
    <t>a1GNz000002ofq1MAA</t>
  </si>
  <si>
    <t>3.12 MSCP, 5 Capital Quarter, Tyndall St,</t>
  </si>
  <si>
    <t>a1GNz000002ofrdMAA</t>
  </si>
  <si>
    <t>3.13 MSCP, 5 Capital Quarter, Tyndall St,</t>
  </si>
  <si>
    <t>a1GNz000002oftFMAQ</t>
  </si>
  <si>
    <t>3.14 MSCP, 5 Capital Quarter, Tyndall St,</t>
  </si>
  <si>
    <t>a1GNz000002ofurMAA</t>
  </si>
  <si>
    <t>3.15 MSCP, 5 Capital Quarter, Tyndall St,</t>
  </si>
  <si>
    <t>a1GNz000002ofwTMAQ</t>
  </si>
  <si>
    <t>3.16 MSCP, 5 Capital Quarter, Tyndall St,</t>
  </si>
  <si>
    <t>a1GNz000002ofy5MAA</t>
  </si>
  <si>
    <t>3.17 MSCP, 5 Capital Quarter, Tyndall St,</t>
  </si>
  <si>
    <t>a1GNz000002occyMAA</t>
  </si>
  <si>
    <t>3.18 MSCP, 5 Capital Quarter, Tyndall St,</t>
  </si>
  <si>
    <t>a1GNz000002ofzhMAA</t>
  </si>
  <si>
    <t>3.19 MSCP, 5 Capital Quarter, Tyndall St,</t>
  </si>
  <si>
    <t>a1GNz000002ocx0MAA</t>
  </si>
  <si>
    <t>3.20 MSCP, 5 Capital Quarter, Tyndall St,</t>
  </si>
  <si>
    <t>a1GNz000002og1JMAQ</t>
  </si>
  <si>
    <t>3.21 MSCP, 5 Capital Quarter, Tyndall St,</t>
  </si>
  <si>
    <t>a1GNz000002og2vMAA</t>
  </si>
  <si>
    <t>3.22 MSCP, 5 Capital Quarter, Tyndall St,</t>
  </si>
  <si>
    <t>a1GNz000002oc1jMAA</t>
  </si>
  <si>
    <t>3.23 MSCP, 5 Capital Quarter, Tyndall St,</t>
  </si>
  <si>
    <t>a1GNz000002og69MAA</t>
  </si>
  <si>
    <t>3.24 MSCP, 5 Capital Quarter, Tyndall St,</t>
  </si>
  <si>
    <t>a1GNz000002oeQwMAI</t>
  </si>
  <si>
    <t>3.25 MSCP, 5 Capital Quarter, Tyndall St,</t>
  </si>
  <si>
    <t>a1GNz000002og7lMAA</t>
  </si>
  <si>
    <t>3.26 MSCP, 5 Capital Quarter, Tyndall St,</t>
  </si>
  <si>
    <t>a1GNz000002og9NMAQ</t>
  </si>
  <si>
    <t>3.27 MSCP, 5 Capital Quarter, Tyndall St,</t>
  </si>
  <si>
    <t>a1GNz000002ogAzMAI</t>
  </si>
  <si>
    <t>3.28 MSCP, 5 Capital Quarter, Tyndall St,</t>
  </si>
  <si>
    <t>a1GNz000002ogEDMAY</t>
  </si>
  <si>
    <t>3.29 MSCP, 5 Capital Quarter, Tyndall St,</t>
  </si>
  <si>
    <t>a1GNz000002ogEEMAY</t>
  </si>
  <si>
    <t>3.30 MSCP, 5 Capital Quarter, Tyndall St,</t>
  </si>
  <si>
    <t>a1GNz000002ogFpMAI</t>
  </si>
  <si>
    <t>3.31 MSCP, 5 Capital Quarter, Tyndall St,</t>
  </si>
  <si>
    <t>a1GNz000002ogHRMAY</t>
  </si>
  <si>
    <t>3.32 MSCP, 5 Capital Quarter, Tyndall St,</t>
  </si>
  <si>
    <t>a1GNz000002obopMAA</t>
  </si>
  <si>
    <t>3.33 MSCP, 5 Capital Quarter, Tyndall St,</t>
  </si>
  <si>
    <t>a1GNz000002obC7MAI</t>
  </si>
  <si>
    <t>3.34 MSCP, 5 Capital Quarter, Tyndall St,</t>
  </si>
  <si>
    <t>a1GNz000002odReMAI</t>
  </si>
  <si>
    <t>3.35 MSCP, 5 Capital Quarter, Tyndall St,</t>
  </si>
  <si>
    <t>a1GNz000002ogJ3MAI</t>
  </si>
  <si>
    <t>3.36 MSCP, 5 Capital Quarter, Tyndall St,</t>
  </si>
  <si>
    <t>a1GNz000002ogKfMAI</t>
  </si>
  <si>
    <t>3.37 MSCP, 5 Capital Quarter, Tyndall St,</t>
  </si>
  <si>
    <t>a1GNz000002ogMHMAY</t>
  </si>
  <si>
    <t>3.38 MSCP, 5 Capital Quarter, Tyndall St,</t>
  </si>
  <si>
    <t>a1GNz000002ogNtMAI</t>
  </si>
  <si>
    <t>3.39 MSCP, 5 Capital Quarter, Tyndall St,</t>
  </si>
  <si>
    <t>a1GNz000002oeHGMAY</t>
  </si>
  <si>
    <t>3.40 MSCP, 5 Capital Quarter, Tyndall St,</t>
  </si>
  <si>
    <t>a1GNz000002ogNuMAI</t>
  </si>
  <si>
    <t>3.41 MSCP, 5 Capital Quarter, Tyndall St,</t>
  </si>
  <si>
    <t>a1GNz000002obC8MAI</t>
  </si>
  <si>
    <t>3.42 MSCP, 5 Capital Quarter, Tyndall St,</t>
  </si>
  <si>
    <t>a1GNz000002ogPVMAY</t>
  </si>
  <si>
    <t>3.43 MSCP, 5 Capital Quarter, Tyndall St,</t>
  </si>
  <si>
    <t>a1GNz000002ogR7MAI</t>
  </si>
  <si>
    <t>3.44 MSCP, 5 Capital Quarter, Tyndall St,</t>
  </si>
  <si>
    <t>a1GNz000002ogSjMAI</t>
  </si>
  <si>
    <t>4.02 MSCP, 5 Capital Quarter, Tyndall St,</t>
  </si>
  <si>
    <t>a1GNz000002obC9MAI</t>
  </si>
  <si>
    <t>4.03 MSCP, 5 Capital Quarter, Tyndall St,</t>
  </si>
  <si>
    <t>a1GNz000002ogULMAY</t>
  </si>
  <si>
    <t>4.04 MSCP, 5 Capital Quarter, Tyndall St,</t>
  </si>
  <si>
    <t>a1GNz000002obCAMAY</t>
  </si>
  <si>
    <t>4.05 MSCP, 5 Capital Quarter, Tyndall St,</t>
  </si>
  <si>
    <t>a1GNz000002ogVxMAI</t>
  </si>
  <si>
    <t>4.06 MSCP, 5 Capital Quarter, Tyndall St,</t>
  </si>
  <si>
    <t>a1GNz000002odmcMAA</t>
  </si>
  <si>
    <t>4.07 MSCP, 5 Capital Quarter, Tyndall St,</t>
  </si>
  <si>
    <t>a1GNz000002odugMAA</t>
  </si>
  <si>
    <t>4.08 MSCP, 5 Capital Quarter, Tyndall St,</t>
  </si>
  <si>
    <t>a1GNz000002odWUMAY</t>
  </si>
  <si>
    <t>4.09 MSCP, 5 Capital Quarter, Tyndall St,</t>
  </si>
  <si>
    <t>a1GNz000002ogXZMAY</t>
  </si>
  <si>
    <t>4.10 MSCP, 5 Capital Quarter, Tyndall St,</t>
  </si>
  <si>
    <t>a1GNz000002ocHrMAI</t>
  </si>
  <si>
    <t>4.11 MSCP, 5 Capital Quarter, Tyndall St,</t>
  </si>
  <si>
    <t>a1GNz000002ogZBMAY</t>
  </si>
  <si>
    <t>4.12 MSCP, 5 Capital Quarter, Tyndall St,</t>
  </si>
  <si>
    <t>a1GNz000002ofZuMAI</t>
  </si>
  <si>
    <t>4.13 MSCP, 5 Capital Quarter, Tyndall St,</t>
  </si>
  <si>
    <t>a1GNz000002odOQMAY</t>
  </si>
  <si>
    <t>4.14 MSCP, 5 Capital Quarter, Tyndall St,</t>
  </si>
  <si>
    <t>a1GNz000002oganMAA</t>
  </si>
  <si>
    <t>4.15 MSCP, 5 Capital Quarter, Tyndall St,</t>
  </si>
  <si>
    <t>a1GNz000002oawoMAA</t>
  </si>
  <si>
    <t>4.16 MSCP, 5 Capital Quarter, Tyndall St,</t>
  </si>
  <si>
    <t>a1GNz000002oeh4MAA</t>
  </si>
  <si>
    <t>4.17 MSCP, 5 Capital Quarter, Tyndall St,</t>
  </si>
  <si>
    <t>a1GNz000002ogcPMAQ</t>
  </si>
  <si>
    <t>4.18 MSCP, 5 Capital Quarter, Tyndall St,</t>
  </si>
  <si>
    <t>a1GNz000002oeNiMAI</t>
  </si>
  <si>
    <t>4.19 MSCP, 5 Capital Quarter, Tyndall St,</t>
  </si>
  <si>
    <t>a1GNz000002ocx1MAA</t>
  </si>
  <si>
    <t>4.20 MSCP, 5 Capital Quarter, Tyndall St,</t>
  </si>
  <si>
    <t>a1GNz000002odmdMAA</t>
  </si>
  <si>
    <t>4.21 MSCP, 5 Capital Quarter, Tyndall St,</t>
  </si>
  <si>
    <t>a1GNz000002oge1MAA</t>
  </si>
  <si>
    <t>4.22 MSCP, 5 Capital Quarter, Tyndall St,</t>
  </si>
  <si>
    <t>a1GNz000002oawpMAA</t>
  </si>
  <si>
    <t>4.23 MSCP, 5 Capital Quarter, Tyndall St,</t>
  </si>
  <si>
    <t>a1GNz000002oeNjMAI</t>
  </si>
  <si>
    <t>4.24 MSCP, 5 Capital Quarter, Tyndall St,</t>
  </si>
  <si>
    <t>a1GNz000002ogfdMAA</t>
  </si>
  <si>
    <t>4.25 MSCP, 5 Capital Quarter, Tyndall St,</t>
  </si>
  <si>
    <t>a1GNz000002oghFMAQ</t>
  </si>
  <si>
    <t>4.26 MSCP, 5 Capital Quarter, Tyndall St,</t>
  </si>
  <si>
    <t>a1GNz000002ogirMAA</t>
  </si>
  <si>
    <t>4.27 MSCP, 5 Capital Quarter, Tyndall St,</t>
  </si>
  <si>
    <t>a1GNz000002ogkTMAQ</t>
  </si>
  <si>
    <t>4.28 MSCP, 5 Capital Quarter, Tyndall St,</t>
  </si>
  <si>
    <t>a1GNz000002ogHSMAY</t>
  </si>
  <si>
    <t>4.29 MSCP, 5 Capital Quarter, Tyndall St,</t>
  </si>
  <si>
    <t>a1GNz000002ogUMMAY</t>
  </si>
  <si>
    <t>4.30 MSCP, 5 Capital Quarter, Tyndall St,</t>
  </si>
  <si>
    <t>a1GNz000002ogm5MAA</t>
  </si>
  <si>
    <t>4.31 MSCP, 5 Capital Quarter, Tyndall St,</t>
  </si>
  <si>
    <t>a1GNz000002ogSkMAI</t>
  </si>
  <si>
    <t>4.32 MSCP, 5 Capital Quarter, Tyndall St,</t>
  </si>
  <si>
    <t>a1GNz000002ogu9MAA</t>
  </si>
  <si>
    <t>4.33 MSCP, 5 Capital Quarter, Tyndall St,</t>
  </si>
  <si>
    <t>a1GNz000002ogvlMAA</t>
  </si>
  <si>
    <t>4.34 MSCP, 5 Capital Quarter, Tyndall St,</t>
  </si>
  <si>
    <t>a1GNz000002odmeMAA</t>
  </si>
  <si>
    <t>4.35 MSCP, 5 Capital Quarter, Tyndall St,</t>
  </si>
  <si>
    <t>a1GNz000002ogR8MAI</t>
  </si>
  <si>
    <t>4.36 MSCP, 5 Capital Quarter, Tyndall St,</t>
  </si>
  <si>
    <t>a1GNz000002oh0bMAA</t>
  </si>
  <si>
    <t>4.37 MSCP, 5 Capital Quarter, Tyndall St,</t>
  </si>
  <si>
    <t>a1GNz000002oh3pMAA</t>
  </si>
  <si>
    <t>4.38 MSCP, 5 Capital Quarter, Tyndall St,</t>
  </si>
  <si>
    <t>a1GNz000002oh5RMAQ</t>
  </si>
  <si>
    <t>4.39 MSCP, 5 Capital Quarter, Tyndall St,</t>
  </si>
  <si>
    <t>a1GNz000002oh8fMAA</t>
  </si>
  <si>
    <t>4.40 MSCP, 5 Capital Quarter, Tyndall St,</t>
  </si>
  <si>
    <t>a1GNz000002ohAHMAY</t>
  </si>
  <si>
    <t>4.41 MSCP, 5 Capital Quarter, Tyndall St,</t>
  </si>
  <si>
    <t>a1GNz000002of6tMAA</t>
  </si>
  <si>
    <t>4.42 MSCP, 5 Capital Quarter, Tyndall St,</t>
  </si>
  <si>
    <t>a1GNz000002ohBtMAI</t>
  </si>
  <si>
    <t>4.43 MSCP, 5 Capital Quarter, Tyndall St,</t>
  </si>
  <si>
    <t>a1GNz000002ocx2MAA</t>
  </si>
  <si>
    <t>4.44 MSCP, 5 Capital Quarter, Tyndall St,</t>
  </si>
  <si>
    <t>a1GNz000002ohGjMAI</t>
  </si>
  <si>
    <t>5.02 MSCP, 5 Capital Quarter, Tyndall St,</t>
  </si>
  <si>
    <t>a1GNz000002ohAIMAY</t>
  </si>
  <si>
    <t>5.03 MSCP, 5 Capital Quarter, Tyndall St,</t>
  </si>
  <si>
    <t>a1GNz000002oYeDMAU</t>
  </si>
  <si>
    <t>5.04 MSCP, 5 Capital Quarter, Tyndall St,</t>
  </si>
  <si>
    <t>a1GNz000002ohNBMAY</t>
  </si>
  <si>
    <t>5.05 MSCP, 5 Capital Quarter, Tyndall St,</t>
  </si>
  <si>
    <t>a1GNz000002ohQPMAY</t>
  </si>
  <si>
    <t>5.06 MSCP, 5 Capital Quarter, Tyndall St,</t>
  </si>
  <si>
    <t>a1GNz000002ofbWMAQ</t>
  </si>
  <si>
    <t>5.07 MSCP, 5 Capital Quarter, Tyndall St,</t>
  </si>
  <si>
    <t>a1GNz000002oc4yMAA</t>
  </si>
  <si>
    <t>5.08 MSCP, 5 Capital Quarter, Tyndall St,</t>
  </si>
  <si>
    <t>a1GNz000002oh5SMAQ</t>
  </si>
  <si>
    <t>5.09 MSCP, 5 Capital Quarter, Tyndall St,</t>
  </si>
  <si>
    <t>a1GNz000002oha5MAA</t>
  </si>
  <si>
    <t>5.10 MSCP, 5 Capital Quarter, Tyndall St,</t>
  </si>
  <si>
    <t>a1GNz000002og7mMAA</t>
  </si>
  <si>
    <t>5.11 MSCP, 5 Capital Quarter, Tyndall St,</t>
  </si>
  <si>
    <t>a1GNz000002oecEMAQ</t>
  </si>
  <si>
    <t>5.12 MSCP, 5 Capital Quarter, Tyndall St,</t>
  </si>
  <si>
    <t>a1GNz000002oawrMAA</t>
  </si>
  <si>
    <t>5.13 MSCP, 5 Capital Quarter, Tyndall St,</t>
  </si>
  <si>
    <t>a1GNz000002ohobMAA</t>
  </si>
  <si>
    <t>5.14 MSCP, 5 Capital Quarter, Tyndall St,</t>
  </si>
  <si>
    <t>a1GNz000002ohrpMAA</t>
  </si>
  <si>
    <t>5.15 MSCP, 5 Capital Quarter, Tyndall St,</t>
  </si>
  <si>
    <t>a1GNz000002ohv3MAA</t>
  </si>
  <si>
    <t>5.16 MSCP, 5 Capital Quarter, Tyndall St,</t>
  </si>
  <si>
    <t>a1GNz000002ohwfMAA</t>
  </si>
  <si>
    <t>5.17 MSCP, 5 Capital Quarter, Tyndall St,</t>
  </si>
  <si>
    <t>a1GNz000002obCBMAY</t>
  </si>
  <si>
    <t>5.18 MSCP, 5 Capital Quarter, Tyndall St,</t>
  </si>
  <si>
    <t>a1GNz000002ohztMAA</t>
  </si>
  <si>
    <t>5.19 MSCP, 5 Capital Quarter, Tyndall St,</t>
  </si>
  <si>
    <t>a1GNz000002oi1VMAQ</t>
  </si>
  <si>
    <t>5.20 MSCP, 5 Capital Quarter, Tyndall St,</t>
  </si>
  <si>
    <t>a1GNz000002oi37MAA</t>
  </si>
  <si>
    <t>5.21 MSCP, 5 Capital Quarter, Tyndall St,</t>
  </si>
  <si>
    <t>a1GNz000002oi6LMAQ</t>
  </si>
  <si>
    <t>5.22 MSCP, 5 Capital Quarter, Tyndall St,</t>
  </si>
  <si>
    <t>a1GNz000002oi7xMAA</t>
  </si>
  <si>
    <t>5.23 MSCP, 5 Capital Quarter, Tyndall St,</t>
  </si>
  <si>
    <t>a1GNz000002oiBBMAY</t>
  </si>
  <si>
    <t>5.24 MSCP, 5 Capital Quarter, Tyndall St,</t>
  </si>
  <si>
    <t>a1GNz000002oiCnMAI</t>
  </si>
  <si>
    <t>5.25 MSCP, 5 Capital Quarter, Tyndall St,</t>
  </si>
  <si>
    <t>a1GNz000002oeM8MAI</t>
  </si>
  <si>
    <t>5.26 MSCP, 5 Capital Quarter, Tyndall St,</t>
  </si>
  <si>
    <t>a1GNz000002odGMMAY</t>
  </si>
  <si>
    <t>5.27 MSCP, 5 Capital Quarter, Tyndall St,</t>
  </si>
  <si>
    <t>a1GNz000002oiJFMAY</t>
  </si>
  <si>
    <t>5.28 MSCP, 5 Capital Quarter, Tyndall St,</t>
  </si>
  <si>
    <t>a1GNz000002oiMTMAY</t>
  </si>
  <si>
    <t>5.29 MSCP, 5 Capital Quarter, Tyndall St,</t>
  </si>
  <si>
    <t>a1GNz000002oi7yMAA</t>
  </si>
  <si>
    <t>5.30 MSCP, 5 Capital Quarter, Tyndall St,</t>
  </si>
  <si>
    <t>a1GNz000002oiPhMAI</t>
  </si>
  <si>
    <t>5.31 MSCP, 5 Capital Quarter, Tyndall St,</t>
  </si>
  <si>
    <t>a1GNz000002oiSvMAI</t>
  </si>
  <si>
    <t>5.32 MSCP, 5 Capital Quarter, Tyndall St,</t>
  </si>
  <si>
    <t>a1GNz000002ofmoMAA</t>
  </si>
  <si>
    <t>5.33 MSCP, 5 Capital Quarter, Tyndall St,</t>
  </si>
  <si>
    <t>a1GNz000002oiW9MAI</t>
  </si>
  <si>
    <t>5.34 MSCP, 5 Capital Quarter, Tyndall St,</t>
  </si>
  <si>
    <t>a1GNz000002odY6MAI</t>
  </si>
  <si>
    <t>5.35 MSCP, 5 Capital Quarter, Tyndall St,</t>
  </si>
  <si>
    <t>a1GNz000002oZj0MAE</t>
  </si>
  <si>
    <t>5.36 MSCP, 5 Capital Quarter, Tyndall St,</t>
  </si>
  <si>
    <t>a1GNz000002oiXlMAI</t>
  </si>
  <si>
    <t>5.37 MSCP, 5 Capital Quarter, Tyndall St,</t>
  </si>
  <si>
    <t>a1GNz000002oiazMAA</t>
  </si>
  <si>
    <t>5.38 MSCP, 5 Capital Quarter, Tyndall St,</t>
  </si>
  <si>
    <t>a1GNz000002oicbMAA</t>
  </si>
  <si>
    <t>5.39 MSCP, 5 Capital Quarter, Tyndall St,</t>
  </si>
  <si>
    <t>a1GNz000002oieDMAQ</t>
  </si>
  <si>
    <t>5.40 MSCP, 5 Capital Quarter, Tyndall St,</t>
  </si>
  <si>
    <t>a1GNz000002oecGMAQ</t>
  </si>
  <si>
    <t>5.41 MSCP, 5 Capital Quarter, Tyndall St,</t>
  </si>
  <si>
    <t>a1GNz000002oihRMAQ</t>
  </si>
  <si>
    <t>5.42 MSCP, 5 Capital Quarter, Tyndall St,</t>
  </si>
  <si>
    <t>a1GNz000002ocycMAA</t>
  </si>
  <si>
    <t>5.43 MSCP, 5 Capital Quarter, Tyndall St,</t>
  </si>
  <si>
    <t>a1GNz000002oij3MAA</t>
  </si>
  <si>
    <t>5.44 MSCP, 5 Capital Quarter, Tyndall St,</t>
  </si>
  <si>
    <t>a1GNz000002oikfMAA</t>
  </si>
  <si>
    <t>6.01 MSCP, 5 Capital Quarter, Tyndall St,</t>
  </si>
  <si>
    <t>a1GNz000002oimHMAQ</t>
  </si>
  <si>
    <t>6.02 MSCP, 5 Capital Quarter, Tyndall St,</t>
  </si>
  <si>
    <t>a1GNz000002oipVMAQ</t>
  </si>
  <si>
    <t>6.03 MSCP, 5 Capital Quarter, Tyndall St,</t>
  </si>
  <si>
    <t>a1GNz000002ocJUMAY</t>
  </si>
  <si>
    <t>6.04 MSCP, 5 Capital Quarter, Tyndall St,</t>
  </si>
  <si>
    <t>a1GNz000002oir7MAA</t>
  </si>
  <si>
    <t>6.05 MSCP, 5 Capital Quarter, Tyndall St,</t>
  </si>
  <si>
    <t>a1GNz000002oePKMAY</t>
  </si>
  <si>
    <t>6.06 MSCP, 5 Capital Quarter, Tyndall St,</t>
  </si>
  <si>
    <t>a1GNz000002ocydMAA</t>
  </si>
  <si>
    <t>6.07 MSCP, 5 Capital Quarter, Tyndall St,</t>
  </si>
  <si>
    <t>a1GNz000002oawsMAA</t>
  </si>
  <si>
    <t>6.08 MSCP, 5 Capital Quarter, Tyndall St,</t>
  </si>
  <si>
    <t>a1GNz000002oisjMAA</t>
  </si>
  <si>
    <t>6.09 MSCP, 5 Capital Quarter, Tyndall St,</t>
  </si>
  <si>
    <t>a1GNz000002oeyoMAA</t>
  </si>
  <si>
    <t>6.10 MSCP, 5 Capital Quarter, Tyndall St,</t>
  </si>
  <si>
    <t>a1GNz000002oiuLMAQ</t>
  </si>
  <si>
    <t>6.11 MSCP, 5 Capital Quarter, Tyndall St,</t>
  </si>
  <si>
    <t>a1GNz000002oivxMAA</t>
  </si>
  <si>
    <t>6.12 MSCP, 5 Capital Quarter, Tyndall St,</t>
  </si>
  <si>
    <t>a1GNz000002ohocMAA</t>
  </si>
  <si>
    <t>6.13 MSCP, 5 Capital Quarter, Tyndall St,</t>
  </si>
  <si>
    <t>a1GNz000002oeSYMAY</t>
  </si>
  <si>
    <t>6.14 MSCP, 5 Capital Quarter, Tyndall St,</t>
  </si>
  <si>
    <t>a1GNz000002oixZMAQ</t>
  </si>
  <si>
    <t>6.15 MSCP, 5 Capital Quarter, Tyndall St,</t>
  </si>
  <si>
    <t>a1GNz000002ogZCMAY</t>
  </si>
  <si>
    <t>6.16 MSCP, 5 Capital Quarter, Tyndall St,</t>
  </si>
  <si>
    <t>a1GNz000002oheGMAQ</t>
  </si>
  <si>
    <t>6.17 MSCP, 5 Capital Quarter, Tyndall St,</t>
  </si>
  <si>
    <t>a1GNz000002oizBMAQ</t>
  </si>
  <si>
    <t>6.18 MSCP, 5 Capital Quarter, Tyndall St,</t>
  </si>
  <si>
    <t>a1GNz000002oj0nMAA</t>
  </si>
  <si>
    <t>6.19 MSCP, 5 Capital Quarter, Tyndall St,</t>
  </si>
  <si>
    <t>a1GNz000002ocOJMAY</t>
  </si>
  <si>
    <t>6.20 MSCP, 5 Capital Quarter, Tyndall St,</t>
  </si>
  <si>
    <t>a1GNz000002oi7zMAA</t>
  </si>
  <si>
    <t>6.21 MSCP, 5 Capital Quarter, Tyndall St,</t>
  </si>
  <si>
    <t>a1GNz000002oj2PMAQ</t>
  </si>
  <si>
    <t>6.22 MSCP, 5 Capital Quarter, Tyndall St,</t>
  </si>
  <si>
    <t>a1GNz000002ofhyMAA</t>
  </si>
  <si>
    <t>6.23 MSCP, 5 Capital Quarter, Tyndall St,</t>
  </si>
  <si>
    <t>a1GNz000002oeHHMAY</t>
  </si>
  <si>
    <t>6.24 MSCP, 5 Capital Quarter, Tyndall St,</t>
  </si>
  <si>
    <t>a1GNz000002oj41MAA</t>
  </si>
  <si>
    <t>6.25 MSCP, 5 Capital Quarter, Tyndall St,</t>
  </si>
  <si>
    <t>a1GNz000002oj5dMAA</t>
  </si>
  <si>
    <t>6.26 MSCP, 5 Capital Quarter, Tyndall St,</t>
  </si>
  <si>
    <t>a1GNz000002ociUMAQ</t>
  </si>
  <si>
    <t>6.27 MSCP, 5 Capital Quarter, Tyndall St,</t>
  </si>
  <si>
    <t>a1GNz000002oj7FMAQ</t>
  </si>
  <si>
    <t>6.28 MSCP, 5 Capital Quarter, Tyndall St,</t>
  </si>
  <si>
    <t>a1GNz000002ofmpMAA</t>
  </si>
  <si>
    <t>6.29 MSCP, 5 Capital Quarter, Tyndall St,</t>
  </si>
  <si>
    <t>a1GNz000002og7nMAA</t>
  </si>
  <si>
    <t>6.30 MSCP, 5 Capital Quarter, Tyndall St,</t>
  </si>
  <si>
    <t>a1GNz000002oipWMAQ</t>
  </si>
  <si>
    <t>6.31 MSCP, 5 Capital Quarter, Tyndall St,</t>
  </si>
  <si>
    <t>a1GNz000002oj8rMAA</t>
  </si>
  <si>
    <t>6.32 MSCP, 5 Capital Quarter, Tyndall St,</t>
  </si>
  <si>
    <t>a1GNz000002oj2QMAQ</t>
  </si>
  <si>
    <t>6.33 MSCP, 5 Capital Quarter, Tyndall St,</t>
  </si>
  <si>
    <t>a1GNz000002ojATMAY</t>
  </si>
  <si>
    <t>6.34 MSCP, 5 Capital Quarter, Tyndall St,</t>
  </si>
  <si>
    <t>a1GNz000002ojC5MAI</t>
  </si>
  <si>
    <t>6.35 MSCP, 5 Capital Quarter, Tyndall St,</t>
  </si>
  <si>
    <t>a1GNz000002ojDhMAI</t>
  </si>
  <si>
    <t>6.36 MSCP, 5 Capital Quarter, Tyndall St,</t>
  </si>
  <si>
    <t>a1GNz000002oizCMAQ</t>
  </si>
  <si>
    <t>6.37 MSCP, 5 Capital Quarter, Tyndall St,</t>
  </si>
  <si>
    <t>a1GNz000002ojFJMAY</t>
  </si>
  <si>
    <t>6.38 MSCP, 5 Capital Quarter, Tyndall St,</t>
  </si>
  <si>
    <t>a1GNz000002oiSwMAI</t>
  </si>
  <si>
    <t>6.39 MSCP, 5 Capital Quarter, Tyndall St,</t>
  </si>
  <si>
    <t>a1GNz000002oimIMAQ</t>
  </si>
  <si>
    <t>6.40 MSCP, 5 Capital Quarter, Tyndall St,</t>
  </si>
  <si>
    <t>a1GNz000002ojGvMAI</t>
  </si>
  <si>
    <t>6.41 MSCP, 5 Capital Quarter, Tyndall St,</t>
  </si>
  <si>
    <t>a1GNz000002od8IMAQ</t>
  </si>
  <si>
    <t>6.42 MSCP, 5 Capital Quarter, Tyndall St,</t>
  </si>
  <si>
    <t>a1GNz000002oi38MAA</t>
  </si>
  <si>
    <t>6.43 MSCP, 5 Capital Quarter, Tyndall St,</t>
  </si>
  <si>
    <t>a1GNz000002ojIXMAY</t>
  </si>
  <si>
    <t>6.44 MSCP, 5 Capital Quarter, Tyndall St,</t>
  </si>
  <si>
    <t>a1GNz000002oZ40MAE</t>
  </si>
  <si>
    <t>6.45 MSCP, 5 Capital Quarter, Tyndall St,</t>
  </si>
  <si>
    <t>a1GNz000002ojK9MAI</t>
  </si>
  <si>
    <t>6.46 MSCP, 5 Capital Quarter, Tyndall St,</t>
  </si>
  <si>
    <t>a1GNz000002ojLlMAI</t>
  </si>
  <si>
    <t>6.47 MSCP, 5 Capital Quarter, Tyndall St,</t>
  </si>
  <si>
    <t>3. Queried units</t>
  </si>
  <si>
    <t>a1G4J0000025u5BUAQ</t>
  </si>
  <si>
    <t>S215, Sheengate Mansions, Upper Richmond Road</t>
  </si>
  <si>
    <t>Grnd Rent</t>
  </si>
  <si>
    <t>a1G4J0000025uEuUAI</t>
  </si>
  <si>
    <t>S233 Sheengate Mansions, Shop &amp; Flat</t>
  </si>
  <si>
    <t>a1G4J0000025u1OUAQ</t>
  </si>
  <si>
    <t>S239, Sheengate Mansions, Upper Richmond Road</t>
  </si>
  <si>
    <t>a1G4J0000025u70UAA</t>
  </si>
  <si>
    <t>S245, Sheengate Mansions, Upper Richmond Road</t>
  </si>
  <si>
    <t>a1G4J0000025uAGUAY</t>
  </si>
  <si>
    <t>S251, Sheengate Mansions, Upper Richmond Road</t>
  </si>
  <si>
    <t>a1G4J0000025ttHUAQ</t>
  </si>
  <si>
    <t>S257, Sheengate Mansions, Upper Richmond Road</t>
  </si>
  <si>
    <t>a1G4J0000025uIVUAY</t>
  </si>
  <si>
    <t>S263 Upper Richmond Road West SW14 8QS</t>
  </si>
  <si>
    <t>a1G4J0000025uKoUAI</t>
  </si>
  <si>
    <t>S269, Sheengate Mansions, Upper Richmond Road</t>
  </si>
  <si>
    <t>a1G4J0000025uDNUAY</t>
  </si>
  <si>
    <t>S275, Sheengate Mansions, Upper Richmond Road</t>
  </si>
  <si>
    <t>a1G4J0000025u5CUAQ</t>
  </si>
  <si>
    <t>S281, Sheengate Mansions, Upper Richmond Road</t>
  </si>
  <si>
    <t>a1G4J0000025uLDUAY</t>
  </si>
  <si>
    <t>S287, Sheengate Mansions, Upper Richmond Road</t>
  </si>
  <si>
    <t>a1G4J0000025u7xUAA</t>
  </si>
  <si>
    <t>S293, Sheengate Mansions, Upper Richmond Road</t>
  </si>
  <si>
    <t>a1G4J0000025tvfUAA</t>
  </si>
  <si>
    <t>S299, Sheengate Mansions, Upper Richmond Road</t>
  </si>
  <si>
    <t>a1G4J0000025uKtUAI</t>
  </si>
  <si>
    <t>S299a, Sheengate Mansions, Upper Richmond Roa</t>
  </si>
  <si>
    <t>a1G4J0000025uF1UAI</t>
  </si>
  <si>
    <t>S305, Sheengate Mansions, Upper Richmond Road</t>
  </si>
  <si>
    <t>a1G4J0000025w4AUAQ</t>
  </si>
  <si>
    <t>County Hall, First Floor, Northwood Hills</t>
  </si>
  <si>
    <t>a1G4J0000025wKHUAY</t>
  </si>
  <si>
    <t>Garage Chesil Crt 83 Chelsea Manor St SW3 5QP</t>
  </si>
  <si>
    <t>a1G4J0000025ueBUAQ</t>
  </si>
  <si>
    <t>Addensbrooke Road, Land, Keresley, Coventry</t>
  </si>
  <si>
    <t>Kennel Farm</t>
  </si>
  <si>
    <t>a1G4J0000025u1pUAA</t>
  </si>
  <si>
    <t>Goldstone Cottages, Hove, East Sussex</t>
  </si>
  <si>
    <t>Licence</t>
  </si>
  <si>
    <t>a1G4J0000025ud7UAA</t>
  </si>
  <si>
    <t>1A Acreage Lane Shirebrook Mansfield Notts</t>
  </si>
  <si>
    <t>a1G4J0000025ufhUAA</t>
  </si>
  <si>
    <t>Methodist Church, Derby, Derbyshire</t>
  </si>
  <si>
    <t>a1G4J0000025uRJUAY</t>
  </si>
  <si>
    <t>Electricity Sub-Station, Langwith, Nottingham</t>
  </si>
  <si>
    <t>a1G4J0000025uIfUAI</t>
  </si>
  <si>
    <t>Thurcroft, Wayleave, Yorkshire</t>
  </si>
  <si>
    <t>a1G4J0000025uibUAA</t>
  </si>
  <si>
    <t>Stubbins Vale Terrace Ramsbottom WAYLEAVES</t>
  </si>
  <si>
    <t>a1G4J0000025ujPUAQ</t>
  </si>
  <si>
    <t>Morris Park, Hartford, Cheshire, CW8 1SB</t>
  </si>
  <si>
    <t>a1G4J0000025udwUAA</t>
  </si>
  <si>
    <t>Buxton Road AREAS Manchester WAYLEAVES</t>
  </si>
  <si>
    <t>a1G4J0000025uzNUAQ</t>
  </si>
  <si>
    <t>Colton Bridge, Wayleave, Appleton, Yorkshire</t>
  </si>
  <si>
    <t>a1G4J0000025umvUAA</t>
  </si>
  <si>
    <t>Solway Road, Wayleave, Whitehaven, Cumbria</t>
  </si>
  <si>
    <t>a1G4J0000025v35UAA</t>
  </si>
  <si>
    <t>Fishing rights on Shropshire Union Canal, Sta</t>
  </si>
  <si>
    <t>a1G4J0000025v43UAA</t>
  </si>
  <si>
    <t>Knightley Hall land adjacent,Woodseaves,STFD.</t>
  </si>
  <si>
    <t>a1G4J0000025ubTUAQ</t>
  </si>
  <si>
    <t>Land Between 22 - 31 Crawley Dene</t>
  </si>
  <si>
    <t>a1G4J0000025u7YUAQ</t>
  </si>
  <si>
    <t>Maple Drive Widdrington Station</t>
  </si>
  <si>
    <t>a1GNz0000080yWwMAI</t>
  </si>
  <si>
    <t>Kennel Farm part Area WAYLEAVE</t>
  </si>
  <si>
    <t>a1G4J0000025v2xUAA</t>
  </si>
  <si>
    <t>Boughton Brake, Water Rights, Nottingham</t>
  </si>
  <si>
    <t>a1G4J0000025wZcUAI</t>
  </si>
  <si>
    <t>Sub Station, Victoria Gardens, Heston, Middle</t>
  </si>
  <si>
    <t>a1G4J0000025vt9UAA</t>
  </si>
  <si>
    <t>Sub Station Livingstone Road, Southall, Middl</t>
  </si>
  <si>
    <t>a1G4J0000025wO7UAI</t>
  </si>
  <si>
    <t>76 Devonshire Drive Langwith</t>
  </si>
  <si>
    <t>Aldershot BG0079 BROWNING Frost Ac Blk 5a</t>
  </si>
  <si>
    <t>a1GNz00000081dFMAQ</t>
  </si>
  <si>
    <t>Hardstanding to the Rear of Mandora House 1</t>
  </si>
  <si>
    <t>a1GNz00000081a1MAA</t>
  </si>
  <si>
    <t>Hardstanding to the Rear of Mandora House 2</t>
  </si>
  <si>
    <t>a1GNz00000082avMAA</t>
  </si>
  <si>
    <t>Aldershot Mandora Part of West Car Park 2</t>
  </si>
  <si>
    <t>Aldershot PR0065 PARSONS Garage</t>
  </si>
  <si>
    <t>4. Commercial Lets</t>
  </si>
  <si>
    <t>2, Highfield Avenue, Newbury, RG14  5DS</t>
  </si>
  <si>
    <t>DEVELOPMENT</t>
  </si>
  <si>
    <t>Comm-Let</t>
  </si>
  <si>
    <t>a1G4J0000025zWsUAI</t>
  </si>
  <si>
    <t>Flat 1, 3 Bath Street, London, EC1V 9LB</t>
  </si>
  <si>
    <t>Flat PB</t>
  </si>
  <si>
    <t>a1G4J0000025zgCUAQ</t>
  </si>
  <si>
    <t>Flat 2, 3 Bath Street, London, EC1V 9LB</t>
  </si>
  <si>
    <t>a1G4J0000025zhnUAA</t>
  </si>
  <si>
    <t>Flat 3, 3 Bath Street, London, EC1V 9LB</t>
  </si>
  <si>
    <t>a1G4J0000025zewUAA</t>
  </si>
  <si>
    <t>Flat 4, 3 Bath Street, London, EC1V 9LB</t>
  </si>
  <si>
    <t>a1G4J0000025zXPUAY</t>
  </si>
  <si>
    <t>Flat 5, 3 Bath Street, London, EC1V 9LB</t>
  </si>
  <si>
    <t>a1G4J0000025zhyUAA</t>
  </si>
  <si>
    <t>Flat 6, 3 Bath Street, London, EC1V 9LB</t>
  </si>
  <si>
    <t>a1G4J0000025zNCUAY</t>
  </si>
  <si>
    <t>Flat 7, 3 Bath Street, London, EC1V 9LB</t>
  </si>
  <si>
    <t>a1G4J0000025z1TUAQ</t>
  </si>
  <si>
    <t>Flat 8, 3 Bath Street, London, EC1V 9LB</t>
  </si>
  <si>
    <t>a1G4J0000025zVfUAI</t>
  </si>
  <si>
    <t>Flat 9, 3 Bath Street, London, EC1V 9LB</t>
  </si>
  <si>
    <t>a1G4J0000025zhYUAQ</t>
  </si>
  <si>
    <t>Flat 10, 3 Bath Street, London, EC1V 9LB</t>
  </si>
  <si>
    <t>a1G4J0000025ziCUAQ</t>
  </si>
  <si>
    <t>Flat 11, 3 Bath Street, London, EC1V 9LB</t>
  </si>
  <si>
    <t>a1G4J0000025zVgUAI</t>
  </si>
  <si>
    <t>Flat 12, 3 Bath Street, London, EC1V 9LB</t>
  </si>
  <si>
    <t>a1G4J0000025z3pUAA</t>
  </si>
  <si>
    <t>Flat 13, 3 Bath Street, London, EC1V 9LB</t>
  </si>
  <si>
    <t>a1G4J0000025zZrUAI</t>
  </si>
  <si>
    <t>Flat 14, 3 Bath Street, London, EC1V 9LB</t>
  </si>
  <si>
    <t>a1G4J0000025zhJUAQ</t>
  </si>
  <si>
    <t>Flat 15, 3 Bath Street, London, EC1V 9LB</t>
  </si>
  <si>
    <t>a1G4J0000025zfsUAA</t>
  </si>
  <si>
    <t>Flat 16, 3 Bath Street, London, EC1V 9LB</t>
  </si>
  <si>
    <t>a1G4J0000025z33UAA</t>
  </si>
  <si>
    <t>Flat 1 (Block 1) Ability Towers, London, EC1V</t>
  </si>
  <si>
    <t>a1G4J0000025yCBUAY</t>
  </si>
  <si>
    <t>Flat 2 (Block 1) Ability Towers, London, EC1V</t>
  </si>
  <si>
    <t>a1G4J0000025y1zUAA</t>
  </si>
  <si>
    <t>Flat 3 (Block 1) Ability Towers, London, EC1V</t>
  </si>
  <si>
    <t>a1G4J0000025zk6UAA</t>
  </si>
  <si>
    <t>Flat 4 (Block 1) Ability Towers, London, EC1V</t>
  </si>
  <si>
    <t>a1G4J0000025zx7UAA</t>
  </si>
  <si>
    <t>Flat 5 (Block 1) Ability Towers, London, EC1V</t>
  </si>
  <si>
    <t>a1G4J0000025zt6UAA</t>
  </si>
  <si>
    <t>Flat 6 (Block 1) Ability Towers, London, EC1V</t>
  </si>
  <si>
    <t>a1G4J0000025zvYUAQ</t>
  </si>
  <si>
    <t>Flat 7 (Block 1) Ability Towers, London, EC1V</t>
  </si>
  <si>
    <t>a1G4J0000025zyeUAA</t>
  </si>
  <si>
    <t>Flat 8 (Block 1) Ability Towers, London, EC1V</t>
  </si>
  <si>
    <t>a1G4J0000025xpbUAA</t>
  </si>
  <si>
    <t>Flat 9 (Block 1) Ability Towers, London, EC1V</t>
  </si>
  <si>
    <t>a1G4J0000025zqxUAA</t>
  </si>
  <si>
    <t>Flat 10 (Block 1) Ability Towers, London, EC1</t>
  </si>
  <si>
    <t>a1G4J0000025zxRUAQ</t>
  </si>
  <si>
    <t>Flat 11 (Block 1) Ability Towers, London, EC1</t>
  </si>
  <si>
    <t>a1G4J0000025zh7UAA</t>
  </si>
  <si>
    <t>Flat 12 (Block 1) Ability Towers, London, EC1</t>
  </si>
  <si>
    <t>a1G4J0000025zvqUAA</t>
  </si>
  <si>
    <t>Flat 13 (Block 1) Ability Towers, London, EC1</t>
  </si>
  <si>
    <t>a1G4J0000026028UAA</t>
  </si>
  <si>
    <t>Flat 14 (Block 1) Ability Towers, London, EC1</t>
  </si>
  <si>
    <t>a1G4J0000025zfgUAA</t>
  </si>
  <si>
    <t>Flat 15 (Block 1)  Ability Towers, London, EC</t>
  </si>
  <si>
    <t>a1G4J0000025zw8UAA</t>
  </si>
  <si>
    <t>Flat 16 (Block 1) Ability Towers, London, EC1</t>
  </si>
  <si>
    <t>a1G4J0000025zt8UAA</t>
  </si>
  <si>
    <t>Flat 17 (Block 2) Ability Towers, London, EC1</t>
  </si>
  <si>
    <t>a1G4J0000025zvcUAA</t>
  </si>
  <si>
    <t>Flat 18 (Block 2) Ability Towers, London, EC1</t>
  </si>
  <si>
    <t>a1G4J0000025zzwUAA</t>
  </si>
  <si>
    <t>Flat 19 (Block 2) Ability Towers, London, EC1</t>
  </si>
  <si>
    <t>a1G4J0000025zeDUAQ</t>
  </si>
  <si>
    <t>Flat 20 (Block 2) Ability Towers, London, EC1</t>
  </si>
  <si>
    <t>a1G4J0000025znfUAA</t>
  </si>
  <si>
    <t>Flat 21 (Block 2) Ability Towers, London, EC1</t>
  </si>
  <si>
    <t>a1G4J0000025zL1UAI</t>
  </si>
  <si>
    <t>Flat 22 (Block 2) Ability Towers, London, EC1</t>
  </si>
  <si>
    <t>a1G4J0000025zt2UAA</t>
  </si>
  <si>
    <t>Flat 23 (Block 2) Ability Towers, London, EC1</t>
  </si>
  <si>
    <t>a1G4J0000025zpBUAQ</t>
  </si>
  <si>
    <t>Flat 24 (Block 2) Ability Towers, London, EC1</t>
  </si>
  <si>
    <t>a1G4J0000025zsiUAA</t>
  </si>
  <si>
    <t>Flat 25 (Block 2) Ability Towers, London, EC1</t>
  </si>
  <si>
    <t>a1G4J0000025zvXUAQ</t>
  </si>
  <si>
    <t>Flat 26 (Block 2) Ability Towers, London, EC1</t>
  </si>
  <si>
    <t>a1G4J0000025zybUAA</t>
  </si>
  <si>
    <t>Flat 27 (Block 2) Ability Towers, London, EC1</t>
  </si>
  <si>
    <t>a1G4J0000025znuUAA</t>
  </si>
  <si>
    <t>Flat 28 (Block 2) Ability Towers, London, EC1</t>
  </si>
  <si>
    <t>a1G4J0000025zm1UAA</t>
  </si>
  <si>
    <t>Flat 29 (Block 2) Ability Towers, London, EC1</t>
  </si>
  <si>
    <t>a1G4J000002600vUAA</t>
  </si>
  <si>
    <t>Flat 30 (Block 2) Ability Towers, London, EC1</t>
  </si>
  <si>
    <t>a1G4J0000025zz2UAA</t>
  </si>
  <si>
    <t>Flat 31 (Block 2) Ability Towers, London, EC1</t>
  </si>
  <si>
    <t>a1G4J0000025zvIUAQ</t>
  </si>
  <si>
    <t>Flat 32 (Block 2) Ability Towers, London, EC1</t>
  </si>
  <si>
    <t>a1G4J0000025zgJUAQ</t>
  </si>
  <si>
    <t>Flat 33 (Block 3) Ability Towers, London, EC1</t>
  </si>
  <si>
    <t>a1G4J0000025zzYUAQ</t>
  </si>
  <si>
    <t>Flat 34 (Block 3) Ability Towers, London, EC1</t>
  </si>
  <si>
    <t>a1G4J0000025zyvUAA</t>
  </si>
  <si>
    <t>Flat 35 (Block 3) Ability Towers, London, EC1</t>
  </si>
  <si>
    <t>a1G4J0000025zztUAA</t>
  </si>
  <si>
    <t>Flat 36 (Block 3) Ability Towers, London, EC1</t>
  </si>
  <si>
    <t>a1G4J0000025zyzUAA</t>
  </si>
  <si>
    <t>Flat 37 (Block 3) Ability Towers, London, EC1</t>
  </si>
  <si>
    <t>a1G4J0000025zrSUAQ</t>
  </si>
  <si>
    <t>Flat 38 (Block 3) Ability Towers, London, EC1</t>
  </si>
  <si>
    <t>a1G4J0000025zuzUAA</t>
  </si>
  <si>
    <t>Flat 39 (Block 3) Ability Towers, London, EC1</t>
  </si>
  <si>
    <t>a1G4J0000025yoPUAQ</t>
  </si>
  <si>
    <t>Flat 40 (Block 3) Ability Towers, London, EC1</t>
  </si>
  <si>
    <t>a1G4J0000025zsYUAQ</t>
  </si>
  <si>
    <t>Flat 41 (Block 3) Ability Towers, London, EC1</t>
  </si>
  <si>
    <t>a1G4J0000026035UAA</t>
  </si>
  <si>
    <t>Flat 42 (Block 3) Ability Towers, London, EC1</t>
  </si>
  <si>
    <t>a1G4J000002601nUAA</t>
  </si>
  <si>
    <t>Flat 43 (Block 3) Ability Towers, London, EC1</t>
  </si>
  <si>
    <t>a1G4J0000025zy7UAA</t>
  </si>
  <si>
    <t>Flat 44 (Block 3) Ability Towers, London, EC1</t>
  </si>
  <si>
    <t>a1G4J0000025zZGUAY</t>
  </si>
  <si>
    <t>Flat 45 (Block 3) Ability Towers, London, EC1</t>
  </si>
  <si>
    <t>a1G4J0000025zy8UAA</t>
  </si>
  <si>
    <t>Flat 46 (Block 3) Ability Towers, London, EC1</t>
  </si>
  <si>
    <t>a1G4J0000025zz6UAA</t>
  </si>
  <si>
    <t>Flat 47 (Block 3) Ability Towers, London, EC1</t>
  </si>
  <si>
    <t>a1G4J000002603kUAA</t>
  </si>
  <si>
    <t>Flat 48 (Block 3) Ability Towers, London, EC1</t>
  </si>
  <si>
    <t>a1G4J0000025zaqUAA</t>
  </si>
  <si>
    <t>Flat 49 (Block 3) Ability Towers, London, EC1</t>
  </si>
  <si>
    <t>a1G4J000002601uUAA</t>
  </si>
  <si>
    <t>Flat 50 (Block 3) Ability Towers, London, EC1</t>
  </si>
  <si>
    <t>a1G4J0000025zklUAA</t>
  </si>
  <si>
    <t>Flat 51 (Block 3) Ability Towers, London, EC1</t>
  </si>
  <si>
    <t>a1G4J0000025zpjUAA</t>
  </si>
  <si>
    <t>Flat 52 (Block 3) Ability Towers, London, EC1</t>
  </si>
  <si>
    <t>a1G4J000002604mUAA</t>
  </si>
  <si>
    <t>Flat 53 (Block 3) Ability Towers, London, EC1</t>
  </si>
  <si>
    <t>a1G4J000002605GUAQ</t>
  </si>
  <si>
    <t>Flat 54 (Block 3) Ability Towers, London, EC1</t>
  </si>
  <si>
    <t>a1G4J0000025zxSUAQ</t>
  </si>
  <si>
    <t>Flat 55 (Block 3) Ability Towers, London, EC1</t>
  </si>
  <si>
    <t>a1G4J0000025zsKUAQ</t>
  </si>
  <si>
    <t>Flat 56 (Block 3) Ability Towers, London, EC1</t>
  </si>
  <si>
    <t>a1G4J0000025zp1UAA</t>
  </si>
  <si>
    <t>Flat 57 (Block 3) Ability Towers, London, EC1</t>
  </si>
  <si>
    <t>a1G4J0000025zjNUAQ</t>
  </si>
  <si>
    <t>Flat 58 (Block 3) Ability Towers, London, EC1</t>
  </si>
  <si>
    <t>a1G4J000002602WUAQ</t>
  </si>
  <si>
    <t>Flat 59 (Block 3) Ability Towers, London, EC1</t>
  </si>
  <si>
    <t>a1G4J0000025ziQUAQ</t>
  </si>
  <si>
    <t>Flat 60 (Block 3) Ability Towers, London, EC1</t>
  </si>
  <si>
    <t>a1G4J0000025zYkUAI</t>
  </si>
  <si>
    <t>Flat 61 (Block 3) Ability Towers, London, EC1</t>
  </si>
  <si>
    <t>a1G4J0000025zzXUAQ</t>
  </si>
  <si>
    <t>Flat 62 (Block 3) Ability Towers, London, EC1</t>
  </si>
  <si>
    <t>a1G4J0000026027UAA</t>
  </si>
  <si>
    <t>Flat 63 (Block 3) Ability Towers, London, EC1</t>
  </si>
  <si>
    <t>a1G4J000002603KUAQ</t>
  </si>
  <si>
    <t>Flat 64 (Block 3) Ability Towers, London, EC1</t>
  </si>
  <si>
    <t>a1G4J000002605pUAA</t>
  </si>
  <si>
    <t>Flat 65 (Block 3) Ability Towers, London, EC1</t>
  </si>
  <si>
    <t>a1G4J000002603UUAQ</t>
  </si>
  <si>
    <t>Flat 66 (Block 3) Ability Towers, London, EC1</t>
  </si>
  <si>
    <t>a1G4J0000025zy9UAA</t>
  </si>
  <si>
    <t>Flat 67 (Block 3) Ability Towers, London, EC1</t>
  </si>
  <si>
    <t>a1G4J0000025zjSUAQ</t>
  </si>
  <si>
    <t>Flat 68 (Block 3) Ability Towers, London, EC1</t>
  </si>
  <si>
    <t>a1G4J0000025zvUUAQ</t>
  </si>
  <si>
    <t>Flat 69 (Block 4) Ability Towers, London, EC1</t>
  </si>
  <si>
    <t>a1G4J0000025zyqUAA</t>
  </si>
  <si>
    <t>Flat 70 (Block 4) Ability Towers, London, EC1</t>
  </si>
  <si>
    <t>a1G4J000002605fUAA</t>
  </si>
  <si>
    <t>Flat 71 (Block 4) Ability Towers, London, EC1</t>
  </si>
  <si>
    <t>a1G4J000002603zUAA</t>
  </si>
  <si>
    <t>Flat 72 (Block 4) Ability Towers, London, EC1</t>
  </si>
  <si>
    <t>a1G4J0000025ynIUAQ</t>
  </si>
  <si>
    <t>Flat 73 (Block 4) Ability Towers, London, EC1</t>
  </si>
  <si>
    <t>a1G4J000002601fUAA</t>
  </si>
  <si>
    <t>Flat 74 (Block 4) Ability Towers, London, EC1</t>
  </si>
  <si>
    <t>a1G4J0000026049UAA</t>
  </si>
  <si>
    <t>Flat 75 (Block 4) Ability Towers, London, EC1</t>
  </si>
  <si>
    <t>a1G4J0000025ziBUAQ</t>
  </si>
  <si>
    <t>Flat 76 (Block 4) Ability Towers, London, EC1</t>
  </si>
  <si>
    <t>a1G4J000002602DUAQ</t>
  </si>
  <si>
    <t>Flat 77 (Block 4) Ability Towers, London, EC1</t>
  </si>
  <si>
    <t>a1G4J0000025zuuUAA</t>
  </si>
  <si>
    <t>Flat 78 (Block 4) Ability Towers, London, EC1</t>
  </si>
  <si>
    <t>a1G4J0000026029UAA</t>
  </si>
  <si>
    <t>Flat 79 (Block 4) Ability Towers, London, EC1</t>
  </si>
  <si>
    <t>a1G4J000002604IUAQ</t>
  </si>
  <si>
    <t>Flat 80 (Block 4) Ability Towers, London, EC1</t>
  </si>
  <si>
    <t>a1G4J0000025zyNUAQ</t>
  </si>
  <si>
    <t>Flat 81 (Block 4) Ability Towers, London, EC1</t>
  </si>
  <si>
    <t>a1G4J0000025zuvUAA</t>
  </si>
  <si>
    <t>Flat 82 (Block 4) Ability Towers, London, EC1</t>
  </si>
  <si>
    <t>a1G4J0000025znhUAA</t>
  </si>
  <si>
    <t>Flat 83 (Block 4) Ability Towers, London, EC1</t>
  </si>
  <si>
    <t>a1G4J0000025zu1UAA</t>
  </si>
  <si>
    <t>Flat 1,148 Central Street, London EC1V 8AY</t>
  </si>
  <si>
    <t>a1G4J000002603eUAA</t>
  </si>
  <si>
    <t>Flat 2,148 Central Street, London EC1V 8AY</t>
  </si>
  <si>
    <t>a1G4J000002603uUAA</t>
  </si>
  <si>
    <t>Flat 3,148 Central Street, London EC1V 8AY</t>
  </si>
  <si>
    <t>a1G4J0000025zzOUAQ</t>
  </si>
  <si>
    <t>Flat 4,148 Central Street, London EC1V 8AY</t>
  </si>
  <si>
    <t>a1G4J0000025zjIUAQ</t>
  </si>
  <si>
    <t>Flat 5,148 Central Street, London EC1V 8AY</t>
  </si>
  <si>
    <t>a1G4J0000025zkHUAQ</t>
  </si>
  <si>
    <t>Flat 6,148 Central Street, London EC1V 8AY</t>
  </si>
  <si>
    <t>a1G4J0000025zrZUAQ</t>
  </si>
  <si>
    <t>Flat 7,148 Central Street, London EC1V 8AY</t>
  </si>
  <si>
    <t>Grainger plc</t>
  </si>
  <si>
    <t>Commercial Units and tenancies 11/02/25</t>
  </si>
  <si>
    <t>Terms of Lease</t>
  </si>
  <si>
    <t>Rent Review</t>
  </si>
  <si>
    <t>Break Clause</t>
  </si>
  <si>
    <t>Unit</t>
  </si>
  <si>
    <t>Unit Description</t>
  </si>
  <si>
    <t>Tenant (parent)</t>
  </si>
  <si>
    <t>Unit Exists in Salesforce</t>
  </si>
  <si>
    <t>Salesforce Opportunity</t>
  </si>
  <si>
    <t>Qube v SF comment</t>
  </si>
  <si>
    <t xml:space="preserve">Lease Start Dtae
</t>
  </si>
  <si>
    <t xml:space="preserve">Lease End date
</t>
  </si>
  <si>
    <t xml:space="preserve"> Lease term-years
</t>
  </si>
  <si>
    <t xml:space="preserve"> Lease term-months
</t>
  </si>
  <si>
    <t xml:space="preserve"> Lease term-days
</t>
  </si>
  <si>
    <t>Vacant due date</t>
  </si>
  <si>
    <t xml:space="preserve">Date vacant
</t>
  </si>
  <si>
    <t xml:space="preserve">Next rent review
</t>
  </si>
  <si>
    <t xml:space="preserve">Rent review frequency
</t>
  </si>
  <si>
    <t>Rent Review Required Notiice</t>
  </si>
  <si>
    <t xml:space="preserve">Break clause date
</t>
  </si>
  <si>
    <t xml:space="preserve">landlord breaks
</t>
  </si>
  <si>
    <t xml:space="preserve"> tenant breaks
</t>
  </si>
  <si>
    <t xml:space="preserve">Years to next break clause
</t>
  </si>
  <si>
    <t xml:space="preserve">required notice
</t>
  </si>
  <si>
    <t xml:space="preserve">months notice-break clause
</t>
  </si>
  <si>
    <t>Field name</t>
  </si>
  <si>
    <t xml:space="preserve">leasedate[5] </t>
  </si>
  <si>
    <t xml:space="preserve">leasedate[6] </t>
  </si>
  <si>
    <t>leaseterm[1]</t>
  </si>
  <si>
    <t>leaseterm[2]</t>
  </si>
  <si>
    <t>leaseterm[3]</t>
  </si>
  <si>
    <t>leasedate[4]</t>
  </si>
  <si>
    <t>leasedate[2]</t>
  </si>
  <si>
    <t>leasedate[1]</t>
  </si>
  <si>
    <t>gap 1[1]</t>
  </si>
  <si>
    <t xml:space="preserve">leasedate[8] </t>
  </si>
  <si>
    <t>whobreaks[1]</t>
  </si>
  <si>
    <t>whobreaks[2]</t>
  </si>
  <si>
    <t>gap [6]</t>
  </si>
  <si>
    <t>notice [4]</t>
  </si>
  <si>
    <t>notice [6]</t>
  </si>
  <si>
    <t>Comment</t>
  </si>
  <si>
    <t>This field can be ignored-data does not seem to be accurate</t>
  </si>
  <si>
    <t>Trustees re Sir John Morden</t>
  </si>
  <si>
    <t>GREP-CoA Trustees re Sir John Morden - 40/42 Kensington Park Rd G/F &amp; Basement</t>
  </si>
  <si>
    <t>Dummy Opportunity exists in Salesforce</t>
  </si>
  <si>
    <t>Lynda Joy Harding</t>
  </si>
  <si>
    <t>Opportunity does not exist in Salesforce</t>
  </si>
  <si>
    <t>Havant Borough Council.</t>
  </si>
  <si>
    <t>Vodafone Limited.</t>
  </si>
  <si>
    <t>Jennifer Ann Manson</t>
  </si>
  <si>
    <t>GREP-CoA Jennifer Ann Manson - Woodcroft Farm Petersfield Fields Waterloovil</t>
  </si>
  <si>
    <t>Jennifer A Manson &amp; Caroline J Eastwood</t>
  </si>
  <si>
    <t>REP-CoA Jennifer A Manson &amp; Caroline J Eastwood - Woodcroft Farm Eastland Gate Fields Waterloov</t>
  </si>
  <si>
    <t>William Kerr(Farms)Limited.</t>
  </si>
  <si>
    <t>Ipswich Speedway Limited.</t>
  </si>
  <si>
    <t>Suffolk Aviation Heritage Group.</t>
  </si>
  <si>
    <t>GREP-CoA Suffolk Aviation Heritage Group - Unit A, The Old Generator House, Foxall, Ipsw</t>
  </si>
  <si>
    <t>Buz Broadband Limited.</t>
  </si>
  <si>
    <t>GREP-CoA Buz Broadband Limited. - Land @Foxall Martlesham. Telecomm Mast</t>
  </si>
  <si>
    <t>Carry Gently Limited.</t>
  </si>
  <si>
    <t>GREP-CoA Carry Gently Limited. - Aldershot CM0065 McGrigor Barracks Hosp</t>
  </si>
  <si>
    <t>Gold Valley Lake House Limited</t>
  </si>
  <si>
    <t>GREP-CoA Gold Valley Lake House Limited - Aldershot TS0031 Resettlement Centre.</t>
  </si>
  <si>
    <t>Mixed Freight Services Limited.</t>
  </si>
  <si>
    <t>Charters of Aldershot.</t>
  </si>
  <si>
    <t>Yeomans Limited</t>
  </si>
  <si>
    <t>GREP-CoA Yeomans Limited - Aldershot RV0032 Resettlement Centre/ Galwey</t>
  </si>
  <si>
    <t>Millgrove Construction Ltd</t>
  </si>
  <si>
    <t>Paul Winch</t>
  </si>
  <si>
    <t>REP-CoA Paul Winch - Storage and Hardstanding at Fitzwygram House</t>
  </si>
  <si>
    <t>Woodend Removals.</t>
  </si>
  <si>
    <t>GREP-CoA Woodend Removals. - Aldershot BG0091 BROWNING Drill Shed 19A</t>
  </si>
  <si>
    <t>Express Transport (UK) Ltd</t>
  </si>
  <si>
    <t>GREP-CoA Express Transport (UK) Ltd. - Aldershot BGA092 BROWNING 14 DOORS UTILITIES.</t>
  </si>
  <si>
    <t>Trustees of  Farnborogh Foodbank</t>
  </si>
  <si>
    <t>GREP-CoA Trustees of Farnborough Foodbank. - Aldershot BGD092.11 quartermasters stores</t>
  </si>
  <si>
    <t>Civil Nuclear Police Authority.</t>
  </si>
  <si>
    <t>De Angelo Brothers UK Limited.</t>
  </si>
  <si>
    <t>APCymru Limited.</t>
  </si>
  <si>
    <t>David Noyes</t>
  </si>
  <si>
    <t>Annek Services Ltd</t>
  </si>
  <si>
    <t>The Source Young Peoples Charity.</t>
  </si>
  <si>
    <t>GREP-CoA The Source Young Peoples Charity. - Aldershot BGD092.17 quartermasters stores</t>
  </si>
  <si>
    <t>Logical Fulfilment Limited.</t>
  </si>
  <si>
    <t>Express  Limited</t>
  </si>
  <si>
    <t>Bywell productions ltd.</t>
  </si>
  <si>
    <t>Rhino Recovery Ltd</t>
  </si>
  <si>
    <t>GREP-CoA Rhino Recovery Ltd - East Car Park at Mandora House.</t>
  </si>
  <si>
    <t>We Buy Any Car Limited</t>
  </si>
  <si>
    <t>GREP-CoA We Buy Any Car Limited - Aldershot Mandora Part of West Car Park 1</t>
  </si>
  <si>
    <t>Tercel Medical Group Limited.</t>
  </si>
  <si>
    <t>Shred on Site Ltd</t>
  </si>
  <si>
    <t>Clayton Barracks - Hardstanding.</t>
  </si>
  <si>
    <t>GREP-CoA Shred on Site Ltd - Clayton Barracks - Hardstanding.</t>
  </si>
  <si>
    <t>Oak Housing Limited.</t>
  </si>
  <si>
    <t>UK Power networks Services(Commercial)Ltd.</t>
  </si>
  <si>
    <t>Fight Science Limited.</t>
  </si>
  <si>
    <t>Mayer Brown Limited.</t>
  </si>
  <si>
    <t>GREP-CoA Mayer Brown Limited - Aldershot AG0050 Smith Dorrien Part of Bldg.</t>
  </si>
  <si>
    <t>The Location Collective Limited.</t>
  </si>
  <si>
    <t>Hampton by Hilton</t>
  </si>
  <si>
    <t>GREP-CoA Hampton by Hilton - GR-Hotel, Kings Dock Mill, Liverpool, L1</t>
  </si>
  <si>
    <t>Mr Nicholas Battle</t>
  </si>
  <si>
    <t>Redrow Homes Limited</t>
  </si>
  <si>
    <t>GREP-CoA Redrow Homes Limited - Compound - Marrelsmoor - Phase 9 Redrow</t>
  </si>
  <si>
    <t>BDW Trading Limited</t>
  </si>
  <si>
    <t>GREP-CoA BDW Trading Limited - Compound at Berewood – 6b Local Centre</t>
  </si>
  <si>
    <t>Co-operative Group Food Limited.</t>
  </si>
  <si>
    <t>GREP-CoA Co-operative Group Food Limited. - Clippers - Unit 4-5 Waterman Walk</t>
  </si>
  <si>
    <t>TETA Ltd</t>
  </si>
  <si>
    <t>Unit 1 Zerega Way M50</t>
  </si>
  <si>
    <t>GREP-CoA TETA Ltd - Clippers - Unit 1 Zerega Way M50</t>
  </si>
  <si>
    <t>OB1 Bars Ltd</t>
  </si>
  <si>
    <t>GREP-CoA OB1 Bars Ltd - Clippers - Unit 2 Zerega Way M50</t>
  </si>
  <si>
    <t>Grainger Land &amp; Regeneration Limited.</t>
  </si>
  <si>
    <t>GREP-CoA Grainger Land &amp; Regeneration Limited. - Clippers - Unit 3 Waterman Walk (GPLC Office)</t>
  </si>
  <si>
    <t>GREP-CoA Grainger Land &amp; Regeneration Limited. - Clippers - Unit 2 Waterman Walk (GPLC Office)</t>
  </si>
  <si>
    <t>Cult Group Limited.</t>
  </si>
  <si>
    <t>GREP-CoA Cult Group Limited. - Clippers - Unit 1 Waterman Walk</t>
  </si>
  <si>
    <t>Ruby Hue Ltd</t>
  </si>
  <si>
    <t>GREP-CoA Ruby Hue Ltd - Unit 2, Hawkins Lane Building, East Tucker St</t>
  </si>
  <si>
    <t>R1SE Brook Place Ltd.</t>
  </si>
  <si>
    <t>GREP-CoA R1SE Brook Place Ltd. - Unit 1 Brook Place 110 Napier Street S11 8BR</t>
  </si>
  <si>
    <t>GREP-CoA R1SE Brook Place Ltd. - Unit 2, Brook Place, 112 Napier Street, S11 8</t>
  </si>
  <si>
    <t>Smile2Impress Clinics Ltd</t>
  </si>
  <si>
    <t>GREP-CoA Smile2Impress Clinics Ltd - Unit 3, Brook Place, 114 Napier Street, S11 8</t>
  </si>
  <si>
    <t>REP-CoA Spectrum Associates (MK) Ltd - 809, Silbury Boulevard, Milton Keynes, MK9</t>
  </si>
  <si>
    <t>GREP-CoA Spectrum Associates (MK) Ltd - 811, Silbury Boulevard, Milton Keynes, MK9</t>
  </si>
  <si>
    <t>Pure Gym Limited</t>
  </si>
  <si>
    <t>GREP-CoA Pure Gym Limited - Unit 4, Juniper House</t>
  </si>
  <si>
    <t>K&amp;K Hospitality Ltd</t>
  </si>
  <si>
    <t>GREP-CoA K&amp;K Hospitality Ltd - Unit 2, Halogen House, 217 Chapel St, Salford</t>
  </si>
  <si>
    <t>BMSJ Company Limited</t>
  </si>
  <si>
    <t>GREP-CoA BMSJ Company Limited - Unit 3, Halogen House, 217 Chapel St, Salford</t>
  </si>
  <si>
    <t>Shoalter Automation (UK) Limited</t>
  </si>
  <si>
    <t>GREP-CoA Shoalter Automation (UK) Limited - Unit 4, Neon House, 207 Chapel St, Salford, M</t>
  </si>
  <si>
    <t>Rush 242 Ltd</t>
  </si>
  <si>
    <t>GREP-CoA Rush 242 Ltd - Unit 5, Neon House, 207 Chapel St, Salford, M</t>
  </si>
  <si>
    <t>BLS International Services (UK) Ltd</t>
  </si>
  <si>
    <t>GREP-CoA BLS International Services (UK) Ltd - Unit 6, Neon House, 207 Chapel St, Salford, M</t>
  </si>
  <si>
    <t>Aesthetic House Ltd - DO NOT USE</t>
  </si>
  <si>
    <t>GREP-CoA Aesthetic House Ltd - Unit 1, 87 East St, Southampton</t>
  </si>
  <si>
    <t>Dexastrong Ltd - in Liquidation</t>
  </si>
  <si>
    <t>GREP-CoA Dexastrong Ltd - Unit 1, Wellington Park Way, Leeds</t>
  </si>
  <si>
    <t>J S Convenience Stores Ltd</t>
  </si>
  <si>
    <t>GREP-CoA J S Convenience Stores Ltd - Gilders Yard - A.01, 19/21 Great Hampton St</t>
  </si>
  <si>
    <t>C. Barber Limited t/a Venture Studios</t>
  </si>
  <si>
    <t>Gilders Yard - A.02, 1 Harford Street</t>
  </si>
  <si>
    <t>GREP-CoA C. Barber Limited t/a Venture Studios - Gilders Yard - A.02, 1 Harford Street</t>
  </si>
  <si>
    <t>Grainger Residential Management Limited</t>
  </si>
  <si>
    <t>GREP-CoA Grainger Residential Management Limited - Gilders Yard-Office, 16/18 Great Hampton St</t>
  </si>
  <si>
    <t>Jozsef Turok T/A Doubleshot Barbers</t>
  </si>
  <si>
    <t>GREP-CoA Jozsef Turok T/A Doubleshot Barbers - Unit 1.2 Redcliffe Quarter, Bristol. BS1 6WL</t>
  </si>
  <si>
    <t xml:space="preserve">UKGolfbox Bristol Ltd   </t>
  </si>
  <si>
    <t>GREP-CoA UKGolfbox Bristol Ltd - Unit 1.3 Redcliffe Quarter, Bristol. BS1 6WL</t>
  </si>
  <si>
    <t>GREP-CoA Krishna Asian Food Market Limited - Parking 19 Enigma Square</t>
  </si>
  <si>
    <t>GREP-CoA Krishna Asian Food Market Limited - Parking 37 Enigma Square</t>
  </si>
  <si>
    <t>GREP-CoA Krishna Asian Food Market Limited - Parking 102 Enigma Square</t>
  </si>
  <si>
    <t>GREP-CoA Krishna Asian Food Market Limited - Parking 107 Enigma Square</t>
  </si>
  <si>
    <t>GREP-CoA Krishna Asian Food Market Limited - Parking 108 Enigma Square</t>
  </si>
  <si>
    <t>GREP-CoA Krishna Asian Food Market Limited - Parking 112 Enigma Square</t>
  </si>
  <si>
    <t>GREP-CoA Krishna Asian Food Market Limited - Parking 153 Enigma Square</t>
  </si>
  <si>
    <t>GREP-CoA Krishna Asian Food Market Limited - Parking 154 Enigma Square</t>
  </si>
  <si>
    <t>GREP-CoA Krishna Asian Food Market Limited - Parking 162 Enigma Square</t>
  </si>
  <si>
    <t>GREP-CoA Krishna Asian Food Market Limited - Commercial unit 1 Enigma Square</t>
  </si>
  <si>
    <t>Phenix-UK Realty Ltd</t>
  </si>
  <si>
    <t>GREP-CoA Phenix-UK Realty Ltd - Commercial Unit 1, 1 Springwell Sq</t>
  </si>
  <si>
    <t xml:space="preserve">Coffee £1 Ltd   </t>
  </si>
  <si>
    <t>GREP-CoA Coffee #1 Ltd - Commercial Unit 2, 1 Springwell Sq</t>
  </si>
  <si>
    <t>Public Health Wales NHS Trust</t>
  </si>
  <si>
    <t>GREP-CoA Public Health Wales NHS Trust - 0.01 MSCP, 5 Capital Quarter, Tyndall St.</t>
  </si>
  <si>
    <t>GREP-CoA Public Health Wales NHS Trust - 0.02 MSCP, 5 Capital Quarter, Tyndall St,</t>
  </si>
  <si>
    <t>GREP-CoA Public Health Wales NHS Trust - 0.03 MSCP, 5 Capital Quarter, Tyndall St,</t>
  </si>
  <si>
    <t>Grainger Residential Limited</t>
  </si>
  <si>
    <t>GREP-CoA Grainger Residential Limited - 0.05 MSCP, 5 Capital Quarter, Tyndall St,</t>
  </si>
  <si>
    <t>GREP-CoA Grainger Residential Limited - 0.06 MSCP, 5 Capital Quarter, Tyndall St,</t>
  </si>
  <si>
    <t>WSP UK Limited</t>
  </si>
  <si>
    <t>GREP-CoA WSP UK Limited - 4.07 MSCP, 5 Capital Quarter, Tyndall St,</t>
  </si>
  <si>
    <t>GREP-CoA WSP UK Limited - 4.08 MSCP, 5 Capital Quarter, Tyndall St,</t>
  </si>
  <si>
    <t>GREP-CoA WSP UK Limited - 4.09 MSCP, 5 Capital Quarter, Tyndall St,</t>
  </si>
  <si>
    <t>GREP-CoA WSP UK Limited - 4.10 MSCP, 5 Capital Quarter, Tyndall St,</t>
  </si>
  <si>
    <t>GREP-CoA WSP UK Limited - 4.11 MSCP, 5 Capital Quarter, Tyndall St,</t>
  </si>
  <si>
    <t>GREP-CoA WSP UK Limited - 4.12 MSCP, 5 Capital Quarter, Tyndall St,</t>
  </si>
  <si>
    <t>GREP-CoA WSP UK Limited - 4.13 MSCP, 5 Capital Quarter, Tyndall St,</t>
  </si>
  <si>
    <t>Specialist Security Co Limited</t>
  </si>
  <si>
    <t>GREP-CoA Specialist Security Co Limited - 0.14 MSCP, 5 Capital Quarter, Tyndall St,</t>
  </si>
  <si>
    <t>GREP-CoA WSP UK Limited - 4.15 MSCP, 5 Capital Quarter, Tyndall St,</t>
  </si>
  <si>
    <t>Sky Subscribers Services Limited</t>
  </si>
  <si>
    <t>GREP-CoA Sky Subscribers Services Limited - 0.16 MSCP, 5 Capital Quarter, Tyndall St,</t>
  </si>
  <si>
    <t>GREP-CoA Grainger Residential Limited - 0.17 MSCP, 5 Capital Quarter, Tyndall St,</t>
  </si>
  <si>
    <t>GREP-CoA Specialist Security Co Limited - 0.18 MSCP, 5 Capital Quarter, Tyndall St,</t>
  </si>
  <si>
    <t>Geldards LLP</t>
  </si>
  <si>
    <t>GREP-CoA Geldards LLP - 0.19 MSCP, 5 Capital Quarter, Tyndall St,</t>
  </si>
  <si>
    <t>GREP-CoA Geldards LLP - 0.20 MSCP, 5 Capital Quarter, Tyndall St,</t>
  </si>
  <si>
    <t>GREP-CoA Geldards LLP - 0.21 MSCP, 5 Capital Quarter, Tyndall St,</t>
  </si>
  <si>
    <t>GREP-CoA Geldards LLP - 0.22 MSCP, 5 Capital Quarter, Tyndall St,</t>
  </si>
  <si>
    <t>Optimum Credit Limited</t>
  </si>
  <si>
    <t>GREP-CoA Optimum Credit Limited - 0.23 MSCP, 5 Capital Quarter, Tyndall St,</t>
  </si>
  <si>
    <t>GREP-CoA Optimum Credit Limited - 0.24 MSCP, 5 Capital Quarter, Tyndall St,</t>
  </si>
  <si>
    <t>GREP-CoA Optimum Credit Limited - 0.25 MSCP, 5 Capital Quarter, Tyndall St,</t>
  </si>
  <si>
    <t>GREP-CoA Optimum Credit Limited - 0.26 MSCP, 5 Capital Quarter, Tyndall St,</t>
  </si>
  <si>
    <t>GREP-CoA Grainger Residential Limited - 0.27 MSCP, 5 Capital Quarter, Tyndall St,</t>
  </si>
  <si>
    <t>GREP-CoA Specialist Security Co Limited - 0.28 MSCP, 5 Capital Quarter, Tyndall St,</t>
  </si>
  <si>
    <t>GREP-CoA Grainger Residential Limited - 0.29 MSCP, 5 Capital Quarter, Tyndall St,</t>
  </si>
  <si>
    <t>British Telecom PLC</t>
  </si>
  <si>
    <t>GREP-CoA British Telecom PLC - 1.01 MSCP, 5 Capital Quarter, Tyndall St,</t>
  </si>
  <si>
    <t>GREP-CoA British Telecom PLC - 1.02 MSCP, 5 Capital Quarter, Tyndall St,</t>
  </si>
  <si>
    <t>GREP-CoA British Telecom PLC - 1.03 MSCP, 5 Capital Quarter, Tyndall St,</t>
  </si>
  <si>
    <t>GREP-CoA British Telecom PLC - 1.04 MSCP, 5 Capital Quarter, Tyndall St,</t>
  </si>
  <si>
    <t>GREP-CoA British Telecom PLC - 1.05 MSCP, 5 Capital Quarter, Tyndall St,</t>
  </si>
  <si>
    <t>WHICH?</t>
  </si>
  <si>
    <t>GREP-CoA WHICH? - 1.06 MSCP, 5 Capital Quarter, Tyndall St,</t>
  </si>
  <si>
    <t>GREP-CoA WHICH? - 1.07 MSCP, 5 Capital Quarter, Tyndall St,</t>
  </si>
  <si>
    <t>GREP-CoA WHICH? - 1.08 MSCP, 5 Capital Quarter, Tyndall St,</t>
  </si>
  <si>
    <t>GREP-CoA WHICH? - 1.09 MSCP, 5 Capital Quarter, Tyndall St,</t>
  </si>
  <si>
    <t>GREP-CoA British Telecom PLC - 1.10 MSCP, 5 Capital Quarter, Tyndall St,</t>
  </si>
  <si>
    <t>GREP-CoA British Telecom PLC - 1.11 MSCP, 5 Capital Quarter, Tyndall St,</t>
  </si>
  <si>
    <t>GREP-CoA British Telecom PLC - 1.102MSCP, 5 Capital Quarter, Tyndall St,</t>
  </si>
  <si>
    <t>GREP-CoA British Telecom PLC - 1.13MSCP, 5 Capital Quarter, Tyndall St,</t>
  </si>
  <si>
    <t>GREP-CoA British Telecom PLC - 1.14 MSCP, 5 Capital Quarter, Tyndall St,</t>
  </si>
  <si>
    <t>GREP-CoA British Telecom PLC - 1.15 MSCP, 5 Capital Quarter, Tyndall St,</t>
  </si>
  <si>
    <t>GREP-CoA British Telecom PLC - 1.16 MSCP, 5 Capital Quarter, Tyndall St,</t>
  </si>
  <si>
    <t>GREP-CoA British Telecom PLC - 1.17 MSCP, 5 Capital Quarter, Tyndall St,</t>
  </si>
  <si>
    <t>GREP-CoA British Telecom PLC - 1.18 MSCP, 5 Capital Quarter, Tyndall St,</t>
  </si>
  <si>
    <t>GREP-CoA British Telecom PLC - 1.19 MSCP, 5 Capital Quarter, Tyndall St,</t>
  </si>
  <si>
    <t>GREP-CoA British Telecom PLC - 1.20 MSCP, 5 Capital Quarter, Tyndall St,</t>
  </si>
  <si>
    <t>GREP-CoA British Telecom PLC - 1.21 MSCP, 5 Capital Quarter, Tyndall St,</t>
  </si>
  <si>
    <t>GREP-CoA Optimum Credit Limited - 1.22 MSCP, 5 Capital Quarter, Tyndall St,</t>
  </si>
  <si>
    <t>GREP-CoA Optimum Credit Limited - 1.23 MSCP, 5 Capital Quarter, Tyndall St,</t>
  </si>
  <si>
    <t>GREP-CoA Optimum Credit Limited - 1.24 MSCP, 5 Capital Quarter, Tyndall St,</t>
  </si>
  <si>
    <t>GREP-CoA British Telecom PLC - 1.25 MSCP, 5 Capital Quarter, Tyndall St,</t>
  </si>
  <si>
    <t>GREP-CoA British Telecom PLC - 1.26 MSCP, 5 Capital Quarter, Tyndall St,</t>
  </si>
  <si>
    <t>GREP-CoA British Telecom PLC - 1.27 MSCP, 5 Capital Quarter, Tyndall St,</t>
  </si>
  <si>
    <t>GREP-CoA British Telecom PLC - 1.28 MSCP, 5 Capital Quarter, Tyndall St,</t>
  </si>
  <si>
    <t>GREP-CoA British Telecom PLC - 1.29 MSCP, 5 Capital Quarter, Tyndall St,</t>
  </si>
  <si>
    <t>GREP-CoA British Telecom PLC - 1.30 MSCP, 5 Capital Quarter, Tyndall St,</t>
  </si>
  <si>
    <t>GREP-CoA British Telecom PLC - 1.31 MSCP, 5 Capital Quarter, Tyndall St,</t>
  </si>
  <si>
    <t>GREP-CoA British Telecom PLC - 1.32 MSCP, 5 Capital Quarter, Tyndall St,</t>
  </si>
  <si>
    <t>GREP-CoA British Telecom PLC - 1.33 MSCP, 5 Capital Quarter, Tyndall St,</t>
  </si>
  <si>
    <t>GREP-CoA British Telecom PLC - 1.34 MSCP, 5 Capital Quarter, Tyndall St,</t>
  </si>
  <si>
    <t>GREP-CoA British Telecom PLC - 1.35 MSCP, 5 Capital Quarter, Tyndall St,</t>
  </si>
  <si>
    <t>GREP-CoA British Telecom PLC - 1.36 MSCP, 5 Capital Quarter, Tyndall St,</t>
  </si>
  <si>
    <t>GREP-CoA British Telecom PLC - 1.37 MSCP, 5 Capital Quarter, Tyndall St,</t>
  </si>
  <si>
    <t>GREP-CoA British Telecom PLC - 1.38 MSCP, 5 Capital Quarter, Tyndall St,</t>
  </si>
  <si>
    <t>GREP-CoA British Telecom PLC - 1.39 MSCP, 5 Capital Quarter, Tyndall St,</t>
  </si>
  <si>
    <t>GREP-CoA British Telecom PLC - 1.40 MSCP, 5 Capital Quarter, Tyndall St,</t>
  </si>
  <si>
    <t>GREP-CoA British Telecom PLC - 1.41 MSCP, 5 Capital Quarter, Tyndall St,</t>
  </si>
  <si>
    <t>GREP-CoA British Telecom PLC - 1.42 MSCP, 5 Capital Quarter, Tyndall St,</t>
  </si>
  <si>
    <t>GREP-CoA British Telecom PLC - 1.43 MSCP, 5 Capital Quarter, Tyndall St,</t>
  </si>
  <si>
    <t>GREP-CoA British Telecom PLC - 1.44 MSCP, 5 Capital Quarter, Tyndall St,</t>
  </si>
  <si>
    <t>GREP-CoA Geldards LLP - 2.01 MSCP, 5 Capital Quarter, Tyndall St,</t>
  </si>
  <si>
    <t>GREP-CoA Geldards LLP - 2.02 MSCP, 5 Capital Quarter, Tyndall St,</t>
  </si>
  <si>
    <t>GREP-CoA Geldards LLP - 2.03 MSCP, 5 Capital Quarter, Tyndall St,</t>
  </si>
  <si>
    <t>GREP-CoA Geldards LLP - 2.04 MSCP, 5 Capital Quarter, Tyndall St,</t>
  </si>
  <si>
    <t>GREP-CoA Geldards LLP - 2.05 MSCP, 5 Capital Quarter, Tyndall St,</t>
  </si>
  <si>
    <t>GREP-CoA Geldards LLP - 2.06 MSCP, 5 Capital Quarter, Tyndall St,</t>
  </si>
  <si>
    <t>GREP-CoA Geldards LLP - 2.07 MSCP, 5 Capital Quarter, Tyndall St,</t>
  </si>
  <si>
    <t>GREP-CoA Geldards LLP - 2.08 MSCP, 5 Capital Quarter, Tyndall St,</t>
  </si>
  <si>
    <t>GREP-CoA Geldards LLP - 2.09 MSCP, 5 Capital Quarter, Tyndall St,</t>
  </si>
  <si>
    <t>GREP-CoA Geldards LLP - 2.010MSCP, 5 Capital Quarter, Tyndall St,</t>
  </si>
  <si>
    <t>GREP-CoA Geldards LLP - 2.11 MSCP, 5 Capital Quarter, Tyndall St,</t>
  </si>
  <si>
    <t>GREP-CoA Geldards LLP - 2.12 MSCP, 5 Capital Quarter, Tyndall St,</t>
  </si>
  <si>
    <t>GREP-CoA Geldards LLP - 2.13 MSCP, 5 Capital Quarter, Tyndall St,</t>
  </si>
  <si>
    <t>GREP-CoA Geldards LLP - 2.14 MSCP, 5 Capital Quarter, Tyndall St,</t>
  </si>
  <si>
    <t>GREP-CoA Geldards LLP - 2.15 MSCP, 5 Capital Quarter, Tyndall St,</t>
  </si>
  <si>
    <t>GREP-CoA Geldards LLP - 2.16 MSCP, 5 Capital Quarter, Tyndall St,</t>
  </si>
  <si>
    <t>GREP-CoA Geldards LLP - 2.17 MSCP, 5 Capital Quarter, Tyndall St,</t>
  </si>
  <si>
    <t>GREP-CoA Geldards LLP - 2.18 MSCP, 5 Capital Quarter, Tyndall St,</t>
  </si>
  <si>
    <t>GREP-CoA Geldards LLP - 2.19 MSCP, 5 Capital Quarter, Tyndall St,</t>
  </si>
  <si>
    <t>GREP-CoA Geldards LLP - 2.20 MSCP, 5 Capital Quarter, Tyndall St,</t>
  </si>
  <si>
    <t>GREP-CoA Geldards LLP - 2.21 MSCP, 5 Capital Quarter, Tyndall St,</t>
  </si>
  <si>
    <t>GREP-CoA WSP UK Limited - 4.22 MSCP, 5 Capital Quarter, Tyndall St,</t>
  </si>
  <si>
    <t>GREP-CoA WSP UK Limited - 4.23 MSCP, 5 Capital Quarter, Tyndall St,</t>
  </si>
  <si>
    <t>GREP-CoA WSP UK Limited - 4.24 MSCP, 5 Capital Quarter, Tyndall St,</t>
  </si>
  <si>
    <t>GREP-CoA Geldards LLP - 2.25 MSCP, 5 Capital Quarter, Tyndall St,</t>
  </si>
  <si>
    <t>GREP-CoA Geldards LLP - 2.26 MSCP, 5 Capital Quarter, Tyndall St,</t>
  </si>
  <si>
    <t>GREP-CoA Geldards LLP - 2.27 MSCP, 5 Capital Quarter, Tyndall St,</t>
  </si>
  <si>
    <t>GREP-CoA Geldards LLP - 2.28 MSCP, 5 Capital Quarter, Tyndall St,</t>
  </si>
  <si>
    <t>GREP-CoA Geldards LLP - 2.29 MSCP, 5 Capital Quarter, Tyndall St,</t>
  </si>
  <si>
    <t>GREP-CoA Geldards LLP - 2.30 MSCP, 5 Capital Quarter, Tyndall St,</t>
  </si>
  <si>
    <t>GREP-CoA Geldards LLP - 2.31 MSCP, 5 Capital Quarter, Tyndall St,</t>
  </si>
  <si>
    <t>GREP-CoA Geldards LLP - 2.32 MSCP, 5 Capital Quarter, Tyndall St,</t>
  </si>
  <si>
    <t>GREP-CoA Geldards LLP - 2.33 MSCP, 5 Capital Quarter, Tyndall St,</t>
  </si>
  <si>
    <t>GREP-CoA Geldards LLP - 2.34 MSCP, 5 Capital Quarter, Tyndall St,</t>
  </si>
  <si>
    <t>GREP-CoA Geldards LLP - 2.35 MSCP, 5 Capital Quarter, Tyndall St,</t>
  </si>
  <si>
    <t>GREP-CoA Geldards LLP - 2.36 MSCP, 5 Capital Quarter, Tyndall St,</t>
  </si>
  <si>
    <t>GREP-CoA Geldards LLP - 2.37 MSCP, 5 Capital Quarter, Tyndall St,</t>
  </si>
  <si>
    <t>GREP-CoA Geldards LLP - 2.38 MSCP, 5 Capital Quarter, Tyndall St,</t>
  </si>
  <si>
    <t>GREP-CoA Geldards LLP - 2.39 MSCP, 5 Capital Quarter, Tyndall St,</t>
  </si>
  <si>
    <t>GREP-CoA Geldards LLP - 2.40 MSCP, 5 Capital Quarter, Tyndall St,</t>
  </si>
  <si>
    <t>GREP-CoA Geldards LLP - 2.41 MSCP, 5 Capital Quarter, Tyndall St,</t>
  </si>
  <si>
    <t>GREP-CoA Geldards LLP - 2.42 MSCP, 5 Capital Quarter, Tyndall St,</t>
  </si>
  <si>
    <t>GREP-CoA Geldards LLP - 2.43 MSCP, 5 Capital Quarter, Tyndall St,</t>
  </si>
  <si>
    <t>GREP-CoA Geldards LLP - 2.44 MSCP, 5 Capital Quarter, Tyndall St,</t>
  </si>
  <si>
    <t>Atkins Limited</t>
  </si>
  <si>
    <t>GREP-CoA Atkins Limited - 3.01 MSCP, 5 Capital Quarter, Tyndall St,</t>
  </si>
  <si>
    <t>GREP-CoA Atkins Limited - 3.02 MSCP, 5 Capital Quarter, Tyndall St,</t>
  </si>
  <si>
    <t>GREP-CoA Atkins Limited - 3.03 MSCP, 5 Capital Quarter, Tyndall St,</t>
  </si>
  <si>
    <t>GREP-CoA Atkins Limited - 3.04 MSCP, 5 Capital Quarter, Tyndall St,</t>
  </si>
  <si>
    <t>GREP-CoA Atkins Limited - 3.05 MSCP, 5 Capital Quarter, Tyndall St,</t>
  </si>
  <si>
    <t>GREP-CoA Atkins Limited - 3.06 MSCP, 5 Capital Quarter, Tyndall St,</t>
  </si>
  <si>
    <t>GREP-CoA Atkins Limited - 3.07 MSCP, 5 Capital Quarter, Tyndall St,</t>
  </si>
  <si>
    <t>GREP-CoA Atkins Limited - 3.08 MSCP, 5 Capital Quarter, Tyndall St,</t>
  </si>
  <si>
    <t>GREP-CoA Atkins Limited - 3.09 MSCP, 5 Capital Quarter, Tyndall St,</t>
  </si>
  <si>
    <t>GREP-CoA Atkins Limited - 3.10 MSCP, 5 Capital Quarter, Tyndall St,</t>
  </si>
  <si>
    <t>GREP-CoA Atkins Limited - 3.11 MSCP, 5 Capital Quarter, Tyndall St,</t>
  </si>
  <si>
    <t>GREP-CoA Atkins Limited - 3.12 MSCP, 5 Capital Quarter, Tyndall St,</t>
  </si>
  <si>
    <t>GREP-CoA Atkins Limited - 3.13 MSCP, 5 Capital Quarter, Tyndall St,</t>
  </si>
  <si>
    <t>GREP-CoA Atkins Limited - 3.14 MSCP, 5 Capital Quarter, Tyndall St,</t>
  </si>
  <si>
    <t>GREP-CoA Atkins Limited - 3.15 MSCP, 5 Capital Quarter, Tyndall St,</t>
  </si>
  <si>
    <t>GREP-CoA Atkins Limited - 3.16 MSCP, 5 Capital Quarter, Tyndall St,</t>
  </si>
  <si>
    <t>GREP-CoA Atkins Limited - 3.17 MSCP, 5 Capital Quarter, Tyndall St,</t>
  </si>
  <si>
    <t>GREP-CoA Atkins Limited - 3.18 MSCP, 5 Capital Quarter, Tyndall St,</t>
  </si>
  <si>
    <t>GREP-CoA Atkins Limited - 3.19 MSCP, 5 Capital Quarter, Tyndall St,</t>
  </si>
  <si>
    <t>GREP-CoA Atkins Limited - 3.20 MSCP, 5 Capital Quarter, Tyndall St,</t>
  </si>
  <si>
    <t>GREP-CoA Atkins Limited - 3.21 MSCP, 5 Capital Quarter, Tyndall St,</t>
  </si>
  <si>
    <t>GREP-CoA Atkins Limited - 3.22 MSCP, 5 Capital Quarter, Tyndall St,</t>
  </si>
  <si>
    <t>GREP-CoA Atkins Limited - 3.23 MSCP, 5 Capital Quarter, Tyndall St,</t>
  </si>
  <si>
    <t>GREP-CoA Atkins Limited - 3.24 MSCP, 5 Capital Quarter, Tyndall St,</t>
  </si>
  <si>
    <t>GREP-CoA WSP UK Limited - 4.25 MSCP, 5 Capital Quarter, Tyndall St,</t>
  </si>
  <si>
    <t>GREP-CoA WSP UK Limited - 4.26 MSCP, 5 Capital Quarter, Tyndall St,</t>
  </si>
  <si>
    <t>GREP-CoA WSP UK Limited - 4.27 MSCP, 5 Capital Quarter, Tyndall St,</t>
  </si>
  <si>
    <t>GREP-CoA British Telecom PLC - 3.28 MSCP, 5 Capital Quarter, Tyndall St,</t>
  </si>
  <si>
    <t>GREP-CoA British Telecom PLC - 3.29 MSCP, 5 Capital Quarter, Tyndall St,</t>
  </si>
  <si>
    <t>GREP-CoA British Telecom PLC - 3.30 MSCP, 5 Capital Quarter, Tyndall St,</t>
  </si>
  <si>
    <t>GREP-CoA British Telecom PLC - 3.31 MSCP, 5 Capital Quarter, Tyndall St,</t>
  </si>
  <si>
    <t>GREP-CoA British Telecom PLC - 3.32 MSCP, 5 Capital Quarter, Tyndall St,</t>
  </si>
  <si>
    <t>GREP-CoA British Telecom PLC - 3.33 MSCP, 5 Capital Quarter, Tyndall St,</t>
  </si>
  <si>
    <t>GREP-CoA British Telecom PLC - 3.34 MSCP, 5 Capital Quarter, Tyndall St,</t>
  </si>
  <si>
    <t>GREP-CoA British Telecom PLC - 3.35 MSCP, 5 Capital Quarter, Tyndall St,</t>
  </si>
  <si>
    <t>GREP-CoA British Telecom PLC - 3.36 MSCP, 5 Capital Quarter, Tyndall St,</t>
  </si>
  <si>
    <t>GREP-CoA British Telecom PLC - 3.37 MSCP, 5 Capital Quarter, Tyndall St,</t>
  </si>
  <si>
    <t>GREP-CoA British Telecom PLC - 3.38 MSCP, 5 Capital Quarter, Tyndall St,</t>
  </si>
  <si>
    <t>GREP-CoA British Telecom PLC - 3.39 MSCP, 5 Capital Quarter, Tyndall St,</t>
  </si>
  <si>
    <t>GREP-CoA British Telecom PLC - 3.40 MSCP, 5 Capital Quarter, Tyndall St,</t>
  </si>
  <si>
    <t>GREP-CoA British Telecom PLC - 3.41 MSCP, 5 Capital Quarter, Tyndall St,</t>
  </si>
  <si>
    <t>GREP-CoA British Telecom PLC - 3.42 MSCP, 5 Capital Quarter, Tyndall St,</t>
  </si>
  <si>
    <t>GREP-CoA British Telecom PLC - 3.43 MSCP, 5 Capital Quarter, Tyndall St,</t>
  </si>
  <si>
    <t>GREP-CoA British Telecom PLC - 3.44 MSCP, 5 Capital Quarter, Tyndall St,</t>
  </si>
  <si>
    <t>GREP-CoA Grainger Residential Limited - 4.02 MSCP, 5 Capital Quarter, Tyndall St,</t>
  </si>
  <si>
    <t>GREP-CoA Grainger Residential Limited - 4.03 MSCP, 5 Capital Quarter, Tyndall St,</t>
  </si>
  <si>
    <t>GREP-CoA Grainger Residential Limited - 4.04 MSCP, 5 Capital Quarter, Tyndall St,</t>
  </si>
  <si>
    <t>GREP-CoA Grainger Residential Limited - 4.05 MSCP, 5 Capital Quarter, Tyndall St,</t>
  </si>
  <si>
    <t>GREP-CoA Grainger Residential Limited - 4.06 MSCP, 5 Capital Quarter, Tyndall St,</t>
  </si>
  <si>
    <t>GREP-CoA Grainger Residential Limited - 4.07 MSCP, 5 Capital Quarter, Tyndall St,</t>
  </si>
  <si>
    <t>GREP-CoA Grainger Residential Limited - 4.08 MSCP, 5 Capital Quarter, Tyndall St,</t>
  </si>
  <si>
    <t>GREP-CoA Grainger Residential Limited - 4.09 MSCP, 5 Capital Quarter, Tyndall St,</t>
  </si>
  <si>
    <t>GREP-CoA Grainger Residential Limited - 4.10 MSCP, 5 Capital Quarter, Tyndall St,</t>
  </si>
  <si>
    <t>GREP-CoA Grainger Residential Limited - 4.11 MSCP, 5 Capital Quarter, Tyndall St,</t>
  </si>
  <si>
    <t>GREP-CoA Grainger Residential Limited - 4.12 MSCP, 5 Capital Quarter, Tyndall St,</t>
  </si>
  <si>
    <t>GREP-CoA Grainger Residential Limited - 4.13 MSCP, 5 Capital Quarter, Tyndall St,</t>
  </si>
  <si>
    <t>GREP-CoA Grainger Residential Limited - 4.14 MSCP, 5 Capital Quarter, Tyndall St,</t>
  </si>
  <si>
    <t>GREP-CoA Grainger Residential Limited - 4.15 MSCP, 5 Capital Quarter, Tyndall St,</t>
  </si>
  <si>
    <t>GREP-CoA Grainger Residential Limited - 4.16 MSCP, 5 Capital Quarter, Tyndall St,</t>
  </si>
  <si>
    <t>GREP-CoA Grainger Residential Limited - 4.17 MSCP, 5 Capital Quarter, Tyndall St,</t>
  </si>
  <si>
    <t>GREP-CoA Grainger Residential Limited - 4.18 MSCP, 5 Capital Quarter, Tyndall St,</t>
  </si>
  <si>
    <t>GREP-CoA Grainger Residential Limited - 4.19 MSCP, 5 Capital Quarter, Tyndall St,</t>
  </si>
  <si>
    <t>GREP-CoA Grainger Residential Limited - 4.20 MSCP, 5 Capital Quarter, Tyndall St,</t>
  </si>
  <si>
    <t>GREP-CoA Grainger Residential Limited - 4.21 MSCP, 5 Capital Quarter, Tyndall St,</t>
  </si>
  <si>
    <t>GREP-CoA Grainger Residential Limited - 4.22 MSCP, 5 Capital Quarter, Tyndall St,</t>
  </si>
  <si>
    <t>GREP-CoA Grainger Residential Limited - 4.23 MSCP, 5 Capital Quarter, Tyndall St,</t>
  </si>
  <si>
    <t>GREP-CoA Grainger Residential Limited - 4.24 MSCP, 5 Capital Quarter, Tyndall St,</t>
  </si>
  <si>
    <t>GREP-CoA Optimum Credit Limited - 4.25 MSCP, 5 Capital Quarter, Tyndall St,</t>
  </si>
  <si>
    <t>GREP-CoA Optimum Credit Limited - 4.26 MSCP, 5 Capital Quarter, Tyndall St,</t>
  </si>
  <si>
    <t>GREP-CoA Optimum Credit Limited - 4.27 MSCP, 5 Capital Quarter, Tyndall St,</t>
  </si>
  <si>
    <t>GREP-CoA Optimum Credit Limited - 4.28 MSCP, 5 Capital Quarter, Tyndall St,</t>
  </si>
  <si>
    <t>GREP-CoA Optimum Credit Limited - 4.29 MSCP, 5 Capital Quarter, Tyndall St,</t>
  </si>
  <si>
    <t>GREP-CoA Optimum Credit Limited - 4.30 MSCP, 5 Capital Quarter, Tyndall St,</t>
  </si>
  <si>
    <t>GREP-CoA Optimum Credit Limited - 4.31 MSCP, 5 Capital Quarter, Tyndall St,</t>
  </si>
  <si>
    <t>GREP-CoA Optimum Credit Limited - 4.32 MSCP, 5 Capital Quarter, Tyndall St,</t>
  </si>
  <si>
    <t>GREP-CoA Optimum Credit Limited - 4.33 MSCP, 5 Capital Quarter, Tyndall St,</t>
  </si>
  <si>
    <t>GREP-CoA Optimum Credit Limited - 4.34 MSCP, 5 Capital Quarter, Tyndall St,</t>
  </si>
  <si>
    <t>GREP-CoA Optimum Credit Limited - 4.35 MSCP, 5 Capital Quarter, Tyndall St,</t>
  </si>
  <si>
    <t>GREP-CoA Optimum Credit Limited - 4.36 MSCP, 5 Capital Quarter, Tyndall St,</t>
  </si>
  <si>
    <t>GREP-CoA WSP UK Limited - 4.37 MSCP, 5 Capital Quarter, Tyndall St,</t>
  </si>
  <si>
    <t>GREP-CoA WSP UK Limited - 4.38 MSCP, 5 Capital Quarter, Tyndall St,</t>
  </si>
  <si>
    <t>GREP-CoA WSP UK Limited - 4.39 MSCP, 5 Capital Quarter, Tyndall St,</t>
  </si>
  <si>
    <t>GREP-CoA WSP UK Limited - 4.40 MSCP, 5 Capital Quarter, Tyndall St,</t>
  </si>
  <si>
    <t>GREP-CoA WSP UK Limited - 4.41 MSCP, 5 Capital Quarter, Tyndall St,</t>
  </si>
  <si>
    <t>GREP-CoA Grainger Residential Limited - 4.42 MSCP, 5 Capital Quarter, Tyndall St,</t>
  </si>
  <si>
    <t>GREP-CoA Grainger Residential Limited - 4.43 MSCP, 5 Capital Quarter, Tyndall St,</t>
  </si>
  <si>
    <t>GREP-CoA Grainger Residential Limited - 4.44 MSCP, 5 Capital Quarter, Tyndall St,</t>
  </si>
  <si>
    <t>GREP-CoA Grainger Residential Limited - 5.02 MSCP, 5 Capital Quarter, Tyndall St,</t>
  </si>
  <si>
    <t>GREP-CoA Grainger Residential Limited - 5.03 MSCP, 5 Capital Quarter, Tyndall St,</t>
  </si>
  <si>
    <t>GREP-CoA Grainger Residential Limited - 5.04 MSCP, 5 Capital Quarter, Tyndall St,</t>
  </si>
  <si>
    <t>GREP-CoA Grainger Residential Limited - 5.05 MSCP, 5 Capital Quarter, Tyndall St,</t>
  </si>
  <si>
    <t>GREP-CoA Grainger Residential Limited - 5.06 MSCP, 5 Capital Quarter, Tyndall St,</t>
  </si>
  <si>
    <t>GREP-CoA Grainger Residential Limited - 5.07 MSCP, 5 Capital Quarter, Tyndall St,</t>
  </si>
  <si>
    <t>GREP-CoA Grainger Residential Limited - 5.08 MSCP, 5 Capital Quarter, Tyndall St,</t>
  </si>
  <si>
    <t>GREP-CoA Grainger Residential Limited - 5.09 MSCP, 5 Capital Quarter, Tyndall St,</t>
  </si>
  <si>
    <t>GREP-CoA Grainger Residential Limited - 5.10 MSCP, 5 Capital Quarter, Tyndall St,</t>
  </si>
  <si>
    <t>GREP-CoA Grainger Residential Limited - 5.11 MSCP, 5 Capital Quarter, Tyndall St,</t>
  </si>
  <si>
    <t>GREP-CoA Grainger Residential Limited - 5.12 MSCP, 5 Capital Quarter, Tyndall St,</t>
  </si>
  <si>
    <t>GREP-CoA Grainger Residential Limited - 5.13 MSCP, 5 Capital Quarter, Tyndall St,</t>
  </si>
  <si>
    <t>GREP-CoA Grainger Residential Limited - 5.14 MSCP, 5 Capital Quarter, Tyndall St,</t>
  </si>
  <si>
    <t>GREP-CoA Grainger Residential Limited - 5.15 MSCP, 5 Capital Quarter, Tyndall St,</t>
  </si>
  <si>
    <t>GREP-CoA Grainger Residential Limited - 5.16 MSCP, 5 Capital Quarter, Tyndall St,</t>
  </si>
  <si>
    <t>GREP-CoA Grainger Residential Limited - 5.17 MSCP, 5 Capital Quarter, Tyndall St,</t>
  </si>
  <si>
    <t>GREP-CoA Grainger Residential Limited - 5.18 MSCP, 5 Capital Quarter, Tyndall St,</t>
  </si>
  <si>
    <t>GREP-CoA Grainger Residential Limited - 5.19 MSCP, 5 Capital Quarter, Tyndall St,</t>
  </si>
  <si>
    <t>GREP-CoA Grainger Residential Limited - 5.20 MSCP, 5 Capital Quarter, Tyndall St,</t>
  </si>
  <si>
    <t>GREP-CoA Grainger Residential Limited - 5.21 MSCP, 5 Capital Quarter, Tyndall St,</t>
  </si>
  <si>
    <t>GREP-CoA Grainger Residential Limited - 5.22 MSCP, 5 Capital Quarter, Tyndall St,</t>
  </si>
  <si>
    <t>GREP-CoA Grainger Residential Limited - 5.23 MSCP, 5 Capital Quarter, Tyndall St,</t>
  </si>
  <si>
    <t>GREP-CoA Grainger Residential Limited - 5.24 MSCP, 5 Capital Quarter, Tyndall St,</t>
  </si>
  <si>
    <t>GREP-CoA Grainger Residential Limited - 5.25 MSCP, 5 Capital Quarter, Tyndall St,</t>
  </si>
  <si>
    <t>GREP-CoA Grainger Residential Limited - 5.26 MSCP, 5 Capital Quarter, Tyndall St,</t>
  </si>
  <si>
    <t>GREP-CoA Grainger Residential Limited - 5.27 MSCP, 5 Capital Quarter, Tyndall St,</t>
  </si>
  <si>
    <t>GREP-CoA Grainger Residential Limited - 5.28 MSCP, 5 Capital Quarter, Tyndall St,</t>
  </si>
  <si>
    <t>GREP-CoA Grainger Residential Limited - 5.209MSCP, 5 Capital Quarter, Tyndall St,</t>
  </si>
  <si>
    <t>GREP-CoA Grainger Residential Limited - 5.30 MSCP, 5 Capital Quarter, Tyndall St,</t>
  </si>
  <si>
    <t>GREP-CoA Grainger Residential Limited - 5.31 MSCP, 5 Capital Quarter, Tyndall St,</t>
  </si>
  <si>
    <t>GREP-CoA Grainger Residential Limited - 5.32 MSCP, 5 Capital Quarter, Tyndall St,</t>
  </si>
  <si>
    <t>GREP-CoA Grainger Residential Limited - 5.33 MSCP, 5 Capital Quarter, Tyndall St,</t>
  </si>
  <si>
    <t>GREP-CoA Grainger Residential Limited - 5.34 MSCP, 5 Capital Quarter, Tyndall St,</t>
  </si>
  <si>
    <t>GREP-CoA Grainger Residential Limited - 5.35 MSCP, 5 Capital Quarter, Tyndall St,</t>
  </si>
  <si>
    <t>GREP-CoA Grainger Residential Limited - 5.36 MSCP, 5 Capital Quarter, Tyndall St,</t>
  </si>
  <si>
    <t>GREP-CoA Grainger Residential Limited - 5.37 MSCP, 5 Capital Quarter, Tyndall St,</t>
  </si>
  <si>
    <t>GREP-CoA Grainger Residential Limited - 5.38 MSCP, 5 Capital Quarter, Tyndall St,</t>
  </si>
  <si>
    <t>GREP-CoA Grainger Residential Limited - 5.39 MSCP, 5 Capital Quarter, Tyndall St,</t>
  </si>
  <si>
    <t>GREP-CoA Grainger Residential Limited - 5.40 MSCP, 5 Capital Quarter, Tyndall St,</t>
  </si>
  <si>
    <t>GREP-CoA Grainger Residential Limited - 5.41 MSCP, 5 Capital Quarter, Tyndall St,</t>
  </si>
  <si>
    <t>GREP-CoA Grainger Residential Limited - 5.42 MSCP, 5 Capital Quarter, Tyndall St,</t>
  </si>
  <si>
    <t>GREP-CoA Grainger Residential Limited - 5.43 MSCP, 5 Capital Quarter, Tyndall St,</t>
  </si>
  <si>
    <t>GREP-CoA Grainger Residential Limited - 5.44 MSCP, 5 Capital Quarter, Tyndall St,</t>
  </si>
  <si>
    <t>GREP-CoA Public Health Wales NHS Trust - 6.01 MSCP, 5 Capital Quarter, Tyndall St,</t>
  </si>
  <si>
    <t>GREP-CoA Public Health Wales NHS Trust - 6.02 MSCP, 5 Capital Quarter, Tyndall St,</t>
  </si>
  <si>
    <t>GREP-CoA Public Health Wales NHS Trust - 6.03 MSCP, 5 Capital Quarter, Tyndall St,</t>
  </si>
  <si>
    <t>GREP-CoA Public Health Wales NHS Trust - 6.04 MSCP, 5 Capital Quarter, Tyndall St,</t>
  </si>
  <si>
    <t>GREP-CoA Public Health Wales NHS Trust - 6.05 MSCP, 5 Capital Quarter, Tyndall St,</t>
  </si>
  <si>
    <t>GREP-CoA Public Health Wales NHS Trust - 6.06 MSCP, 5 Capital Quarter, Tyndall St,</t>
  </si>
  <si>
    <t>GREP-CoA Public Health Wales NHS Trust - 6.07 MSCP, 5 Capital Quarter, Tyndall St,</t>
  </si>
  <si>
    <t>GREP-CoA Public Health Wales NHS Trust - 6.08 MSCP, 5 Capital Quarter, Tyndall St,</t>
  </si>
  <si>
    <t>GREP-CoA Public Health Wales NHS Trust - 6.09 MSCP, 5 Capital Quarter, Tyndall St,</t>
  </si>
  <si>
    <t>GREP-CoA Public Health Wales NHS Trust - 6.10 MSCP, 5 Capital Quarter, Tyndall St,</t>
  </si>
  <si>
    <t>GREP-CoA Public Health Wales NHS Trust - 6.11 MSCP, 5 Capital Quarter, Tyndall St,</t>
  </si>
  <si>
    <t>GREP-CoA Public Health Wales NHS Trust - 6.12 MSCP, 5 Capital Quarter, Tyndall St,</t>
  </si>
  <si>
    <t>GREP-CoA Public Health Wales NHS Trust - 6.13 MSCP, 5 Capital Quarter, Tyndall St,</t>
  </si>
  <si>
    <t>GREP-CoA Public Health Wales NHS Trust - 6.14 MSCP, 5 Capital Quarter, Tyndall St,</t>
  </si>
  <si>
    <t>GREP-CoA Public Health Wales NHS Trust - 6.15 MSCP, 5 Capital Quarter, Tyndall St,</t>
  </si>
  <si>
    <t>GREP-CoA Public Health Wales NHS Trust - 6.16 MSCP, 5 Capital Quarter, Tyndall St,</t>
  </si>
  <si>
    <t>GREP-CoA Public Health Wales NHS Trust - 6.17 MSCP, 5 Capital Quarter, Tyndall St,</t>
  </si>
  <si>
    <t>GREP-CoA Public Health Wales NHS Trust - 6.108CP, 5 Capital Quarter, Tyndall St,</t>
  </si>
  <si>
    <t>GREP-CoA Public Health Wales NHS Trust - 6.19 MSCP, 5 Capital Quarter, Tyndall St,</t>
  </si>
  <si>
    <t>GREP-CoA Public Health Wales NHS Trust - 6.20 MSCP, 5 Capital Quarter, Tyndall St,</t>
  </si>
  <si>
    <t>GREP-CoA Public Health Wales NHS Trust - 6.21 MSCP, 5 Capital Quarter, Tyndall St,</t>
  </si>
  <si>
    <t>GREP-CoA Public Health Wales NHS Trust - 6.22 MSCP, 5 Capital Quarter, Tyndall St,</t>
  </si>
  <si>
    <t>GREP-CoA Public Health Wales NHS Trust - 6.23 MSCP, 5 Capital Quarter, Tyndall St,</t>
  </si>
  <si>
    <t>GREP-CoA Public Health Wales NHS Trust - 6.24 MSCP, 5 Capital Quarter, Tyndall St,</t>
  </si>
  <si>
    <t>GREP-CoA Public Health Wales NHS Trust - 6.25 MSCP, 5 Capital Quarter, Tyndall St,</t>
  </si>
  <si>
    <t>GREP-CoA Public Health Wales NHS Trust - 6.26 MSCP, 5 Capital Quarter, Tyndall St,</t>
  </si>
  <si>
    <t>GREP-CoA Public Health Wales NHS Trust - 6.27 MSCP, 5 Capital Quarter, Tyndall St,</t>
  </si>
  <si>
    <t>GREP-CoA Public Health Wales NHS Trust - 6.28SCP, 5 Capital Quarter, Tyndall St,</t>
  </si>
  <si>
    <t>GREP-CoA Public Health Wales NHS Trust - 6.29 MSCP, 5 Capital Quarter, Tyndall St,</t>
  </si>
  <si>
    <t>GREP-CoA Public Health Wales NHS Trust - 6.30 MSCP, 5 Capital Quarter, Tyndall St,</t>
  </si>
  <si>
    <t>GREP-CoA Public Health Wales NHS Trust - 6.31 MSCP, 5 Capital Quarter, Tyndall St,</t>
  </si>
  <si>
    <t>GREP-CoA Public Health Wales NHS Trust - 6.32 MSCP, 5 Capital Quarter, Tyndall St,</t>
  </si>
  <si>
    <t>GREP-CoA Public Health Wales NHS Trust - 6.33 MSCP, 5 Capital Quarter, Tyndall St,</t>
  </si>
  <si>
    <t>GREP-CoA Public Health Wales NHS Trust - 6.34 MSCP, 5 Capital Quarter, Tyndall St,</t>
  </si>
  <si>
    <t>GREP-CoA Public Health Wales NHS Trust - 6.35 MSCP, 5 Capital Quarter, Tyndall St,</t>
  </si>
  <si>
    <t>GREP-CoA Public Health Wales NHS Trust - 6.36 MSCP, 5 Capital Quarter, Tyndall St,</t>
  </si>
  <si>
    <t>GREP-CoA Public Health Wales NHS Trust - 6.37 MSCP, 5 Capital Quarter, Tyndall St,</t>
  </si>
  <si>
    <t>GREP-CoA Public Health Wales NHS Trust - 6.38 MSCP, 5 Capital Quarter, Tyndall St,</t>
  </si>
  <si>
    <t>GREP-CoA Public Health Wales NHS Trust - 6.39 MSCP, 5 Capital Quarter, Tyndall St,</t>
  </si>
  <si>
    <t>GREP-CoA Public Health Wales NHS Trust - 6.40 MSCP, 5 Capital Quarter, Tyndall St,</t>
  </si>
  <si>
    <t>GREP-CoA Public Health Wales NHS Trust - 6.41 MSCP, 5 Capital Quarter, Tyndall St,</t>
  </si>
  <si>
    <t>GREP-CoA Public Health Wales NHS Trust - 6.42 MSCP, 5 Capital Quarter, Tyndall St,</t>
  </si>
  <si>
    <t>GREP-CoA Public Health Wales NHS Trust - 6.43 MSCP, 5 Capital Quarter, Tyndall St,</t>
  </si>
  <si>
    <t>GREP-CoA Public Health Wales NHS Trust - 6.404SCP, 5 Capital Quarter, Tyndall St,</t>
  </si>
  <si>
    <t>GREP-CoA Public Health Wales NHS Trust - 6.45 MSCP, 5 Capital Quarter, Tyndall St,</t>
  </si>
  <si>
    <t>GREP-CoA Public Health Wales NHS Trust - 6.406SCP, 5 Capital Quarter, Tyndall St,</t>
  </si>
  <si>
    <t>GREP-CoA Public Health Wales NHS Trust - 6.47 MSCP, 5 Capital Quarter, Tyndall St,</t>
  </si>
  <si>
    <t>GREP-CoA Specialist Security Co Limited - MSCP Office</t>
  </si>
  <si>
    <t>GREP-CoA Colony (Astley) Ltd - Commercial Unit 1, Great Ancoats Street</t>
  </si>
  <si>
    <t>The Victoria Altrincham Ltd</t>
  </si>
  <si>
    <t>GREP-CoA The Victoria Altrincham Ltd - Commercial Unit 2, Great Ancoats Street</t>
  </si>
  <si>
    <t>Notjust Barbers (Mcr) Ltd</t>
  </si>
  <si>
    <t>GREP-CoA Notjust Barbers (Mcr) Ltd - Commercial Unit 3, Great Ancoats Street</t>
  </si>
  <si>
    <t>Ms Haleh Hashemi Bahreman</t>
  </si>
  <si>
    <t>GREP-CoA Ms Haleh Hashemi Bahreman - 227 Maida Vale Bsmnt/Grnd/Gge</t>
  </si>
  <si>
    <t>Saleh Esfandyari</t>
  </si>
  <si>
    <t>GREP-CoA Saleh Esfandyari - 229 Maida Vale Bsmnt/Grnd Flr</t>
  </si>
  <si>
    <t>GREP-CoA Saleh Esfandyari - 231 Maida Vale Bsmnt/Grnd Flr</t>
  </si>
  <si>
    <t>GREP-CoA Salah Esfandyari - 233 Maida Vale Bsmnt/Grnd Flr</t>
  </si>
  <si>
    <t>GREP-CoA Saleh Esfandyari - 235 Maida Vale Bsmnt/Grnd Flr</t>
  </si>
  <si>
    <t>GREP-CoA Saleh Esfandyari - 237 Maida Vale Bsmnt/Grnd Flr</t>
  </si>
  <si>
    <t>GREP-CoA Saleh Esfandyari - 239 Maida Vale joint lease 237 Maida</t>
  </si>
  <si>
    <t>NWL Property Limited.</t>
  </si>
  <si>
    <t>GREP-CoA NWL Property Limited. - 241 Maida Vale Bsmnt/Grnd Flr</t>
  </si>
  <si>
    <t>Larry Seth Levin and Jeff Sherer</t>
  </si>
  <si>
    <t>GREP-CoA Larry Seth Levin and Jeff Sherer - 243 Maida Vale Bsmnt/Grnd Flr</t>
  </si>
  <si>
    <t>Sadiq Lutfi</t>
  </si>
  <si>
    <t>GREP-CoA Sadiq Lutfi - 245 Maida Vale Bsmnt/Grnd Flr</t>
  </si>
  <si>
    <t>Mr A Tasyurdu</t>
  </si>
  <si>
    <t>GREP-CoA Mr A Tasyurdu - Benson House Unit 1 Grnd Flr/Serv Yard</t>
  </si>
  <si>
    <t>Mr Robert Graham</t>
  </si>
  <si>
    <t>GREP-CoA Mr Robert Graham - Benson House Unit 2 Grnd Flr/Serv Yard</t>
  </si>
  <si>
    <t>See 317360002002</t>
  </si>
  <si>
    <t>GREP-CoA Mr Robert Graham - Benson House Unit 3 Grnd Flr/Serv Yard</t>
  </si>
  <si>
    <t>Mr Ali Yildiz</t>
  </si>
  <si>
    <t>GREP-CoA Mr Ali Yildiz - Benson House Unit 4/5 Grnd Flr/Serv Yard</t>
  </si>
  <si>
    <t>Jenny Hobson</t>
  </si>
  <si>
    <t>GREP-CoA Ms Jennifer P Hobson - Benson House Unit 6 Grnd Flr/Serv Yard</t>
  </si>
  <si>
    <t>GREP-CoA Mr Ali Yildiz - Benson House Unit 5</t>
  </si>
  <si>
    <t>Mr Everton Lloyd-Jones</t>
  </si>
  <si>
    <t>GREP-CoA Mr Everton Lloyd-Jones - 2 Wilcox Road, London, SW8 2UX</t>
  </si>
  <si>
    <t>Mr Charles N Bonsu</t>
  </si>
  <si>
    <t>GREP-CoA Mr Charles N Bonsu - 4 Wilcox Road London SW8 2UX</t>
  </si>
  <si>
    <t>Clean Living Services Limited</t>
  </si>
  <si>
    <t>GREP-CoA Joanna Pereira t/a Urban LivingConstructions. - 6 Wilcox Road London SW8 2UX</t>
  </si>
  <si>
    <t>Urban Living Constructions Limited</t>
  </si>
  <si>
    <t>GREP-CoA Joanna Pereira t/a Urban LivingConstructions. - 8 Wilcox Road London SW8 2UX</t>
  </si>
  <si>
    <t>Mr Nam Ly</t>
  </si>
  <si>
    <t>GREP-CoA Mr Nam Ly - 10 Wilcox Road London SW8 2UX</t>
  </si>
  <si>
    <t>Innova Stone Limited.</t>
  </si>
  <si>
    <t>GREP-CoA Innova Stone Limited. - 12 Wilcox Road London SW8 2UX</t>
  </si>
  <si>
    <t>Mr Peter Kevin Davies &amp; Mr Alan Sharpe</t>
  </si>
  <si>
    <t>GREP-CoA Alan Sharpe, Peter Davies and Dimitri Spyrou - 14A Wilcox Road London SW8 2UX</t>
  </si>
  <si>
    <t>Mr Peter Kevin Davies, C Gallagher &amp; A Sharpe</t>
  </si>
  <si>
    <t>GREP-CoA Mr Peter Kevin Davies, C Gallagher &amp; A Sharpe - 14b Wilcox Road London SW8 2UX</t>
  </si>
  <si>
    <t>Mr Peter Kevin Davies &amp; Mr Colin Gallagher</t>
  </si>
  <si>
    <t>GREP-CoA Colin Gallagher - 16/18 Wilcox Road London SW8 2UX</t>
  </si>
  <si>
    <t>Ms Anthonia Morgridge</t>
  </si>
  <si>
    <t>GREP-CoA Ms Anthonia Morgridge - 20 Wilcox Road London SW8 2UX</t>
  </si>
  <si>
    <t>Mr Oscar Carvalho</t>
  </si>
  <si>
    <t>GREP-CoA Mr Oscar Carvalho - 22 Wilcox Road London SW8 2UX</t>
  </si>
  <si>
    <t>Mr Saheed Olatunji Adelekan</t>
  </si>
  <si>
    <t>GREP-CoA Mr Saheed Olatunji Adelekan - 24 Wilcox Road London SW8 2UX</t>
  </si>
  <si>
    <t>Mr A A Da Silva and J A T Da Silva</t>
  </si>
  <si>
    <t>GREP-CoA Jose Antonio Teixeria Da Silva - 26 Wilcox Road London SW8 2UX</t>
  </si>
  <si>
    <t>Mr J M A Castro &amp; Mr G J Colairo</t>
  </si>
  <si>
    <t>GREP-CoA Mr J M A Castro &amp; Mr G J Colairo - 30 Wilcox Road London SW8 2UX</t>
  </si>
  <si>
    <t>Nine Elms Enterprises Ltd</t>
  </si>
  <si>
    <t>GREP-CoA Nine Elms Enterprises Ltd - 32 and 34 Wilcox Road London SW8 2UX</t>
  </si>
  <si>
    <t>Ms J Buttigieg t/a J B Upholstery</t>
  </si>
  <si>
    <t>GREP-CoA Mr Clive Stevenson t/a JB Upholstery - 36 Wilcox Road London SW8 2UX</t>
  </si>
  <si>
    <t>E Monteiro and J Caldeira</t>
  </si>
  <si>
    <t>GREP-CoA Elsa Monteiro and Ana Caldeira - 38 Wilcox Road London SW8 2UX</t>
  </si>
  <si>
    <t xml:space="preserve"> London Craftsman  Centre Ltd</t>
  </si>
  <si>
    <t>GREP-CoA London Craftsman Centre Limited. - 40 Wilcox Road London SW8 2UX</t>
  </si>
  <si>
    <t>Mr Antonio Luis Fernandes</t>
  </si>
  <si>
    <t>GREP-CoA Mr Antonio Luis Fernandes - 42 Wilcox Road London SW8 2UX</t>
  </si>
  <si>
    <t>London Craftsman Centre Limited.</t>
  </si>
  <si>
    <t>GREP-CoA London Craftsman Centre Limited. - 44 and 46 Wilcox Road London SW8 2UX</t>
  </si>
  <si>
    <t>London Craftsmen Centre Limited.</t>
  </si>
  <si>
    <t>GREP-CoA London Craftsmen Centre Limited. - 48 Wilcox Road London SW8 2UX</t>
  </si>
  <si>
    <t>GREP-CoA London Craftsmen Centre Limited. - 50 Wilcox Road London SW8 2UX</t>
  </si>
  <si>
    <t>Gemeos Limited.</t>
  </si>
  <si>
    <t>GREP-CoA Gemeos Limited. - 52/54 Wilcox Road London SW8 2UX</t>
  </si>
  <si>
    <t>Jose Abelino Quintal Da Silva</t>
  </si>
  <si>
    <t>GREP-CoA Jose Abelino Quintal Da Silva - 28 Wilcox Road London SW8 2UX</t>
  </si>
  <si>
    <t>The Sauna and Plunge Company Ltd</t>
  </si>
  <si>
    <t>GREP-CoA The Sauna and Plunge Company Ltd - 124-130 Tabernacle St Grnd Flr / Bsmt office</t>
  </si>
  <si>
    <t>dummy Opportunity exists in Salesforce</t>
  </si>
  <si>
    <t>Lift Brands UK Limited</t>
  </si>
  <si>
    <t>GREP-CoA HSTGE Ltd - Unit 18 Springfield House, Tyssen St</t>
  </si>
  <si>
    <t>Anglo American Ed Serv Ltd &amp; Lowy Anglo Ltd.</t>
  </si>
  <si>
    <t>GREP-CoA Anglo American Ed Serv Ltd &amp; Lowy Anglo Ltd. - Flat 1, 3 Bath Street, London, EC1V 9LB</t>
  </si>
  <si>
    <t>Anglo</t>
  </si>
  <si>
    <t>GREP-CoA Anglo - Flat 2, 3 Bath Street, London, EC1V 9LB</t>
  </si>
  <si>
    <t>GREP-CoA Anglo - Flat 3, 3 Bath Street, London, EC1V 9LB</t>
  </si>
  <si>
    <t>GREP-CoA Anglo - Flat 4, 3 Bath Street, London, EC1V 9LB</t>
  </si>
  <si>
    <t>GREP-CoA Anglo - Flat 5, 3 Bath Street, London, EC1V 9LB</t>
  </si>
  <si>
    <t>GREP-CoA Anglo - Flat 6, 3 Bath Street, London, EC1V 9LB</t>
  </si>
  <si>
    <t>GREP-CoA Anglo - Flat 7, 3 Bath Street, London, EC1V 9LB</t>
  </si>
  <si>
    <t>GREP-CoA Anglo - Flat 8, 3 Bath Street, London, EC1V 9LB</t>
  </si>
  <si>
    <t>GREP-CoA Anglo - Flat 9, 3 Bath Street, London, EC1V 9LB</t>
  </si>
  <si>
    <t>GREP-CoA Anglo - Flat 10, 3 Bath Street, London, EC1V 9LB</t>
  </si>
  <si>
    <t>GREP-CoA Anglo - Flat 11, 3 Bath Street, London, EC1V 9LB</t>
  </si>
  <si>
    <t>GREP-CoA Anglo - Flat 12, 3 Bath Street, London, EC1V 9LB</t>
  </si>
  <si>
    <t>GREP-CoA Anglo - Flat 13, 3 Bath Street, London, EC1V 9LB</t>
  </si>
  <si>
    <t>GREP-CoA Anglo - Flat 14, 3 Bath Street, London, EC1V 9LB</t>
  </si>
  <si>
    <t>GREP-CoA Anglo - Flat 15, 3 Bath Street, London, EC1V 9LB</t>
  </si>
  <si>
    <t>GREP-CoA Anglo - Flat 16, 3 Bath Street, London, EC1V 9LB</t>
  </si>
  <si>
    <t>Mr Firat Bagcih</t>
  </si>
  <si>
    <t>GREP-CoA Mr Firat Bagcih - Unit 1 Ability Towers, London, EC1V 5AE</t>
  </si>
  <si>
    <t>N and N Facilities Management Limited.</t>
  </si>
  <si>
    <t>GREP-CoA N and N Facilities Management Limited. - Unit 2 Ability Towers, London, EC1V 5AE</t>
  </si>
  <si>
    <t>Anglo American Educational Services Limited.</t>
  </si>
  <si>
    <t>GREP-CoA Anglo American Educational Services Limited. - Flat 1 (Block 1) Ability Towers, London, EC1V</t>
  </si>
  <si>
    <t>GREP-CoA Anglo - Flat 2 (Block 1) Ability Towers, London, EC1V</t>
  </si>
  <si>
    <t>GREP-CoA Anglo - Flat 3 (Block 1) Ability Towers, London, EC1V</t>
  </si>
  <si>
    <t>GREP-CoA Anglo - Flat 4 (Block 1) Ability Towers, London, EC1V</t>
  </si>
  <si>
    <t>GREP-CoA Anglo - Flat 5 (Block 1) Ability Towers, London, EC1V</t>
  </si>
  <si>
    <t>GREP-CoA Anglo - Flat 6 (Block 1) Ability Towers, London, EC1V</t>
  </si>
  <si>
    <t>GREP-CoA Anglo - Flat 7 (Block 1) Ability Towers, London, EC1V</t>
  </si>
  <si>
    <t>GREP-CoA Anglo - Flat 8 (Block 1) Ability Towers, London, EC1V</t>
  </si>
  <si>
    <t>GREP-CoA Anglo - Flat 9 (Block 1) Ability Towers, London, EC1V</t>
  </si>
  <si>
    <t>GREP-CoA Anglo - Flat 10 (Block 1) Ability Towers, London, EC1</t>
  </si>
  <si>
    <t>GREP-CoA Anglo - Flat 11 (Block 1) Ability Towers, London, EC1</t>
  </si>
  <si>
    <t>GREP-CoA Anglo - Flat 12 (Block 1) Ability Towers, London, EC1</t>
  </si>
  <si>
    <t>GREP-CoA Anglo - Flat 13 (Block 1) Ability Towers, London, EC1</t>
  </si>
  <si>
    <t>GREP-CoA Anglo - Flat 14 (Block 1) Ability Towers, London, EC1</t>
  </si>
  <si>
    <t>Flat 15 (Block 1) Ability Towers, London, EC</t>
  </si>
  <si>
    <t>GREP-CoA Anglo - Flat 15 (Block 1) Ability Towers, London, EC</t>
  </si>
  <si>
    <t>GREP-CoA Anglo - Flat 16 (Block 1) Ability Towers, London, EC1</t>
  </si>
  <si>
    <t>GREP-CoA Anglo - Flat 17 (Block 2) Ability Towers, London, EC1</t>
  </si>
  <si>
    <t>GREP-CoA Anglo - Flat 18 (Block 2) Ability Towers, London, EC1</t>
  </si>
  <si>
    <t>GREP-CoA Anglo - Flat 19 (Block 2) Ability Towers, London, EC1</t>
  </si>
  <si>
    <t>GREP-CoA Anglo - Flat 20 (Block 2) Ability Towers, London, EC1</t>
  </si>
  <si>
    <t>GREP-CoA Anglo - Flat 21 (Block 2) Ability Towers, London, EC1</t>
  </si>
  <si>
    <t>GREP-CoA Anglo - Flat 22 (Block 2) Ability Towers, London, EC1</t>
  </si>
  <si>
    <t>GREP-CoA Anglo - Flat 23 (Block 2) Ability Towers, London, EC1</t>
  </si>
  <si>
    <t>GREP-CoA Anglo - Flat 24 (Block 2) Ability Towers, London, EC1</t>
  </si>
  <si>
    <t>GREP-CoA Anglo - Flat 25 (Block 2) Ability Towers, London, EC1</t>
  </si>
  <si>
    <t>GREP-CoA Anglo - Flat 26 (Block 2) Ability Towers, London, EC1</t>
  </si>
  <si>
    <t>GREP-CoA Anglo - Flat 27 (Block 2) Ability Towers, London, EC1</t>
  </si>
  <si>
    <t>GREP-CoA Anglo - Flat 28 (Block 2) Ability Towers, London, EC1</t>
  </si>
  <si>
    <t>GREP-CoA Anglo - Flat 29 (Block 2) Ability Towers, London, EC1</t>
  </si>
  <si>
    <t>GREP-CoA Anglo - Flat 30 (Block 2) Ability Towers, London, EC1</t>
  </si>
  <si>
    <t>GREP-CoA Anglo - Flat 31 (Block 2) Ability Towers, London, EC1</t>
  </si>
  <si>
    <t>GREP-CoA Anglo - Flat 32 (Block 2) Ability Towers, London, EC1</t>
  </si>
  <si>
    <t>GREP-CoA Anglo - Flat 33 (Block 3) Ability Towers, London, EC1</t>
  </si>
  <si>
    <t>GREP-CoA Anglo - Flat 34 (Block 3) Ability Towers, London, EC1</t>
  </si>
  <si>
    <t>GREP-CoA Anglo - Flat 35 (Block 3) Ability Towers, London, EC1</t>
  </si>
  <si>
    <t>GREP-CoA Anglo - Flat 36 (Block 3) Ability Towers, London, EC1</t>
  </si>
  <si>
    <t>GREP-CoA Anglo - Flat 37 (Block 3) Ability Towers, London, EC1</t>
  </si>
  <si>
    <t>GREP-CoA Anglo - Flat 38 (Block 3) Ability Towers, London, EC1</t>
  </si>
  <si>
    <t>GREP-CoA Anglo - Flat 39 (Block 3) Ability Towers, London, EC1</t>
  </si>
  <si>
    <t>GREP-CoA Anglo - Flat 40 (Block 3) Ability Towers, London, EC1</t>
  </si>
  <si>
    <t>GREP-CoA Anglo - Flat 41 (Block 3) Ability Towers, London, EC1</t>
  </si>
  <si>
    <t>GREP-CoA Anglo - Flat 42 (Block 3) Ability Towers, London, EC1</t>
  </si>
  <si>
    <t>GREP-CoA Anglo - Flat 43 (Block 3) Ability Towers, London, EC1</t>
  </si>
  <si>
    <t>GREP-CoA Anglo - Flat 44 (Block 3) Ability Towers, London, EC1</t>
  </si>
  <si>
    <t>GREP-CoA Anglo - Flat 45 (Block 3) Ability Towers, London, EC1</t>
  </si>
  <si>
    <t>GREP-CoA Anglo - Flat 46 (Block 3) Ability Towers, London, EC1</t>
  </si>
  <si>
    <t>GREP-CoA Anglo - Flat 47 (Block 3) Ability Towers, London, EC1</t>
  </si>
  <si>
    <t>GREP-CoA Anglo - Flat 48 (Block 3) Ability Towers, London, EC1</t>
  </si>
  <si>
    <t>GREP-CoA Anglo - Flat 49 (Block 3) Ability Towers, London, EC1</t>
  </si>
  <si>
    <t>GREP-CoA Anglo - Flat 50 (Block 3) Ability Towers, London, EC1</t>
  </si>
  <si>
    <t>GREP-CoA Anglo - Flat 51 (Block 3) Ability Towers, London, EC1</t>
  </si>
  <si>
    <t>GREP-CoA Anglo - Flat 52 (Block 3) Ability Towers, London, EC1</t>
  </si>
  <si>
    <t>GREP-CoA Anglo - Flat 53 (Block 3) Ability Towers, London, EC1</t>
  </si>
  <si>
    <t>GREP-CoA Anglo - Flat 54 (Block 3) Ability Towers, London, EC1</t>
  </si>
  <si>
    <t>GREP-CoA Anglo - Flat 55 (Block 3) Ability Towers, London, EC1</t>
  </si>
  <si>
    <t>GREP-CoA Anglo - Flat 56 (Block 3) Ability Towers, London, EC1</t>
  </si>
  <si>
    <t>GREP-CoA Anglo - Flat 57 (Block 3) Ability Towers, London, EC1</t>
  </si>
  <si>
    <t>GREP-CoA Anglo - Flat 58 (Block 3) Ability Towers, London, EC1</t>
  </si>
  <si>
    <t>GREP-CoA Anglo - Flat 59 (Block 3) Ability Towers, London, EC1</t>
  </si>
  <si>
    <t>GREP-CoA Anglo - Flat 60 (Block 3) Ability Towers, London, EC1</t>
  </si>
  <si>
    <t>GREP-CoA Anglo - Flat 61 (Block 3) Ability Towers, London, EC1</t>
  </si>
  <si>
    <t>GREP-CoA Anglo - Flat 62 (Block 3) Ability Towers, London, EC1</t>
  </si>
  <si>
    <t>GREP-CoA Anglo - Flat 63 (Block 3) Ability Towers, London, EC1</t>
  </si>
  <si>
    <t>GREP-CoA Anglo - Flat 64 (Block 3) Ability Towers, London, EC1</t>
  </si>
  <si>
    <t>GREP-CoA Anglo - Flat 65 (Block 3) Ability Towers, London, EC1</t>
  </si>
  <si>
    <t>GREP-CoA Anglo - Flat 66 (Block 3) Ability Towers, London, EC1</t>
  </si>
  <si>
    <t>GREP-CoA Anglo - Flat 67 (Block 3) Ability Towers, London, EC1</t>
  </si>
  <si>
    <t>GREP-CoA Anglo - Flat 68 (Block 3) Ability Towers, London, EC1</t>
  </si>
  <si>
    <t>GREP-CoA Anglo - Flat 69 (Block 4) Ability Towers, London, EC1</t>
  </si>
  <si>
    <t>GREP-CoA Anglo - Flat 70 (Block 4) Ability Towers, London, EC1</t>
  </si>
  <si>
    <t>GREP-CoA Anglo - Flat 71 (Block 4) Ability Towers, London, EC1</t>
  </si>
  <si>
    <t>GREP-CoA Anglo - Flat 72 (Block 4) Ability Towers, London, EC1</t>
  </si>
  <si>
    <t>GREP-CoA Anglo - Flat 73 (Block 4) Ability Towers, London, EC1</t>
  </si>
  <si>
    <t>GREP-CoA Anglo - Flat 74 (Block 4) Ability Towers, London, EC1</t>
  </si>
  <si>
    <t>GREP-CoA Anglo - Flat 75 (Block 4) Ability Towers, London, EC1</t>
  </si>
  <si>
    <t>GREP-CoA Anglo - Flat 76 (Block 4) Ability Towers, London, EC1</t>
  </si>
  <si>
    <t>GREP-CoA Anglo - Flat 77 (Block 4) Ability Towers, London, EC1</t>
  </si>
  <si>
    <t>GREP-CoA Anglo - Flat 78 (Block 4) Ability Towers, London, EC1</t>
  </si>
  <si>
    <t>GREP-CoA Anglo - Flat 79 (Block 4) Ability Towers, London, EC1</t>
  </si>
  <si>
    <t>GREP-CoA Anglo - Flat 80 (Block 4) Ability Towers, London, EC1</t>
  </si>
  <si>
    <t>GREP-CoA Anglo - Flat 81 (Block 4) Ability Towers, London, EC1</t>
  </si>
  <si>
    <t>GREP-CoA Anglo - Flat 82 (Block 4) Ability Towers, London, EC1</t>
  </si>
  <si>
    <t>GREP-CoA Anglo - Flat 83 (Block 4) Ability Towers, London, EC1</t>
  </si>
  <si>
    <t>GREP-CoA Anglo - Flat 1,148 Central Street, London EC1V 8AY</t>
  </si>
  <si>
    <t>GREP-CoA Anglo - Flat 2,148 Central Street, London EC1V 8AY</t>
  </si>
  <si>
    <t>GREP-CoA Anglo - Flat 3,148 Central Street, London EC1V 8AY</t>
  </si>
  <si>
    <t>GREP-CoA Anglo - Flat 4,148 Central Street, London EC1V 8AY</t>
  </si>
  <si>
    <t>GREP-CoA Anglo - Flat 5,148 Central Street, London EC1V 8AY</t>
  </si>
  <si>
    <t>GREP-CoA Anglo - Flat 6,148 Central Street, London EC1V 8AY</t>
  </si>
  <si>
    <t>GREP-CoA Anglo - Flat 7,148 Central Street, London EC1V 8AY</t>
  </si>
  <si>
    <t>Sharp Limited.</t>
  </si>
  <si>
    <t>GREP-CoA Sidhe Limited. - Unit 5 Ability Plaza, London, E8</t>
  </si>
  <si>
    <t>Sidhe limited.</t>
  </si>
  <si>
    <t>GREP-CoA Sidhe limited. - Unit 6 Ability Plaza, London, E8</t>
  </si>
  <si>
    <t>Sidhe Limited.</t>
  </si>
  <si>
    <t>GREP-CoA Sidhe Limited. - Unit 7 Ability Plaza, London, E8</t>
  </si>
  <si>
    <t>GREP-CoA Sidhe Limited. - Unit 8 Ability Plaza, London, E8</t>
  </si>
  <si>
    <t>308 Ability Limited. (In liquidation)</t>
  </si>
  <si>
    <t>GREP-CoA 308 Ability Limited. (In liquidation) - 308 Ability Plaza, London, E8</t>
  </si>
  <si>
    <t>GREP-CoA Sidhe Limited. - Car Park Space 9 Ability Plaza, London, E8</t>
  </si>
  <si>
    <t>Kier Services Limited.</t>
  </si>
  <si>
    <t>GREP-CoA Kier Services Limited. - 312 Kingsland Road. London E8</t>
  </si>
  <si>
    <t>GREP-CoA Kier Services Limited. - Ability Plaza Lock Up Store</t>
  </si>
  <si>
    <t>London Power Networks Plc.</t>
  </si>
  <si>
    <t>GREP-CoA London Power Networks Plc. - Ability Plaza Electricity Chamber (TC44229)</t>
  </si>
  <si>
    <t>RWD since 2001 Ltd &amp; RWD Street Team Ltd.</t>
  </si>
  <si>
    <t>GREP-CoA RWD since 2001 Ltd &amp; RWD Street Team Ltd. - Unit GA1, 222 Kingsland Road, E2 8AX</t>
  </si>
  <si>
    <t>Skyway Charity.</t>
  </si>
  <si>
    <t>GREP-CoA Skyway Charity. - Unit GA2 Ability view, 222 Kingsland Road</t>
  </si>
  <si>
    <t>Circular UK Limited.</t>
  </si>
  <si>
    <t>GREP-CoA Circular UK Limited. - Unit GA4 Ability view, 222 Kingsland Road, Lo</t>
  </si>
  <si>
    <t>Winder Management Services Ltd.</t>
  </si>
  <si>
    <t>GREP-CoA Winder Management Services Ltd. - Unit GA5 Ability view, 222 Kingsland Road</t>
  </si>
  <si>
    <t>London Power Networks plc.</t>
  </si>
  <si>
    <t>GREP-CoA London Power Networks plc. - Elec.Transformer (40109),218-226 Kingsland Rd</t>
  </si>
  <si>
    <t>Volunteer Centre Hackney.</t>
  </si>
  <si>
    <t>GREP-CoA Volunteer Centre Hackney. - Unit 12/13 Springfield House, Tyssen Street</t>
  </si>
  <si>
    <t>Hackney Agency for Volunteering.</t>
  </si>
  <si>
    <t>GREP-CoA Hackney Agency for Volunteering. - Unit 13 Springfield House, Tyssen Street, Lon</t>
  </si>
  <si>
    <t>HSTGE Ltd</t>
  </si>
  <si>
    <t>Black PR Limited.</t>
  </si>
  <si>
    <t>GREP-CoA Black PR Limited. - Unit 19 Springfield House, Tyssen Street, Lon</t>
  </si>
  <si>
    <t>Candida Halton Ltd.</t>
  </si>
  <si>
    <t>GREP-CoA Candida Halton Ltd. - Unit 21 Springfield Hse, Tyssen St London</t>
  </si>
  <si>
    <t>The Church of England Children's Society.</t>
  </si>
  <si>
    <t>GREP-CoA The Church of England Children's Society. - Unit 24,25,84Springfield Hse,Tyssen St,London</t>
  </si>
  <si>
    <t>Lock Studios Ltd</t>
  </si>
  <si>
    <t>GREP-CoA Lock Studios Ltd - Unit 96-102 Springfield House Tyssen St</t>
  </si>
  <si>
    <t>GREP-CoA Volunteer Centre Hackney. - Car Park Space 2 Springfield House, Tyssen St</t>
  </si>
  <si>
    <t>Angels Childcare of London Limited.</t>
  </si>
  <si>
    <t>GREP-CoA Angels Childcare of London Limited. - Unit 13-15, Grove House, 11-20 Tudor Grove</t>
  </si>
  <si>
    <t>Cbuns Ltd</t>
  </si>
  <si>
    <t>GREP-CoA Cbuns Ltd - Unit 17-20, Grove House, 11-20 Tudor Grove</t>
  </si>
  <si>
    <t>GREP-CoA Angels Childcare of London Limited. - Car Space 3 (RHS) Grove House, Tudor Grove</t>
  </si>
  <si>
    <t>GREP-CoA Angels Childcare of London Limited. - Car Space 4 (RHS) Grove House, Tudor Grove</t>
  </si>
  <si>
    <t>GREP-CoA Angels Childcare of London Limited. - Car Space 5 (RHS) Grove House, Tudor Grove</t>
  </si>
  <si>
    <t>GREP-CoA Angels Childcare of London Limited. - Car Space 6 (RHS) Grove House, Tudor Grove</t>
  </si>
  <si>
    <t>Monklan Limited.</t>
  </si>
  <si>
    <t>GREP-CoA Monklan Limited. - 184 Peckham Rye, GF, London SE22 9QA</t>
  </si>
  <si>
    <t>Agreement Type</t>
  </si>
  <si>
    <t>Dummy Opportunity in Salesforce</t>
  </si>
  <si>
    <t>Commercial Lease</t>
  </si>
  <si>
    <t>Commercial Licences</t>
  </si>
  <si>
    <t>Commercial-Lets</t>
  </si>
  <si>
    <t>considered pasrt of the residential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</si>
</sst>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£&quot;#,##0.00;\-&quot;£&quot;#,##0.00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;;;"/>
    <numFmt numFmtId="169" formatCode="_-&quot;£&quot;* #,##0_-;\-&quot;£&quot;* #,##0_-;_-&quot;£&quot;* &quot;-&quot;??_-;_-@_-"/>
    <numFmt numFmtId="170" formatCode="&quot;£&quot;#,##0.00"/>
    <numFmt numFmtId="171" formatCode="&quot;#&quot;0"/>
    <numFmt numFmtId="172" formatCode="#,##0\ &quot;sq. ft.&quot;"/>
    <numFmt numFmtId="173" formatCode="#,##0\ &quot;Months&quot;"/>
    <numFmt numFmtId="174" formatCode="0\ &quot;months&quot;"/>
    <numFmt numFmtId="175" formatCode="0.0\ &quot;mths&quot;"/>
    <numFmt numFmtId="176" formatCode="&quot;£&quot;#,##0"/>
    <numFmt numFmtId="177" formatCode="0.0\ &quot;yrs&quot;"/>
    <numFmt numFmtId="178" formatCode="#,##0.00\ &quot;Years&quot;"/>
    <numFmt numFmtId="179" formatCode="&quot;$&quot;#,##0.00"/>
    <numFmt numFmtId="180" formatCode="#,##0\ &quot;days&quot;"/>
    <numFmt numFmtId="181" formatCode="d\-mmm\-yyyy"/>
    <numFmt numFmtId="182" formatCode="#,##0.00_ ;\-#,##0.00\ 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8"/>
      <color rgb="FFFFFFFF"/>
      <name val="Aptos Narrow"/>
      <family val="2"/>
      <scheme val="minor"/>
    </font>
    <font>
      <b/>
      <sz val="8"/>
      <color theme="4" tint="-0.249977111117893"/>
      <name val="Calibri"/>
      <family val="2"/>
    </font>
    <font>
      <b/>
      <i/>
      <sz val="8"/>
      <color rgb="FF3F3F3F"/>
      <name val="Aptos Narrow"/>
      <family val="2"/>
      <scheme val="minor"/>
    </font>
    <font>
      <b/>
      <sz val="8"/>
      <color rgb="FF305496"/>
      <name val="Aptos Narrow"/>
      <family val="2"/>
      <scheme val="minor"/>
    </font>
    <font>
      <b/>
      <sz val="8"/>
      <color theme="1" tint="0.249977111117893"/>
      <name val="Aptos Narrow"/>
      <family val="2"/>
      <scheme val="minor"/>
    </font>
    <font>
      <b/>
      <sz val="8"/>
      <color rgb="FF3F3F3F"/>
      <name val="Aptos Narrow"/>
      <family val="2"/>
      <scheme val="minor"/>
    </font>
    <font>
      <sz val="8"/>
      <color rgb="FF305496"/>
      <name val="Aptos Narrow"/>
      <family val="2"/>
      <scheme val="minor"/>
    </font>
    <font>
      <i/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8"/>
      <name val="Century Gothic"/>
      <family val="2"/>
    </font>
    <font>
      <b/>
      <sz val="8"/>
      <name val="Arial"/>
      <family val="2"/>
    </font>
    <font>
      <b/>
      <sz val="8"/>
      <color indexed="9"/>
      <name val="Century Gothic"/>
      <family val="2"/>
    </font>
    <font>
      <sz val="8"/>
      <name val="Century Gothic"/>
      <family val="2"/>
    </font>
    <font>
      <sz val="8"/>
      <name val="Arial"/>
      <family val="2"/>
    </font>
    <font>
      <sz val="10"/>
      <name val="Arial"/>
      <family val="2"/>
    </font>
    <font>
      <b/>
      <i/>
      <sz val="9"/>
      <color indexed="81"/>
      <name val="Tahoma"/>
      <family val="2"/>
    </font>
    <font>
      <sz val="8"/>
      <color indexed="12"/>
      <name val="Century Gothic"/>
      <family val="2"/>
    </font>
    <font>
      <b/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rgb="FFFF0000"/>
      <name val="Arial"/>
      <family val="2"/>
    </font>
    <font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8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74D4D"/>
        <bgColor rgb="FF000000"/>
      </patternFill>
    </fill>
    <fill>
      <patternFill patternType="solid">
        <fgColor rgb="FF3A7070"/>
        <bgColor rgb="FF000000"/>
      </patternFill>
    </fill>
    <fill>
      <patternFill patternType="solid">
        <fgColor rgb="FFDAE9E9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A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E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2" fillId="0" borderId="0"/>
    <xf numFmtId="167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</cellStyleXfs>
  <cellXfs count="255">
    <xf numFmtId="0" fontId="0" fillId="0" borderId="0" xfId="0"/>
    <xf numFmtId="16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66" fontId="4" fillId="0" borderId="0" xfId="1" applyFont="1" applyAlignment="1">
      <alignment horizontal="left" vertical="center"/>
    </xf>
    <xf numFmtId="169" fontId="4" fillId="0" borderId="0" xfId="1" applyNumberFormat="1" applyFont="1" applyAlignment="1">
      <alignment horizontal="left" vertical="center"/>
    </xf>
    <xf numFmtId="15" fontId="7" fillId="3" borderId="0" xfId="0" applyNumberFormat="1" applyFont="1" applyFill="1" applyAlignment="1">
      <alignment horizontal="left" vertical="center"/>
    </xf>
    <xf numFmtId="1" fontId="7" fillId="3" borderId="0" xfId="0" applyNumberFormat="1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left" vertical="center"/>
    </xf>
    <xf numFmtId="166" fontId="7" fillId="3" borderId="0" xfId="1" applyFont="1" applyFill="1" applyAlignment="1">
      <alignment horizontal="left" vertical="center"/>
    </xf>
    <xf numFmtId="169" fontId="7" fillId="3" borderId="0" xfId="1" applyNumberFormat="1" applyFont="1" applyFill="1" applyAlignment="1">
      <alignment horizontal="left" vertical="center"/>
    </xf>
    <xf numFmtId="170" fontId="6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7" fillId="4" borderId="2" xfId="0" applyFont="1" applyFill="1" applyBorder="1" applyAlignment="1" applyProtection="1">
      <alignment horizontal="left" vertical="center" wrapText="1"/>
      <protection locked="0"/>
    </xf>
    <xf numFmtId="14" fontId="7" fillId="4" borderId="2" xfId="0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49" fontId="8" fillId="5" borderId="4" xfId="0" applyNumberFormat="1" applyFont="1" applyFill="1" applyBorder="1" applyAlignment="1">
      <alignment horizontal="left" vertical="center"/>
    </xf>
    <xf numFmtId="49" fontId="8" fillId="5" borderId="6" xfId="0" applyNumberFormat="1" applyFont="1" applyFill="1" applyBorder="1" applyAlignment="1">
      <alignment horizontal="left" vertical="center"/>
    </xf>
    <xf numFmtId="49" fontId="8" fillId="5" borderId="7" xfId="0" applyNumberFormat="1" applyFont="1" applyFill="1" applyBorder="1" applyAlignment="1">
      <alignment horizontal="left" vertical="center"/>
    </xf>
    <xf numFmtId="49" fontId="8" fillId="5" borderId="1" xfId="0" applyNumberFormat="1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49" fontId="8" fillId="5" borderId="9" xfId="0" applyNumberFormat="1" applyFont="1" applyFill="1" applyBorder="1" applyAlignment="1">
      <alignment horizontal="left" vertical="center"/>
    </xf>
    <xf numFmtId="179" fontId="5" fillId="0" borderId="0" xfId="0" applyNumberFormat="1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0" fontId="3" fillId="0" borderId="0" xfId="0" applyFont="1"/>
    <xf numFmtId="0" fontId="17" fillId="0" borderId="0" xfId="0" applyFont="1"/>
    <xf numFmtId="0" fontId="18" fillId="14" borderId="13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  <xf numFmtId="14" fontId="18" fillId="14" borderId="14" xfId="0" applyNumberFormat="1" applyFont="1" applyFill="1" applyBorder="1" applyAlignment="1">
      <alignment horizontal="center" vertical="center" wrapText="1"/>
    </xf>
    <xf numFmtId="0" fontId="18" fillId="14" borderId="15" xfId="0" applyFont="1" applyFill="1" applyBorder="1" applyAlignment="1">
      <alignment horizontal="center" vertical="center" wrapText="1"/>
    </xf>
    <xf numFmtId="167" fontId="18" fillId="14" borderId="14" xfId="0" applyNumberFormat="1" applyFont="1" applyFill="1" applyBorder="1" applyAlignment="1">
      <alignment horizontal="center" vertical="center" wrapText="1"/>
    </xf>
    <xf numFmtId="165" fontId="18" fillId="14" borderId="14" xfId="0" applyNumberFormat="1" applyFont="1" applyFill="1" applyBorder="1" applyAlignment="1">
      <alignment horizontal="center" vertical="center" wrapText="1"/>
    </xf>
    <xf numFmtId="14" fontId="18" fillId="14" borderId="15" xfId="0" applyNumberFormat="1" applyFont="1" applyFill="1" applyBorder="1" applyAlignment="1">
      <alignment horizontal="center" vertical="center" wrapText="1"/>
    </xf>
    <xf numFmtId="0" fontId="18" fillId="15" borderId="16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15" fontId="21" fillId="0" borderId="18" xfId="0" applyNumberFormat="1" applyFont="1" applyBorder="1" applyAlignment="1">
      <alignment horizontal="center" vertical="center" wrapText="1"/>
    </xf>
    <xf numFmtId="14" fontId="21" fillId="0" borderId="18" xfId="0" applyNumberFormat="1" applyFont="1" applyBorder="1" applyAlignment="1">
      <alignment horizontal="center" vertical="center" wrapText="1"/>
    </xf>
    <xf numFmtId="170" fontId="21" fillId="0" borderId="18" xfId="0" applyNumberFormat="1" applyFont="1" applyBorder="1" applyAlignment="1">
      <alignment horizontal="center" vertical="center" wrapText="1"/>
    </xf>
    <xf numFmtId="170" fontId="18" fillId="15" borderId="18" xfId="0" applyNumberFormat="1" applyFont="1" applyFill="1" applyBorder="1" applyAlignment="1">
      <alignment horizontal="center" vertical="center" wrapText="1"/>
    </xf>
    <xf numFmtId="170" fontId="18" fillId="15" borderId="21" xfId="0" applyNumberFormat="1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170" fontId="21" fillId="0" borderId="19" xfId="0" applyNumberFormat="1" applyFont="1" applyBorder="1" applyAlignment="1">
      <alignment horizontal="center" vertical="center" wrapText="1"/>
    </xf>
    <xf numFmtId="170" fontId="21" fillId="0" borderId="4" xfId="0" applyNumberFormat="1" applyFont="1" applyBorder="1" applyAlignment="1">
      <alignment horizontal="left" vertical="center" wrapText="1"/>
    </xf>
    <xf numFmtId="0" fontId="21" fillId="16" borderId="0" xfId="0" applyFont="1" applyFill="1"/>
    <xf numFmtId="0" fontId="18" fillId="17" borderId="22" xfId="3" applyFont="1" applyFill="1" applyBorder="1" applyAlignment="1">
      <alignment horizontal="center" vertical="center" wrapText="1"/>
    </xf>
    <xf numFmtId="0" fontId="18" fillId="17" borderId="19" xfId="3" applyFont="1" applyFill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81" fontId="21" fillId="0" borderId="19" xfId="3" applyNumberFormat="1" applyFont="1" applyBorder="1" applyAlignment="1">
      <alignment horizontal="center" vertical="center" wrapText="1"/>
    </xf>
    <xf numFmtId="181" fontId="21" fillId="0" borderId="19" xfId="3" applyNumberFormat="1" applyFont="1" applyBorder="1" applyAlignment="1">
      <alignment horizontal="center" vertical="center"/>
    </xf>
    <xf numFmtId="14" fontId="21" fillId="0" borderId="19" xfId="3" applyNumberFormat="1" applyFont="1" applyBorder="1" applyAlignment="1">
      <alignment horizontal="center" vertical="center" wrapText="1"/>
    </xf>
    <xf numFmtId="164" fontId="21" fillId="0" borderId="19" xfId="3" applyNumberFormat="1" applyFont="1" applyBorder="1" applyAlignment="1">
      <alignment horizontal="center" vertical="center" wrapText="1"/>
    </xf>
    <xf numFmtId="170" fontId="21" fillId="0" borderId="19" xfId="4" applyNumberFormat="1" applyFont="1" applyFill="1" applyBorder="1" applyAlignment="1">
      <alignment horizontal="center" vertical="center"/>
    </xf>
    <xf numFmtId="170" fontId="18" fillId="14" borderId="19" xfId="4" applyNumberFormat="1" applyFont="1" applyFill="1" applyBorder="1" applyAlignment="1">
      <alignment horizontal="center" vertical="center"/>
    </xf>
    <xf numFmtId="170" fontId="18" fillId="0" borderId="19" xfId="4" applyNumberFormat="1" applyFont="1" applyFill="1" applyBorder="1" applyAlignment="1">
      <alignment horizontal="center" vertical="center"/>
    </xf>
    <xf numFmtId="1" fontId="21" fillId="0" borderId="19" xfId="3" applyNumberFormat="1" applyFont="1" applyBorder="1" applyAlignment="1">
      <alignment horizontal="center" vertical="center"/>
    </xf>
    <xf numFmtId="164" fontId="21" fillId="0" borderId="19" xfId="5" applyNumberFormat="1" applyFont="1" applyFill="1" applyBorder="1" applyAlignment="1">
      <alignment horizontal="center" vertical="center" wrapText="1"/>
    </xf>
    <xf numFmtId="14" fontId="21" fillId="0" borderId="19" xfId="5" applyNumberFormat="1" applyFont="1" applyFill="1" applyBorder="1" applyAlignment="1">
      <alignment horizontal="center" vertical="center" wrapText="1"/>
    </xf>
    <xf numFmtId="0" fontId="21" fillId="17" borderId="19" xfId="5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8" fillId="17" borderId="23" xfId="3" applyFont="1" applyFill="1" applyBorder="1" applyAlignment="1">
      <alignment horizontal="center" vertical="center" wrapText="1"/>
    </xf>
    <xf numFmtId="0" fontId="18" fillId="17" borderId="10" xfId="3" applyFont="1" applyFill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181" fontId="21" fillId="0" borderId="10" xfId="3" applyNumberFormat="1" applyFont="1" applyBorder="1" applyAlignment="1">
      <alignment horizontal="center" vertical="center" wrapText="1"/>
    </xf>
    <xf numFmtId="181" fontId="21" fillId="0" borderId="10" xfId="3" applyNumberFormat="1" applyFont="1" applyBorder="1" applyAlignment="1">
      <alignment horizontal="center" vertical="center"/>
    </xf>
    <xf numFmtId="181" fontId="21" fillId="18" borderId="19" xfId="3" applyNumberFormat="1" applyFont="1" applyFill="1" applyBorder="1" applyAlignment="1">
      <alignment horizontal="center" vertical="center" wrapText="1"/>
    </xf>
    <xf numFmtId="14" fontId="21" fillId="0" borderId="10" xfId="3" applyNumberFormat="1" applyFont="1" applyBorder="1" applyAlignment="1">
      <alignment horizontal="center" vertical="center" wrapText="1"/>
    </xf>
    <xf numFmtId="170" fontId="21" fillId="0" borderId="10" xfId="4" applyNumberFormat="1" applyFont="1" applyFill="1" applyBorder="1" applyAlignment="1">
      <alignment horizontal="center" vertical="center"/>
    </xf>
    <xf numFmtId="170" fontId="18" fillId="14" borderId="10" xfId="4" applyNumberFormat="1" applyFont="1" applyFill="1" applyBorder="1" applyAlignment="1">
      <alignment horizontal="center" vertical="center"/>
    </xf>
    <xf numFmtId="170" fontId="18" fillId="0" borderId="10" xfId="4" applyNumberFormat="1" applyFont="1" applyFill="1" applyBorder="1" applyAlignment="1">
      <alignment horizontal="center" vertical="center"/>
    </xf>
    <xf numFmtId="1" fontId="21" fillId="0" borderId="10" xfId="3" applyNumberFormat="1" applyFont="1" applyBorder="1" applyAlignment="1">
      <alignment horizontal="center" vertical="center"/>
    </xf>
    <xf numFmtId="164" fontId="21" fillId="0" borderId="10" xfId="5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170" fontId="21" fillId="0" borderId="21" xfId="4" applyNumberFormat="1" applyFont="1" applyFill="1" applyBorder="1" applyAlignment="1">
      <alignment horizontal="center" vertical="center"/>
    </xf>
    <xf numFmtId="0" fontId="18" fillId="0" borderId="23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1" fillId="13" borderId="10" xfId="3" applyFont="1" applyFill="1" applyBorder="1" applyAlignment="1">
      <alignment horizontal="center" vertical="center" wrapText="1"/>
    </xf>
    <xf numFmtId="181" fontId="21" fillId="18" borderId="10" xfId="3" applyNumberFormat="1" applyFont="1" applyFill="1" applyBorder="1" applyAlignment="1">
      <alignment horizontal="center" vertical="center" wrapText="1"/>
    </xf>
    <xf numFmtId="181" fontId="21" fillId="18" borderId="21" xfId="3" applyNumberFormat="1" applyFont="1" applyFill="1" applyBorder="1" applyAlignment="1">
      <alignment horizontal="center" vertical="center" wrapText="1"/>
    </xf>
    <xf numFmtId="170" fontId="21" fillId="0" borderId="21" xfId="4" applyNumberFormat="1" applyFont="1" applyFill="1" applyBorder="1" applyAlignment="1">
      <alignment horizontal="center" vertical="center" wrapText="1"/>
    </xf>
    <xf numFmtId="170" fontId="18" fillId="14" borderId="5" xfId="4" applyNumberFormat="1" applyFont="1" applyFill="1" applyBorder="1" applyAlignment="1">
      <alignment horizontal="center" vertical="center"/>
    </xf>
    <xf numFmtId="170" fontId="18" fillId="0" borderId="5" xfId="4" applyNumberFormat="1" applyFont="1" applyFill="1" applyBorder="1" applyAlignment="1">
      <alignment horizontal="center" vertical="center"/>
    </xf>
    <xf numFmtId="0" fontId="21" fillId="0" borderId="19" xfId="6" applyNumberFormat="1" applyFont="1" applyFill="1" applyBorder="1" applyAlignment="1">
      <alignment horizontal="center" vertical="center" wrapText="1"/>
    </xf>
    <xf numFmtId="0" fontId="21" fillId="13" borderId="19" xfId="3" applyFont="1" applyFill="1" applyBorder="1" applyAlignment="1">
      <alignment horizontal="center" vertical="center" wrapText="1"/>
    </xf>
    <xf numFmtId="181" fontId="21" fillId="18" borderId="7" xfId="3" applyNumberFormat="1" applyFont="1" applyFill="1" applyBorder="1" applyAlignment="1">
      <alignment horizontal="center" vertical="center"/>
    </xf>
    <xf numFmtId="14" fontId="21" fillId="0" borderId="20" xfId="3" applyNumberFormat="1" applyFont="1" applyBorder="1" applyAlignment="1">
      <alignment horizontal="center" vertical="center" wrapText="1"/>
    </xf>
    <xf numFmtId="170" fontId="21" fillId="0" borderId="19" xfId="3" applyNumberFormat="1" applyFont="1" applyBorder="1" applyAlignment="1">
      <alignment horizontal="center" vertical="center" wrapText="1"/>
    </xf>
    <xf numFmtId="166" fontId="21" fillId="0" borderId="19" xfId="5" applyFont="1" applyFill="1" applyBorder="1" applyAlignment="1">
      <alignment horizontal="center" vertical="center" wrapText="1"/>
    </xf>
    <xf numFmtId="181" fontId="21" fillId="18" borderId="1" xfId="3" applyNumberFormat="1" applyFont="1" applyFill="1" applyBorder="1" applyAlignment="1">
      <alignment horizontal="center" vertical="center"/>
    </xf>
    <xf numFmtId="170" fontId="21" fillId="0" borderId="10" xfId="3" applyNumberFormat="1" applyFont="1" applyBorder="1" applyAlignment="1">
      <alignment horizontal="center" vertical="center"/>
    </xf>
    <xf numFmtId="166" fontId="21" fillId="0" borderId="10" xfId="5" applyFont="1" applyFill="1" applyBorder="1" applyAlignment="1">
      <alignment horizontal="center" vertical="center" wrapText="1"/>
    </xf>
    <xf numFmtId="0" fontId="21" fillId="19" borderId="0" xfId="0" applyFont="1" applyFill="1"/>
    <xf numFmtId="0" fontId="18" fillId="17" borderId="23" xfId="0" applyFont="1" applyFill="1" applyBorder="1" applyAlignment="1">
      <alignment horizontal="center" vertical="center" wrapText="1"/>
    </xf>
    <xf numFmtId="0" fontId="18" fillId="17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181" fontId="21" fillId="0" borderId="10" xfId="0" applyNumberFormat="1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center" vertical="center" wrapText="1"/>
    </xf>
    <xf numFmtId="181" fontId="21" fillId="0" borderId="10" xfId="0" applyNumberFormat="1" applyFont="1" applyBorder="1" applyAlignment="1">
      <alignment horizontal="center" vertical="center" wrapText="1"/>
    </xf>
    <xf numFmtId="170" fontId="21" fillId="0" borderId="10" xfId="0" applyNumberFormat="1" applyFont="1" applyBorder="1" applyAlignment="1">
      <alignment horizontal="center" vertical="center"/>
    </xf>
    <xf numFmtId="170" fontId="18" fillId="0" borderId="10" xfId="5" applyNumberFormat="1" applyFont="1" applyFill="1" applyBorder="1" applyAlignment="1">
      <alignment horizontal="center" vertical="center" wrapText="1"/>
    </xf>
    <xf numFmtId="170" fontId="18" fillId="14" borderId="10" xfId="5" applyNumberFormat="1" applyFont="1" applyFill="1" applyBorder="1" applyAlignment="1">
      <alignment horizontal="center" vertical="center" wrapText="1"/>
    </xf>
    <xf numFmtId="170" fontId="18" fillId="17" borderId="10" xfId="5" applyNumberFormat="1" applyFont="1" applyFill="1" applyBorder="1" applyAlignment="1">
      <alignment horizontal="center" vertical="center" wrapText="1"/>
    </xf>
    <xf numFmtId="182" fontId="21" fillId="0" borderId="10" xfId="0" applyNumberFormat="1" applyFont="1" applyBorder="1" applyAlignment="1">
      <alignment horizontal="center" vertical="center"/>
    </xf>
    <xf numFmtId="170" fontId="21" fillId="0" borderId="10" xfId="5" applyNumberFormat="1" applyFont="1" applyFill="1" applyBorder="1" applyAlignment="1">
      <alignment horizontal="center" vertical="center" wrapText="1"/>
    </xf>
    <xf numFmtId="14" fontId="21" fillId="0" borderId="10" xfId="5" applyNumberFormat="1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/>
    </xf>
    <xf numFmtId="170" fontId="18" fillId="17" borderId="10" xfId="4" applyNumberFormat="1" applyFont="1" applyFill="1" applyBorder="1" applyAlignment="1">
      <alignment horizontal="center" vertical="center"/>
    </xf>
    <xf numFmtId="49" fontId="21" fillId="0" borderId="10" xfId="5" applyNumberFormat="1" applyFont="1" applyFill="1" applyBorder="1" applyAlignment="1">
      <alignment horizontal="center" vertical="center" wrapText="1"/>
    </xf>
    <xf numFmtId="170" fontId="21" fillId="0" borderId="19" xfId="5" applyNumberFormat="1" applyFont="1" applyFill="1" applyBorder="1" applyAlignment="1">
      <alignment horizontal="center" vertical="center" wrapText="1"/>
    </xf>
    <xf numFmtId="166" fontId="21" fillId="17" borderId="19" xfId="5" applyFont="1" applyFill="1" applyBorder="1" applyAlignment="1">
      <alignment horizontal="center" vertical="center" wrapText="1"/>
    </xf>
    <xf numFmtId="0" fontId="18" fillId="17" borderId="2" xfId="0" applyFont="1" applyFill="1" applyBorder="1" applyAlignment="1">
      <alignment horizontal="center" vertical="center" wrapText="1"/>
    </xf>
    <xf numFmtId="15" fontId="21" fillId="0" borderId="10" xfId="0" applyNumberFormat="1" applyFont="1" applyBorder="1" applyAlignment="1">
      <alignment horizontal="center" vertical="center" wrapText="1"/>
    </xf>
    <xf numFmtId="170" fontId="21" fillId="0" borderId="10" xfId="0" applyNumberFormat="1" applyFont="1" applyBorder="1" applyAlignment="1">
      <alignment horizontal="center" vertical="center" wrapText="1"/>
    </xf>
    <xf numFmtId="170" fontId="18" fillId="14" borderId="10" xfId="0" applyNumberFormat="1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17" borderId="26" xfId="0" applyFont="1" applyFill="1" applyBorder="1" applyAlignment="1">
      <alignment horizontal="left" vertical="center" wrapText="1"/>
    </xf>
    <xf numFmtId="0" fontId="24" fillId="0" borderId="0" xfId="0" applyFont="1"/>
    <xf numFmtId="0" fontId="18" fillId="0" borderId="3" xfId="3" applyFont="1" applyBorder="1" applyAlignment="1">
      <alignment horizontal="center" vertical="center" wrapText="1"/>
    </xf>
    <xf numFmtId="166" fontId="0" fillId="0" borderId="0" xfId="1" applyFont="1"/>
    <xf numFmtId="166" fontId="18" fillId="20" borderId="19" xfId="1" applyFont="1" applyFill="1" applyBorder="1" applyAlignment="1">
      <alignment horizontal="center" vertical="center" wrapText="1"/>
    </xf>
    <xf numFmtId="166" fontId="18" fillId="20" borderId="10" xfId="1" applyFont="1" applyFill="1" applyBorder="1" applyAlignment="1">
      <alignment horizontal="center" vertical="center" wrapText="1"/>
    </xf>
    <xf numFmtId="166" fontId="18" fillId="21" borderId="13" xfId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3" fontId="18" fillId="0" borderId="10" xfId="3" applyNumberFormat="1" applyFont="1" applyBorder="1" applyAlignment="1">
      <alignment horizontal="center" vertical="center" wrapText="1"/>
    </xf>
    <xf numFmtId="169" fontId="25" fillId="10" borderId="10" xfId="1" applyNumberFormat="1" applyFont="1" applyFill="1" applyBorder="1" applyAlignment="1">
      <alignment horizontal="left" vertical="center"/>
    </xf>
    <xf numFmtId="3" fontId="0" fillId="0" borderId="0" xfId="0" applyNumberFormat="1"/>
    <xf numFmtId="15" fontId="0" fillId="0" borderId="0" xfId="0" applyNumberFormat="1"/>
    <xf numFmtId="0" fontId="0" fillId="13" borderId="0" xfId="0" applyFill="1"/>
    <xf numFmtId="3" fontId="0" fillId="13" borderId="0" xfId="0" applyNumberFormat="1" applyFill="1"/>
    <xf numFmtId="15" fontId="0" fillId="13" borderId="0" xfId="0" applyNumberFormat="1" applyFill="1"/>
    <xf numFmtId="0" fontId="27" fillId="0" borderId="0" xfId="0" applyFont="1" applyAlignment="1">
      <alignment horizontal="left" vertical="center"/>
    </xf>
    <xf numFmtId="0" fontId="28" fillId="0" borderId="19" xfId="0" applyFont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center" vertical="center" wrapText="1"/>
    </xf>
    <xf numFmtId="0" fontId="28" fillId="17" borderId="19" xfId="3" applyFont="1" applyFill="1" applyBorder="1" applyAlignment="1">
      <alignment horizontal="center" vertical="center" wrapText="1"/>
    </xf>
    <xf numFmtId="0" fontId="28" fillId="17" borderId="19" xfId="0" applyFont="1" applyFill="1" applyBorder="1" applyAlignment="1">
      <alignment horizontal="center" vertical="center" wrapText="1"/>
    </xf>
    <xf numFmtId="0" fontId="28" fillId="0" borderId="19" xfId="3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0" fontId="26" fillId="0" borderId="0" xfId="0" applyFont="1" applyAlignment="1">
      <alignment wrapText="1"/>
    </xf>
    <xf numFmtId="15" fontId="26" fillId="0" borderId="0" xfId="0" applyNumberFormat="1" applyFont="1" applyAlignment="1">
      <alignment wrapText="1"/>
    </xf>
    <xf numFmtId="1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1" fontId="26" fillId="22" borderId="24" xfId="0" applyNumberFormat="1" applyFont="1" applyFill="1" applyBorder="1"/>
    <xf numFmtId="0" fontId="26" fillId="22" borderId="28" xfId="0" applyFont="1" applyFill="1" applyBorder="1"/>
    <xf numFmtId="0" fontId="26" fillId="22" borderId="27" xfId="0" applyFont="1" applyFill="1" applyBorder="1"/>
    <xf numFmtId="0" fontId="26" fillId="22" borderId="28" xfId="0" applyFont="1" applyFill="1" applyBorder="1" applyAlignment="1">
      <alignment wrapText="1"/>
    </xf>
    <xf numFmtId="0" fontId="26" fillId="22" borderId="24" xfId="0" applyFont="1" applyFill="1" applyBorder="1" applyAlignment="1">
      <alignment wrapText="1"/>
    </xf>
    <xf numFmtId="0" fontId="26" fillId="22" borderId="27" xfId="0" applyFont="1" applyFill="1" applyBorder="1" applyAlignment="1">
      <alignment wrapText="1"/>
    </xf>
    <xf numFmtId="15" fontId="26" fillId="22" borderId="24" xfId="0" applyNumberFormat="1" applyFont="1" applyFill="1" applyBorder="1" applyAlignment="1">
      <alignment wrapText="1"/>
    </xf>
    <xf numFmtId="1" fontId="26" fillId="0" borderId="11" xfId="0" applyNumberFormat="1" applyFont="1" applyBorder="1"/>
    <xf numFmtId="0" fontId="26" fillId="0" borderId="13" xfId="0" applyFont="1" applyBorder="1"/>
    <xf numFmtId="0" fontId="26" fillId="0" borderId="13" xfId="0" applyFont="1" applyBorder="1" applyAlignment="1">
      <alignment wrapText="1"/>
    </xf>
    <xf numFmtId="0" fontId="26" fillId="0" borderId="29" xfId="0" applyFont="1" applyBorder="1" applyAlignment="1">
      <alignment wrapText="1"/>
    </xf>
    <xf numFmtId="0" fontId="26" fillId="0" borderId="24" xfId="0" applyFont="1" applyBorder="1" applyAlignment="1">
      <alignment wrapText="1"/>
    </xf>
    <xf numFmtId="0" fontId="26" fillId="0" borderId="28" xfId="0" applyFont="1" applyBorder="1" applyAlignment="1">
      <alignment wrapText="1"/>
    </xf>
    <xf numFmtId="0" fontId="26" fillId="0" borderId="27" xfId="0" applyFont="1" applyBorder="1" applyAlignment="1">
      <alignment wrapText="1"/>
    </xf>
    <xf numFmtId="15" fontId="26" fillId="0" borderId="24" xfId="0" applyNumberFormat="1" applyFont="1" applyBorder="1" applyAlignment="1">
      <alignment wrapText="1"/>
    </xf>
    <xf numFmtId="0" fontId="26" fillId="0" borderId="27" xfId="0" applyFont="1" applyBorder="1"/>
    <xf numFmtId="1" fontId="26" fillId="0" borderId="30" xfId="0" applyNumberFormat="1" applyFont="1" applyBorder="1"/>
    <xf numFmtId="0" fontId="26" fillId="0" borderId="31" xfId="0" applyFont="1" applyBorder="1" applyAlignment="1">
      <alignment wrapText="1"/>
    </xf>
    <xf numFmtId="0" fontId="26" fillId="0" borderId="30" xfId="0" applyFont="1" applyBorder="1" applyAlignment="1">
      <alignment wrapText="1"/>
    </xf>
    <xf numFmtId="0" fontId="0" fillId="0" borderId="31" xfId="0" applyBorder="1" applyAlignment="1">
      <alignment wrapText="1"/>
    </xf>
    <xf numFmtId="15" fontId="26" fillId="0" borderId="30" xfId="0" applyNumberFormat="1" applyFont="1" applyBorder="1" applyAlignment="1">
      <alignment wrapText="1"/>
    </xf>
    <xf numFmtId="0" fontId="26" fillId="0" borderId="31" xfId="0" applyFont="1" applyBorder="1"/>
    <xf numFmtId="1" fontId="0" fillId="0" borderId="30" xfId="0" applyNumberFormat="1" applyBorder="1"/>
    <xf numFmtId="0" fontId="29" fillId="0" borderId="0" xfId="0" applyFont="1"/>
    <xf numFmtId="15" fontId="0" fillId="0" borderId="30" xfId="0" applyNumberFormat="1" applyBorder="1"/>
    <xf numFmtId="15" fontId="0" fillId="0" borderId="30" xfId="0" applyNumberFormat="1" applyBorder="1" applyAlignment="1">
      <alignment wrapText="1"/>
    </xf>
    <xf numFmtId="0" fontId="0" fillId="0" borderId="31" xfId="0" applyBorder="1"/>
    <xf numFmtId="0" fontId="0" fillId="0" borderId="30" xfId="0" applyBorder="1" applyAlignment="1">
      <alignment wrapText="1"/>
    </xf>
    <xf numFmtId="0" fontId="0" fillId="0" borderId="30" xfId="0" applyBorder="1"/>
    <xf numFmtId="0" fontId="26" fillId="22" borderId="24" xfId="0" applyFont="1" applyFill="1" applyBorder="1"/>
    <xf numFmtId="0" fontId="0" fillId="0" borderId="2" xfId="0" applyBorder="1"/>
    <xf numFmtId="0" fontId="0" fillId="0" borderId="32" xfId="0" applyBorder="1"/>
    <xf numFmtId="0" fontId="29" fillId="0" borderId="0" xfId="0" applyFont="1" applyAlignment="1">
      <alignment wrapText="1"/>
    </xf>
    <xf numFmtId="15" fontId="0" fillId="0" borderId="31" xfId="0" applyNumberFormat="1" applyBorder="1" applyAlignment="1">
      <alignment wrapText="1"/>
    </xf>
    <xf numFmtId="1" fontId="0" fillId="0" borderId="33" xfId="0" applyNumberFormat="1" applyBorder="1"/>
    <xf numFmtId="0" fontId="0" fillId="0" borderId="25" xfId="0" applyBorder="1"/>
    <xf numFmtId="0" fontId="29" fillId="0" borderId="25" xfId="0" applyFont="1" applyBorder="1"/>
    <xf numFmtId="0" fontId="0" fillId="0" borderId="25" xfId="0" applyBorder="1" applyAlignment="1">
      <alignment wrapText="1"/>
    </xf>
    <xf numFmtId="0" fontId="0" fillId="0" borderId="34" xfId="0" applyBorder="1" applyAlignment="1">
      <alignment wrapText="1"/>
    </xf>
    <xf numFmtId="15" fontId="0" fillId="0" borderId="33" xfId="0" applyNumberFormat="1" applyBorder="1"/>
    <xf numFmtId="15" fontId="0" fillId="0" borderId="25" xfId="0" applyNumberFormat="1" applyBorder="1"/>
    <xf numFmtId="15" fontId="0" fillId="0" borderId="33" xfId="0" applyNumberFormat="1" applyBorder="1" applyAlignment="1">
      <alignment wrapText="1"/>
    </xf>
    <xf numFmtId="0" fontId="0" fillId="0" borderId="34" xfId="0" applyBorder="1"/>
    <xf numFmtId="0" fontId="30" fillId="0" borderId="0" xfId="0" applyFont="1"/>
    <xf numFmtId="0" fontId="7" fillId="4" borderId="5" xfId="0" applyFont="1" applyFill="1" applyBorder="1" applyAlignment="1" applyProtection="1">
      <alignment horizontal="left" vertical="center" wrapText="1"/>
      <protection locked="0"/>
    </xf>
    <xf numFmtId="166" fontId="7" fillId="4" borderId="5" xfId="1" applyFont="1" applyFill="1" applyBorder="1" applyAlignment="1" applyProtection="1">
      <alignment horizontal="left" vertical="center" wrapText="1"/>
      <protection locked="0"/>
    </xf>
    <xf numFmtId="169" fontId="7" fillId="4" borderId="5" xfId="1" applyNumberFormat="1" applyFont="1" applyFill="1" applyBorder="1" applyAlignment="1" applyProtection="1">
      <alignment horizontal="left" vertical="center" wrapText="1"/>
      <protection locked="0"/>
    </xf>
    <xf numFmtId="0" fontId="9" fillId="6" borderId="10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0" fillId="0" borderId="10" xfId="0" applyBorder="1"/>
    <xf numFmtId="14" fontId="4" fillId="0" borderId="10" xfId="0" applyNumberFormat="1" applyFont="1" applyBorder="1" applyAlignment="1">
      <alignment horizontal="left" vertical="center"/>
    </xf>
    <xf numFmtId="0" fontId="10" fillId="7" borderId="10" xfId="0" applyFont="1" applyFill="1" applyBorder="1" applyAlignment="1">
      <alignment horizontal="left" vertical="center"/>
    </xf>
    <xf numFmtId="171" fontId="10" fillId="7" borderId="10" xfId="0" applyNumberFormat="1" applyFont="1" applyFill="1" applyBorder="1" applyAlignment="1">
      <alignment horizontal="left" vertical="center"/>
    </xf>
    <xf numFmtId="172" fontId="10" fillId="7" borderId="10" xfId="0" applyNumberFormat="1" applyFont="1" applyFill="1" applyBorder="1" applyAlignment="1">
      <alignment horizontal="left" vertical="center"/>
    </xf>
    <xf numFmtId="0" fontId="11" fillId="8" borderId="10" xfId="0" applyFont="1" applyFill="1" applyBorder="1" applyAlignment="1">
      <alignment horizontal="left" vertical="center"/>
    </xf>
    <xf numFmtId="173" fontId="11" fillId="8" borderId="10" xfId="0" applyNumberFormat="1" applyFont="1" applyFill="1" applyBorder="1" applyAlignment="1">
      <alignment horizontal="left" vertical="center"/>
    </xf>
    <xf numFmtId="49" fontId="10" fillId="7" borderId="10" xfId="0" applyNumberFormat="1" applyFont="1" applyFill="1" applyBorder="1" applyAlignment="1">
      <alignment horizontal="left" vertical="center"/>
    </xf>
    <xf numFmtId="14" fontId="10" fillId="7" borderId="10" xfId="0" applyNumberFormat="1" applyFont="1" applyFill="1" applyBorder="1" applyAlignment="1">
      <alignment horizontal="left" vertical="center"/>
    </xf>
    <xf numFmtId="174" fontId="12" fillId="0" borderId="10" xfId="0" applyNumberFormat="1" applyFont="1" applyBorder="1" applyAlignment="1">
      <alignment horizontal="left" vertical="center"/>
    </xf>
    <xf numFmtId="175" fontId="11" fillId="8" borderId="10" xfId="0" applyNumberFormat="1" applyFont="1" applyFill="1" applyBorder="1" applyAlignment="1">
      <alignment horizontal="left" vertical="center"/>
    </xf>
    <xf numFmtId="176" fontId="11" fillId="8" borderId="10" xfId="0" applyNumberFormat="1" applyFont="1" applyFill="1" applyBorder="1" applyAlignment="1">
      <alignment horizontal="left" vertical="center"/>
    </xf>
    <xf numFmtId="176" fontId="10" fillId="7" borderId="10" xfId="2" applyNumberFormat="1" applyFont="1" applyFill="1" applyBorder="1" applyAlignment="1">
      <alignment horizontal="left" vertical="center"/>
    </xf>
    <xf numFmtId="176" fontId="10" fillId="9" borderId="10" xfId="2" applyNumberFormat="1" applyFont="1" applyFill="1" applyBorder="1" applyAlignment="1">
      <alignment horizontal="left" vertical="center"/>
    </xf>
    <xf numFmtId="170" fontId="11" fillId="8" borderId="10" xfId="0" applyNumberFormat="1" applyFont="1" applyFill="1" applyBorder="1" applyAlignment="1">
      <alignment horizontal="left" vertical="center"/>
    </xf>
    <xf numFmtId="177" fontId="4" fillId="0" borderId="10" xfId="0" applyNumberFormat="1" applyFont="1" applyBorder="1" applyAlignment="1">
      <alignment horizontal="left" vertical="center"/>
    </xf>
    <xf numFmtId="176" fontId="11" fillId="10" borderId="10" xfId="0" applyNumberFormat="1" applyFont="1" applyFill="1" applyBorder="1" applyAlignment="1">
      <alignment horizontal="left" vertical="center"/>
    </xf>
    <xf numFmtId="166" fontId="11" fillId="10" borderId="10" xfId="1" applyFont="1" applyFill="1" applyBorder="1" applyAlignment="1">
      <alignment horizontal="left" vertical="center"/>
    </xf>
    <xf numFmtId="169" fontId="11" fillId="10" borderId="10" xfId="1" applyNumberFormat="1" applyFont="1" applyFill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14" fontId="14" fillId="0" borderId="10" xfId="0" applyNumberFormat="1" applyFont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/>
    </xf>
    <xf numFmtId="178" fontId="11" fillId="8" borderId="10" xfId="0" applyNumberFormat="1" applyFont="1" applyFill="1" applyBorder="1" applyAlignment="1">
      <alignment horizontal="left" vertical="center"/>
    </xf>
    <xf numFmtId="14" fontId="14" fillId="0" borderId="10" xfId="0" applyNumberFormat="1" applyFont="1" applyBorder="1" applyAlignment="1">
      <alignment horizontal="left" vertical="center" wrapText="1"/>
    </xf>
    <xf numFmtId="176" fontId="10" fillId="7" borderId="10" xfId="0" applyNumberFormat="1" applyFont="1" applyFill="1" applyBorder="1" applyAlignment="1">
      <alignment horizontal="left" vertical="center"/>
    </xf>
    <xf numFmtId="166" fontId="25" fillId="10" borderId="10" xfId="1" applyFont="1" applyFill="1" applyBorder="1" applyAlignment="1">
      <alignment horizontal="left" vertical="center"/>
    </xf>
    <xf numFmtId="176" fontId="10" fillId="12" borderId="10" xfId="2" applyNumberFormat="1" applyFont="1" applyFill="1" applyBorder="1" applyAlignment="1">
      <alignment horizontal="left" vertical="center"/>
    </xf>
    <xf numFmtId="169" fontId="15" fillId="10" borderId="10" xfId="1" applyNumberFormat="1" applyFont="1" applyFill="1" applyBorder="1" applyAlignment="1">
      <alignment horizontal="left" vertical="center"/>
    </xf>
    <xf numFmtId="166" fontId="15" fillId="10" borderId="10" xfId="1" applyFont="1" applyFill="1" applyBorder="1" applyAlignment="1">
      <alignment horizontal="left" vertical="center"/>
    </xf>
    <xf numFmtId="14" fontId="15" fillId="13" borderId="10" xfId="0" applyNumberFormat="1" applyFont="1" applyFill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3" fillId="0" borderId="10" xfId="0" applyFont="1" applyBorder="1"/>
    <xf numFmtId="0" fontId="28" fillId="14" borderId="13" xfId="0" applyFont="1" applyFill="1" applyBorder="1" applyAlignment="1">
      <alignment horizontal="center" vertical="center" wrapText="1"/>
    </xf>
    <xf numFmtId="1" fontId="31" fillId="3" borderId="0" xfId="0" applyNumberFormat="1" applyFont="1" applyFill="1" applyAlignment="1">
      <alignment horizontal="left" vertical="center"/>
    </xf>
    <xf numFmtId="0" fontId="31" fillId="4" borderId="2" xfId="0" applyFont="1" applyFill="1" applyBorder="1" applyAlignment="1" applyProtection="1">
      <alignment horizontal="left" vertical="center" wrapText="1"/>
      <protection locked="0"/>
    </xf>
    <xf numFmtId="0" fontId="0" fillId="0" borderId="35" xfId="0" applyBorder="1"/>
    <xf numFmtId="0" fontId="0" fillId="0" borderId="33" xfId="0" applyBorder="1"/>
    <xf numFmtId="0" fontId="26" fillId="0" borderId="24" xfId="0" applyFont="1" applyBorder="1"/>
    <xf numFmtId="0" fontId="26" fillId="0" borderId="28" xfId="0" applyFont="1" applyBorder="1"/>
    <xf numFmtId="0" fontId="3" fillId="13" borderId="0" xfId="0" applyFont="1" applyFill="1"/>
    <xf numFmtId="0" fontId="0" fillId="0" borderId="36" xfId="0" applyBorder="1"/>
    <xf numFmtId="0" fontId="18" fillId="14" borderId="11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26" fillId="22" borderId="24" xfId="0" applyFont="1" applyFill="1" applyBorder="1" applyAlignment="1">
      <alignment horizontal="center" wrapText="1"/>
    </xf>
    <xf numFmtId="0" fontId="26" fillId="22" borderId="28" xfId="0" applyFont="1" applyFill="1" applyBorder="1" applyAlignment="1">
      <alignment horizontal="center" wrapText="1"/>
    </xf>
    <xf numFmtId="0" fontId="26" fillId="22" borderId="27" xfId="0" applyFont="1" applyFill="1" applyBorder="1" applyAlignment="1">
      <alignment horizontal="center" wrapText="1"/>
    </xf>
    <xf numFmtId="15" fontId="26" fillId="22" borderId="24" xfId="0" applyNumberFormat="1" applyFont="1" applyFill="1" applyBorder="1" applyAlignment="1">
      <alignment horizontal="center"/>
    </xf>
    <xf numFmtId="15" fontId="26" fillId="22" borderId="28" xfId="0" applyNumberFormat="1" applyFont="1" applyFill="1" applyBorder="1" applyAlignment="1">
      <alignment horizontal="center"/>
    </xf>
    <xf numFmtId="15" fontId="26" fillId="22" borderId="27" xfId="0" applyNumberFormat="1" applyFont="1" applyFill="1" applyBorder="1" applyAlignment="1">
      <alignment horizontal="center"/>
    </xf>
  </cellXfs>
  <cellStyles count="7">
    <cellStyle name="Comma 2" xfId="4" xr:uid="{C54A5163-1A30-4CD5-AC14-F68FED1D6ED4}"/>
    <cellStyle name="Currency" xfId="1" builtinId="4"/>
    <cellStyle name="Currency 2" xfId="5" xr:uid="{28516300-2AE1-4C1A-9A12-48190099C7B5}"/>
    <cellStyle name="Currency 2 2" xfId="6" xr:uid="{C5F6A69F-6139-4EF3-A842-D346834B3DAF}"/>
    <cellStyle name="Good" xfId="2" builtinId="26"/>
    <cellStyle name="Normal" xfId="0" builtinId="0"/>
    <cellStyle name="Normal 2" xfId="3" xr:uid="{09DC80F1-5147-46D8-B74C-3FF759D252E2}"/>
  </cellStyles>
  <dxfs count="1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615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369182-77A0-CB02-343C-57FB92B37399}"/>
            </a:ext>
          </a:extLst>
        </xdr:cNvPr>
        <xdr:cNvSpPr txBox="1"/>
      </xdr:nvSpPr>
      <xdr:spPr>
        <a:xfrm>
          <a:off x="10848975" y="27557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adley Wallace" id="{6038BF33-3DDA-4E40-A953-DFD928A90026}" userId="BWallace@graingerplc.co.uk" providerId="PeoplePicker"/>
  <person displayName="Filip Pszczolkowski" id="{755A556C-EB17-4367-AA6C-972ED65011B5}" userId="FPszczolkowski@graingerplc.co.uk" providerId="PeoplePicker"/>
  <person displayName="Leo Arney" id="{54B419C8-B72F-4545-A67C-7262D23D97EB}" userId="S::LArney@graingerplc.co.uk::fbcf4ab6-270a-46a9-8d14-0a5ea7c9a868" providerId="AD"/>
  <person displayName="Daniel Hunter" id="{EED9A0B3-A032-4E65-BE32-0F72CCDBB0F8}" userId="S::dhunter@graingerplc.co.uk::96dffa4f-9a31-45b9-980f-2394eb4a4efa" providerId="AD"/>
  <person displayName="Bradley Wallace" id="{D9E90D13-0842-4B0E-BBE5-CE1A6C14B049}" userId="S::BWallace@graingerplc.co.uk::e52c59bf-3860-466d-a734-0242f29083a2" providerId="AD"/>
  <person displayName="Filip Pszczolkowski" id="{60A01E8A-FD4D-4E8C-9C39-7F937D8633E3}" userId="S::fpszczolkowski@graingerplc.co.uk::619bf254-52dc-4adc-a59b-68c6fd883f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8" dT="2023-10-04T11:55:36.57" personId="{EED9A0B3-A032-4E65-BE32-0F72CCDBB0F8}" id="{72E00440-C9F4-418E-9566-8104A0453DE4}">
    <text>Intercompany Rent</text>
  </threadedComment>
  <threadedComment ref="Y12" dT="2023-10-10T15:03:58.39" personId="{54B419C8-B72F-4545-A67C-7262D23D97EB}" id="{B5932F13-62B5-4F82-910C-F5DD343BEAF7}">
    <text>Lease says "ancillary rent commencement date - the Term Start Date" but also says that main rent until March 2023 is a peppercorn per annum (I assume this means rent free but want to double check)</text>
  </threadedComment>
  <threadedComment ref="Y47" dT="2023-10-11T13:49:15.29" personId="{54B419C8-B72F-4545-A67C-7262D23D97EB}" id="{E6410B72-8B58-4788-8B34-EB2259931E9C}">
    <text xml:space="preserve">I can't open the lease </text>
  </threadedComment>
  <threadedComment ref="AF51" dT="2023-10-11T13:54:19.12" personId="{54B419C8-B72F-4545-A67C-7262D23D97EB}" id="{2BF4BAC2-C6D3-4A00-8CDE-99CFAE0AD5A0}">
    <text>The lease quotes "the lower of £100,000 and the sum detailed on the invoices which the Tenant provides relating to the Works".</text>
  </threadedComment>
  <threadedComment ref="B52" dT="2023-10-27T12:16:19.00" personId="{54B419C8-B72F-4545-A67C-7262D23D97EB}" id="{64F4EEB7-ABD2-4528-A786-9649D0FB0F8D}">
    <text>Called Weavers Yard on Qube</text>
  </threadedComment>
  <threadedComment ref="AS52" dT="2024-09-25T14:29:32.80" personId="{D9E90D13-0842-4B0E-BBE5-CE1A6C14B049}" id="{565988F9-CC0E-45F5-A633-9B244F15815C}">
    <text>@Filip Pszczolkowski  here</text>
    <mentions>
      <mention mentionpersonId="{755A556C-EB17-4367-AA6C-972ED65011B5}" mentionId="{6B6C0DE9-7A75-41F3-BDFB-B3074FF74092}" startIndex="0" length="20"/>
    </mentions>
  </threadedComment>
  <threadedComment ref="AS52" dT="2024-09-25T14:38:47.13" personId="{60A01E8A-FD4D-4E8C-9C39-7F937D8633E3}" id="{93913E24-7D73-4338-BB8F-00EDB62BE4E4}" parentId="{565988F9-CC0E-45F5-A633-9B244F15815C}">
    <text>thank you!</text>
  </threadedComment>
  <threadedComment ref="B67" dT="2023-10-27T12:23:23.09" personId="{54B419C8-B72F-4545-A67C-7262D23D97EB}" id="{38B96763-39BA-40ED-BBF3-9FAF5BD88EA0}">
    <text>Nautilus on Qube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11" dT="2024-09-12T15:03:08.60" personId="{D9E90D13-0842-4B0E-BBE5-CE1A6C14B049}" id="{4A3826DB-6C6C-4DE4-868F-1060961B75E5}">
    <text xml:space="preserve">@Bradley Wallace </text>
    <mentions>
      <mention mentionpersonId="{6038BF33-3DDA-4E40-A953-DFD928A90026}" mentionId="{1EAB929B-FCC8-4209-835B-784292EF377B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E0C0-0CA3-44E1-8343-E04BCE01BD6E}">
  <sheetPr>
    <pageSetUpPr fitToPage="1"/>
  </sheetPr>
  <dimension ref="A1:AW103"/>
  <sheetViews>
    <sheetView showGridLines="0" topLeftCell="C1" zoomScale="106" zoomScaleNormal="110" workbookViewId="0">
      <pane xSplit="7" ySplit="4" topLeftCell="J66" activePane="bottomRight" state="frozen"/>
      <selection pane="bottomRight" activeCell="L85" sqref="L85"/>
      <selection pane="bottomLeft"/>
      <selection pane="topRight"/>
    </sheetView>
  </sheetViews>
  <sheetFormatPr defaultColWidth="11.42578125" defaultRowHeight="14.25" customHeight="1" outlineLevelCol="1"/>
  <cols>
    <col min="1" max="1" width="5.7109375" style="1" customWidth="1"/>
    <col min="2" max="2" width="17.140625" style="2" customWidth="1"/>
    <col min="3" max="3" width="16.140625" style="3" customWidth="1"/>
    <col min="4" max="4" width="20.42578125" style="3" bestFit="1" customWidth="1"/>
    <col min="5" max="5" width="22.7109375" style="3" hidden="1" customWidth="1"/>
    <col min="6" max="6" width="16.5703125" style="3" hidden="1" customWidth="1"/>
    <col min="7" max="8" width="12.5703125" style="3" hidden="1" customWidth="1"/>
    <col min="9" max="9" width="22.140625" style="2" customWidth="1"/>
    <col min="10" max="10" width="17.28515625" style="2" bestFit="1" customWidth="1"/>
    <col min="11" max="11" width="17.28515625" style="2" hidden="1" customWidth="1"/>
    <col min="12" max="12" width="58.7109375" style="144" bestFit="1" customWidth="1"/>
    <col min="13" max="13" width="45.7109375" style="144" customWidth="1"/>
    <col min="14" max="14" width="13.42578125" style="4" customWidth="1"/>
    <col min="15" max="15" width="14.28515625" style="5" customWidth="1"/>
    <col min="16" max="16" width="6.7109375" style="2" customWidth="1"/>
    <col min="17" max="17" width="7.85546875" style="2" customWidth="1"/>
    <col min="18" max="18" width="15.85546875" style="2" customWidth="1"/>
    <col min="19" max="19" width="23.85546875" style="5" bestFit="1" customWidth="1"/>
    <col min="20" max="20" width="17.140625" style="2" customWidth="1"/>
    <col min="21" max="22" width="17.140625" style="2" hidden="1" customWidth="1"/>
    <col min="23" max="23" width="9.28515625" style="2" hidden="1" customWidth="1"/>
    <col min="24" max="24" width="12.28515625" style="6" hidden="1" customWidth="1"/>
    <col min="25" max="25" width="12.28515625" style="5" hidden="1" customWidth="1"/>
    <col min="26" max="28" width="12.28515625" style="5" hidden="1" customWidth="1" outlineLevel="1"/>
    <col min="29" max="29" width="12.28515625" style="2" hidden="1" customWidth="1" collapsed="1"/>
    <col min="30" max="36" width="12.28515625" style="2" hidden="1" customWidth="1"/>
    <col min="37" max="40" width="12.28515625" style="2" hidden="1" customWidth="1" outlineLevel="1"/>
    <col min="41" max="41" width="12.28515625" style="2" hidden="1" customWidth="1" collapsed="1"/>
    <col min="42" max="42" width="12.28515625" style="2" hidden="1" customWidth="1"/>
    <col min="43" max="43" width="12.28515625" style="2" hidden="1" customWidth="1" outlineLevel="1"/>
    <col min="44" max="44" width="12.28515625" style="2" hidden="1" customWidth="1" collapsed="1"/>
    <col min="45" max="45" width="9.42578125" style="2" customWidth="1"/>
    <col min="46" max="46" width="9.140625" style="7" customWidth="1"/>
    <col min="47" max="47" width="11.140625" style="8" customWidth="1"/>
    <col min="48" max="48" width="8.42578125" style="7" customWidth="1"/>
    <col min="49" max="49" width="40.42578125" customWidth="1"/>
    <col min="50" max="16384" width="11.42578125" style="2"/>
  </cols>
  <sheetData>
    <row r="1" spans="1:48" ht="7.5" customHeight="1"/>
    <row r="2" spans="1:48" ht="14.25" customHeight="1">
      <c r="B2" s="9" t="s">
        <v>0</v>
      </c>
      <c r="C2" s="9"/>
      <c r="D2" s="9"/>
      <c r="E2" s="9"/>
      <c r="F2" s="9"/>
      <c r="G2" s="9"/>
      <c r="H2" s="9"/>
      <c r="I2" s="10"/>
      <c r="J2" s="10"/>
      <c r="K2" s="10"/>
      <c r="L2" s="239"/>
      <c r="M2" s="239"/>
      <c r="N2" s="11"/>
      <c r="O2" s="10"/>
      <c r="P2" s="10"/>
      <c r="Q2" s="10"/>
      <c r="R2" s="10"/>
      <c r="S2" s="9"/>
      <c r="T2" s="9"/>
      <c r="U2" s="9"/>
      <c r="V2" s="9"/>
      <c r="W2" s="9"/>
      <c r="X2" s="11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12"/>
      <c r="AU2" s="13"/>
      <c r="AV2" s="12"/>
    </row>
    <row r="3" spans="1:48" ht="7.5" customHeight="1">
      <c r="X3" s="4"/>
      <c r="AB3" s="14"/>
    </row>
    <row r="4" spans="1:48" s="19" customFormat="1" ht="22.5" customHeight="1">
      <c r="A4" s="15"/>
      <c r="B4" s="16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240" t="s">
        <v>11</v>
      </c>
      <c r="M4" s="240" t="s">
        <v>12</v>
      </c>
      <c r="N4" s="18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17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8" t="s">
        <v>23</v>
      </c>
      <c r="Y4" s="17" t="s">
        <v>24</v>
      </c>
      <c r="Z4" s="17" t="s">
        <v>25</v>
      </c>
      <c r="AA4" s="17" t="s">
        <v>26</v>
      </c>
      <c r="AB4" s="17" t="s">
        <v>27</v>
      </c>
      <c r="AC4" s="17" t="s">
        <v>28</v>
      </c>
      <c r="AD4" s="17" t="s">
        <v>29</v>
      </c>
      <c r="AE4" s="17" t="s">
        <v>30</v>
      </c>
      <c r="AF4" s="17" t="s">
        <v>31</v>
      </c>
      <c r="AG4" s="17" t="s">
        <v>32</v>
      </c>
      <c r="AH4" s="17" t="s">
        <v>33</v>
      </c>
      <c r="AI4" s="17" t="s">
        <v>34</v>
      </c>
      <c r="AJ4" s="17" t="s">
        <v>35</v>
      </c>
      <c r="AK4" s="17" t="s">
        <v>36</v>
      </c>
      <c r="AL4" s="17" t="s">
        <v>37</v>
      </c>
      <c r="AM4" s="17" t="s">
        <v>38</v>
      </c>
      <c r="AN4" s="17" t="s">
        <v>39</v>
      </c>
      <c r="AO4" s="17" t="s">
        <v>40</v>
      </c>
      <c r="AP4" s="17" t="s">
        <v>41</v>
      </c>
      <c r="AQ4" s="17" t="s">
        <v>42</v>
      </c>
      <c r="AR4" s="17" t="s">
        <v>43</v>
      </c>
      <c r="AS4" s="201" t="s">
        <v>44</v>
      </c>
      <c r="AT4" s="202" t="s">
        <v>45</v>
      </c>
      <c r="AU4" s="203" t="s">
        <v>46</v>
      </c>
      <c r="AV4" s="202" t="s">
        <v>47</v>
      </c>
    </row>
    <row r="5" spans="1:48" ht="14.25" customHeight="1">
      <c r="A5" s="1" t="s">
        <v>48</v>
      </c>
      <c r="B5" s="20" t="s">
        <v>49</v>
      </c>
      <c r="C5" s="204" t="s">
        <v>49</v>
      </c>
      <c r="D5" s="204" t="s">
        <v>50</v>
      </c>
      <c r="E5" s="204" t="s">
        <v>51</v>
      </c>
      <c r="F5" s="204"/>
      <c r="G5" s="204" t="s">
        <v>52</v>
      </c>
      <c r="H5" s="204" t="s">
        <v>53</v>
      </c>
      <c r="I5" s="205" t="s">
        <v>54</v>
      </c>
      <c r="J5" s="205">
        <v>222577002</v>
      </c>
      <c r="K5" s="206">
        <v>222577002</v>
      </c>
      <c r="L5" s="237" t="s">
        <v>55</v>
      </c>
      <c r="M5" s="237" t="s">
        <v>56</v>
      </c>
      <c r="N5" s="207" t="s">
        <v>57</v>
      </c>
      <c r="O5" s="208" t="s">
        <v>58</v>
      </c>
      <c r="P5" s="209">
        <v>1</v>
      </c>
      <c r="Q5" s="209">
        <v>1</v>
      </c>
      <c r="R5" s="210">
        <v>1249</v>
      </c>
      <c r="S5" s="208" t="s">
        <v>59</v>
      </c>
      <c r="T5" s="211"/>
      <c r="U5" s="211" t="s">
        <v>60</v>
      </c>
      <c r="V5" s="212" t="s">
        <v>61</v>
      </c>
      <c r="W5" s="213"/>
      <c r="X5" s="214">
        <v>45449</v>
      </c>
      <c r="Y5" s="214">
        <v>45571</v>
      </c>
      <c r="Z5" s="215" t="s">
        <v>60</v>
      </c>
      <c r="AA5" s="216">
        <v>4.0109545085430041</v>
      </c>
      <c r="AB5" s="217">
        <v>-6684.9241809050072</v>
      </c>
      <c r="AC5" s="214">
        <v>47275</v>
      </c>
      <c r="AD5" s="214">
        <v>46544</v>
      </c>
      <c r="AE5" s="214">
        <v>49101</v>
      </c>
      <c r="AF5" s="218"/>
      <c r="AG5" s="219">
        <v>20000</v>
      </c>
      <c r="AH5" s="220">
        <v>16.012810248198559</v>
      </c>
      <c r="AI5" s="217">
        <v>17770.213319938866</v>
      </c>
      <c r="AJ5" s="217"/>
      <c r="AK5" s="216">
        <v>0</v>
      </c>
      <c r="AL5" s="216">
        <v>4.0109545085430041</v>
      </c>
      <c r="AM5" s="217">
        <v>6684.9241809050072</v>
      </c>
      <c r="AN5" s="221">
        <v>9.9988446022940387</v>
      </c>
      <c r="AO5" s="221">
        <v>9.2897261050338642</v>
      </c>
      <c r="AP5" s="221">
        <v>4.2903038038868448</v>
      </c>
      <c r="AQ5" s="221">
        <v>2.9980106351347131</v>
      </c>
      <c r="AR5" s="221">
        <v>2.288892137874539</v>
      </c>
      <c r="AS5" s="222">
        <v>20000</v>
      </c>
      <c r="AT5" s="223">
        <v>16.012810248198559</v>
      </c>
      <c r="AU5" s="224"/>
      <c r="AV5" s="223"/>
    </row>
    <row r="6" spans="1:48" ht="14.25" customHeight="1">
      <c r="A6" s="1" t="s">
        <v>62</v>
      </c>
      <c r="B6" s="21" t="s">
        <v>49</v>
      </c>
      <c r="C6" s="204" t="s">
        <v>49</v>
      </c>
      <c r="D6" s="204" t="s">
        <v>50</v>
      </c>
      <c r="E6" s="204" t="s">
        <v>51</v>
      </c>
      <c r="F6" s="204"/>
      <c r="G6" s="204" t="s">
        <v>52</v>
      </c>
      <c r="H6" s="204" t="s">
        <v>53</v>
      </c>
      <c r="I6" s="205" t="s">
        <v>63</v>
      </c>
      <c r="J6" s="205">
        <v>222577003</v>
      </c>
      <c r="K6" s="206">
        <v>222577003</v>
      </c>
      <c r="L6" s="237" t="s">
        <v>64</v>
      </c>
      <c r="M6" s="237" t="s">
        <v>65</v>
      </c>
      <c r="N6" s="207">
        <v>43142</v>
      </c>
      <c r="O6" s="208" t="s">
        <v>58</v>
      </c>
      <c r="P6" s="209">
        <v>1</v>
      </c>
      <c r="Q6" s="209">
        <v>1</v>
      </c>
      <c r="R6" s="210">
        <v>1461</v>
      </c>
      <c r="S6" s="208" t="s">
        <v>66</v>
      </c>
      <c r="T6" s="211"/>
      <c r="U6" s="211" t="s">
        <v>60</v>
      </c>
      <c r="V6" s="212" t="s">
        <v>61</v>
      </c>
      <c r="W6" s="213"/>
      <c r="X6" s="214">
        <v>43817</v>
      </c>
      <c r="Y6" s="214">
        <v>43879</v>
      </c>
      <c r="Z6" s="215" t="s">
        <v>60</v>
      </c>
      <c r="AA6" s="216">
        <v>2.0383539305710352</v>
      </c>
      <c r="AB6" s="217">
        <v>-3736.9822060468978</v>
      </c>
      <c r="AC6" s="214">
        <v>45644</v>
      </c>
      <c r="AD6" s="214">
        <v>44913</v>
      </c>
      <c r="AE6" s="214">
        <v>47469</v>
      </c>
      <c r="AF6" s="218"/>
      <c r="AG6" s="219">
        <v>22000</v>
      </c>
      <c r="AH6" s="220">
        <v>15.058179329226558</v>
      </c>
      <c r="AI6" s="217">
        <v>20754.649997903813</v>
      </c>
      <c r="AJ6" s="217"/>
      <c r="AK6" s="216">
        <v>0</v>
      </c>
      <c r="AL6" s="216">
        <v>2.0383539305710352</v>
      </c>
      <c r="AM6" s="217">
        <v>3736.9822060468978</v>
      </c>
      <c r="AN6" s="221">
        <v>9.9988446022940387</v>
      </c>
      <c r="AO6" s="221">
        <v>4.8214581995180179</v>
      </c>
      <c r="AP6" s="221" t="s">
        <v>60</v>
      </c>
      <c r="AQ6" s="221">
        <v>3.0007485443905439</v>
      </c>
      <c r="AR6" s="221" t="s">
        <v>60</v>
      </c>
      <c r="AS6" s="222">
        <v>21900</v>
      </c>
      <c r="AT6" s="223">
        <v>14.989733059548255</v>
      </c>
      <c r="AU6" s="224"/>
      <c r="AV6" s="223"/>
    </row>
    <row r="7" spans="1:48" ht="14.25" customHeight="1">
      <c r="A7" s="1" t="s">
        <v>67</v>
      </c>
      <c r="B7" s="21" t="s">
        <v>49</v>
      </c>
      <c r="C7" s="204" t="s">
        <v>49</v>
      </c>
      <c r="D7" s="204" t="s">
        <v>50</v>
      </c>
      <c r="E7" s="204" t="s">
        <v>51</v>
      </c>
      <c r="F7" s="204"/>
      <c r="G7" s="204" t="s">
        <v>52</v>
      </c>
      <c r="H7" s="204" t="s">
        <v>53</v>
      </c>
      <c r="I7" s="205" t="s">
        <v>68</v>
      </c>
      <c r="J7" s="205">
        <v>222577001</v>
      </c>
      <c r="K7" s="206">
        <v>222577001</v>
      </c>
      <c r="L7" s="237" t="s">
        <v>69</v>
      </c>
      <c r="M7" s="237" t="s">
        <v>70</v>
      </c>
      <c r="N7" s="207">
        <v>43318</v>
      </c>
      <c r="O7" s="208" t="s">
        <v>58</v>
      </c>
      <c r="P7" s="209">
        <v>2</v>
      </c>
      <c r="Q7" s="209">
        <v>1</v>
      </c>
      <c r="R7" s="210">
        <v>3832</v>
      </c>
      <c r="S7" s="208" t="s">
        <v>71</v>
      </c>
      <c r="T7" s="211"/>
      <c r="U7" s="211" t="s">
        <v>60</v>
      </c>
      <c r="V7" s="212" t="s">
        <v>61</v>
      </c>
      <c r="W7" s="213"/>
      <c r="X7" s="214">
        <v>43616</v>
      </c>
      <c r="Y7" s="214">
        <v>43799</v>
      </c>
      <c r="Z7" s="215" t="s">
        <v>60</v>
      </c>
      <c r="AA7" s="216">
        <v>6.0164317628145065</v>
      </c>
      <c r="AB7" s="217">
        <v>-31242.282282430377</v>
      </c>
      <c r="AC7" s="214">
        <v>45443</v>
      </c>
      <c r="AD7" s="214">
        <v>47268</v>
      </c>
      <c r="AE7" s="214">
        <v>49094</v>
      </c>
      <c r="AF7" s="218"/>
      <c r="AG7" s="219">
        <v>62313.91</v>
      </c>
      <c r="AH7" s="220">
        <v>16.261458768267225</v>
      </c>
      <c r="AI7" s="217">
        <v>59189.320757432681</v>
      </c>
      <c r="AJ7" s="217"/>
      <c r="AK7" s="216">
        <v>0</v>
      </c>
      <c r="AL7" s="216">
        <v>6.0164317628145065</v>
      </c>
      <c r="AM7" s="217">
        <v>31242.282282430377</v>
      </c>
      <c r="AN7" s="221">
        <v>14.998266903441058</v>
      </c>
      <c r="AO7" s="221">
        <v>9.2705607402430488</v>
      </c>
      <c r="AP7" s="221" t="s">
        <v>60</v>
      </c>
      <c r="AQ7" s="221">
        <v>9.9988446022940387</v>
      </c>
      <c r="AR7" s="221">
        <v>4.2711384390960294</v>
      </c>
      <c r="AS7" s="222">
        <v>54800</v>
      </c>
      <c r="AT7" s="223">
        <v>14.30062630480167</v>
      </c>
      <c r="AU7" s="224"/>
      <c r="AV7" s="223"/>
    </row>
    <row r="8" spans="1:48" ht="14.25" customHeight="1">
      <c r="A8" s="1" t="s">
        <v>72</v>
      </c>
      <c r="B8" s="21" t="s">
        <v>49</v>
      </c>
      <c r="C8" s="204" t="s">
        <v>49</v>
      </c>
      <c r="D8" s="204" t="s">
        <v>50</v>
      </c>
      <c r="E8" s="204" t="s">
        <v>51</v>
      </c>
      <c r="F8" s="204"/>
      <c r="G8" s="204" t="s">
        <v>52</v>
      </c>
      <c r="H8" s="204" t="s">
        <v>53</v>
      </c>
      <c r="I8" s="205" t="s">
        <v>73</v>
      </c>
      <c r="J8" s="205">
        <v>222577005</v>
      </c>
      <c r="K8" s="206">
        <v>222577005</v>
      </c>
      <c r="L8" s="237" t="s">
        <v>74</v>
      </c>
      <c r="M8" s="237" t="s">
        <v>75</v>
      </c>
      <c r="N8" s="207">
        <v>43142</v>
      </c>
      <c r="O8" s="208" t="s">
        <v>58</v>
      </c>
      <c r="P8" s="209">
        <v>2</v>
      </c>
      <c r="Q8" s="209">
        <v>1</v>
      </c>
      <c r="R8" s="210">
        <v>2388</v>
      </c>
      <c r="S8" s="208" t="s">
        <v>76</v>
      </c>
      <c r="T8" s="211"/>
      <c r="U8" s="211" t="s">
        <v>60</v>
      </c>
      <c r="V8" s="212" t="s">
        <v>61</v>
      </c>
      <c r="W8" s="213"/>
      <c r="X8" s="214">
        <v>44124</v>
      </c>
      <c r="Y8" s="214" t="s">
        <v>60</v>
      </c>
      <c r="Z8" s="215" t="s">
        <v>60</v>
      </c>
      <c r="AA8" s="216" t="s">
        <v>60</v>
      </c>
      <c r="AB8" s="217" t="s">
        <v>60</v>
      </c>
      <c r="AC8" s="214"/>
      <c r="AD8" s="214"/>
      <c r="AE8" s="214">
        <v>45949</v>
      </c>
      <c r="AF8" s="218"/>
      <c r="AG8" s="219"/>
      <c r="AH8" s="220">
        <v>0</v>
      </c>
      <c r="AI8" s="217">
        <v>0</v>
      </c>
      <c r="AJ8" s="217"/>
      <c r="AK8" s="216" t="s">
        <v>60</v>
      </c>
      <c r="AL8" s="216" t="s">
        <v>60</v>
      </c>
      <c r="AM8" s="217" t="s">
        <v>60</v>
      </c>
      <c r="AN8" s="221">
        <v>4.996684391891189</v>
      </c>
      <c r="AO8" s="221">
        <v>0.65983613065521995</v>
      </c>
      <c r="AP8" s="221" t="s">
        <v>60</v>
      </c>
      <c r="AQ8" s="221" t="s">
        <v>60</v>
      </c>
      <c r="AR8" s="221" t="s">
        <v>60</v>
      </c>
      <c r="AS8" s="222">
        <v>41800</v>
      </c>
      <c r="AT8" s="223">
        <v>17.504187604690117</v>
      </c>
      <c r="AU8" s="224"/>
      <c r="AV8" s="223"/>
    </row>
    <row r="9" spans="1:48" ht="14.25" customHeight="1">
      <c r="B9" s="21"/>
      <c r="C9" s="204"/>
      <c r="D9" s="204"/>
      <c r="E9" s="204"/>
      <c r="F9" s="204"/>
      <c r="G9" s="204"/>
      <c r="H9" s="204"/>
      <c r="I9" s="205"/>
      <c r="J9" s="225">
        <v>222577004</v>
      </c>
      <c r="K9" s="206">
        <v>222577004</v>
      </c>
      <c r="L9" s="237" t="s">
        <v>77</v>
      </c>
      <c r="M9" s="237" t="s">
        <v>78</v>
      </c>
      <c r="N9" s="207"/>
      <c r="O9" s="208"/>
      <c r="P9" s="209"/>
      <c r="Q9" s="209"/>
      <c r="R9" s="210"/>
      <c r="S9" s="208"/>
      <c r="T9" s="211"/>
      <c r="U9" s="211"/>
      <c r="V9" s="212"/>
      <c r="W9" s="213"/>
      <c r="X9" s="214"/>
      <c r="Y9" s="214"/>
      <c r="Z9" s="215"/>
      <c r="AA9" s="216"/>
      <c r="AB9" s="217"/>
      <c r="AC9" s="214"/>
      <c r="AD9" s="214"/>
      <c r="AE9" s="214"/>
      <c r="AF9" s="218"/>
      <c r="AG9" s="219"/>
      <c r="AH9" s="220"/>
      <c r="AI9" s="217"/>
      <c r="AJ9" s="217"/>
      <c r="AK9" s="216"/>
      <c r="AL9" s="216"/>
      <c r="AM9" s="217"/>
      <c r="AN9" s="221"/>
      <c r="AO9" s="221"/>
      <c r="AP9" s="221"/>
      <c r="AQ9" s="221"/>
      <c r="AR9" s="221"/>
      <c r="AS9" s="222"/>
      <c r="AT9" s="223"/>
      <c r="AU9" s="224"/>
      <c r="AV9" s="223"/>
    </row>
    <row r="10" spans="1:48" ht="14.25" customHeight="1">
      <c r="A10" s="1" t="s">
        <v>79</v>
      </c>
      <c r="B10" s="22" t="s">
        <v>49</v>
      </c>
      <c r="C10" s="204" t="s">
        <v>49</v>
      </c>
      <c r="D10" s="204" t="s">
        <v>50</v>
      </c>
      <c r="E10" s="204" t="s">
        <v>51</v>
      </c>
      <c r="F10" s="204"/>
      <c r="G10" s="204" t="s">
        <v>52</v>
      </c>
      <c r="H10" s="204" t="s">
        <v>53</v>
      </c>
      <c r="I10" s="205" t="s">
        <v>80</v>
      </c>
      <c r="J10" s="205">
        <v>222577006</v>
      </c>
      <c r="K10" s="206">
        <v>222577006</v>
      </c>
      <c r="L10" s="237" t="s">
        <v>81</v>
      </c>
      <c r="M10" s="237" t="s">
        <v>82</v>
      </c>
      <c r="N10" s="207">
        <v>43142</v>
      </c>
      <c r="O10" s="208" t="s">
        <v>58</v>
      </c>
      <c r="P10" s="209">
        <v>1</v>
      </c>
      <c r="Q10" s="209">
        <v>1</v>
      </c>
      <c r="R10" s="210">
        <v>1435</v>
      </c>
      <c r="S10" s="208" t="s">
        <v>83</v>
      </c>
      <c r="T10" s="211"/>
      <c r="U10" s="211" t="s">
        <v>60</v>
      </c>
      <c r="V10" s="212" t="s">
        <v>61</v>
      </c>
      <c r="W10" s="213"/>
      <c r="X10" s="214">
        <v>43472</v>
      </c>
      <c r="Y10" s="214">
        <v>43776</v>
      </c>
      <c r="Z10" s="215" t="s">
        <v>60</v>
      </c>
      <c r="AA10" s="216">
        <v>9.9945095950579788</v>
      </c>
      <c r="AB10" s="217">
        <v>-19072.855810568977</v>
      </c>
      <c r="AC10" s="214">
        <v>47125</v>
      </c>
      <c r="AD10" s="214">
        <v>45298</v>
      </c>
      <c r="AE10" s="214">
        <v>48950</v>
      </c>
      <c r="AF10" s="218"/>
      <c r="AG10" s="219">
        <v>22900</v>
      </c>
      <c r="AH10" s="220">
        <v>15.958188153310104</v>
      </c>
      <c r="AI10" s="217">
        <v>19084.988052280944</v>
      </c>
      <c r="AJ10" s="217"/>
      <c r="AK10" s="216">
        <v>0</v>
      </c>
      <c r="AL10" s="216">
        <v>9.9945095950579788</v>
      </c>
      <c r="AM10" s="217">
        <v>19072.855810568977</v>
      </c>
      <c r="AN10" s="221">
        <v>14.998266903441058</v>
      </c>
      <c r="AO10" s="221">
        <v>8.876301807403415</v>
      </c>
      <c r="AP10" s="221">
        <v>3.8796174155122269</v>
      </c>
      <c r="AQ10" s="221">
        <v>4.9994223011470194</v>
      </c>
      <c r="AR10" s="221" t="s">
        <v>60</v>
      </c>
      <c r="AS10" s="222">
        <v>20000</v>
      </c>
      <c r="AT10" s="223">
        <v>13.937282229965156</v>
      </c>
      <c r="AU10" s="224"/>
      <c r="AV10" s="223"/>
    </row>
    <row r="11" spans="1:48" ht="15.75" customHeight="1">
      <c r="A11" s="1" t="s">
        <v>84</v>
      </c>
      <c r="B11" s="20" t="s">
        <v>85</v>
      </c>
      <c r="C11" s="204" t="s">
        <v>85</v>
      </c>
      <c r="D11" s="204" t="s">
        <v>86</v>
      </c>
      <c r="E11" s="204" t="s">
        <v>51</v>
      </c>
      <c r="F11" s="204"/>
      <c r="G11" s="204" t="s">
        <v>87</v>
      </c>
      <c r="H11" s="204" t="s">
        <v>53</v>
      </c>
      <c r="I11" s="205">
        <v>1</v>
      </c>
      <c r="J11" s="205">
        <v>222625001</v>
      </c>
      <c r="K11" s="206">
        <v>222625001</v>
      </c>
      <c r="L11" s="237" t="s">
        <v>88</v>
      </c>
      <c r="M11" s="237" t="s">
        <v>89</v>
      </c>
      <c r="N11" s="207" t="s">
        <v>90</v>
      </c>
      <c r="O11" s="208" t="s">
        <v>58</v>
      </c>
      <c r="P11" s="209">
        <v>1</v>
      </c>
      <c r="Q11" s="209">
        <v>1</v>
      </c>
      <c r="R11" s="210">
        <v>1635</v>
      </c>
      <c r="S11" s="208" t="s">
        <v>91</v>
      </c>
      <c r="T11" s="211"/>
      <c r="U11" s="211">
        <v>68</v>
      </c>
      <c r="V11" s="212"/>
      <c r="W11" s="213" t="s">
        <v>92</v>
      </c>
      <c r="X11" s="214"/>
      <c r="Y11" s="214"/>
      <c r="Z11" s="215" t="s">
        <v>60</v>
      </c>
      <c r="AA11" s="216">
        <v>0</v>
      </c>
      <c r="AB11" s="217">
        <v>0</v>
      </c>
      <c r="AC11" s="214"/>
      <c r="AD11" s="214"/>
      <c r="AE11" s="214"/>
      <c r="AF11" s="218"/>
      <c r="AG11" s="219"/>
      <c r="AH11" s="220">
        <v>0</v>
      </c>
      <c r="AI11" s="217">
        <v>0</v>
      </c>
      <c r="AJ11" s="217"/>
      <c r="AK11" s="216" t="s">
        <v>60</v>
      </c>
      <c r="AL11" s="216" t="s">
        <v>60</v>
      </c>
      <c r="AM11" s="217" t="s">
        <v>60</v>
      </c>
      <c r="AN11" s="221">
        <v>0</v>
      </c>
      <c r="AO11" s="221" t="s">
        <v>60</v>
      </c>
      <c r="AP11" s="221" t="s">
        <v>60</v>
      </c>
      <c r="AQ11" s="221">
        <v>0</v>
      </c>
      <c r="AR11" s="221" t="s">
        <v>60</v>
      </c>
      <c r="AS11" s="222">
        <v>38050</v>
      </c>
      <c r="AT11" s="223">
        <v>23.272171253822631</v>
      </c>
      <c r="AU11" s="224">
        <v>40875</v>
      </c>
      <c r="AV11" s="223">
        <v>25</v>
      </c>
    </row>
    <row r="12" spans="1:48" ht="15.75" customHeight="1">
      <c r="A12" s="1" t="s">
        <v>93</v>
      </c>
      <c r="B12" s="21" t="s">
        <v>85</v>
      </c>
      <c r="C12" s="204" t="s">
        <v>85</v>
      </c>
      <c r="D12" s="204" t="s">
        <v>86</v>
      </c>
      <c r="E12" s="204" t="s">
        <v>51</v>
      </c>
      <c r="F12" s="204"/>
      <c r="G12" s="204" t="s">
        <v>87</v>
      </c>
      <c r="H12" s="204" t="s">
        <v>53</v>
      </c>
      <c r="I12" s="205">
        <v>2</v>
      </c>
      <c r="J12" s="205">
        <v>222625002</v>
      </c>
      <c r="K12" s="206">
        <v>222625002</v>
      </c>
      <c r="L12" s="237" t="s">
        <v>94</v>
      </c>
      <c r="M12" s="237" t="s">
        <v>95</v>
      </c>
      <c r="N12" s="207" t="s">
        <v>90</v>
      </c>
      <c r="O12" s="208" t="s">
        <v>58</v>
      </c>
      <c r="P12" s="209">
        <v>1</v>
      </c>
      <c r="Q12" s="209">
        <v>1</v>
      </c>
      <c r="R12" s="210">
        <v>439</v>
      </c>
      <c r="S12" s="208" t="s">
        <v>96</v>
      </c>
      <c r="T12" s="211"/>
      <c r="U12" s="211" t="s">
        <v>60</v>
      </c>
      <c r="V12" s="212"/>
      <c r="W12" s="213" t="s">
        <v>97</v>
      </c>
      <c r="X12" s="214">
        <v>44867</v>
      </c>
      <c r="Y12" s="214">
        <v>44987</v>
      </c>
      <c r="Z12" s="215" t="s">
        <v>60</v>
      </c>
      <c r="AA12" s="216">
        <v>3.9452011559439391</v>
      </c>
      <c r="AB12" s="217">
        <v>-3608.2152238737276</v>
      </c>
      <c r="AC12" s="214">
        <v>46693</v>
      </c>
      <c r="AD12" s="214">
        <v>46693</v>
      </c>
      <c r="AE12" s="214">
        <v>48520</v>
      </c>
      <c r="AF12" s="218"/>
      <c r="AG12" s="219">
        <v>10975</v>
      </c>
      <c r="AH12" s="220">
        <v>25</v>
      </c>
      <c r="AI12" s="217">
        <v>10253.273567118766</v>
      </c>
      <c r="AJ12" s="217"/>
      <c r="AK12" s="216">
        <v>0</v>
      </c>
      <c r="AL12" s="216">
        <v>3.9452011559439391</v>
      </c>
      <c r="AM12" s="217">
        <v>3608.2152238737276</v>
      </c>
      <c r="AN12" s="221">
        <v>10.00158251154987</v>
      </c>
      <c r="AO12" s="221">
        <v>7.6990008273961763</v>
      </c>
      <c r="AP12" s="221">
        <v>2.6968406169933266</v>
      </c>
      <c r="AQ12" s="221">
        <v>4.9994223011470194</v>
      </c>
      <c r="AR12" s="221">
        <v>2.6968406169933266</v>
      </c>
      <c r="AS12" s="222">
        <v>10975</v>
      </c>
      <c r="AT12" s="223">
        <v>25</v>
      </c>
      <c r="AU12" s="224"/>
      <c r="AV12" s="223"/>
    </row>
    <row r="13" spans="1:48" ht="15.75" customHeight="1">
      <c r="A13" s="1" t="s">
        <v>98</v>
      </c>
      <c r="B13" s="22" t="s">
        <v>85</v>
      </c>
      <c r="C13" s="204" t="s">
        <v>85</v>
      </c>
      <c r="D13" s="204" t="s">
        <v>86</v>
      </c>
      <c r="E13" s="204" t="s">
        <v>51</v>
      </c>
      <c r="F13" s="204"/>
      <c r="G13" s="204" t="s">
        <v>87</v>
      </c>
      <c r="H13" s="204" t="s">
        <v>53</v>
      </c>
      <c r="I13" s="205">
        <v>3</v>
      </c>
      <c r="J13" s="205">
        <v>222625003</v>
      </c>
      <c r="K13" s="206">
        <v>222625003</v>
      </c>
      <c r="L13" s="237" t="s">
        <v>99</v>
      </c>
      <c r="M13" s="237" t="s">
        <v>100</v>
      </c>
      <c r="N13" s="207" t="s">
        <v>90</v>
      </c>
      <c r="O13" s="208" t="s">
        <v>58</v>
      </c>
      <c r="P13" s="209">
        <v>1</v>
      </c>
      <c r="Q13" s="209">
        <v>1</v>
      </c>
      <c r="R13" s="210">
        <v>1470</v>
      </c>
      <c r="S13" s="208" t="s">
        <v>91</v>
      </c>
      <c r="T13" s="211"/>
      <c r="U13" s="211">
        <v>68</v>
      </c>
      <c r="V13" s="212"/>
      <c r="W13" s="213" t="s">
        <v>92</v>
      </c>
      <c r="X13" s="214"/>
      <c r="Y13" s="214"/>
      <c r="Z13" s="215" t="s">
        <v>60</v>
      </c>
      <c r="AA13" s="216">
        <v>0</v>
      </c>
      <c r="AB13" s="217">
        <v>0</v>
      </c>
      <c r="AC13" s="214"/>
      <c r="AD13" s="214"/>
      <c r="AE13" s="214"/>
      <c r="AF13" s="218"/>
      <c r="AG13" s="219"/>
      <c r="AH13" s="220">
        <v>0</v>
      </c>
      <c r="AI13" s="217">
        <v>0</v>
      </c>
      <c r="AJ13" s="217"/>
      <c r="AK13" s="216" t="s">
        <v>60</v>
      </c>
      <c r="AL13" s="216" t="s">
        <v>60</v>
      </c>
      <c r="AM13" s="217" t="s">
        <v>60</v>
      </c>
      <c r="AN13" s="221">
        <v>0</v>
      </c>
      <c r="AO13" s="221" t="s">
        <v>60</v>
      </c>
      <c r="AP13" s="221" t="s">
        <v>60</v>
      </c>
      <c r="AQ13" s="221">
        <v>0</v>
      </c>
      <c r="AR13" s="221" t="s">
        <v>60</v>
      </c>
      <c r="AS13" s="222">
        <v>28500</v>
      </c>
      <c r="AT13" s="223">
        <v>19.387755102040817</v>
      </c>
      <c r="AU13" s="224">
        <v>36750</v>
      </c>
      <c r="AV13" s="223">
        <v>25</v>
      </c>
    </row>
    <row r="14" spans="1:48" ht="14.25" customHeight="1">
      <c r="A14" s="1" t="s">
        <v>101</v>
      </c>
      <c r="B14" s="20" t="s">
        <v>102</v>
      </c>
      <c r="C14" s="204" t="s">
        <v>103</v>
      </c>
      <c r="D14" s="204" t="s">
        <v>104</v>
      </c>
      <c r="E14" s="204" t="s">
        <v>105</v>
      </c>
      <c r="F14" s="204"/>
      <c r="G14" s="204" t="s">
        <v>87</v>
      </c>
      <c r="H14" s="204" t="s">
        <v>53</v>
      </c>
      <c r="I14" s="205">
        <v>1.1000000000000001</v>
      </c>
      <c r="J14" s="205">
        <v>222707001</v>
      </c>
      <c r="K14" s="206">
        <v>222707001</v>
      </c>
      <c r="L14" s="237" t="s">
        <v>106</v>
      </c>
      <c r="M14" s="237" t="s">
        <v>107</v>
      </c>
      <c r="N14" s="207" t="s">
        <v>108</v>
      </c>
      <c r="O14" s="208" t="s">
        <v>58</v>
      </c>
      <c r="P14" s="209">
        <v>1</v>
      </c>
      <c r="Q14" s="209">
        <v>1</v>
      </c>
      <c r="R14" s="210">
        <v>1452</v>
      </c>
      <c r="S14" s="208" t="s">
        <v>91</v>
      </c>
      <c r="T14" s="211"/>
      <c r="U14" s="211">
        <v>31</v>
      </c>
      <c r="V14" s="212"/>
      <c r="W14" s="213"/>
      <c r="X14" s="214"/>
      <c r="Y14" s="214"/>
      <c r="Z14" s="215" t="s">
        <v>60</v>
      </c>
      <c r="AA14" s="216">
        <v>0</v>
      </c>
      <c r="AB14" s="217">
        <v>0</v>
      </c>
      <c r="AC14" s="214"/>
      <c r="AD14" s="214"/>
      <c r="AE14" s="214"/>
      <c r="AF14" s="218"/>
      <c r="AG14" s="219"/>
      <c r="AH14" s="220">
        <v>0</v>
      </c>
      <c r="AI14" s="217">
        <v>0</v>
      </c>
      <c r="AJ14" s="217"/>
      <c r="AK14" s="216" t="s">
        <v>60</v>
      </c>
      <c r="AL14" s="216" t="s">
        <v>60</v>
      </c>
      <c r="AM14" s="217" t="s">
        <v>60</v>
      </c>
      <c r="AN14" s="221">
        <v>0</v>
      </c>
      <c r="AO14" s="221" t="s">
        <v>60</v>
      </c>
      <c r="AP14" s="221" t="s">
        <v>60</v>
      </c>
      <c r="AQ14" s="221">
        <v>0</v>
      </c>
      <c r="AR14" s="221" t="s">
        <v>60</v>
      </c>
      <c r="AS14" s="222">
        <v>33733</v>
      </c>
      <c r="AT14" s="223">
        <v>23.232093663911847</v>
      </c>
      <c r="AU14" s="224">
        <v>36300</v>
      </c>
      <c r="AV14" s="223">
        <v>25</v>
      </c>
    </row>
    <row r="15" spans="1:48" ht="14.25" customHeight="1">
      <c r="A15" s="1" t="s">
        <v>109</v>
      </c>
      <c r="B15" s="21" t="s">
        <v>102</v>
      </c>
      <c r="C15" s="204" t="s">
        <v>103</v>
      </c>
      <c r="D15" s="204" t="s">
        <v>104</v>
      </c>
      <c r="E15" s="204" t="s">
        <v>105</v>
      </c>
      <c r="F15" s="204"/>
      <c r="G15" s="204" t="s">
        <v>87</v>
      </c>
      <c r="H15" s="204" t="s">
        <v>53</v>
      </c>
      <c r="I15" s="205">
        <v>1.2</v>
      </c>
      <c r="J15" s="205">
        <v>222707002</v>
      </c>
      <c r="K15" s="206">
        <v>222707002</v>
      </c>
      <c r="L15" s="237" t="s">
        <v>110</v>
      </c>
      <c r="M15" s="237" t="s">
        <v>111</v>
      </c>
      <c r="N15" s="207" t="s">
        <v>108</v>
      </c>
      <c r="O15" s="208" t="s">
        <v>58</v>
      </c>
      <c r="P15" s="209">
        <v>1</v>
      </c>
      <c r="Q15" s="209">
        <v>1</v>
      </c>
      <c r="R15" s="210">
        <v>1024</v>
      </c>
      <c r="S15" s="208" t="s">
        <v>112</v>
      </c>
      <c r="T15" s="211"/>
      <c r="U15" s="211" t="s">
        <v>60</v>
      </c>
      <c r="V15" s="212"/>
      <c r="W15" s="213"/>
      <c r="X15" s="214">
        <v>45541</v>
      </c>
      <c r="Y15" s="214">
        <v>45722</v>
      </c>
      <c r="Z15" s="215">
        <v>0</v>
      </c>
      <c r="AA15" s="216">
        <v>5.9506784102154411</v>
      </c>
      <c r="AB15" s="217">
        <v>-10572.371975482767</v>
      </c>
      <c r="AC15" s="214">
        <v>47183</v>
      </c>
      <c r="AD15" s="214">
        <v>47183</v>
      </c>
      <c r="AE15" s="214">
        <v>47278</v>
      </c>
      <c r="AF15" s="218">
        <v>0</v>
      </c>
      <c r="AG15" s="219">
        <v>21320</v>
      </c>
      <c r="AH15" s="220">
        <v>20.8203125</v>
      </c>
      <c r="AI15" s="217">
        <v>18968.309135478885</v>
      </c>
      <c r="AJ15" s="217"/>
      <c r="AK15" s="216">
        <v>0</v>
      </c>
      <c r="AL15" s="216">
        <v>5.9506784102154411</v>
      </c>
      <c r="AM15" s="217">
        <v>10572.371975482767</v>
      </c>
      <c r="AN15" s="221">
        <v>4.7557483773780795</v>
      </c>
      <c r="AO15" s="221">
        <v>4.2985175316543378</v>
      </c>
      <c r="AP15" s="221">
        <v>4.038416152350413</v>
      </c>
      <c r="AQ15" s="221">
        <v>4.4956469980741547</v>
      </c>
      <c r="AR15" s="221">
        <v>4.038416152350413</v>
      </c>
      <c r="AS15" s="222">
        <v>21853</v>
      </c>
      <c r="AT15" s="223">
        <v>21.3408203125</v>
      </c>
      <c r="AU15" s="224"/>
      <c r="AV15" s="223"/>
    </row>
    <row r="16" spans="1:48" ht="14.25" customHeight="1">
      <c r="A16" s="1" t="s">
        <v>113</v>
      </c>
      <c r="B16" s="21" t="s">
        <v>102</v>
      </c>
      <c r="C16" s="204" t="s">
        <v>103</v>
      </c>
      <c r="D16" s="204" t="s">
        <v>104</v>
      </c>
      <c r="E16" s="204" t="s">
        <v>105</v>
      </c>
      <c r="F16" s="204"/>
      <c r="G16" s="204" t="s">
        <v>87</v>
      </c>
      <c r="H16" s="204" t="s">
        <v>53</v>
      </c>
      <c r="I16" s="205">
        <v>1.3</v>
      </c>
      <c r="J16" s="205">
        <v>222707003</v>
      </c>
      <c r="K16" s="206">
        <v>222707003</v>
      </c>
      <c r="L16" s="237" t="s">
        <v>114</v>
      </c>
      <c r="M16" s="237" t="s">
        <v>115</v>
      </c>
      <c r="N16" s="207" t="s">
        <v>108</v>
      </c>
      <c r="O16" s="208" t="s">
        <v>58</v>
      </c>
      <c r="P16" s="209">
        <v>1</v>
      </c>
      <c r="Q16" s="209">
        <v>1</v>
      </c>
      <c r="R16" s="210">
        <v>1066</v>
      </c>
      <c r="S16" s="208" t="s">
        <v>116</v>
      </c>
      <c r="T16" s="211"/>
      <c r="U16" s="211" t="s">
        <v>60</v>
      </c>
      <c r="V16" s="212"/>
      <c r="W16" s="213"/>
      <c r="X16" s="214">
        <v>45596</v>
      </c>
      <c r="Y16" s="214">
        <v>45787</v>
      </c>
      <c r="Z16" s="215">
        <v>2</v>
      </c>
      <c r="AA16" s="216">
        <v>6.2794451732107692</v>
      </c>
      <c r="AB16" s="217">
        <v>-11459.987441109653</v>
      </c>
      <c r="AC16" s="214"/>
      <c r="AD16" s="214"/>
      <c r="AE16" s="214">
        <v>47432</v>
      </c>
      <c r="AF16" s="218">
        <v>0</v>
      </c>
      <c r="AG16" s="219">
        <v>21900</v>
      </c>
      <c r="AH16" s="220">
        <v>20.544090056285178</v>
      </c>
      <c r="AI16" s="217">
        <v>19620.222753287984</v>
      </c>
      <c r="AJ16" s="217"/>
      <c r="AK16" s="216">
        <v>0</v>
      </c>
      <c r="AL16" s="216">
        <v>6.2794451732107692</v>
      </c>
      <c r="AM16" s="217">
        <v>11459.987441109653</v>
      </c>
      <c r="AN16" s="221">
        <v>5.0268013937053269</v>
      </c>
      <c r="AO16" s="221">
        <v>4.7201555570522791</v>
      </c>
      <c r="AP16" s="221" t="s">
        <v>60</v>
      </c>
      <c r="AQ16" s="221" t="s">
        <v>60</v>
      </c>
      <c r="AR16" s="221" t="s">
        <v>60</v>
      </c>
      <c r="AS16" s="222">
        <v>26650</v>
      </c>
      <c r="AT16" s="223">
        <v>25</v>
      </c>
      <c r="AU16" s="224"/>
      <c r="AV16" s="223"/>
    </row>
    <row r="17" spans="1:49" ht="14.25" customHeight="1">
      <c r="A17" s="1" t="s">
        <v>117</v>
      </c>
      <c r="B17" s="21" t="s">
        <v>102</v>
      </c>
      <c r="C17" s="204" t="s">
        <v>103</v>
      </c>
      <c r="D17" s="204" t="s">
        <v>104</v>
      </c>
      <c r="E17" s="204" t="s">
        <v>105</v>
      </c>
      <c r="F17" s="204"/>
      <c r="G17" s="204" t="s">
        <v>87</v>
      </c>
      <c r="H17" s="204" t="s">
        <v>53</v>
      </c>
      <c r="I17" s="205">
        <v>2.1</v>
      </c>
      <c r="J17" s="205">
        <v>222707004</v>
      </c>
      <c r="K17" s="206">
        <v>222707004</v>
      </c>
      <c r="L17" s="237" t="s">
        <v>118</v>
      </c>
      <c r="M17" s="237" t="s">
        <v>119</v>
      </c>
      <c r="N17" s="207" t="s">
        <v>108</v>
      </c>
      <c r="O17" s="208" t="s">
        <v>58</v>
      </c>
      <c r="P17" s="209">
        <v>1</v>
      </c>
      <c r="Q17" s="209">
        <v>1</v>
      </c>
      <c r="R17" s="210">
        <v>4539</v>
      </c>
      <c r="S17" s="208" t="s">
        <v>120</v>
      </c>
      <c r="T17" s="211" t="s">
        <v>121</v>
      </c>
      <c r="U17" s="211">
        <v>31</v>
      </c>
      <c r="V17" s="212"/>
      <c r="W17" s="213"/>
      <c r="X17" s="214"/>
      <c r="Y17" s="214"/>
      <c r="Z17" s="215" t="s">
        <v>60</v>
      </c>
      <c r="AA17" s="216">
        <v>0</v>
      </c>
      <c r="AB17" s="217">
        <v>0</v>
      </c>
      <c r="AC17" s="214"/>
      <c r="AD17" s="214"/>
      <c r="AE17" s="214"/>
      <c r="AF17" s="218"/>
      <c r="AG17" s="219"/>
      <c r="AH17" s="220">
        <v>0</v>
      </c>
      <c r="AI17" s="217">
        <v>0</v>
      </c>
      <c r="AJ17" s="217"/>
      <c r="AK17" s="216" t="s">
        <v>60</v>
      </c>
      <c r="AL17" s="216" t="s">
        <v>60</v>
      </c>
      <c r="AM17" s="217" t="s">
        <v>60</v>
      </c>
      <c r="AN17" s="221">
        <v>0</v>
      </c>
      <c r="AO17" s="221" t="s">
        <v>60</v>
      </c>
      <c r="AP17" s="221" t="s">
        <v>60</v>
      </c>
      <c r="AQ17" s="221">
        <v>0</v>
      </c>
      <c r="AR17" s="221" t="s">
        <v>60</v>
      </c>
      <c r="AS17" s="222">
        <v>99858</v>
      </c>
      <c r="AT17" s="223">
        <v>22</v>
      </c>
      <c r="AU17" s="224">
        <v>104397</v>
      </c>
      <c r="AV17" s="223">
        <v>23</v>
      </c>
    </row>
    <row r="18" spans="1:49" ht="14.25" customHeight="1">
      <c r="A18" s="1" t="s">
        <v>122</v>
      </c>
      <c r="B18" s="21" t="s">
        <v>102</v>
      </c>
      <c r="C18" s="204" t="s">
        <v>103</v>
      </c>
      <c r="D18" s="204" t="s">
        <v>104</v>
      </c>
      <c r="E18" s="204" t="s">
        <v>105</v>
      </c>
      <c r="F18" s="204"/>
      <c r="G18" s="204" t="s">
        <v>87</v>
      </c>
      <c r="H18" s="204" t="s">
        <v>53</v>
      </c>
      <c r="I18" s="205" t="s">
        <v>123</v>
      </c>
      <c r="J18" s="205"/>
      <c r="K18" s="206" t="e">
        <v>#N/A</v>
      </c>
      <c r="L18" s="237" t="s">
        <v>124</v>
      </c>
      <c r="M18" s="237" t="s">
        <v>125</v>
      </c>
      <c r="N18" s="226" t="s">
        <v>126</v>
      </c>
      <c r="O18" s="208" t="s">
        <v>127</v>
      </c>
      <c r="P18" s="209">
        <v>1</v>
      </c>
      <c r="Q18" s="209">
        <v>1</v>
      </c>
      <c r="R18" s="210">
        <v>2393</v>
      </c>
      <c r="S18" s="208" t="s">
        <v>128</v>
      </c>
      <c r="T18" s="211"/>
      <c r="U18" s="211" t="s">
        <v>60</v>
      </c>
      <c r="V18" s="212"/>
      <c r="W18" s="213"/>
      <c r="X18" s="214"/>
      <c r="Y18" s="214"/>
      <c r="Z18" s="215" t="s">
        <v>60</v>
      </c>
      <c r="AA18" s="216">
        <v>0</v>
      </c>
      <c r="AB18" s="217">
        <v>0</v>
      </c>
      <c r="AC18" s="214"/>
      <c r="AD18" s="214"/>
      <c r="AE18" s="214"/>
      <c r="AF18" s="218"/>
      <c r="AG18" s="219"/>
      <c r="AH18" s="220">
        <v>0</v>
      </c>
      <c r="AI18" s="217"/>
      <c r="AJ18" s="217"/>
      <c r="AK18" s="216"/>
      <c r="AL18" s="216"/>
      <c r="AM18" s="217"/>
      <c r="AN18" s="221"/>
      <c r="AO18" s="221"/>
      <c r="AP18" s="221"/>
      <c r="AQ18" s="221"/>
      <c r="AR18" s="221"/>
      <c r="AS18" s="222"/>
      <c r="AT18" s="223">
        <v>0</v>
      </c>
      <c r="AU18" s="224">
        <v>59825</v>
      </c>
      <c r="AV18" s="223">
        <v>25</v>
      </c>
      <c r="AW18" s="25" t="s">
        <v>129</v>
      </c>
    </row>
    <row r="19" spans="1:49" ht="15.75" customHeight="1">
      <c r="A19" s="1" t="s">
        <v>130</v>
      </c>
      <c r="B19" s="21" t="s">
        <v>102</v>
      </c>
      <c r="C19" s="204" t="s">
        <v>103</v>
      </c>
      <c r="D19" s="204" t="s">
        <v>104</v>
      </c>
      <c r="E19" s="204" t="s">
        <v>105</v>
      </c>
      <c r="F19" s="204"/>
      <c r="G19" s="204" t="s">
        <v>87</v>
      </c>
      <c r="H19" s="204" t="s">
        <v>53</v>
      </c>
      <c r="I19" s="205" t="s">
        <v>131</v>
      </c>
      <c r="J19" s="205"/>
      <c r="K19" s="206" t="e">
        <v>#N/A</v>
      </c>
      <c r="L19" s="237" t="s">
        <v>124</v>
      </c>
      <c r="M19" s="237" t="s">
        <v>125</v>
      </c>
      <c r="N19" s="226" t="s">
        <v>126</v>
      </c>
      <c r="O19" s="208" t="s">
        <v>127</v>
      </c>
      <c r="P19" s="209">
        <v>1</v>
      </c>
      <c r="Q19" s="209">
        <v>1</v>
      </c>
      <c r="R19" s="210">
        <v>2754</v>
      </c>
      <c r="S19" s="208" t="s">
        <v>128</v>
      </c>
      <c r="T19" s="211"/>
      <c r="U19" s="211" t="s">
        <v>60</v>
      </c>
      <c r="V19" s="212"/>
      <c r="W19" s="213"/>
      <c r="X19" s="214"/>
      <c r="Y19" s="214"/>
      <c r="Z19" s="215" t="s">
        <v>60</v>
      </c>
      <c r="AA19" s="216">
        <v>0</v>
      </c>
      <c r="AB19" s="217">
        <v>0</v>
      </c>
      <c r="AC19" s="214"/>
      <c r="AD19" s="214"/>
      <c r="AE19" s="214"/>
      <c r="AF19" s="218"/>
      <c r="AG19" s="219"/>
      <c r="AH19" s="220">
        <v>0</v>
      </c>
      <c r="AI19" s="217"/>
      <c r="AJ19" s="217"/>
      <c r="AK19" s="216"/>
      <c r="AL19" s="216"/>
      <c r="AM19" s="217"/>
      <c r="AN19" s="221"/>
      <c r="AO19" s="221"/>
      <c r="AP19" s="221"/>
      <c r="AQ19" s="221"/>
      <c r="AR19" s="221"/>
      <c r="AS19" s="222"/>
      <c r="AT19" s="223">
        <v>0</v>
      </c>
      <c r="AU19" s="224">
        <v>68850</v>
      </c>
      <c r="AV19" s="223">
        <v>25</v>
      </c>
      <c r="AW19" s="25" t="s">
        <v>129</v>
      </c>
    </row>
    <row r="20" spans="1:49" ht="14.25" customHeight="1">
      <c r="A20" s="1" t="s">
        <v>132</v>
      </c>
      <c r="B20" s="20" t="s">
        <v>133</v>
      </c>
      <c r="C20" s="204" t="s">
        <v>133</v>
      </c>
      <c r="D20" s="204" t="s">
        <v>104</v>
      </c>
      <c r="E20" s="204" t="s">
        <v>105</v>
      </c>
      <c r="F20" s="204" t="s">
        <v>134</v>
      </c>
      <c r="G20" s="204" t="s">
        <v>87</v>
      </c>
      <c r="H20" s="204" t="s">
        <v>53</v>
      </c>
      <c r="I20" s="227">
        <v>1</v>
      </c>
      <c r="J20" s="205"/>
      <c r="K20" s="206" t="e">
        <v>#N/A</v>
      </c>
      <c r="L20" s="237" t="s">
        <v>124</v>
      </c>
      <c r="M20" s="237" t="s">
        <v>125</v>
      </c>
      <c r="N20" s="226" t="s">
        <v>135</v>
      </c>
      <c r="O20" s="208" t="s">
        <v>127</v>
      </c>
      <c r="P20" s="209">
        <v>1</v>
      </c>
      <c r="Q20" s="209">
        <v>1</v>
      </c>
      <c r="R20" s="210">
        <v>2667.2944200000002</v>
      </c>
      <c r="S20" s="208" t="s">
        <v>91</v>
      </c>
      <c r="T20" s="211"/>
      <c r="U20" s="211"/>
      <c r="V20" s="228"/>
      <c r="W20" s="213"/>
      <c r="X20" s="214"/>
      <c r="Y20" s="214"/>
      <c r="Z20" s="215" t="s">
        <v>60</v>
      </c>
      <c r="AA20" s="216">
        <v>0</v>
      </c>
      <c r="AB20" s="217">
        <v>0</v>
      </c>
      <c r="AC20" s="214"/>
      <c r="AD20" s="214"/>
      <c r="AE20" s="214"/>
      <c r="AF20" s="218"/>
      <c r="AG20" s="218">
        <v>0</v>
      </c>
      <c r="AH20" s="220">
        <v>0</v>
      </c>
      <c r="AI20" s="217">
        <v>0</v>
      </c>
      <c r="AJ20" s="217"/>
      <c r="AK20" s="216" t="s">
        <v>60</v>
      </c>
      <c r="AL20" s="216" t="s">
        <v>60</v>
      </c>
      <c r="AM20" s="217" t="s">
        <v>60</v>
      </c>
      <c r="AN20" s="221">
        <v>0</v>
      </c>
      <c r="AO20" s="221" t="s">
        <v>60</v>
      </c>
      <c r="AP20" s="221" t="s">
        <v>60</v>
      </c>
      <c r="AQ20" s="221">
        <v>0</v>
      </c>
      <c r="AR20" s="221" t="s">
        <v>60</v>
      </c>
      <c r="AS20" s="222" t="e">
        <v>#N/A</v>
      </c>
      <c r="AT20" s="223" t="e">
        <v>#N/A</v>
      </c>
      <c r="AU20" s="224"/>
      <c r="AV20" s="223"/>
    </row>
    <row r="21" spans="1:49" ht="14.25" customHeight="1">
      <c r="A21" s="1" t="s">
        <v>136</v>
      </c>
      <c r="B21" s="21" t="s">
        <v>133</v>
      </c>
      <c r="C21" s="204" t="s">
        <v>133</v>
      </c>
      <c r="D21" s="204" t="s">
        <v>104</v>
      </c>
      <c r="E21" s="204" t="s">
        <v>105</v>
      </c>
      <c r="F21" s="204" t="s">
        <v>134</v>
      </c>
      <c r="G21" s="204" t="s">
        <v>87</v>
      </c>
      <c r="H21" s="204" t="s">
        <v>53</v>
      </c>
      <c r="I21" s="227">
        <v>2</v>
      </c>
      <c r="J21" s="205"/>
      <c r="K21" s="206" t="e">
        <v>#N/A</v>
      </c>
      <c r="L21" s="237" t="s">
        <v>124</v>
      </c>
      <c r="M21" s="237" t="s">
        <v>125</v>
      </c>
      <c r="N21" s="226" t="s">
        <v>135</v>
      </c>
      <c r="O21" s="208" t="s">
        <v>127</v>
      </c>
      <c r="P21" s="209">
        <v>1</v>
      </c>
      <c r="Q21" s="209">
        <v>1</v>
      </c>
      <c r="R21" s="210">
        <v>3119.3782200000001</v>
      </c>
      <c r="S21" s="208" t="s">
        <v>91</v>
      </c>
      <c r="T21" s="211"/>
      <c r="U21" s="211"/>
      <c r="V21" s="228"/>
      <c r="W21" s="213"/>
      <c r="X21" s="214"/>
      <c r="Y21" s="214"/>
      <c r="Z21" s="215" t="s">
        <v>60</v>
      </c>
      <c r="AA21" s="216">
        <v>0</v>
      </c>
      <c r="AB21" s="217">
        <v>0</v>
      </c>
      <c r="AC21" s="214"/>
      <c r="AD21" s="214"/>
      <c r="AE21" s="214"/>
      <c r="AF21" s="218"/>
      <c r="AG21" s="218">
        <v>0</v>
      </c>
      <c r="AH21" s="220">
        <v>0</v>
      </c>
      <c r="AI21" s="217">
        <v>0</v>
      </c>
      <c r="AJ21" s="217"/>
      <c r="AK21" s="216" t="s">
        <v>60</v>
      </c>
      <c r="AL21" s="216" t="s">
        <v>60</v>
      </c>
      <c r="AM21" s="217" t="s">
        <v>60</v>
      </c>
      <c r="AN21" s="221">
        <v>0</v>
      </c>
      <c r="AO21" s="221" t="s">
        <v>60</v>
      </c>
      <c r="AP21" s="221" t="s">
        <v>60</v>
      </c>
      <c r="AQ21" s="221">
        <v>0</v>
      </c>
      <c r="AR21" s="221" t="s">
        <v>60</v>
      </c>
      <c r="AS21" s="222" t="e">
        <v>#N/A</v>
      </c>
      <c r="AT21" s="223" t="e">
        <v>#N/A</v>
      </c>
      <c r="AU21" s="224"/>
      <c r="AV21" s="223"/>
    </row>
    <row r="22" spans="1:49" ht="14.25" customHeight="1">
      <c r="A22" s="1" t="s">
        <v>137</v>
      </c>
      <c r="B22" s="21" t="s">
        <v>133</v>
      </c>
      <c r="C22" s="204" t="s">
        <v>133</v>
      </c>
      <c r="D22" s="204" t="s">
        <v>104</v>
      </c>
      <c r="E22" s="204" t="s">
        <v>105</v>
      </c>
      <c r="F22" s="204" t="s">
        <v>134</v>
      </c>
      <c r="G22" s="204" t="s">
        <v>87</v>
      </c>
      <c r="H22" s="204" t="s">
        <v>53</v>
      </c>
      <c r="I22" s="227">
        <v>3</v>
      </c>
      <c r="J22" s="205"/>
      <c r="K22" s="206" t="e">
        <v>#N/A</v>
      </c>
      <c r="L22" s="237" t="s">
        <v>124</v>
      </c>
      <c r="M22" s="237" t="s">
        <v>125</v>
      </c>
      <c r="N22" s="226" t="s">
        <v>135</v>
      </c>
      <c r="O22" s="208" t="s">
        <v>127</v>
      </c>
      <c r="P22" s="209">
        <v>1</v>
      </c>
      <c r="Q22" s="209">
        <v>1</v>
      </c>
      <c r="R22" s="210">
        <v>1791.1129599999999</v>
      </c>
      <c r="S22" s="208" t="s">
        <v>91</v>
      </c>
      <c r="T22" s="211"/>
      <c r="U22" s="211"/>
      <c r="V22" s="228"/>
      <c r="W22" s="213"/>
      <c r="X22" s="214"/>
      <c r="Y22" s="214"/>
      <c r="Z22" s="215" t="s">
        <v>60</v>
      </c>
      <c r="AA22" s="216">
        <v>0</v>
      </c>
      <c r="AB22" s="217">
        <v>0</v>
      </c>
      <c r="AC22" s="214"/>
      <c r="AD22" s="214"/>
      <c r="AE22" s="214"/>
      <c r="AF22" s="218"/>
      <c r="AG22" s="218">
        <v>0</v>
      </c>
      <c r="AH22" s="220">
        <v>0</v>
      </c>
      <c r="AI22" s="217">
        <v>0</v>
      </c>
      <c r="AJ22" s="217"/>
      <c r="AK22" s="216" t="s">
        <v>60</v>
      </c>
      <c r="AL22" s="216" t="s">
        <v>60</v>
      </c>
      <c r="AM22" s="217" t="s">
        <v>60</v>
      </c>
      <c r="AN22" s="221">
        <v>0</v>
      </c>
      <c r="AO22" s="221" t="s">
        <v>60</v>
      </c>
      <c r="AP22" s="221" t="s">
        <v>60</v>
      </c>
      <c r="AQ22" s="221">
        <v>0</v>
      </c>
      <c r="AR22" s="221" t="s">
        <v>60</v>
      </c>
      <c r="AS22" s="222" t="e">
        <v>#N/A</v>
      </c>
      <c r="AT22" s="223" t="e">
        <v>#N/A</v>
      </c>
      <c r="AU22" s="224"/>
      <c r="AV22" s="223"/>
    </row>
    <row r="23" spans="1:49" ht="16.5" customHeight="1">
      <c r="A23" s="1" t="s">
        <v>138</v>
      </c>
      <c r="B23" s="22" t="s">
        <v>133</v>
      </c>
      <c r="C23" s="204" t="s">
        <v>133</v>
      </c>
      <c r="D23" s="204" t="s">
        <v>104</v>
      </c>
      <c r="E23" s="204" t="s">
        <v>105</v>
      </c>
      <c r="F23" s="204" t="s">
        <v>134</v>
      </c>
      <c r="G23" s="204" t="s">
        <v>87</v>
      </c>
      <c r="H23" s="204" t="s">
        <v>53</v>
      </c>
      <c r="I23" s="227">
        <v>4</v>
      </c>
      <c r="J23" s="205"/>
      <c r="K23" s="206" t="e">
        <v>#N/A</v>
      </c>
      <c r="L23" s="237" t="s">
        <v>124</v>
      </c>
      <c r="M23" s="237" t="s">
        <v>125</v>
      </c>
      <c r="N23" s="229" t="s">
        <v>139</v>
      </c>
      <c r="O23" s="208" t="s">
        <v>127</v>
      </c>
      <c r="P23" s="209">
        <v>1</v>
      </c>
      <c r="Q23" s="209">
        <v>1</v>
      </c>
      <c r="R23" s="210">
        <v>992.43157999999994</v>
      </c>
      <c r="S23" s="208" t="s">
        <v>91</v>
      </c>
      <c r="T23" s="211"/>
      <c r="U23" s="211"/>
      <c r="V23" s="228"/>
      <c r="W23" s="213"/>
      <c r="X23" s="214"/>
      <c r="Y23" s="214"/>
      <c r="Z23" s="215" t="s">
        <v>60</v>
      </c>
      <c r="AA23" s="216">
        <v>0</v>
      </c>
      <c r="AB23" s="217">
        <v>0</v>
      </c>
      <c r="AC23" s="214"/>
      <c r="AD23" s="214"/>
      <c r="AE23" s="214"/>
      <c r="AF23" s="218"/>
      <c r="AG23" s="218">
        <v>0</v>
      </c>
      <c r="AH23" s="220">
        <v>0</v>
      </c>
      <c r="AI23" s="217">
        <v>0</v>
      </c>
      <c r="AJ23" s="217"/>
      <c r="AK23" s="216" t="s">
        <v>60</v>
      </c>
      <c r="AL23" s="216" t="s">
        <v>60</v>
      </c>
      <c r="AM23" s="217" t="s">
        <v>60</v>
      </c>
      <c r="AN23" s="221">
        <v>0</v>
      </c>
      <c r="AO23" s="221" t="s">
        <v>60</v>
      </c>
      <c r="AP23" s="221" t="s">
        <v>60</v>
      </c>
      <c r="AQ23" s="221">
        <v>0</v>
      </c>
      <c r="AR23" s="221" t="s">
        <v>60</v>
      </c>
      <c r="AS23" s="222" t="e">
        <v>#N/A</v>
      </c>
      <c r="AT23" s="223" t="e">
        <v>#N/A</v>
      </c>
      <c r="AU23" s="224"/>
      <c r="AV23" s="223"/>
    </row>
    <row r="24" spans="1:49" ht="14.25" customHeight="1">
      <c r="A24" s="1" t="s">
        <v>140</v>
      </c>
      <c r="B24" s="20" t="s">
        <v>141</v>
      </c>
      <c r="C24" s="204" t="s">
        <v>141</v>
      </c>
      <c r="D24" s="204" t="s">
        <v>50</v>
      </c>
      <c r="E24" s="204" t="s">
        <v>51</v>
      </c>
      <c r="F24" s="204"/>
      <c r="G24" s="204" t="s">
        <v>142</v>
      </c>
      <c r="H24" s="204" t="s">
        <v>53</v>
      </c>
      <c r="I24" s="205" t="s">
        <v>143</v>
      </c>
      <c r="J24" s="205">
        <v>222632001</v>
      </c>
      <c r="K24" s="206">
        <v>222632001</v>
      </c>
      <c r="L24" s="237" t="s">
        <v>144</v>
      </c>
      <c r="M24" s="237" t="s">
        <v>145</v>
      </c>
      <c r="N24" s="207" t="s">
        <v>146</v>
      </c>
      <c r="O24" s="208" t="s">
        <v>58</v>
      </c>
      <c r="P24" s="209">
        <v>2</v>
      </c>
      <c r="Q24" s="209">
        <v>1</v>
      </c>
      <c r="R24" s="210">
        <v>3721</v>
      </c>
      <c r="S24" s="208" t="s">
        <v>147</v>
      </c>
      <c r="T24" s="211"/>
      <c r="U24" s="211" t="s">
        <v>60</v>
      </c>
      <c r="V24" s="212" t="s">
        <v>148</v>
      </c>
      <c r="W24" s="213" t="s">
        <v>92</v>
      </c>
      <c r="X24" s="214">
        <v>44326</v>
      </c>
      <c r="Y24" s="214">
        <v>44691</v>
      </c>
      <c r="Z24" s="215" t="s">
        <v>60</v>
      </c>
      <c r="AA24" s="216">
        <v>11.999986849329481</v>
      </c>
      <c r="AB24" s="217">
        <v>-32360.964535929277</v>
      </c>
      <c r="AC24" s="214">
        <v>46152</v>
      </c>
      <c r="AD24" s="214">
        <v>46152</v>
      </c>
      <c r="AE24" s="214">
        <v>47977</v>
      </c>
      <c r="AF24" s="218"/>
      <c r="AG24" s="218">
        <v>32361</v>
      </c>
      <c r="AH24" s="220">
        <v>8.6968556839559259</v>
      </c>
      <c r="AI24" s="217">
        <v>25888.059210720272</v>
      </c>
      <c r="AJ24" s="217"/>
      <c r="AK24" s="216">
        <v>0</v>
      </c>
      <c r="AL24" s="216">
        <v>11.999986849329481</v>
      </c>
      <c r="AM24" s="217">
        <v>32360.964535929277</v>
      </c>
      <c r="AN24" s="221">
        <v>9.9961066930382074</v>
      </c>
      <c r="AO24" s="221">
        <v>6.2123161014800585</v>
      </c>
      <c r="AP24" s="221">
        <v>1.21563170958887</v>
      </c>
      <c r="AQ24" s="221">
        <v>4.9994223011470194</v>
      </c>
      <c r="AR24" s="221">
        <v>1.21563170958887</v>
      </c>
      <c r="AS24" s="222">
        <v>31600</v>
      </c>
      <c r="AT24" s="223">
        <v>8.492340768610589</v>
      </c>
      <c r="AU24" s="224"/>
      <c r="AV24" s="223"/>
    </row>
    <row r="25" spans="1:49" ht="14.25" customHeight="1">
      <c r="B25" s="21"/>
      <c r="C25" s="204"/>
      <c r="D25" s="204"/>
      <c r="E25" s="204"/>
      <c r="F25" s="204"/>
      <c r="G25" s="204"/>
      <c r="H25" s="204"/>
      <c r="I25" s="205"/>
      <c r="J25" s="205">
        <v>222632002</v>
      </c>
      <c r="K25" s="206">
        <v>222632002</v>
      </c>
      <c r="L25" s="237" t="s">
        <v>149</v>
      </c>
      <c r="M25" s="237" t="s">
        <v>150</v>
      </c>
      <c r="N25" s="207"/>
      <c r="O25" s="208"/>
      <c r="P25" s="209"/>
      <c r="Q25" s="209"/>
      <c r="R25" s="210"/>
      <c r="S25" s="208"/>
      <c r="T25" s="211"/>
      <c r="U25" s="211"/>
      <c r="V25" s="212"/>
      <c r="W25" s="213"/>
      <c r="X25" s="214"/>
      <c r="Y25" s="214"/>
      <c r="Z25" s="215"/>
      <c r="AA25" s="216"/>
      <c r="AB25" s="217"/>
      <c r="AC25" s="214"/>
      <c r="AD25" s="214"/>
      <c r="AE25" s="214"/>
      <c r="AF25" s="218"/>
      <c r="AG25" s="218"/>
      <c r="AH25" s="220"/>
      <c r="AI25" s="217"/>
      <c r="AJ25" s="217"/>
      <c r="AK25" s="216"/>
      <c r="AL25" s="216"/>
      <c r="AM25" s="217"/>
      <c r="AN25" s="221"/>
      <c r="AO25" s="221"/>
      <c r="AP25" s="221"/>
      <c r="AQ25" s="221"/>
      <c r="AR25" s="221"/>
      <c r="AS25" s="222"/>
      <c r="AT25" s="223"/>
      <c r="AU25" s="224"/>
      <c r="AV25" s="223"/>
    </row>
    <row r="26" spans="1:49" ht="14.25" customHeight="1">
      <c r="A26" s="1" t="s">
        <v>151</v>
      </c>
      <c r="B26" s="22" t="s">
        <v>141</v>
      </c>
      <c r="C26" s="204" t="s">
        <v>141</v>
      </c>
      <c r="D26" s="204" t="s">
        <v>50</v>
      </c>
      <c r="E26" s="204" t="s">
        <v>51</v>
      </c>
      <c r="F26" s="204"/>
      <c r="G26" s="204" t="s">
        <v>142</v>
      </c>
      <c r="H26" s="204" t="s">
        <v>53</v>
      </c>
      <c r="I26" s="205">
        <v>3</v>
      </c>
      <c r="J26" s="205">
        <v>222632003</v>
      </c>
      <c r="K26" s="206">
        <v>222632003</v>
      </c>
      <c r="L26" s="237" t="s">
        <v>152</v>
      </c>
      <c r="M26" s="237" t="s">
        <v>153</v>
      </c>
      <c r="N26" s="207" t="s">
        <v>146</v>
      </c>
      <c r="O26" s="208" t="s">
        <v>58</v>
      </c>
      <c r="P26" s="209">
        <v>1</v>
      </c>
      <c r="Q26" s="209">
        <v>1</v>
      </c>
      <c r="R26" s="210">
        <v>1981</v>
      </c>
      <c r="S26" s="208" t="s">
        <v>154</v>
      </c>
      <c r="T26" s="211"/>
      <c r="U26" s="211" t="s">
        <v>60</v>
      </c>
      <c r="V26" s="212" t="s">
        <v>148</v>
      </c>
      <c r="W26" s="213" t="s">
        <v>92</v>
      </c>
      <c r="X26" s="214">
        <v>44729</v>
      </c>
      <c r="Y26" s="214">
        <v>45002</v>
      </c>
      <c r="Z26" s="215" t="s">
        <v>60</v>
      </c>
      <c r="AA26" s="216">
        <v>8.9753326297724616</v>
      </c>
      <c r="AB26" s="217">
        <v>-19359.044538033384</v>
      </c>
      <c r="AC26" s="214">
        <v>46555</v>
      </c>
      <c r="AD26" s="214">
        <v>46555</v>
      </c>
      <c r="AE26" s="214">
        <v>48381</v>
      </c>
      <c r="AF26" s="218"/>
      <c r="AG26" s="219">
        <v>25883</v>
      </c>
      <c r="AH26" s="220">
        <v>13.065623422513882</v>
      </c>
      <c r="AI26" s="217">
        <v>22010.743692787899</v>
      </c>
      <c r="AJ26" s="217"/>
      <c r="AK26" s="216">
        <v>0</v>
      </c>
      <c r="AL26" s="216">
        <v>8.9753326297724616</v>
      </c>
      <c r="AM26" s="217">
        <v>19359.044538033384</v>
      </c>
      <c r="AN26" s="221">
        <v>9.9988446022940387</v>
      </c>
      <c r="AO26" s="221">
        <v>7.3184314408356972</v>
      </c>
      <c r="AP26" s="221">
        <v>2.3190091396886778</v>
      </c>
      <c r="AQ26" s="221">
        <v>4.9994223011470194</v>
      </c>
      <c r="AR26" s="221">
        <v>2.3190091396886778</v>
      </c>
      <c r="AS26" s="222">
        <v>24800</v>
      </c>
      <c r="AT26" s="223">
        <v>12.518929833417467</v>
      </c>
      <c r="AU26" s="224"/>
      <c r="AV26" s="223"/>
    </row>
    <row r="27" spans="1:49" ht="14.25" customHeight="1">
      <c r="A27" s="1" t="s">
        <v>155</v>
      </c>
      <c r="B27" s="23" t="s">
        <v>156</v>
      </c>
      <c r="C27" s="204" t="s">
        <v>156</v>
      </c>
      <c r="D27" s="204" t="s">
        <v>50</v>
      </c>
      <c r="E27" s="204" t="s">
        <v>51</v>
      </c>
      <c r="F27" s="204"/>
      <c r="G27" s="204" t="s">
        <v>157</v>
      </c>
      <c r="H27" s="204" t="s">
        <v>53</v>
      </c>
      <c r="I27" s="205" t="s">
        <v>143</v>
      </c>
      <c r="J27" s="205">
        <v>222641001</v>
      </c>
      <c r="K27" s="206">
        <v>222641001</v>
      </c>
      <c r="L27" s="237" t="s">
        <v>158</v>
      </c>
      <c r="M27" s="237" t="s">
        <v>159</v>
      </c>
      <c r="N27" s="207">
        <v>43954</v>
      </c>
      <c r="O27" s="208" t="s">
        <v>58</v>
      </c>
      <c r="P27" s="209">
        <v>2</v>
      </c>
      <c r="Q27" s="209">
        <v>1</v>
      </c>
      <c r="R27" s="210">
        <v>4498</v>
      </c>
      <c r="S27" s="208" t="s">
        <v>160</v>
      </c>
      <c r="T27" s="211"/>
      <c r="U27" s="211" t="s">
        <v>60</v>
      </c>
      <c r="V27" s="212" t="s">
        <v>61</v>
      </c>
      <c r="W27" s="213" t="s">
        <v>92</v>
      </c>
      <c r="X27" s="214">
        <v>44448</v>
      </c>
      <c r="Y27" s="214">
        <v>44751</v>
      </c>
      <c r="Z27" s="215" t="s">
        <v>60</v>
      </c>
      <c r="AA27" s="216">
        <v>9.9616329187584451</v>
      </c>
      <c r="AB27" s="217">
        <v>-62542.452008271772</v>
      </c>
      <c r="AC27" s="214">
        <v>46274</v>
      </c>
      <c r="AD27" s="214">
        <v>48100</v>
      </c>
      <c r="AE27" s="214">
        <v>49835</v>
      </c>
      <c r="AF27" s="218">
        <v>-45000</v>
      </c>
      <c r="AG27" s="230">
        <v>75340</v>
      </c>
      <c r="AH27" s="220">
        <v>16.749666518452646</v>
      </c>
      <c r="AI27" s="217">
        <v>64584.512112569653</v>
      </c>
      <c r="AJ27" s="217"/>
      <c r="AK27" s="216">
        <v>7.1675073002389169</v>
      </c>
      <c r="AL27" s="216">
        <v>17.129140218997364</v>
      </c>
      <c r="AM27" s="217">
        <v>107542.45200827178</v>
      </c>
      <c r="AN27" s="221">
        <v>14.749117161160456</v>
      </c>
      <c r="AO27" s="221">
        <v>11.299351498813664</v>
      </c>
      <c r="AP27" s="221">
        <v>1.5496566388002262</v>
      </c>
      <c r="AQ27" s="221">
        <v>9.9988446022940387</v>
      </c>
      <c r="AR27" s="221">
        <v>6.5490789399472451</v>
      </c>
      <c r="AS27" s="222">
        <v>75340</v>
      </c>
      <c r="AT27" s="223">
        <v>16.749666518452646</v>
      </c>
      <c r="AU27" s="224"/>
      <c r="AV27" s="223"/>
    </row>
    <row r="28" spans="1:49" ht="14.25" customHeight="1">
      <c r="B28" s="20"/>
      <c r="C28" s="204"/>
      <c r="D28" s="204"/>
      <c r="E28" s="204"/>
      <c r="F28" s="204"/>
      <c r="G28" s="204"/>
      <c r="H28" s="204"/>
      <c r="I28" s="205"/>
      <c r="J28" s="205">
        <v>222641002</v>
      </c>
      <c r="K28" s="206">
        <v>222641002</v>
      </c>
      <c r="L28" s="237" t="s">
        <v>161</v>
      </c>
      <c r="M28" s="237" t="s">
        <v>162</v>
      </c>
      <c r="N28" s="207"/>
      <c r="O28" s="208"/>
      <c r="P28" s="209"/>
      <c r="Q28" s="209"/>
      <c r="R28" s="210"/>
      <c r="S28" s="208"/>
      <c r="T28" s="211"/>
      <c r="U28" s="211"/>
      <c r="V28" s="212"/>
      <c r="W28" s="213"/>
      <c r="X28" s="214"/>
      <c r="Y28" s="214"/>
      <c r="Z28" s="215"/>
      <c r="AA28" s="216"/>
      <c r="AB28" s="217"/>
      <c r="AC28" s="214"/>
      <c r="AD28" s="214"/>
      <c r="AE28" s="214"/>
      <c r="AF28" s="218"/>
      <c r="AG28" s="230"/>
      <c r="AH28" s="220"/>
      <c r="AI28" s="217"/>
      <c r="AJ28" s="217"/>
      <c r="AK28" s="216"/>
      <c r="AL28" s="216"/>
      <c r="AM28" s="217"/>
      <c r="AN28" s="221"/>
      <c r="AO28" s="221"/>
      <c r="AP28" s="221"/>
      <c r="AQ28" s="221"/>
      <c r="AR28" s="221"/>
      <c r="AS28" s="222"/>
      <c r="AT28" s="223"/>
      <c r="AU28" s="224"/>
      <c r="AV28" s="223"/>
    </row>
    <row r="29" spans="1:49" ht="14.25" customHeight="1">
      <c r="A29" s="1" t="s">
        <v>163</v>
      </c>
      <c r="B29" s="20" t="s">
        <v>164</v>
      </c>
      <c r="C29" s="204" t="s">
        <v>164</v>
      </c>
      <c r="D29" s="204" t="s">
        <v>104</v>
      </c>
      <c r="E29" s="204" t="s">
        <v>165</v>
      </c>
      <c r="F29" s="204"/>
      <c r="G29" s="204" t="s">
        <v>166</v>
      </c>
      <c r="H29" s="204" t="s">
        <v>166</v>
      </c>
      <c r="I29" s="205">
        <v>1</v>
      </c>
      <c r="J29" s="205">
        <v>900005001</v>
      </c>
      <c r="K29" s="206">
        <v>900005001</v>
      </c>
      <c r="L29" s="237" t="s">
        <v>167</v>
      </c>
      <c r="M29" s="237" t="s">
        <v>168</v>
      </c>
      <c r="N29" s="207">
        <v>43924</v>
      </c>
      <c r="O29" s="208" t="s">
        <v>58</v>
      </c>
      <c r="P29" s="209">
        <v>1</v>
      </c>
      <c r="Q29" s="209">
        <v>1</v>
      </c>
      <c r="R29" s="210">
        <v>2250</v>
      </c>
      <c r="S29" s="208" t="s">
        <v>91</v>
      </c>
      <c r="T29" s="211"/>
      <c r="U29" s="211">
        <v>58</v>
      </c>
      <c r="V29" s="212"/>
      <c r="W29" s="213" t="s">
        <v>92</v>
      </c>
      <c r="X29" s="214"/>
      <c r="Y29" s="214"/>
      <c r="Z29" s="215" t="s">
        <v>60</v>
      </c>
      <c r="AA29" s="216">
        <v>0</v>
      </c>
      <c r="AB29" s="217">
        <v>0</v>
      </c>
      <c r="AC29" s="214"/>
      <c r="AD29" s="214"/>
      <c r="AE29" s="214"/>
      <c r="AF29" s="218"/>
      <c r="AG29" s="219"/>
      <c r="AH29" s="220">
        <v>0</v>
      </c>
      <c r="AI29" s="217">
        <v>0</v>
      </c>
      <c r="AJ29" s="217"/>
      <c r="AK29" s="216" t="s">
        <v>60</v>
      </c>
      <c r="AL29" s="216" t="s">
        <v>60</v>
      </c>
      <c r="AM29" s="217" t="s">
        <v>60</v>
      </c>
      <c r="AN29" s="221">
        <v>0</v>
      </c>
      <c r="AO29" s="221" t="s">
        <v>60</v>
      </c>
      <c r="AP29" s="221" t="s">
        <v>60</v>
      </c>
      <c r="AQ29" s="221">
        <v>0</v>
      </c>
      <c r="AR29" s="221" t="s">
        <v>60</v>
      </c>
      <c r="AS29" s="222">
        <v>51731.25</v>
      </c>
      <c r="AT29" s="223">
        <v>22.991666666666667</v>
      </c>
      <c r="AU29" s="138">
        <v>52000</v>
      </c>
      <c r="AV29" s="231">
        <v>23.111111111111111</v>
      </c>
      <c r="AW29" s="29"/>
    </row>
    <row r="30" spans="1:49" ht="14.25" customHeight="1">
      <c r="A30" s="1" t="s">
        <v>169</v>
      </c>
      <c r="B30" s="21" t="s">
        <v>164</v>
      </c>
      <c r="C30" s="204" t="s">
        <v>164</v>
      </c>
      <c r="D30" s="204" t="s">
        <v>104</v>
      </c>
      <c r="E30" s="204" t="s">
        <v>165</v>
      </c>
      <c r="F30" s="204"/>
      <c r="G30" s="204" t="s">
        <v>166</v>
      </c>
      <c r="H30" s="204" t="s">
        <v>166</v>
      </c>
      <c r="I30" s="205">
        <v>2</v>
      </c>
      <c r="J30" s="205">
        <v>900005002</v>
      </c>
      <c r="K30" s="206">
        <v>900005002</v>
      </c>
      <c r="L30" s="237" t="s">
        <v>170</v>
      </c>
      <c r="M30" s="237" t="s">
        <v>171</v>
      </c>
      <c r="N30" s="207">
        <v>43924</v>
      </c>
      <c r="O30" s="208" t="s">
        <v>58</v>
      </c>
      <c r="P30" s="209">
        <v>1</v>
      </c>
      <c r="Q30" s="209">
        <v>1</v>
      </c>
      <c r="R30" s="210">
        <v>3451</v>
      </c>
      <c r="S30" s="208" t="s">
        <v>120</v>
      </c>
      <c r="T30" s="211" t="s">
        <v>172</v>
      </c>
      <c r="U30" s="211">
        <v>58</v>
      </c>
      <c r="V30" s="212"/>
      <c r="W30" s="213" t="s">
        <v>173</v>
      </c>
      <c r="X30" s="214"/>
      <c r="Y30" s="214"/>
      <c r="Z30" s="215" t="s">
        <v>60</v>
      </c>
      <c r="AA30" s="216">
        <v>0</v>
      </c>
      <c r="AB30" s="217">
        <v>0</v>
      </c>
      <c r="AC30" s="214"/>
      <c r="AD30" s="214"/>
      <c r="AE30" s="214"/>
      <c r="AF30" s="218"/>
      <c r="AG30" s="219"/>
      <c r="AH30" s="220">
        <v>0</v>
      </c>
      <c r="AI30" s="217">
        <v>0</v>
      </c>
      <c r="AJ30" s="217"/>
      <c r="AK30" s="216" t="s">
        <v>60</v>
      </c>
      <c r="AL30" s="216" t="s">
        <v>60</v>
      </c>
      <c r="AM30" s="217" t="s">
        <v>60</v>
      </c>
      <c r="AN30" s="221">
        <v>0</v>
      </c>
      <c r="AO30" s="221" t="s">
        <v>60</v>
      </c>
      <c r="AP30" s="221" t="s">
        <v>60</v>
      </c>
      <c r="AQ30" s="221">
        <v>0</v>
      </c>
      <c r="AR30" s="221" t="s">
        <v>60</v>
      </c>
      <c r="AS30" s="222">
        <v>60000</v>
      </c>
      <c r="AT30" s="223">
        <v>17.386264850767894</v>
      </c>
      <c r="AU30" s="138">
        <v>80000</v>
      </c>
      <c r="AV30" s="231">
        <v>23.181686467690525</v>
      </c>
      <c r="AW30" s="29"/>
    </row>
    <row r="31" spans="1:49" ht="14.25" customHeight="1">
      <c r="A31" s="1" t="s">
        <v>174</v>
      </c>
      <c r="B31" s="21" t="s">
        <v>164</v>
      </c>
      <c r="C31" s="204" t="s">
        <v>164</v>
      </c>
      <c r="D31" s="204" t="s">
        <v>104</v>
      </c>
      <c r="E31" s="204" t="s">
        <v>165</v>
      </c>
      <c r="F31" s="204"/>
      <c r="G31" s="204" t="s">
        <v>166</v>
      </c>
      <c r="H31" s="204" t="s">
        <v>166</v>
      </c>
      <c r="I31" s="205">
        <v>3</v>
      </c>
      <c r="J31" s="205">
        <v>900005003</v>
      </c>
      <c r="K31" s="206">
        <v>900005003</v>
      </c>
      <c r="L31" s="237" t="s">
        <v>175</v>
      </c>
      <c r="M31" s="237" t="s">
        <v>176</v>
      </c>
      <c r="N31" s="207">
        <v>43924</v>
      </c>
      <c r="O31" s="208" t="s">
        <v>58</v>
      </c>
      <c r="P31" s="209">
        <v>1</v>
      </c>
      <c r="Q31" s="209">
        <v>1</v>
      </c>
      <c r="R31" s="210">
        <v>904</v>
      </c>
      <c r="S31" s="208" t="s">
        <v>91</v>
      </c>
      <c r="T31" s="211"/>
      <c r="U31" s="211">
        <v>58</v>
      </c>
      <c r="V31" s="212"/>
      <c r="W31" s="213" t="s">
        <v>92</v>
      </c>
      <c r="X31" s="214"/>
      <c r="Y31" s="214"/>
      <c r="Z31" s="215" t="s">
        <v>60</v>
      </c>
      <c r="AA31" s="216">
        <v>0</v>
      </c>
      <c r="AB31" s="217">
        <v>0</v>
      </c>
      <c r="AC31" s="214"/>
      <c r="AD31" s="214"/>
      <c r="AE31" s="214"/>
      <c r="AF31" s="218"/>
      <c r="AG31" s="219"/>
      <c r="AH31" s="220">
        <v>0</v>
      </c>
      <c r="AI31" s="217">
        <v>0</v>
      </c>
      <c r="AJ31" s="217"/>
      <c r="AK31" s="216" t="s">
        <v>60</v>
      </c>
      <c r="AL31" s="216" t="s">
        <v>60</v>
      </c>
      <c r="AM31" s="217" t="s">
        <v>60</v>
      </c>
      <c r="AN31" s="221">
        <v>0</v>
      </c>
      <c r="AO31" s="221" t="s">
        <v>60</v>
      </c>
      <c r="AP31" s="221" t="s">
        <v>60</v>
      </c>
      <c r="AQ31" s="221">
        <v>0</v>
      </c>
      <c r="AR31" s="221" t="s">
        <v>60</v>
      </c>
      <c r="AS31" s="222">
        <v>20340</v>
      </c>
      <c r="AT31" s="223">
        <v>22.5</v>
      </c>
      <c r="AU31" s="138">
        <v>26000</v>
      </c>
      <c r="AV31" s="231">
        <v>28.761061946902654</v>
      </c>
      <c r="AW31" s="29"/>
    </row>
    <row r="32" spans="1:49" ht="14.25" customHeight="1">
      <c r="A32" s="1" t="s">
        <v>177</v>
      </c>
      <c r="B32" s="22" t="s">
        <v>164</v>
      </c>
      <c r="C32" s="204" t="s">
        <v>164</v>
      </c>
      <c r="D32" s="204" t="s">
        <v>104</v>
      </c>
      <c r="E32" s="204" t="s">
        <v>165</v>
      </c>
      <c r="F32" s="204"/>
      <c r="G32" s="204" t="s">
        <v>166</v>
      </c>
      <c r="H32" s="204" t="s">
        <v>166</v>
      </c>
      <c r="I32" s="205">
        <v>4</v>
      </c>
      <c r="J32" s="205">
        <v>900005004</v>
      </c>
      <c r="K32" s="206">
        <v>900005004</v>
      </c>
      <c r="L32" s="237" t="s">
        <v>178</v>
      </c>
      <c r="M32" s="237" t="s">
        <v>179</v>
      </c>
      <c r="N32" s="207">
        <v>43924</v>
      </c>
      <c r="O32" s="208" t="s">
        <v>58</v>
      </c>
      <c r="P32" s="209">
        <v>1</v>
      </c>
      <c r="Q32" s="209">
        <v>1</v>
      </c>
      <c r="R32" s="210">
        <v>1132</v>
      </c>
      <c r="S32" s="208" t="s">
        <v>120</v>
      </c>
      <c r="T32" s="211" t="s">
        <v>180</v>
      </c>
      <c r="U32" s="211">
        <v>58</v>
      </c>
      <c r="V32" s="212"/>
      <c r="W32" s="213" t="s">
        <v>173</v>
      </c>
      <c r="X32" s="214"/>
      <c r="Y32" s="214"/>
      <c r="Z32" s="215" t="s">
        <v>60</v>
      </c>
      <c r="AA32" s="216">
        <v>0</v>
      </c>
      <c r="AB32" s="217">
        <v>0</v>
      </c>
      <c r="AC32" s="214"/>
      <c r="AD32" s="214"/>
      <c r="AE32" s="214"/>
      <c r="AF32" s="218"/>
      <c r="AG32" s="219"/>
      <c r="AH32" s="220">
        <v>0</v>
      </c>
      <c r="AI32" s="217">
        <v>0</v>
      </c>
      <c r="AJ32" s="217"/>
      <c r="AK32" s="216" t="s">
        <v>60</v>
      </c>
      <c r="AL32" s="216" t="s">
        <v>60</v>
      </c>
      <c r="AM32" s="217" t="s">
        <v>60</v>
      </c>
      <c r="AN32" s="221">
        <v>0</v>
      </c>
      <c r="AO32" s="221" t="s">
        <v>60</v>
      </c>
      <c r="AP32" s="221" t="s">
        <v>60</v>
      </c>
      <c r="AQ32" s="221">
        <v>0</v>
      </c>
      <c r="AR32" s="221" t="s">
        <v>60</v>
      </c>
      <c r="AS32" s="222">
        <v>24055</v>
      </c>
      <c r="AT32" s="223">
        <v>21.25</v>
      </c>
      <c r="AU32" s="138">
        <v>30000</v>
      </c>
      <c r="AV32" s="231">
        <v>26.501766784452297</v>
      </c>
      <c r="AW32" s="29"/>
    </row>
    <row r="33" spans="1:49" ht="14.25" customHeight="1">
      <c r="A33" s="1" t="s">
        <v>181</v>
      </c>
      <c r="B33" s="20" t="s">
        <v>182</v>
      </c>
      <c r="C33" s="204" t="s">
        <v>182</v>
      </c>
      <c r="D33" s="204" t="s">
        <v>104</v>
      </c>
      <c r="E33" s="204" t="s">
        <v>51</v>
      </c>
      <c r="F33" s="204"/>
      <c r="G33" s="204" t="s">
        <v>52</v>
      </c>
      <c r="H33" s="204" t="s">
        <v>53</v>
      </c>
      <c r="I33" s="205" t="s">
        <v>183</v>
      </c>
      <c r="J33" s="205">
        <v>222653001</v>
      </c>
      <c r="K33" s="206">
        <v>222653001</v>
      </c>
      <c r="L33" s="237" t="s">
        <v>184</v>
      </c>
      <c r="M33" s="237" t="s">
        <v>185</v>
      </c>
      <c r="N33" s="207" t="s">
        <v>186</v>
      </c>
      <c r="O33" s="208" t="s">
        <v>58</v>
      </c>
      <c r="P33" s="209">
        <v>1</v>
      </c>
      <c r="Q33" s="209">
        <v>1</v>
      </c>
      <c r="R33" s="210">
        <v>1069</v>
      </c>
      <c r="S33" s="208" t="s">
        <v>91</v>
      </c>
      <c r="T33" s="211" t="s">
        <v>187</v>
      </c>
      <c r="U33" s="211">
        <v>48</v>
      </c>
      <c r="V33" s="212"/>
      <c r="W33" s="213" t="s">
        <v>97</v>
      </c>
      <c r="X33" s="214"/>
      <c r="Y33" s="214"/>
      <c r="Z33" s="215" t="s">
        <v>60</v>
      </c>
      <c r="AA33" s="216">
        <v>0</v>
      </c>
      <c r="AB33" s="217">
        <v>0</v>
      </c>
      <c r="AC33" s="214"/>
      <c r="AD33" s="214"/>
      <c r="AE33" s="214"/>
      <c r="AF33" s="218"/>
      <c r="AG33" s="219"/>
      <c r="AH33" s="220">
        <v>0</v>
      </c>
      <c r="AI33" s="217">
        <v>0</v>
      </c>
      <c r="AJ33" s="217"/>
      <c r="AK33" s="216" t="s">
        <v>60</v>
      </c>
      <c r="AL33" s="216" t="s">
        <v>60</v>
      </c>
      <c r="AM33" s="217" t="s">
        <v>60</v>
      </c>
      <c r="AN33" s="221">
        <v>0</v>
      </c>
      <c r="AO33" s="221" t="s">
        <v>60</v>
      </c>
      <c r="AP33" s="221" t="s">
        <v>60</v>
      </c>
      <c r="AQ33" s="221">
        <v>0</v>
      </c>
      <c r="AR33" s="221" t="s">
        <v>60</v>
      </c>
      <c r="AS33" s="222">
        <v>24000</v>
      </c>
      <c r="AT33" s="223">
        <v>22.450888681010291</v>
      </c>
      <c r="AU33" s="138">
        <v>25000</v>
      </c>
      <c r="AV33" s="231">
        <v>23.386342376052387</v>
      </c>
      <c r="AW33" s="29"/>
    </row>
    <row r="34" spans="1:49" ht="14.25" customHeight="1">
      <c r="A34" s="1" t="s">
        <v>188</v>
      </c>
      <c r="B34" s="21" t="s">
        <v>182</v>
      </c>
      <c r="C34" s="204" t="s">
        <v>182</v>
      </c>
      <c r="D34" s="204" t="s">
        <v>50</v>
      </c>
      <c r="E34" s="204" t="s">
        <v>51</v>
      </c>
      <c r="F34" s="204"/>
      <c r="G34" s="204" t="s">
        <v>52</v>
      </c>
      <c r="H34" s="204" t="s">
        <v>53</v>
      </c>
      <c r="I34" s="205" t="s">
        <v>189</v>
      </c>
      <c r="J34" s="205">
        <v>222653002</v>
      </c>
      <c r="K34" s="206">
        <v>222653002</v>
      </c>
      <c r="L34" s="237" t="s">
        <v>190</v>
      </c>
      <c r="M34" s="237" t="s">
        <v>191</v>
      </c>
      <c r="N34" s="207" t="s">
        <v>186</v>
      </c>
      <c r="O34" s="208" t="s">
        <v>58</v>
      </c>
      <c r="P34" s="209">
        <v>1</v>
      </c>
      <c r="Q34" s="209">
        <v>1</v>
      </c>
      <c r="R34" s="210">
        <v>828</v>
      </c>
      <c r="S34" s="208" t="s">
        <v>192</v>
      </c>
      <c r="T34" s="211"/>
      <c r="U34" s="211" t="s">
        <v>60</v>
      </c>
      <c r="V34" s="212"/>
      <c r="W34" s="213" t="s">
        <v>193</v>
      </c>
      <c r="X34" s="214">
        <v>44642</v>
      </c>
      <c r="Y34" s="214">
        <v>44733</v>
      </c>
      <c r="Z34" s="215" t="s">
        <v>60</v>
      </c>
      <c r="AA34" s="216">
        <v>2.9917775432574869</v>
      </c>
      <c r="AB34" s="217">
        <v>-4986.295905429145</v>
      </c>
      <c r="AC34" s="214">
        <v>46468</v>
      </c>
      <c r="AD34" s="214">
        <v>46468</v>
      </c>
      <c r="AE34" s="214">
        <v>47198</v>
      </c>
      <c r="AF34" s="218"/>
      <c r="AG34" s="218">
        <v>20000</v>
      </c>
      <c r="AH34" s="220">
        <v>24.154589371980677</v>
      </c>
      <c r="AI34" s="217">
        <v>19002.625582502777</v>
      </c>
      <c r="AJ34" s="217"/>
      <c r="AK34" s="216">
        <v>0</v>
      </c>
      <c r="AL34" s="216">
        <v>2.9917775432574869</v>
      </c>
      <c r="AM34" s="217">
        <v>4986.295905429145</v>
      </c>
      <c r="AN34" s="221">
        <v>6.9980960579034948</v>
      </c>
      <c r="AO34" s="221">
        <v>4.0794847911878742</v>
      </c>
      <c r="AP34" s="221">
        <v>2.0808110344313993</v>
      </c>
      <c r="AQ34" s="221">
        <v>4.9994223011470194</v>
      </c>
      <c r="AR34" s="221">
        <v>2.0808110344313993</v>
      </c>
      <c r="AS34" s="222">
        <v>20000</v>
      </c>
      <c r="AT34" s="223">
        <v>24.154589371980677</v>
      </c>
      <c r="AU34" s="224"/>
      <c r="AV34" s="223"/>
    </row>
    <row r="35" spans="1:49" ht="14.25" customHeight="1">
      <c r="A35" s="1" t="s">
        <v>194</v>
      </c>
      <c r="B35" s="21" t="s">
        <v>182</v>
      </c>
      <c r="C35" s="204" t="s">
        <v>182</v>
      </c>
      <c r="D35" s="204" t="s">
        <v>50</v>
      </c>
      <c r="E35" s="204" t="s">
        <v>51</v>
      </c>
      <c r="F35" s="204"/>
      <c r="G35" s="204" t="s">
        <v>52</v>
      </c>
      <c r="H35" s="204" t="s">
        <v>53</v>
      </c>
      <c r="I35" s="205" t="s">
        <v>195</v>
      </c>
      <c r="J35" s="205">
        <v>222653003</v>
      </c>
      <c r="K35" s="206">
        <v>222653003</v>
      </c>
      <c r="L35" s="237" t="s">
        <v>196</v>
      </c>
      <c r="M35" s="237" t="s">
        <v>197</v>
      </c>
      <c r="N35" s="207" t="s">
        <v>186</v>
      </c>
      <c r="O35" s="208" t="s">
        <v>58</v>
      </c>
      <c r="P35" s="209">
        <v>1</v>
      </c>
      <c r="Q35" s="209">
        <v>1</v>
      </c>
      <c r="R35" s="210">
        <v>426</v>
      </c>
      <c r="S35" s="208" t="s">
        <v>198</v>
      </c>
      <c r="T35" s="211"/>
      <c r="U35" s="211" t="s">
        <v>60</v>
      </c>
      <c r="V35" s="212"/>
      <c r="W35" s="213" t="s">
        <v>193</v>
      </c>
      <c r="X35" s="214">
        <v>44470</v>
      </c>
      <c r="Y35" s="214">
        <v>44547</v>
      </c>
      <c r="Z35" s="215" t="s">
        <v>60</v>
      </c>
      <c r="AA35" s="216">
        <v>2.5315040750640274</v>
      </c>
      <c r="AB35" s="217">
        <v>-2729.8052276107092</v>
      </c>
      <c r="AC35" s="214">
        <v>45566</v>
      </c>
      <c r="AD35" s="214"/>
      <c r="AE35" s="214">
        <v>46295</v>
      </c>
      <c r="AF35" s="218"/>
      <c r="AG35" s="219">
        <v>12940</v>
      </c>
      <c r="AH35" s="220">
        <v>30.375586854460092</v>
      </c>
      <c r="AI35" s="217">
        <v>12393.676675669019</v>
      </c>
      <c r="AJ35" s="217"/>
      <c r="AK35" s="216">
        <v>0</v>
      </c>
      <c r="AL35" s="216">
        <v>2.5315040750640274</v>
      </c>
      <c r="AM35" s="217">
        <v>2729.8052276107092</v>
      </c>
      <c r="AN35" s="221">
        <v>4.996684391891189</v>
      </c>
      <c r="AO35" s="221">
        <v>1.6071527331726727</v>
      </c>
      <c r="AP35" s="221" t="s">
        <v>60</v>
      </c>
      <c r="AQ35" s="221" t="s">
        <v>60</v>
      </c>
      <c r="AR35" s="221" t="s">
        <v>60</v>
      </c>
      <c r="AS35" s="222">
        <v>12800</v>
      </c>
      <c r="AT35" s="223">
        <v>30.046948356807512</v>
      </c>
      <c r="AU35" s="224"/>
      <c r="AV35" s="223"/>
    </row>
    <row r="36" spans="1:49" ht="14.25" customHeight="1">
      <c r="A36" s="1" t="s">
        <v>199</v>
      </c>
      <c r="B36" s="21" t="s">
        <v>182</v>
      </c>
      <c r="C36" s="204" t="s">
        <v>182</v>
      </c>
      <c r="D36" s="204" t="s">
        <v>50</v>
      </c>
      <c r="E36" s="204" t="s">
        <v>51</v>
      </c>
      <c r="F36" s="204"/>
      <c r="G36" s="204" t="s">
        <v>52</v>
      </c>
      <c r="H36" s="204" t="s">
        <v>53</v>
      </c>
      <c r="I36" s="205" t="s">
        <v>200</v>
      </c>
      <c r="J36" s="205">
        <v>222653004</v>
      </c>
      <c r="K36" s="206">
        <v>222653004</v>
      </c>
      <c r="L36" s="237" t="s">
        <v>201</v>
      </c>
      <c r="M36" s="237" t="s">
        <v>202</v>
      </c>
      <c r="N36" s="207" t="s">
        <v>203</v>
      </c>
      <c r="O36" s="208" t="s">
        <v>58</v>
      </c>
      <c r="P36" s="209">
        <v>1</v>
      </c>
      <c r="Q36" s="209">
        <v>1</v>
      </c>
      <c r="R36" s="210">
        <v>1231</v>
      </c>
      <c r="S36" s="208" t="s">
        <v>204</v>
      </c>
      <c r="T36" s="211"/>
      <c r="U36" s="211" t="s">
        <v>60</v>
      </c>
      <c r="V36" s="212"/>
      <c r="W36" s="213" t="s">
        <v>193</v>
      </c>
      <c r="X36" s="214">
        <v>44992</v>
      </c>
      <c r="Y36" s="214">
        <v>45358</v>
      </c>
      <c r="Z36" s="215" t="s">
        <v>60</v>
      </c>
      <c r="AA36" s="216">
        <v>12.032863525629013</v>
      </c>
      <c r="AB36" s="217">
        <v>-25569.834991961652</v>
      </c>
      <c r="AC36" s="214">
        <v>46819</v>
      </c>
      <c r="AD36" s="214">
        <v>47184</v>
      </c>
      <c r="AE36" s="214">
        <v>48645</v>
      </c>
      <c r="AF36" s="218" t="s">
        <v>60</v>
      </c>
      <c r="AG36" s="219">
        <v>25500</v>
      </c>
      <c r="AH36" s="220">
        <v>20.714865962632008</v>
      </c>
      <c r="AI36" s="217">
        <v>25500</v>
      </c>
      <c r="AJ36" s="217"/>
      <c r="AK36" s="216" t="s">
        <v>60</v>
      </c>
      <c r="AL36" s="216" t="s">
        <v>60</v>
      </c>
      <c r="AM36" s="217" t="s">
        <v>60</v>
      </c>
      <c r="AN36" s="221">
        <v>10.00158251154987</v>
      </c>
      <c r="AO36" s="221">
        <v>8.0412394843750246</v>
      </c>
      <c r="AP36" s="221">
        <v>3.0418171832280056</v>
      </c>
      <c r="AQ36" s="221">
        <v>6.0014970887810879</v>
      </c>
      <c r="AR36" s="221">
        <v>4.0411540616062434</v>
      </c>
      <c r="AS36" s="222">
        <v>25500</v>
      </c>
      <c r="AT36" s="223">
        <v>20.714865962632008</v>
      </c>
      <c r="AU36" s="224"/>
      <c r="AV36" s="223"/>
    </row>
    <row r="37" spans="1:49" ht="14.25" customHeight="1">
      <c r="A37" s="1" t="s">
        <v>205</v>
      </c>
      <c r="B37" s="21" t="s">
        <v>182</v>
      </c>
      <c r="C37" s="204" t="s">
        <v>182</v>
      </c>
      <c r="D37" s="204" t="s">
        <v>50</v>
      </c>
      <c r="E37" s="204" t="s">
        <v>51</v>
      </c>
      <c r="F37" s="204"/>
      <c r="G37" s="204" t="s">
        <v>52</v>
      </c>
      <c r="H37" s="204" t="s">
        <v>53</v>
      </c>
      <c r="I37" s="205" t="s">
        <v>206</v>
      </c>
      <c r="J37" s="205">
        <v>222653005</v>
      </c>
      <c r="K37" s="206">
        <v>222653005</v>
      </c>
      <c r="L37" s="237" t="s">
        <v>207</v>
      </c>
      <c r="M37" s="237" t="s">
        <v>208</v>
      </c>
      <c r="N37" s="207" t="s">
        <v>203</v>
      </c>
      <c r="O37" s="208" t="s">
        <v>58</v>
      </c>
      <c r="P37" s="209">
        <v>1</v>
      </c>
      <c r="Q37" s="209">
        <v>1</v>
      </c>
      <c r="R37" s="210">
        <v>1332</v>
      </c>
      <c r="S37" s="208" t="s">
        <v>209</v>
      </c>
      <c r="T37" s="211"/>
      <c r="U37" s="211" t="s">
        <v>60</v>
      </c>
      <c r="V37" s="212"/>
      <c r="W37" s="213" t="s">
        <v>193</v>
      </c>
      <c r="X37" s="214">
        <v>45064</v>
      </c>
      <c r="Y37" s="214">
        <v>45248</v>
      </c>
      <c r="Z37" s="215" t="s">
        <v>60</v>
      </c>
      <c r="AA37" s="216">
        <v>6.0493084391140393</v>
      </c>
      <c r="AB37" s="217">
        <v>-14745.189320340471</v>
      </c>
      <c r="AC37" s="214">
        <v>46905</v>
      </c>
      <c r="AD37" s="214">
        <v>46905</v>
      </c>
      <c r="AE37" s="214">
        <v>48716</v>
      </c>
      <c r="AF37" s="218">
        <v>-15000</v>
      </c>
      <c r="AG37" s="219">
        <v>29250</v>
      </c>
      <c r="AH37" s="220">
        <v>21.95945945945946</v>
      </c>
      <c r="AI37" s="217">
        <v>23348.751555253853</v>
      </c>
      <c r="AJ37" s="217"/>
      <c r="AK37" s="216">
        <v>6.1538461538461542</v>
      </c>
      <c r="AL37" s="216">
        <v>12.203154592960193</v>
      </c>
      <c r="AM37" s="217">
        <v>29745.189320340469</v>
      </c>
      <c r="AN37" s="221">
        <v>9.9988446022940387</v>
      </c>
      <c r="AO37" s="221">
        <v>8.2356310415390119</v>
      </c>
      <c r="AP37" s="221">
        <v>3.2772773792294534</v>
      </c>
      <c r="AQ37" s="221">
        <v>5.0404909399844815</v>
      </c>
      <c r="AR37" s="221">
        <v>3.2772773792294534</v>
      </c>
      <c r="AS37" s="222">
        <v>29250</v>
      </c>
      <c r="AT37" s="223">
        <v>21.95945945945946</v>
      </c>
      <c r="AU37" s="224"/>
      <c r="AV37" s="223"/>
    </row>
    <row r="38" spans="1:49" ht="14.25" customHeight="1">
      <c r="A38" s="1" t="s">
        <v>210</v>
      </c>
      <c r="B38" s="22" t="s">
        <v>182</v>
      </c>
      <c r="C38" s="204" t="s">
        <v>182</v>
      </c>
      <c r="D38" s="204" t="s">
        <v>50</v>
      </c>
      <c r="E38" s="204" t="s">
        <v>51</v>
      </c>
      <c r="F38" s="204"/>
      <c r="G38" s="204" t="s">
        <v>52</v>
      </c>
      <c r="H38" s="204" t="s">
        <v>53</v>
      </c>
      <c r="I38" s="205" t="s">
        <v>211</v>
      </c>
      <c r="J38" s="205">
        <v>222653006</v>
      </c>
      <c r="K38" s="206">
        <v>222653006</v>
      </c>
      <c r="L38" s="237" t="s">
        <v>212</v>
      </c>
      <c r="M38" s="237" t="s">
        <v>213</v>
      </c>
      <c r="N38" s="207" t="s">
        <v>203</v>
      </c>
      <c r="O38" s="208" t="s">
        <v>58</v>
      </c>
      <c r="P38" s="209">
        <v>1</v>
      </c>
      <c r="Q38" s="209">
        <v>1</v>
      </c>
      <c r="R38" s="210">
        <v>2940</v>
      </c>
      <c r="S38" s="208" t="s">
        <v>214</v>
      </c>
      <c r="T38" s="211"/>
      <c r="U38" s="211" t="s">
        <v>60</v>
      </c>
      <c r="V38" s="212"/>
      <c r="W38" s="213" t="s">
        <v>193</v>
      </c>
      <c r="X38" s="214">
        <v>45156</v>
      </c>
      <c r="Y38" s="214">
        <v>45340</v>
      </c>
      <c r="Z38" s="215" t="s">
        <v>60</v>
      </c>
      <c r="AA38" s="216">
        <v>6.0493084391140393</v>
      </c>
      <c r="AB38" s="217">
        <v>-22684.906646677646</v>
      </c>
      <c r="AC38" s="214">
        <v>46983</v>
      </c>
      <c r="AD38" s="214">
        <v>46252</v>
      </c>
      <c r="AE38" s="214">
        <v>48808</v>
      </c>
      <c r="AF38" s="218"/>
      <c r="AG38" s="219">
        <v>45000</v>
      </c>
      <c r="AH38" s="220">
        <v>15.306122448979592</v>
      </c>
      <c r="AI38" s="217">
        <v>37440.250720413176</v>
      </c>
      <c r="AJ38" s="217"/>
      <c r="AK38" s="216">
        <v>0</v>
      </c>
      <c r="AL38" s="216">
        <v>6.0493084391140393</v>
      </c>
      <c r="AM38" s="217">
        <v>22684.906646677646</v>
      </c>
      <c r="AN38" s="221">
        <v>9.9988446022940387</v>
      </c>
      <c r="AO38" s="221">
        <v>8.4875186930754438</v>
      </c>
      <c r="AP38" s="221">
        <v>3.4908343011842549</v>
      </c>
      <c r="AQ38" s="221">
        <v>3.0007485443905439</v>
      </c>
      <c r="AR38" s="221">
        <v>1.4894226351719488</v>
      </c>
      <c r="AS38" s="222">
        <v>45000</v>
      </c>
      <c r="AT38" s="223">
        <v>15.306122448979592</v>
      </c>
      <c r="AU38" s="224"/>
      <c r="AV38" s="223"/>
    </row>
    <row r="39" spans="1:49" ht="14.25" customHeight="1">
      <c r="A39" s="1" t="s">
        <v>215</v>
      </c>
      <c r="B39" s="20" t="s">
        <v>216</v>
      </c>
      <c r="C39" s="204" t="s">
        <v>216</v>
      </c>
      <c r="D39" s="204" t="s">
        <v>104</v>
      </c>
      <c r="E39" s="204" t="s">
        <v>217</v>
      </c>
      <c r="F39" s="204"/>
      <c r="G39" s="204" t="s">
        <v>166</v>
      </c>
      <c r="H39" s="204" t="s">
        <v>166</v>
      </c>
      <c r="I39" s="205">
        <v>1</v>
      </c>
      <c r="J39" s="205">
        <v>222646001</v>
      </c>
      <c r="K39" s="206">
        <v>222646001</v>
      </c>
      <c r="L39" s="237" t="s">
        <v>218</v>
      </c>
      <c r="M39" s="237" t="s">
        <v>219</v>
      </c>
      <c r="N39" s="207" t="s">
        <v>220</v>
      </c>
      <c r="O39" s="208" t="s">
        <v>58</v>
      </c>
      <c r="P39" s="209">
        <v>1</v>
      </c>
      <c r="Q39" s="209">
        <v>1</v>
      </c>
      <c r="R39" s="210">
        <v>1780</v>
      </c>
      <c r="S39" s="208" t="s">
        <v>120</v>
      </c>
      <c r="T39" s="211" t="s">
        <v>221</v>
      </c>
      <c r="U39" s="211">
        <v>43</v>
      </c>
      <c r="V39" s="212"/>
      <c r="W39" s="213"/>
      <c r="X39" s="214"/>
      <c r="Y39" s="214"/>
      <c r="Z39" s="215" t="s">
        <v>60</v>
      </c>
      <c r="AA39" s="216">
        <v>0</v>
      </c>
      <c r="AB39" s="217">
        <v>0</v>
      </c>
      <c r="AC39" s="214"/>
      <c r="AD39" s="214"/>
      <c r="AE39" s="214"/>
      <c r="AF39" s="218"/>
      <c r="AG39" s="219"/>
      <c r="AH39" s="220">
        <v>0</v>
      </c>
      <c r="AI39" s="217">
        <v>0</v>
      </c>
      <c r="AJ39" s="217"/>
      <c r="AK39" s="216" t="s">
        <v>60</v>
      </c>
      <c r="AL39" s="216" t="s">
        <v>60</v>
      </c>
      <c r="AM39" s="217" t="s">
        <v>60</v>
      </c>
      <c r="AN39" s="221">
        <v>0</v>
      </c>
      <c r="AO39" s="221" t="s">
        <v>60</v>
      </c>
      <c r="AP39" s="221" t="s">
        <v>60</v>
      </c>
      <c r="AQ39" s="221">
        <v>0</v>
      </c>
      <c r="AR39" s="221" t="s">
        <v>60</v>
      </c>
      <c r="AS39" s="222">
        <v>44500</v>
      </c>
      <c r="AT39" s="223">
        <v>25</v>
      </c>
      <c r="AU39" s="138">
        <v>45000</v>
      </c>
      <c r="AV39" s="231">
        <v>25.280898876404493</v>
      </c>
      <c r="AW39" s="29"/>
    </row>
    <row r="40" spans="1:49" ht="14.25" customHeight="1">
      <c r="A40" s="1" t="s">
        <v>222</v>
      </c>
      <c r="B40" s="22" t="s">
        <v>216</v>
      </c>
      <c r="C40" s="204" t="s">
        <v>216</v>
      </c>
      <c r="D40" s="204" t="s">
        <v>50</v>
      </c>
      <c r="E40" s="204" t="s">
        <v>217</v>
      </c>
      <c r="F40" s="204"/>
      <c r="G40" s="204" t="s">
        <v>166</v>
      </c>
      <c r="H40" s="204" t="s">
        <v>166</v>
      </c>
      <c r="I40" s="205">
        <v>2</v>
      </c>
      <c r="J40" s="205">
        <v>222644002</v>
      </c>
      <c r="K40" s="206">
        <v>222644002</v>
      </c>
      <c r="L40" s="237" t="s">
        <v>223</v>
      </c>
      <c r="M40" s="237" t="s">
        <v>224</v>
      </c>
      <c r="N40" s="207" t="s">
        <v>220</v>
      </c>
      <c r="O40" s="208" t="s">
        <v>58</v>
      </c>
      <c r="P40" s="209">
        <v>6</v>
      </c>
      <c r="Q40" s="209">
        <v>1</v>
      </c>
      <c r="R40" s="210">
        <v>7704</v>
      </c>
      <c r="S40" s="208" t="s">
        <v>225</v>
      </c>
      <c r="T40" s="211"/>
      <c r="U40" s="211" t="s">
        <v>60</v>
      </c>
      <c r="V40" s="212"/>
      <c r="W40" s="213"/>
      <c r="X40" s="214">
        <v>45191</v>
      </c>
      <c r="Y40" s="214">
        <v>45285</v>
      </c>
      <c r="Z40" s="215" t="s">
        <v>60</v>
      </c>
      <c r="AA40" s="216">
        <v>3.0904075721560855</v>
      </c>
      <c r="AB40" s="217">
        <v>-50219.123047536392</v>
      </c>
      <c r="AC40" s="214"/>
      <c r="AD40" s="214" t="s">
        <v>226</v>
      </c>
      <c r="AE40" s="214">
        <v>50672</v>
      </c>
      <c r="AF40" s="218">
        <v>-100000</v>
      </c>
      <c r="AG40" s="219">
        <v>195000</v>
      </c>
      <c r="AH40" s="220">
        <v>25.311526479750778</v>
      </c>
      <c r="AI40" s="217">
        <v>179992.78911817481</v>
      </c>
      <c r="AJ40" s="217"/>
      <c r="AK40" s="216">
        <v>6.1538461538461542</v>
      </c>
      <c r="AL40" s="216">
        <v>9.2442537260022402</v>
      </c>
      <c r="AM40" s="217">
        <v>150219.12304753641</v>
      </c>
      <c r="AN40" s="221">
        <v>15.00648063120855</v>
      </c>
      <c r="AO40" s="221">
        <v>13.590981545944032</v>
      </c>
      <c r="AP40" s="221" t="s">
        <v>60</v>
      </c>
      <c r="AQ40" s="221">
        <v>10.009796239317362</v>
      </c>
      <c r="AR40" s="221">
        <v>8.5942971540528443</v>
      </c>
      <c r="AS40" s="222" t="e">
        <v>#N/A</v>
      </c>
      <c r="AT40" s="223" t="e">
        <v>#N/A</v>
      </c>
      <c r="AU40" s="224"/>
      <c r="AV40" s="223"/>
    </row>
    <row r="41" spans="1:49" ht="14.25" customHeight="1">
      <c r="B41" s="21"/>
      <c r="C41" s="204"/>
      <c r="D41" s="204"/>
      <c r="E41" s="204"/>
      <c r="F41" s="204"/>
      <c r="G41" s="204"/>
      <c r="H41" s="204"/>
      <c r="I41" s="205">
        <v>3</v>
      </c>
      <c r="J41" s="205">
        <v>222644003</v>
      </c>
      <c r="K41" s="206">
        <v>222644003</v>
      </c>
      <c r="L41" s="237" t="s">
        <v>227</v>
      </c>
      <c r="M41" s="237" t="s">
        <v>228</v>
      </c>
      <c r="N41" s="207"/>
      <c r="O41" s="208"/>
      <c r="P41" s="209"/>
      <c r="Q41" s="209"/>
      <c r="R41" s="210"/>
      <c r="S41" s="208"/>
      <c r="T41" s="211"/>
      <c r="U41" s="211"/>
      <c r="V41" s="212"/>
      <c r="W41" s="213"/>
      <c r="X41" s="214"/>
      <c r="Y41" s="214"/>
      <c r="Z41" s="215"/>
      <c r="AA41" s="216"/>
      <c r="AB41" s="217"/>
      <c r="AC41" s="214"/>
      <c r="AD41" s="214"/>
      <c r="AE41" s="214"/>
      <c r="AF41" s="218"/>
      <c r="AG41" s="219"/>
      <c r="AH41" s="220"/>
      <c r="AI41" s="217"/>
      <c r="AJ41" s="217"/>
      <c r="AK41" s="216"/>
      <c r="AL41" s="216"/>
      <c r="AM41" s="217"/>
      <c r="AN41" s="221"/>
      <c r="AO41" s="221"/>
      <c r="AP41" s="221"/>
      <c r="AQ41" s="221"/>
      <c r="AR41" s="221"/>
      <c r="AS41" s="222"/>
      <c r="AT41" s="223"/>
      <c r="AU41" s="224"/>
      <c r="AV41" s="223"/>
    </row>
    <row r="42" spans="1:49" ht="14.25" customHeight="1">
      <c r="B42" s="21"/>
      <c r="C42" s="204"/>
      <c r="D42" s="204"/>
      <c r="E42" s="204"/>
      <c r="F42" s="204"/>
      <c r="G42" s="204"/>
      <c r="H42" s="204"/>
      <c r="I42" s="205">
        <v>4</v>
      </c>
      <c r="J42" s="205">
        <v>222644004</v>
      </c>
      <c r="K42" s="206">
        <v>222644004</v>
      </c>
      <c r="L42" s="237" t="s">
        <v>229</v>
      </c>
      <c r="M42" s="237" t="s">
        <v>230</v>
      </c>
      <c r="N42" s="207"/>
      <c r="O42" s="208"/>
      <c r="P42" s="209"/>
      <c r="Q42" s="209"/>
      <c r="R42" s="210"/>
      <c r="S42" s="208"/>
      <c r="T42" s="211"/>
      <c r="U42" s="211"/>
      <c r="V42" s="212"/>
      <c r="W42" s="213"/>
      <c r="X42" s="214"/>
      <c r="Y42" s="214"/>
      <c r="Z42" s="215"/>
      <c r="AA42" s="216"/>
      <c r="AB42" s="217"/>
      <c r="AC42" s="214"/>
      <c r="AD42" s="214"/>
      <c r="AE42" s="214"/>
      <c r="AF42" s="218"/>
      <c r="AG42" s="219"/>
      <c r="AH42" s="220"/>
      <c r="AI42" s="217"/>
      <c r="AJ42" s="217"/>
      <c r="AK42" s="216"/>
      <c r="AL42" s="216"/>
      <c r="AM42" s="217"/>
      <c r="AN42" s="221"/>
      <c r="AO42" s="221"/>
      <c r="AP42" s="221"/>
      <c r="AQ42" s="221"/>
      <c r="AR42" s="221"/>
      <c r="AS42" s="222"/>
      <c r="AT42" s="223"/>
      <c r="AU42" s="224"/>
      <c r="AV42" s="223"/>
    </row>
    <row r="43" spans="1:49" ht="14.25" customHeight="1">
      <c r="B43" s="21"/>
      <c r="C43" s="204"/>
      <c r="D43" s="204"/>
      <c r="E43" s="204"/>
      <c r="F43" s="204"/>
      <c r="G43" s="204"/>
      <c r="H43" s="204"/>
      <c r="I43" s="205">
        <v>5</v>
      </c>
      <c r="J43" s="205">
        <v>222644005</v>
      </c>
      <c r="K43" s="206">
        <v>222644005</v>
      </c>
      <c r="L43" s="237" t="s">
        <v>231</v>
      </c>
      <c r="M43" s="237" t="s">
        <v>232</v>
      </c>
      <c r="N43" s="207"/>
      <c r="O43" s="208"/>
      <c r="P43" s="209"/>
      <c r="Q43" s="209"/>
      <c r="R43" s="210"/>
      <c r="S43" s="208"/>
      <c r="T43" s="211"/>
      <c r="U43" s="211"/>
      <c r="V43" s="212"/>
      <c r="W43" s="213"/>
      <c r="X43" s="214"/>
      <c r="Y43" s="214"/>
      <c r="Z43" s="215"/>
      <c r="AA43" s="216"/>
      <c r="AB43" s="217"/>
      <c r="AC43" s="214"/>
      <c r="AD43" s="214"/>
      <c r="AE43" s="214"/>
      <c r="AF43" s="218"/>
      <c r="AG43" s="219"/>
      <c r="AH43" s="220"/>
      <c r="AI43" s="217"/>
      <c r="AJ43" s="217"/>
      <c r="AK43" s="216"/>
      <c r="AL43" s="216"/>
      <c r="AM43" s="217"/>
      <c r="AN43" s="221"/>
      <c r="AO43" s="221"/>
      <c r="AP43" s="221"/>
      <c r="AQ43" s="221"/>
      <c r="AR43" s="221"/>
      <c r="AS43" s="222"/>
      <c r="AT43" s="223"/>
      <c r="AU43" s="224"/>
      <c r="AV43" s="223"/>
    </row>
    <row r="44" spans="1:49" ht="14.25" customHeight="1">
      <c r="B44" s="21"/>
      <c r="C44" s="204"/>
      <c r="D44" s="204"/>
      <c r="E44" s="204"/>
      <c r="F44" s="204"/>
      <c r="G44" s="204"/>
      <c r="H44" s="204"/>
      <c r="I44" s="205">
        <v>6</v>
      </c>
      <c r="J44" s="205">
        <v>222644006</v>
      </c>
      <c r="K44" s="206">
        <v>222644006</v>
      </c>
      <c r="L44" s="237" t="s">
        <v>233</v>
      </c>
      <c r="M44" s="237" t="s">
        <v>234</v>
      </c>
      <c r="N44" s="207"/>
      <c r="O44" s="208"/>
      <c r="P44" s="209"/>
      <c r="Q44" s="209"/>
      <c r="R44" s="210"/>
      <c r="S44" s="208"/>
      <c r="T44" s="211"/>
      <c r="U44" s="211"/>
      <c r="V44" s="212"/>
      <c r="W44" s="213"/>
      <c r="X44" s="214"/>
      <c r="Y44" s="214"/>
      <c r="Z44" s="215"/>
      <c r="AA44" s="216"/>
      <c r="AB44" s="217"/>
      <c r="AC44" s="214"/>
      <c r="AD44" s="214"/>
      <c r="AE44" s="214"/>
      <c r="AF44" s="218"/>
      <c r="AG44" s="219"/>
      <c r="AH44" s="220"/>
      <c r="AI44" s="217"/>
      <c r="AJ44" s="217"/>
      <c r="AK44" s="216"/>
      <c r="AL44" s="216"/>
      <c r="AM44" s="217"/>
      <c r="AN44" s="221"/>
      <c r="AO44" s="221"/>
      <c r="AP44" s="221"/>
      <c r="AQ44" s="221"/>
      <c r="AR44" s="221"/>
      <c r="AS44" s="222"/>
      <c r="AT44" s="223"/>
      <c r="AU44" s="224"/>
      <c r="AV44" s="223"/>
    </row>
    <row r="45" spans="1:49" ht="14.25" customHeight="1">
      <c r="A45" s="1" t="s">
        <v>235</v>
      </c>
      <c r="B45" s="20" t="s">
        <v>236</v>
      </c>
      <c r="C45" s="204" t="s">
        <v>236</v>
      </c>
      <c r="D45" s="204" t="s">
        <v>104</v>
      </c>
      <c r="E45" s="204" t="s">
        <v>51</v>
      </c>
      <c r="F45" s="204"/>
      <c r="G45" s="204" t="s">
        <v>237</v>
      </c>
      <c r="H45" s="204" t="s">
        <v>53</v>
      </c>
      <c r="I45" s="205" t="s">
        <v>238</v>
      </c>
      <c r="J45" s="205">
        <v>222690003</v>
      </c>
      <c r="K45" s="206">
        <v>222690003</v>
      </c>
      <c r="L45" s="237" t="s">
        <v>239</v>
      </c>
      <c r="M45" s="237" t="s">
        <v>240</v>
      </c>
      <c r="N45" s="207" t="s">
        <v>241</v>
      </c>
      <c r="O45" s="208" t="s">
        <v>58</v>
      </c>
      <c r="P45" s="209">
        <v>1</v>
      </c>
      <c r="Q45" s="209">
        <v>1</v>
      </c>
      <c r="R45" s="210">
        <v>1747</v>
      </c>
      <c r="S45" s="208" t="s">
        <v>91</v>
      </c>
      <c r="T45" s="211"/>
      <c r="U45" s="211">
        <v>30</v>
      </c>
      <c r="V45" s="212"/>
      <c r="W45" s="213"/>
      <c r="X45" s="214"/>
      <c r="Y45" s="214"/>
      <c r="Z45" s="215" t="s">
        <v>60</v>
      </c>
      <c r="AA45" s="216">
        <v>0</v>
      </c>
      <c r="AB45" s="217">
        <v>0</v>
      </c>
      <c r="AC45" s="214"/>
      <c r="AD45" s="214"/>
      <c r="AE45" s="214"/>
      <c r="AF45" s="218"/>
      <c r="AG45" s="219"/>
      <c r="AH45" s="220">
        <v>0</v>
      </c>
      <c r="AI45" s="217">
        <v>0</v>
      </c>
      <c r="AJ45" s="217"/>
      <c r="AK45" s="216" t="s">
        <v>60</v>
      </c>
      <c r="AL45" s="216" t="s">
        <v>60</v>
      </c>
      <c r="AM45" s="217" t="s">
        <v>60</v>
      </c>
      <c r="AN45" s="221">
        <v>0</v>
      </c>
      <c r="AO45" s="221" t="s">
        <v>60</v>
      </c>
      <c r="AP45" s="221" t="s">
        <v>60</v>
      </c>
      <c r="AQ45" s="221">
        <v>0</v>
      </c>
      <c r="AR45" s="221" t="s">
        <v>60</v>
      </c>
      <c r="AS45" s="222">
        <v>25768.25</v>
      </c>
      <c r="AT45" s="223">
        <v>14.75</v>
      </c>
      <c r="AU45" s="138">
        <v>27500</v>
      </c>
      <c r="AV45" s="231">
        <v>15.741270749856897</v>
      </c>
      <c r="AW45" s="29"/>
    </row>
    <row r="46" spans="1:49" ht="14.25" customHeight="1">
      <c r="A46" s="1" t="s">
        <v>242</v>
      </c>
      <c r="B46" s="21" t="s">
        <v>236</v>
      </c>
      <c r="C46" s="204" t="s">
        <v>236</v>
      </c>
      <c r="D46" s="204" t="s">
        <v>50</v>
      </c>
      <c r="E46" s="204" t="s">
        <v>51</v>
      </c>
      <c r="F46" s="204"/>
      <c r="G46" s="204" t="s">
        <v>237</v>
      </c>
      <c r="H46" s="204" t="s">
        <v>53</v>
      </c>
      <c r="I46" s="205" t="s">
        <v>243</v>
      </c>
      <c r="J46" s="205">
        <v>222690002</v>
      </c>
      <c r="K46" s="206">
        <v>222690002</v>
      </c>
      <c r="L46" s="237" t="s">
        <v>244</v>
      </c>
      <c r="M46" s="237" t="s">
        <v>245</v>
      </c>
      <c r="N46" s="207" t="s">
        <v>241</v>
      </c>
      <c r="O46" s="208" t="s">
        <v>58</v>
      </c>
      <c r="P46" s="209">
        <v>1</v>
      </c>
      <c r="Q46" s="209">
        <v>1</v>
      </c>
      <c r="R46" s="210">
        <v>1886</v>
      </c>
      <c r="S46" s="208" t="s">
        <v>246</v>
      </c>
      <c r="T46" s="211"/>
      <c r="U46" s="211" t="s">
        <v>60</v>
      </c>
      <c r="V46" s="212"/>
      <c r="W46" s="213" t="s">
        <v>92</v>
      </c>
      <c r="X46" s="214">
        <v>45037</v>
      </c>
      <c r="Y46" s="214">
        <v>45403</v>
      </c>
      <c r="Z46" s="215" t="s">
        <v>60</v>
      </c>
      <c r="AA46" s="216">
        <v>12.032863525629013</v>
      </c>
      <c r="AB46" s="217">
        <v>-22627.79985994536</v>
      </c>
      <c r="AC46" s="214" t="s">
        <v>247</v>
      </c>
      <c r="AD46" s="214" t="s">
        <v>247</v>
      </c>
      <c r="AE46" s="214">
        <v>48689</v>
      </c>
      <c r="AF46" s="218"/>
      <c r="AG46" s="219">
        <v>22566</v>
      </c>
      <c r="AH46" s="220">
        <v>11.965005302226935</v>
      </c>
      <c r="AI46" s="217">
        <v>18042.394415979124</v>
      </c>
      <c r="AJ46" s="217"/>
      <c r="AK46" s="216">
        <v>0</v>
      </c>
      <c r="AL46" s="216">
        <v>12.032863525629013</v>
      </c>
      <c r="AM46" s="217">
        <v>22627.79985994536</v>
      </c>
      <c r="AN46" s="221">
        <v>9.9988446022940387</v>
      </c>
      <c r="AO46" s="221">
        <v>8.1617074916315797</v>
      </c>
      <c r="AP46" s="221">
        <v>3.1650230997403912</v>
      </c>
      <c r="AQ46" s="221">
        <v>5.0021602104028497</v>
      </c>
      <c r="AR46" s="221">
        <v>3.1650230997403912</v>
      </c>
      <c r="AS46" s="222">
        <v>22632</v>
      </c>
      <c r="AT46" s="223">
        <v>12</v>
      </c>
      <c r="AU46" s="224"/>
      <c r="AV46" s="223"/>
    </row>
    <row r="47" spans="1:49" ht="14.25" customHeight="1">
      <c r="A47" s="1" t="s">
        <v>248</v>
      </c>
      <c r="B47" s="21" t="s">
        <v>236</v>
      </c>
      <c r="C47" s="204" t="s">
        <v>236</v>
      </c>
      <c r="D47" s="204" t="s">
        <v>50</v>
      </c>
      <c r="E47" s="204" t="s">
        <v>51</v>
      </c>
      <c r="F47" s="204"/>
      <c r="G47" s="204" t="s">
        <v>237</v>
      </c>
      <c r="H47" s="204" t="s">
        <v>53</v>
      </c>
      <c r="I47" s="205" t="s">
        <v>249</v>
      </c>
      <c r="J47" s="205">
        <v>222690001</v>
      </c>
      <c r="K47" s="206">
        <v>222690001</v>
      </c>
      <c r="L47" s="237" t="s">
        <v>250</v>
      </c>
      <c r="M47" s="237" t="s">
        <v>251</v>
      </c>
      <c r="N47" s="207" t="s">
        <v>241</v>
      </c>
      <c r="O47" s="208" t="s">
        <v>58</v>
      </c>
      <c r="P47" s="209">
        <v>1</v>
      </c>
      <c r="Q47" s="209">
        <v>1</v>
      </c>
      <c r="R47" s="210">
        <v>1872</v>
      </c>
      <c r="S47" s="208" t="s">
        <v>252</v>
      </c>
      <c r="T47" s="211"/>
      <c r="U47" s="211" t="s">
        <v>60</v>
      </c>
      <c r="V47" s="212"/>
      <c r="W47" s="213" t="s">
        <v>92</v>
      </c>
      <c r="X47" s="214">
        <v>45107</v>
      </c>
      <c r="Y47" s="214"/>
      <c r="Z47" s="215" t="s">
        <v>60</v>
      </c>
      <c r="AA47" s="216">
        <v>0</v>
      </c>
      <c r="AB47" s="217">
        <v>0</v>
      </c>
      <c r="AC47" s="214">
        <v>46934</v>
      </c>
      <c r="AD47" s="214" t="s">
        <v>253</v>
      </c>
      <c r="AE47" s="214">
        <v>50585</v>
      </c>
      <c r="AF47" s="218"/>
      <c r="AG47" s="219">
        <v>27500</v>
      </c>
      <c r="AH47" s="220">
        <v>14.69017094017094</v>
      </c>
      <c r="AI47" s="217">
        <v>27500</v>
      </c>
      <c r="AJ47" s="217"/>
      <c r="AK47" s="216">
        <v>0</v>
      </c>
      <c r="AL47" s="216">
        <v>0</v>
      </c>
      <c r="AM47" s="217">
        <v>0</v>
      </c>
      <c r="AN47" s="221">
        <v>14.998266903441058</v>
      </c>
      <c r="AO47" s="221">
        <v>13.352783440686755</v>
      </c>
      <c r="AP47" s="221">
        <v>3.3566767476485464</v>
      </c>
      <c r="AQ47" s="221" t="s">
        <v>60</v>
      </c>
      <c r="AR47" s="221" t="s">
        <v>60</v>
      </c>
      <c r="AS47" s="222">
        <v>27612</v>
      </c>
      <c r="AT47" s="223">
        <v>14.75</v>
      </c>
      <c r="AU47" s="224"/>
      <c r="AV47" s="223"/>
    </row>
    <row r="48" spans="1:49" ht="14.25" customHeight="1">
      <c r="A48" s="1" t="s">
        <v>254</v>
      </c>
      <c r="B48" s="22" t="s">
        <v>236</v>
      </c>
      <c r="C48" s="204" t="s">
        <v>236</v>
      </c>
      <c r="D48" s="204" t="s">
        <v>50</v>
      </c>
      <c r="E48" s="204" t="s">
        <v>51</v>
      </c>
      <c r="F48" s="204"/>
      <c r="G48" s="204" t="s">
        <v>237</v>
      </c>
      <c r="H48" s="204" t="s">
        <v>53</v>
      </c>
      <c r="I48" s="205" t="s">
        <v>255</v>
      </c>
      <c r="J48" s="205">
        <v>222690004</v>
      </c>
      <c r="K48" s="206">
        <v>222690004</v>
      </c>
      <c r="L48" s="237" t="s">
        <v>256</v>
      </c>
      <c r="M48" s="237" t="s">
        <v>257</v>
      </c>
      <c r="N48" s="207" t="s">
        <v>241</v>
      </c>
      <c r="O48" s="208" t="s">
        <v>58</v>
      </c>
      <c r="P48" s="209">
        <v>1</v>
      </c>
      <c r="Q48" s="209">
        <v>1</v>
      </c>
      <c r="R48" s="210">
        <v>1043</v>
      </c>
      <c r="S48" s="208" t="s">
        <v>258</v>
      </c>
      <c r="T48" s="211"/>
      <c r="U48" s="211" t="s">
        <v>60</v>
      </c>
      <c r="V48" s="212"/>
      <c r="W48" s="213" t="s">
        <v>92</v>
      </c>
      <c r="X48" s="214">
        <v>45223</v>
      </c>
      <c r="Y48" s="214"/>
      <c r="Z48" s="215" t="s">
        <v>60</v>
      </c>
      <c r="AA48" s="216">
        <v>0</v>
      </c>
      <c r="AB48" s="217">
        <v>0</v>
      </c>
      <c r="AC48" s="214"/>
      <c r="AD48" s="214"/>
      <c r="AE48" s="214">
        <v>47049</v>
      </c>
      <c r="AF48" s="218"/>
      <c r="AG48" s="219">
        <v>20000</v>
      </c>
      <c r="AH48" s="220">
        <v>19.175455417066157</v>
      </c>
      <c r="AI48" s="217">
        <v>20000</v>
      </c>
      <c r="AJ48" s="217"/>
      <c r="AK48" s="216">
        <v>0</v>
      </c>
      <c r="AL48" s="216">
        <v>0</v>
      </c>
      <c r="AM48" s="217">
        <v>0</v>
      </c>
      <c r="AN48" s="221">
        <v>4.9994223011470194</v>
      </c>
      <c r="AO48" s="221">
        <v>3.6715363120690871</v>
      </c>
      <c r="AP48" s="221" t="s">
        <v>60</v>
      </c>
      <c r="AQ48" s="221" t="s">
        <v>60</v>
      </c>
      <c r="AR48" s="221" t="s">
        <v>60</v>
      </c>
      <c r="AS48" s="222">
        <v>20000</v>
      </c>
      <c r="AT48" s="223">
        <v>19.175455417066157</v>
      </c>
      <c r="AU48" s="224"/>
      <c r="AV48" s="223"/>
    </row>
    <row r="49" spans="1:49" ht="14.25" customHeight="1">
      <c r="A49" s="1" t="s">
        <v>259</v>
      </c>
      <c r="B49" s="23" t="s">
        <v>260</v>
      </c>
      <c r="C49" s="204" t="s">
        <v>260</v>
      </c>
      <c r="D49" s="204" t="s">
        <v>50</v>
      </c>
      <c r="E49" s="204" t="s">
        <v>217</v>
      </c>
      <c r="F49" s="204"/>
      <c r="G49" s="204" t="s">
        <v>261</v>
      </c>
      <c r="H49" s="204" t="s">
        <v>53</v>
      </c>
      <c r="I49" s="205">
        <v>1</v>
      </c>
      <c r="J49" s="205">
        <v>222662001</v>
      </c>
      <c r="K49" s="206">
        <v>222662001</v>
      </c>
      <c r="L49" s="237" t="s">
        <v>262</v>
      </c>
      <c r="M49" s="237" t="s">
        <v>263</v>
      </c>
      <c r="N49" s="207"/>
      <c r="O49" s="208" t="s">
        <v>58</v>
      </c>
      <c r="P49" s="209">
        <v>1</v>
      </c>
      <c r="Q49" s="209">
        <v>1</v>
      </c>
      <c r="R49" s="210">
        <v>2508</v>
      </c>
      <c r="S49" s="208" t="s">
        <v>264</v>
      </c>
      <c r="T49" s="211"/>
      <c r="U49" s="211" t="s">
        <v>60</v>
      </c>
      <c r="V49" s="212" t="s">
        <v>148</v>
      </c>
      <c r="W49" s="213" t="s">
        <v>173</v>
      </c>
      <c r="X49" s="214">
        <v>44494</v>
      </c>
      <c r="Y49" s="214">
        <v>44676</v>
      </c>
      <c r="Z49" s="215" t="s">
        <v>60</v>
      </c>
      <c r="AA49" s="216">
        <v>5.9835550865149738</v>
      </c>
      <c r="AB49" s="217">
        <v>-12228.890708064977</v>
      </c>
      <c r="AC49" s="214">
        <v>46320</v>
      </c>
      <c r="AD49" s="214">
        <v>45955</v>
      </c>
      <c r="AE49" s="214">
        <v>48145</v>
      </c>
      <c r="AF49" s="218"/>
      <c r="AG49" s="219">
        <v>24525</v>
      </c>
      <c r="AH49" s="220">
        <v>9.7787081339712927</v>
      </c>
      <c r="AI49" s="217">
        <v>21467.842610695952</v>
      </c>
      <c r="AJ49" s="217"/>
      <c r="AK49" s="216">
        <v>0</v>
      </c>
      <c r="AL49" s="216">
        <v>5.9835550865149738</v>
      </c>
      <c r="AM49" s="217">
        <v>12228.890708064977</v>
      </c>
      <c r="AN49" s="221">
        <v>9.9961066930382074</v>
      </c>
      <c r="AO49" s="221">
        <v>6.6722848564596307</v>
      </c>
      <c r="AP49" s="221">
        <v>1.6756004645684424</v>
      </c>
      <c r="AQ49" s="221">
        <v>4.0000854227687812</v>
      </c>
      <c r="AR49" s="221">
        <v>0.67626358619020466</v>
      </c>
      <c r="AS49" s="222">
        <v>27250</v>
      </c>
      <c r="AT49" s="223">
        <v>10.865231259968102</v>
      </c>
      <c r="AU49" s="224"/>
      <c r="AV49" s="223"/>
    </row>
    <row r="50" spans="1:49" ht="15">
      <c r="A50" s="1" t="s">
        <v>265</v>
      </c>
      <c r="B50" s="23" t="s">
        <v>266</v>
      </c>
      <c r="C50" s="204" t="s">
        <v>266</v>
      </c>
      <c r="D50" s="204" t="s">
        <v>104</v>
      </c>
      <c r="E50" s="204" t="s">
        <v>51</v>
      </c>
      <c r="F50" s="204"/>
      <c r="G50" s="204" t="s">
        <v>267</v>
      </c>
      <c r="H50" s="204" t="s">
        <v>53</v>
      </c>
      <c r="I50" s="205">
        <v>1</v>
      </c>
      <c r="J50" s="225">
        <v>222680001</v>
      </c>
      <c r="K50" s="206">
        <v>222680001</v>
      </c>
      <c r="L50" s="237" t="s">
        <v>268</v>
      </c>
      <c r="M50" s="237" t="s">
        <v>269</v>
      </c>
      <c r="N50" s="207">
        <v>44475</v>
      </c>
      <c r="O50" s="208" t="s">
        <v>58</v>
      </c>
      <c r="P50" s="209">
        <v>1</v>
      </c>
      <c r="Q50" s="209">
        <v>1</v>
      </c>
      <c r="R50" s="210">
        <v>2901</v>
      </c>
      <c r="S50" s="208" t="s">
        <v>270</v>
      </c>
      <c r="T50" s="211" t="s">
        <v>271</v>
      </c>
      <c r="U50" s="211">
        <v>40</v>
      </c>
      <c r="V50" s="212"/>
      <c r="W50" s="213" t="s">
        <v>92</v>
      </c>
      <c r="X50" s="214"/>
      <c r="Y50" s="214"/>
      <c r="Z50" s="215" t="s">
        <v>60</v>
      </c>
      <c r="AA50" s="216">
        <v>0</v>
      </c>
      <c r="AB50" s="217">
        <v>0</v>
      </c>
      <c r="AC50" s="214"/>
      <c r="AD50" s="214"/>
      <c r="AE50" s="214"/>
      <c r="AF50" s="218"/>
      <c r="AG50" s="219"/>
      <c r="AH50" s="220">
        <v>0</v>
      </c>
      <c r="AI50" s="217">
        <v>0</v>
      </c>
      <c r="AJ50" s="217"/>
      <c r="AK50" s="216" t="s">
        <v>60</v>
      </c>
      <c r="AL50" s="216" t="s">
        <v>60</v>
      </c>
      <c r="AM50" s="217" t="s">
        <v>60</v>
      </c>
      <c r="AN50" s="221">
        <v>0</v>
      </c>
      <c r="AO50" s="221" t="s">
        <v>60</v>
      </c>
      <c r="AP50" s="221" t="s">
        <v>60</v>
      </c>
      <c r="AQ50" s="221">
        <v>0</v>
      </c>
      <c r="AR50" s="221" t="s">
        <v>60</v>
      </c>
      <c r="AS50" s="222">
        <v>29010</v>
      </c>
      <c r="AT50" s="223">
        <v>10</v>
      </c>
      <c r="AU50" s="138">
        <v>34812</v>
      </c>
      <c r="AV50" s="231">
        <v>12</v>
      </c>
      <c r="AW50" s="29"/>
    </row>
    <row r="51" spans="1:49" ht="14.25" customHeight="1">
      <c r="A51" s="1" t="s">
        <v>272</v>
      </c>
      <c r="B51" s="23" t="s">
        <v>273</v>
      </c>
      <c r="C51" s="204" t="s">
        <v>273</v>
      </c>
      <c r="D51" s="204" t="s">
        <v>50</v>
      </c>
      <c r="E51" s="204" t="s">
        <v>51</v>
      </c>
      <c r="F51" s="204"/>
      <c r="G51" s="204" t="s">
        <v>274</v>
      </c>
      <c r="H51" s="204" t="s">
        <v>53</v>
      </c>
      <c r="I51" s="205">
        <v>1</v>
      </c>
      <c r="J51" s="205">
        <v>222669001</v>
      </c>
      <c r="K51" s="206">
        <v>222669001</v>
      </c>
      <c r="L51" s="237" t="s">
        <v>275</v>
      </c>
      <c r="M51" s="237" t="s">
        <v>276</v>
      </c>
      <c r="N51" s="207" t="s">
        <v>277</v>
      </c>
      <c r="O51" s="208" t="s">
        <v>58</v>
      </c>
      <c r="P51" s="209">
        <v>1</v>
      </c>
      <c r="Q51" s="209">
        <v>1</v>
      </c>
      <c r="R51" s="210">
        <v>3791</v>
      </c>
      <c r="S51" s="208" t="s">
        <v>278</v>
      </c>
      <c r="T51" s="211"/>
      <c r="U51" s="211" t="s">
        <v>60</v>
      </c>
      <c r="V51" s="212"/>
      <c r="W51" s="213" t="s">
        <v>173</v>
      </c>
      <c r="X51" s="214">
        <v>44756</v>
      </c>
      <c r="Y51" s="214">
        <v>44940</v>
      </c>
      <c r="Z51" s="215" t="s">
        <v>60</v>
      </c>
      <c r="AA51" s="216">
        <v>6.0493084391140393</v>
      </c>
      <c r="AB51" s="217">
        <v>-18335.453878954653</v>
      </c>
      <c r="AC51" s="214">
        <v>46582</v>
      </c>
      <c r="AD51" s="214">
        <v>46582</v>
      </c>
      <c r="AE51" s="214">
        <v>48408</v>
      </c>
      <c r="AF51" s="232">
        <v>-100000</v>
      </c>
      <c r="AG51" s="219">
        <v>36372</v>
      </c>
      <c r="AH51" s="220">
        <v>9.5943022949089958</v>
      </c>
      <c r="AI51" s="217">
        <v>12702.174417991271</v>
      </c>
      <c r="AJ51" s="217"/>
      <c r="AK51" s="216">
        <v>32.992411745298583</v>
      </c>
      <c r="AL51" s="216">
        <v>39.041720184412625</v>
      </c>
      <c r="AM51" s="217">
        <v>118335.45387895466</v>
      </c>
      <c r="AN51" s="221">
        <v>9.9988446022940387</v>
      </c>
      <c r="AO51" s="221">
        <v>7.3923549907431285</v>
      </c>
      <c r="AP51" s="221">
        <v>2.3929326895961087</v>
      </c>
      <c r="AQ51" s="221">
        <v>4.9994223011470194</v>
      </c>
      <c r="AR51" s="221">
        <v>2.3929326895961087</v>
      </c>
      <c r="AS51" s="222">
        <v>30000</v>
      </c>
      <c r="AT51" s="223">
        <v>7.9134792930625162</v>
      </c>
      <c r="AU51" s="224"/>
      <c r="AV51" s="223"/>
    </row>
    <row r="52" spans="1:49" ht="14.25" customHeight="1">
      <c r="A52" s="1" t="s">
        <v>279</v>
      </c>
      <c r="B52" s="20" t="s">
        <v>280</v>
      </c>
      <c r="C52" s="204" t="s">
        <v>280</v>
      </c>
      <c r="D52" s="204" t="s">
        <v>281</v>
      </c>
      <c r="E52" s="204" t="s">
        <v>217</v>
      </c>
      <c r="F52" s="204"/>
      <c r="G52" s="204" t="s">
        <v>282</v>
      </c>
      <c r="H52" s="204" t="s">
        <v>53</v>
      </c>
      <c r="I52" s="205" t="s">
        <v>283</v>
      </c>
      <c r="J52" s="205">
        <v>222698001</v>
      </c>
      <c r="K52" s="206">
        <v>222698001</v>
      </c>
      <c r="L52" s="237" t="s">
        <v>284</v>
      </c>
      <c r="M52" s="237" t="s">
        <v>285</v>
      </c>
      <c r="N52" s="207">
        <v>44655</v>
      </c>
      <c r="O52" s="208" t="s">
        <v>58</v>
      </c>
      <c r="P52" s="209">
        <v>1</v>
      </c>
      <c r="Q52" s="209">
        <v>1</v>
      </c>
      <c r="R52" s="210">
        <v>2166</v>
      </c>
      <c r="S52" s="208" t="s">
        <v>120</v>
      </c>
      <c r="T52" s="211" t="s">
        <v>286</v>
      </c>
      <c r="U52" s="211">
        <v>34</v>
      </c>
      <c r="V52" s="212">
        <v>0</v>
      </c>
      <c r="W52" s="213"/>
      <c r="X52" s="214"/>
      <c r="Y52" s="214"/>
      <c r="Z52" s="215" t="s">
        <v>60</v>
      </c>
      <c r="AA52" s="216">
        <v>0</v>
      </c>
      <c r="AB52" s="217">
        <v>0</v>
      </c>
      <c r="AC52" s="214"/>
      <c r="AD52" s="214"/>
      <c r="AE52" s="214"/>
      <c r="AF52" s="218"/>
      <c r="AG52" s="218">
        <v>0</v>
      </c>
      <c r="AH52" s="220">
        <v>0</v>
      </c>
      <c r="AI52" s="217">
        <v>0</v>
      </c>
      <c r="AJ52" s="217"/>
      <c r="AK52" s="216" t="s">
        <v>60</v>
      </c>
      <c r="AL52" s="216" t="s">
        <v>60</v>
      </c>
      <c r="AM52" s="217" t="s">
        <v>60</v>
      </c>
      <c r="AN52" s="221">
        <v>0</v>
      </c>
      <c r="AO52" s="221" t="s">
        <v>60</v>
      </c>
      <c r="AP52" s="221" t="s">
        <v>60</v>
      </c>
      <c r="AQ52" s="221">
        <v>0</v>
      </c>
      <c r="AR52" s="221" t="s">
        <v>60</v>
      </c>
      <c r="AS52" s="222">
        <v>49818</v>
      </c>
      <c r="AT52" s="223">
        <v>23</v>
      </c>
      <c r="AU52" s="224">
        <v>48000</v>
      </c>
      <c r="AV52" s="223">
        <v>22.1606648199446</v>
      </c>
    </row>
    <row r="53" spans="1:49" ht="14.25" customHeight="1">
      <c r="A53" s="1" t="s">
        <v>287</v>
      </c>
      <c r="B53" s="21" t="s">
        <v>280</v>
      </c>
      <c r="C53" s="204" t="s">
        <v>280</v>
      </c>
      <c r="D53" s="204" t="s">
        <v>281</v>
      </c>
      <c r="E53" s="204" t="s">
        <v>217</v>
      </c>
      <c r="F53" s="204"/>
      <c r="G53" s="204" t="s">
        <v>282</v>
      </c>
      <c r="H53" s="204" t="s">
        <v>53</v>
      </c>
      <c r="I53" s="205" t="s">
        <v>288</v>
      </c>
      <c r="J53" s="205">
        <v>222698002</v>
      </c>
      <c r="K53" s="206">
        <v>222698002</v>
      </c>
      <c r="L53" s="237" t="s">
        <v>289</v>
      </c>
      <c r="M53" s="237" t="s">
        <v>290</v>
      </c>
      <c r="N53" s="207" t="s">
        <v>291</v>
      </c>
      <c r="O53" s="208" t="s">
        <v>58</v>
      </c>
      <c r="P53" s="209">
        <v>1</v>
      </c>
      <c r="Q53" s="209">
        <v>1</v>
      </c>
      <c r="R53" s="210">
        <v>871</v>
      </c>
      <c r="S53" s="208" t="s">
        <v>91</v>
      </c>
      <c r="T53" s="211"/>
      <c r="U53" s="211">
        <v>14</v>
      </c>
      <c r="V53" s="212">
        <v>0</v>
      </c>
      <c r="W53" s="213"/>
      <c r="X53" s="214"/>
      <c r="Y53" s="214"/>
      <c r="Z53" s="215" t="s">
        <v>60</v>
      </c>
      <c r="AA53" s="216">
        <v>0</v>
      </c>
      <c r="AB53" s="217">
        <v>0</v>
      </c>
      <c r="AC53" s="214"/>
      <c r="AD53" s="214"/>
      <c r="AE53" s="214"/>
      <c r="AF53" s="218"/>
      <c r="AG53" s="219">
        <v>0</v>
      </c>
      <c r="AH53" s="220">
        <v>0</v>
      </c>
      <c r="AI53" s="217">
        <v>0</v>
      </c>
      <c r="AJ53" s="217"/>
      <c r="AK53" s="216" t="s">
        <v>60</v>
      </c>
      <c r="AL53" s="216" t="s">
        <v>60</v>
      </c>
      <c r="AM53" s="217" t="s">
        <v>60</v>
      </c>
      <c r="AN53" s="221">
        <v>0</v>
      </c>
      <c r="AO53" s="221" t="s">
        <v>60</v>
      </c>
      <c r="AP53" s="221" t="s">
        <v>60</v>
      </c>
      <c r="AQ53" s="221">
        <v>0</v>
      </c>
      <c r="AR53" s="221" t="s">
        <v>60</v>
      </c>
      <c r="AS53" s="222">
        <v>26130</v>
      </c>
      <c r="AT53" s="223">
        <v>30</v>
      </c>
      <c r="AU53" s="224">
        <v>20000</v>
      </c>
      <c r="AV53" s="223">
        <v>22.962112514351322</v>
      </c>
    </row>
    <row r="54" spans="1:49" ht="14.25" customHeight="1">
      <c r="A54" s="1" t="s">
        <v>292</v>
      </c>
      <c r="B54" s="21" t="s">
        <v>280</v>
      </c>
      <c r="C54" s="204" t="s">
        <v>280</v>
      </c>
      <c r="D54" s="204" t="s">
        <v>281</v>
      </c>
      <c r="E54" s="204" t="s">
        <v>217</v>
      </c>
      <c r="F54" s="204"/>
      <c r="G54" s="204" t="s">
        <v>282</v>
      </c>
      <c r="H54" s="204" t="s">
        <v>53</v>
      </c>
      <c r="I54" s="205" t="s">
        <v>293</v>
      </c>
      <c r="J54" s="205">
        <v>222698003</v>
      </c>
      <c r="K54" s="206">
        <v>222698003</v>
      </c>
      <c r="L54" s="237" t="s">
        <v>294</v>
      </c>
      <c r="M54" s="237" t="s">
        <v>295</v>
      </c>
      <c r="N54" s="207" t="s">
        <v>291</v>
      </c>
      <c r="O54" s="208" t="s">
        <v>58</v>
      </c>
      <c r="P54" s="209">
        <v>1</v>
      </c>
      <c r="Q54" s="209">
        <v>1</v>
      </c>
      <c r="R54" s="210">
        <v>1399</v>
      </c>
      <c r="S54" s="208" t="s">
        <v>120</v>
      </c>
      <c r="T54" s="211" t="s">
        <v>296</v>
      </c>
      <c r="U54" s="211">
        <v>14</v>
      </c>
      <c r="V54" s="212">
        <v>0</v>
      </c>
      <c r="W54" s="213"/>
      <c r="X54" s="214"/>
      <c r="Y54" s="214"/>
      <c r="Z54" s="215" t="s">
        <v>60</v>
      </c>
      <c r="AA54" s="216">
        <v>0</v>
      </c>
      <c r="AB54" s="217">
        <v>0</v>
      </c>
      <c r="AC54" s="214"/>
      <c r="AD54" s="214"/>
      <c r="AE54" s="214"/>
      <c r="AF54" s="218"/>
      <c r="AG54" s="219">
        <v>0</v>
      </c>
      <c r="AH54" s="220">
        <v>0</v>
      </c>
      <c r="AI54" s="217">
        <v>0</v>
      </c>
      <c r="AJ54" s="217"/>
      <c r="AK54" s="216" t="s">
        <v>60</v>
      </c>
      <c r="AL54" s="216" t="s">
        <v>60</v>
      </c>
      <c r="AM54" s="217" t="s">
        <v>60</v>
      </c>
      <c r="AN54" s="221">
        <v>0</v>
      </c>
      <c r="AO54" s="221" t="s">
        <v>60</v>
      </c>
      <c r="AP54" s="221" t="s">
        <v>60</v>
      </c>
      <c r="AQ54" s="221">
        <v>0</v>
      </c>
      <c r="AR54" s="221" t="s">
        <v>60</v>
      </c>
      <c r="AS54" s="222">
        <v>41970</v>
      </c>
      <c r="AT54" s="223">
        <v>30</v>
      </c>
      <c r="AU54" s="224">
        <v>30000</v>
      </c>
      <c r="AV54" s="223">
        <v>21.443888491779841</v>
      </c>
    </row>
    <row r="55" spans="1:49" ht="14.25" customHeight="1">
      <c r="A55" s="1" t="s">
        <v>297</v>
      </c>
      <c r="B55" s="21" t="s">
        <v>280</v>
      </c>
      <c r="C55" s="204" t="s">
        <v>280</v>
      </c>
      <c r="D55" s="204" t="s">
        <v>281</v>
      </c>
      <c r="E55" s="204" t="s">
        <v>217</v>
      </c>
      <c r="F55" s="204"/>
      <c r="G55" s="204" t="s">
        <v>282</v>
      </c>
      <c r="H55" s="204" t="s">
        <v>53</v>
      </c>
      <c r="I55" s="205" t="s">
        <v>298</v>
      </c>
      <c r="J55" s="205">
        <v>222698004</v>
      </c>
      <c r="K55" s="206">
        <v>222698004</v>
      </c>
      <c r="L55" s="237" t="s">
        <v>299</v>
      </c>
      <c r="M55" s="237" t="s">
        <v>300</v>
      </c>
      <c r="N55" s="207">
        <v>44655</v>
      </c>
      <c r="O55" s="208" t="s">
        <v>58</v>
      </c>
      <c r="P55" s="209">
        <v>1</v>
      </c>
      <c r="Q55" s="209">
        <v>1</v>
      </c>
      <c r="R55" s="210">
        <v>813</v>
      </c>
      <c r="S55" s="208" t="s">
        <v>91</v>
      </c>
      <c r="T55" s="211"/>
      <c r="U55" s="211">
        <v>34</v>
      </c>
      <c r="V55" s="212">
        <v>0</v>
      </c>
      <c r="W55" s="213"/>
      <c r="X55" s="214"/>
      <c r="Y55" s="214"/>
      <c r="Z55" s="215" t="s">
        <v>60</v>
      </c>
      <c r="AA55" s="216">
        <v>0</v>
      </c>
      <c r="AB55" s="217">
        <v>0</v>
      </c>
      <c r="AC55" s="214"/>
      <c r="AD55" s="214"/>
      <c r="AE55" s="214"/>
      <c r="AF55" s="218"/>
      <c r="AG55" s="219">
        <v>0</v>
      </c>
      <c r="AH55" s="220">
        <v>0</v>
      </c>
      <c r="AI55" s="217">
        <v>0</v>
      </c>
      <c r="AJ55" s="217"/>
      <c r="AK55" s="216" t="s">
        <v>60</v>
      </c>
      <c r="AL55" s="216" t="s">
        <v>60</v>
      </c>
      <c r="AM55" s="217" t="s">
        <v>60</v>
      </c>
      <c r="AN55" s="221">
        <v>0</v>
      </c>
      <c r="AO55" s="221" t="s">
        <v>60</v>
      </c>
      <c r="AP55" s="221" t="s">
        <v>60</v>
      </c>
      <c r="AQ55" s="221">
        <v>0</v>
      </c>
      <c r="AR55" s="221" t="s">
        <v>60</v>
      </c>
      <c r="AS55" s="222">
        <v>24390</v>
      </c>
      <c r="AT55" s="223">
        <v>30</v>
      </c>
      <c r="AU55" s="224">
        <v>20325</v>
      </c>
      <c r="AV55" s="223">
        <v>25</v>
      </c>
    </row>
    <row r="56" spans="1:49" ht="14.25" customHeight="1">
      <c r="A56" s="1" t="s">
        <v>301</v>
      </c>
      <c r="B56" s="21" t="s">
        <v>280</v>
      </c>
      <c r="C56" s="204" t="s">
        <v>280</v>
      </c>
      <c r="D56" s="204" t="s">
        <v>281</v>
      </c>
      <c r="E56" s="204" t="s">
        <v>217</v>
      </c>
      <c r="F56" s="204"/>
      <c r="G56" s="204" t="s">
        <v>282</v>
      </c>
      <c r="H56" s="204" t="s">
        <v>53</v>
      </c>
      <c r="I56" s="205" t="s">
        <v>302</v>
      </c>
      <c r="J56" s="205">
        <v>222698005</v>
      </c>
      <c r="K56" s="206">
        <v>222698005</v>
      </c>
      <c r="L56" s="237" t="s">
        <v>303</v>
      </c>
      <c r="M56" s="237" t="s">
        <v>304</v>
      </c>
      <c r="N56" s="207" t="s">
        <v>305</v>
      </c>
      <c r="O56" s="208" t="s">
        <v>58</v>
      </c>
      <c r="P56" s="209">
        <v>1</v>
      </c>
      <c r="Q56" s="209">
        <v>1</v>
      </c>
      <c r="R56" s="210">
        <v>1463</v>
      </c>
      <c r="S56" s="208" t="s">
        <v>91</v>
      </c>
      <c r="T56" s="211"/>
      <c r="U56" s="211">
        <v>7</v>
      </c>
      <c r="V56" s="212">
        <v>0</v>
      </c>
      <c r="W56" s="213"/>
      <c r="X56" s="214"/>
      <c r="Y56" s="214"/>
      <c r="Z56" s="215" t="s">
        <v>60</v>
      </c>
      <c r="AA56" s="216">
        <v>0</v>
      </c>
      <c r="AB56" s="217">
        <v>0</v>
      </c>
      <c r="AC56" s="214"/>
      <c r="AD56" s="214"/>
      <c r="AE56" s="214"/>
      <c r="AF56" s="218"/>
      <c r="AG56" s="219">
        <v>0</v>
      </c>
      <c r="AH56" s="220">
        <v>0</v>
      </c>
      <c r="AI56" s="217">
        <v>0</v>
      </c>
      <c r="AJ56" s="217"/>
      <c r="AK56" s="216" t="s">
        <v>60</v>
      </c>
      <c r="AL56" s="216" t="s">
        <v>60</v>
      </c>
      <c r="AM56" s="217" t="s">
        <v>60</v>
      </c>
      <c r="AN56" s="221">
        <v>0</v>
      </c>
      <c r="AO56" s="221" t="s">
        <v>60</v>
      </c>
      <c r="AP56" s="221" t="s">
        <v>60</v>
      </c>
      <c r="AQ56" s="221">
        <v>0</v>
      </c>
      <c r="AR56" s="221" t="s">
        <v>60</v>
      </c>
      <c r="AS56" s="222">
        <v>29260</v>
      </c>
      <c r="AT56" s="223">
        <v>20</v>
      </c>
      <c r="AU56" s="224">
        <v>32000</v>
      </c>
      <c r="AV56" s="223">
        <v>21.872863978127135</v>
      </c>
    </row>
    <row r="57" spans="1:49" ht="15">
      <c r="A57" s="1" t="s">
        <v>306</v>
      </c>
      <c r="B57" s="21" t="s">
        <v>280</v>
      </c>
      <c r="C57" s="204" t="s">
        <v>280</v>
      </c>
      <c r="D57" s="204" t="s">
        <v>281</v>
      </c>
      <c r="E57" s="204" t="s">
        <v>217</v>
      </c>
      <c r="F57" s="204"/>
      <c r="G57" s="204" t="s">
        <v>282</v>
      </c>
      <c r="H57" s="204" t="s">
        <v>53</v>
      </c>
      <c r="I57" s="205" t="s">
        <v>307</v>
      </c>
      <c r="J57" s="205">
        <v>222698006</v>
      </c>
      <c r="K57" s="206">
        <v>222698006</v>
      </c>
      <c r="L57" s="237" t="s">
        <v>308</v>
      </c>
      <c r="M57" s="237" t="s">
        <v>309</v>
      </c>
      <c r="N57" s="207" t="s">
        <v>310</v>
      </c>
      <c r="O57" s="208" t="s">
        <v>58</v>
      </c>
      <c r="P57" s="209">
        <v>1</v>
      </c>
      <c r="Q57" s="209">
        <v>1</v>
      </c>
      <c r="R57" s="210">
        <v>364</v>
      </c>
      <c r="S57" s="208" t="s">
        <v>91</v>
      </c>
      <c r="T57" s="211"/>
      <c r="U57" s="211">
        <v>17</v>
      </c>
      <c r="V57" s="212">
        <v>0</v>
      </c>
      <c r="W57" s="213"/>
      <c r="X57" s="214"/>
      <c r="Y57" s="214"/>
      <c r="Z57" s="215" t="s">
        <v>60</v>
      </c>
      <c r="AA57" s="216">
        <v>0</v>
      </c>
      <c r="AB57" s="217">
        <v>0</v>
      </c>
      <c r="AC57" s="214"/>
      <c r="AD57" s="214"/>
      <c r="AE57" s="214"/>
      <c r="AF57" s="218"/>
      <c r="AG57" s="219">
        <v>0</v>
      </c>
      <c r="AH57" s="220">
        <v>0</v>
      </c>
      <c r="AI57" s="217">
        <v>0</v>
      </c>
      <c r="AJ57" s="217"/>
      <c r="AK57" s="216" t="s">
        <v>60</v>
      </c>
      <c r="AL57" s="216" t="s">
        <v>60</v>
      </c>
      <c r="AM57" s="217" t="s">
        <v>60</v>
      </c>
      <c r="AN57" s="221">
        <v>0</v>
      </c>
      <c r="AO57" s="221" t="s">
        <v>60</v>
      </c>
      <c r="AP57" s="221" t="s">
        <v>60</v>
      </c>
      <c r="AQ57" s="221">
        <v>0</v>
      </c>
      <c r="AR57" s="221" t="s">
        <v>60</v>
      </c>
      <c r="AS57" s="222">
        <v>10010</v>
      </c>
      <c r="AT57" s="223">
        <v>27.5</v>
      </c>
      <c r="AU57" s="224">
        <v>8400</v>
      </c>
      <c r="AV57" s="223">
        <v>23.076923076923077</v>
      </c>
    </row>
    <row r="58" spans="1:49" ht="14.25" customHeight="1">
      <c r="A58" s="1" t="s">
        <v>311</v>
      </c>
      <c r="B58" s="21" t="s">
        <v>280</v>
      </c>
      <c r="C58" s="204" t="s">
        <v>280</v>
      </c>
      <c r="D58" s="204" t="s">
        <v>281</v>
      </c>
      <c r="E58" s="204" t="s">
        <v>217</v>
      </c>
      <c r="F58" s="204"/>
      <c r="G58" s="204" t="s">
        <v>282</v>
      </c>
      <c r="H58" s="204" t="s">
        <v>53</v>
      </c>
      <c r="I58" s="205" t="s">
        <v>312</v>
      </c>
      <c r="J58" s="205">
        <v>222698007</v>
      </c>
      <c r="K58" s="206">
        <v>222698007</v>
      </c>
      <c r="L58" s="237" t="s">
        <v>313</v>
      </c>
      <c r="M58" s="237" t="s">
        <v>314</v>
      </c>
      <c r="N58" s="207" t="s">
        <v>315</v>
      </c>
      <c r="O58" s="208" t="s">
        <v>58</v>
      </c>
      <c r="P58" s="209">
        <v>1</v>
      </c>
      <c r="Q58" s="209">
        <v>1</v>
      </c>
      <c r="R58" s="210">
        <v>361</v>
      </c>
      <c r="S58" s="208" t="s">
        <v>91</v>
      </c>
      <c r="T58" s="211"/>
      <c r="U58" s="211">
        <v>8</v>
      </c>
      <c r="V58" s="212">
        <v>0</v>
      </c>
      <c r="W58" s="213"/>
      <c r="X58" s="214"/>
      <c r="Y58" s="214"/>
      <c r="Z58" s="215" t="s">
        <v>60</v>
      </c>
      <c r="AA58" s="216">
        <v>0</v>
      </c>
      <c r="AB58" s="217">
        <v>0</v>
      </c>
      <c r="AC58" s="214"/>
      <c r="AD58" s="214"/>
      <c r="AE58" s="214"/>
      <c r="AF58" s="218"/>
      <c r="AG58" s="219">
        <v>0</v>
      </c>
      <c r="AH58" s="220">
        <v>0</v>
      </c>
      <c r="AI58" s="217">
        <v>0</v>
      </c>
      <c r="AJ58" s="217"/>
      <c r="AK58" s="216" t="s">
        <v>60</v>
      </c>
      <c r="AL58" s="216" t="s">
        <v>60</v>
      </c>
      <c r="AM58" s="217" t="s">
        <v>60</v>
      </c>
      <c r="AN58" s="221">
        <v>0</v>
      </c>
      <c r="AO58" s="221" t="s">
        <v>60</v>
      </c>
      <c r="AP58" s="221" t="s">
        <v>60</v>
      </c>
      <c r="AQ58" s="221">
        <v>0</v>
      </c>
      <c r="AR58" s="221" t="s">
        <v>60</v>
      </c>
      <c r="AS58" s="222">
        <v>9928</v>
      </c>
      <c r="AT58" s="223">
        <v>27.501385041551245</v>
      </c>
      <c r="AU58" s="224">
        <v>10000</v>
      </c>
      <c r="AV58" s="223">
        <v>27.700831024930746</v>
      </c>
    </row>
    <row r="59" spans="1:49" ht="14.25" customHeight="1">
      <c r="A59" s="1" t="s">
        <v>316</v>
      </c>
      <c r="B59" s="21" t="s">
        <v>280</v>
      </c>
      <c r="C59" s="204" t="s">
        <v>280</v>
      </c>
      <c r="D59" s="204" t="s">
        <v>281</v>
      </c>
      <c r="E59" s="204" t="s">
        <v>217</v>
      </c>
      <c r="F59" s="204"/>
      <c r="G59" s="204" t="s">
        <v>282</v>
      </c>
      <c r="H59" s="204" t="s">
        <v>53</v>
      </c>
      <c r="I59" s="205" t="s">
        <v>317</v>
      </c>
      <c r="J59" s="205">
        <v>222698008</v>
      </c>
      <c r="K59" s="206">
        <v>222698008</v>
      </c>
      <c r="L59" s="237" t="s">
        <v>318</v>
      </c>
      <c r="M59" s="237" t="s">
        <v>319</v>
      </c>
      <c r="N59" s="207" t="s">
        <v>315</v>
      </c>
      <c r="O59" s="208" t="s">
        <v>58</v>
      </c>
      <c r="P59" s="209">
        <v>1</v>
      </c>
      <c r="Q59" s="209">
        <v>1</v>
      </c>
      <c r="R59" s="210">
        <v>646</v>
      </c>
      <c r="S59" s="208" t="s">
        <v>120</v>
      </c>
      <c r="T59" s="211" t="s">
        <v>320</v>
      </c>
      <c r="U59" s="211">
        <v>8</v>
      </c>
      <c r="V59" s="212">
        <v>0</v>
      </c>
      <c r="W59" s="213"/>
      <c r="X59" s="214"/>
      <c r="Y59" s="214"/>
      <c r="Z59" s="215" t="s">
        <v>60</v>
      </c>
      <c r="AA59" s="216">
        <v>0</v>
      </c>
      <c r="AB59" s="217">
        <v>0</v>
      </c>
      <c r="AC59" s="214"/>
      <c r="AD59" s="214"/>
      <c r="AE59" s="214"/>
      <c r="AF59" s="218"/>
      <c r="AG59" s="219">
        <v>0</v>
      </c>
      <c r="AH59" s="220">
        <v>0</v>
      </c>
      <c r="AI59" s="217">
        <v>0</v>
      </c>
      <c r="AJ59" s="217"/>
      <c r="AK59" s="216" t="s">
        <v>60</v>
      </c>
      <c r="AL59" s="216" t="s">
        <v>60</v>
      </c>
      <c r="AM59" s="217" t="s">
        <v>60</v>
      </c>
      <c r="AN59" s="221">
        <v>0</v>
      </c>
      <c r="AO59" s="221" t="s">
        <v>60</v>
      </c>
      <c r="AP59" s="221" t="s">
        <v>60</v>
      </c>
      <c r="AQ59" s="221">
        <v>0</v>
      </c>
      <c r="AR59" s="221" t="s">
        <v>60</v>
      </c>
      <c r="AS59" s="222">
        <v>12274</v>
      </c>
      <c r="AT59" s="223">
        <v>19</v>
      </c>
      <c r="AU59" s="224">
        <v>16150</v>
      </c>
      <c r="AV59" s="223">
        <v>25</v>
      </c>
    </row>
    <row r="60" spans="1:49" ht="14.25" customHeight="1">
      <c r="A60" s="1" t="s">
        <v>321</v>
      </c>
      <c r="B60" s="22" t="s">
        <v>280</v>
      </c>
      <c r="C60" s="204" t="s">
        <v>280</v>
      </c>
      <c r="D60" s="204" t="s">
        <v>281</v>
      </c>
      <c r="E60" s="204" t="s">
        <v>217</v>
      </c>
      <c r="F60" s="204"/>
      <c r="G60" s="204" t="s">
        <v>282</v>
      </c>
      <c r="H60" s="204" t="s">
        <v>53</v>
      </c>
      <c r="I60" s="205" t="s">
        <v>322</v>
      </c>
      <c r="J60" s="205">
        <v>222698009</v>
      </c>
      <c r="K60" s="206">
        <v>222698009</v>
      </c>
      <c r="L60" s="237" t="s">
        <v>323</v>
      </c>
      <c r="M60" s="237" t="s">
        <v>324</v>
      </c>
      <c r="N60" s="207" t="s">
        <v>315</v>
      </c>
      <c r="O60" s="208" t="s">
        <v>58</v>
      </c>
      <c r="P60" s="209">
        <v>1</v>
      </c>
      <c r="Q60" s="209">
        <v>1</v>
      </c>
      <c r="R60" s="210">
        <v>616</v>
      </c>
      <c r="S60" s="208" t="s">
        <v>120</v>
      </c>
      <c r="T60" s="211" t="s">
        <v>325</v>
      </c>
      <c r="U60" s="211">
        <v>8</v>
      </c>
      <c r="V60" s="212">
        <v>0</v>
      </c>
      <c r="W60" s="213"/>
      <c r="X60" s="214"/>
      <c r="Y60" s="214"/>
      <c r="Z60" s="215" t="s">
        <v>60</v>
      </c>
      <c r="AA60" s="216">
        <v>0</v>
      </c>
      <c r="AB60" s="217">
        <v>0</v>
      </c>
      <c r="AC60" s="214"/>
      <c r="AD60" s="214"/>
      <c r="AE60" s="214"/>
      <c r="AF60" s="218"/>
      <c r="AG60" s="219">
        <v>0</v>
      </c>
      <c r="AH60" s="220">
        <v>0</v>
      </c>
      <c r="AI60" s="217">
        <v>0</v>
      </c>
      <c r="AJ60" s="217"/>
      <c r="AK60" s="216" t="s">
        <v>60</v>
      </c>
      <c r="AL60" s="216" t="s">
        <v>60</v>
      </c>
      <c r="AM60" s="217" t="s">
        <v>60</v>
      </c>
      <c r="AN60" s="221">
        <v>0</v>
      </c>
      <c r="AO60" s="221" t="s">
        <v>60</v>
      </c>
      <c r="AP60" s="221" t="s">
        <v>60</v>
      </c>
      <c r="AQ60" s="221">
        <v>0</v>
      </c>
      <c r="AR60" s="221" t="s">
        <v>60</v>
      </c>
      <c r="AS60" s="222">
        <v>12000</v>
      </c>
      <c r="AT60" s="223">
        <v>19.480519480519479</v>
      </c>
      <c r="AU60" s="224">
        <v>14000</v>
      </c>
      <c r="AV60" s="223">
        <v>22.727272727272727</v>
      </c>
    </row>
    <row r="61" spans="1:49" ht="14.25" customHeight="1">
      <c r="A61" s="1" t="s">
        <v>326</v>
      </c>
      <c r="B61" s="20" t="s">
        <v>327</v>
      </c>
      <c r="C61" s="204" t="s">
        <v>328</v>
      </c>
      <c r="D61" s="204" t="s">
        <v>104</v>
      </c>
      <c r="E61" s="204" t="s">
        <v>105</v>
      </c>
      <c r="F61" s="204"/>
      <c r="G61" s="204" t="s">
        <v>237</v>
      </c>
      <c r="H61" s="204" t="s">
        <v>53</v>
      </c>
      <c r="I61" s="205">
        <v>1</v>
      </c>
      <c r="J61" s="205">
        <v>222795001</v>
      </c>
      <c r="K61" s="206">
        <v>222795001</v>
      </c>
      <c r="L61" s="237" t="s">
        <v>329</v>
      </c>
      <c r="M61" s="237" t="s">
        <v>330</v>
      </c>
      <c r="N61" s="207">
        <v>45331</v>
      </c>
      <c r="O61" s="208" t="s">
        <v>58</v>
      </c>
      <c r="P61" s="209">
        <v>1</v>
      </c>
      <c r="Q61" s="209">
        <v>1</v>
      </c>
      <c r="R61" s="210">
        <v>2104</v>
      </c>
      <c r="S61" s="208" t="s">
        <v>120</v>
      </c>
      <c r="T61" s="211" t="s">
        <v>331</v>
      </c>
      <c r="U61" s="211">
        <v>12</v>
      </c>
      <c r="V61" s="212"/>
      <c r="W61" s="213"/>
      <c r="X61" s="214"/>
      <c r="Y61" s="214"/>
      <c r="Z61" s="215" t="s">
        <v>60</v>
      </c>
      <c r="AA61" s="216">
        <v>0</v>
      </c>
      <c r="AB61" s="217">
        <v>0</v>
      </c>
      <c r="AC61" s="214"/>
      <c r="AD61" s="214"/>
      <c r="AE61" s="214"/>
      <c r="AF61" s="218"/>
      <c r="AG61" s="219">
        <v>0</v>
      </c>
      <c r="AH61" s="220">
        <v>0</v>
      </c>
      <c r="AI61" s="217">
        <v>0</v>
      </c>
      <c r="AJ61" s="217"/>
      <c r="AK61" s="216" t="s">
        <v>60</v>
      </c>
      <c r="AL61" s="216" t="s">
        <v>60</v>
      </c>
      <c r="AM61" s="217" t="s">
        <v>60</v>
      </c>
      <c r="AN61" s="221">
        <v>0</v>
      </c>
      <c r="AO61" s="221" t="s">
        <v>60</v>
      </c>
      <c r="AP61" s="221" t="s">
        <v>60</v>
      </c>
      <c r="AQ61" s="221">
        <v>0</v>
      </c>
      <c r="AR61" s="221" t="s">
        <v>60</v>
      </c>
      <c r="AS61" s="222">
        <v>33700</v>
      </c>
      <c r="AT61" s="223">
        <v>16.017110266159698</v>
      </c>
      <c r="AU61" s="233">
        <v>39008.159999999996</v>
      </c>
      <c r="AV61" s="234">
        <v>18.54</v>
      </c>
      <c r="AW61" s="29"/>
    </row>
    <row r="62" spans="1:49" ht="20.25" customHeight="1">
      <c r="A62" s="1" t="s">
        <v>332</v>
      </c>
      <c r="B62" s="24" t="s">
        <v>333</v>
      </c>
      <c r="C62" s="204" t="s">
        <v>334</v>
      </c>
      <c r="D62" s="204" t="s">
        <v>50</v>
      </c>
      <c r="E62" s="204" t="s">
        <v>105</v>
      </c>
      <c r="F62" s="204"/>
      <c r="G62" s="204" t="s">
        <v>335</v>
      </c>
      <c r="H62" s="204" t="s">
        <v>53</v>
      </c>
      <c r="I62" s="205" t="s">
        <v>336</v>
      </c>
      <c r="J62" s="205">
        <v>222798001</v>
      </c>
      <c r="K62" s="206">
        <v>222798001</v>
      </c>
      <c r="L62" s="237" t="s">
        <v>337</v>
      </c>
      <c r="M62" s="237" t="s">
        <v>338</v>
      </c>
      <c r="N62" s="235" t="s">
        <v>339</v>
      </c>
      <c r="O62" s="208" t="s">
        <v>58</v>
      </c>
      <c r="P62" s="209">
        <v>1</v>
      </c>
      <c r="Q62" s="209">
        <v>1</v>
      </c>
      <c r="R62" s="210">
        <v>1570</v>
      </c>
      <c r="S62" s="208" t="s">
        <v>340</v>
      </c>
      <c r="T62" s="211"/>
      <c r="U62" s="211" t="s">
        <v>60</v>
      </c>
      <c r="V62" s="212"/>
      <c r="W62" s="213"/>
      <c r="X62" s="214">
        <v>44655</v>
      </c>
      <c r="Y62" s="214"/>
      <c r="Z62" s="215" t="s">
        <v>60</v>
      </c>
      <c r="AA62" s="216">
        <v>0</v>
      </c>
      <c r="AB62" s="217">
        <v>0</v>
      </c>
      <c r="AC62" s="214"/>
      <c r="AD62" s="214">
        <v>45750</v>
      </c>
      <c r="AE62" s="214">
        <v>46480</v>
      </c>
      <c r="AF62" s="218"/>
      <c r="AG62" s="219">
        <v>18250</v>
      </c>
      <c r="AH62" s="220">
        <v>11.624203821656051</v>
      </c>
      <c r="AI62" s="217">
        <v>18250</v>
      </c>
      <c r="AJ62" s="217"/>
      <c r="AK62" s="216">
        <v>0</v>
      </c>
      <c r="AL62" s="216">
        <v>0</v>
      </c>
      <c r="AM62" s="217">
        <v>0</v>
      </c>
      <c r="AN62" s="221">
        <v>4.996684391891189</v>
      </c>
      <c r="AO62" s="221">
        <v>2.1136659455013684</v>
      </c>
      <c r="AP62" s="221" t="s">
        <v>60</v>
      </c>
      <c r="AQ62" s="221">
        <v>2.9980106351347131</v>
      </c>
      <c r="AR62" s="221">
        <v>0.1149921887448931</v>
      </c>
      <c r="AS62" s="222" t="e">
        <v>#N/A</v>
      </c>
      <c r="AT62" s="223" t="e">
        <v>#N/A</v>
      </c>
      <c r="AU62" s="224">
        <v>22500</v>
      </c>
      <c r="AV62" s="223">
        <v>14.331210191082803</v>
      </c>
      <c r="AW62" s="25" t="s">
        <v>129</v>
      </c>
    </row>
    <row r="63" spans="1:49" ht="20.25" customHeight="1">
      <c r="A63" s="1" t="s">
        <v>341</v>
      </c>
      <c r="B63" s="26" t="s">
        <v>333</v>
      </c>
      <c r="C63" s="204" t="s">
        <v>334</v>
      </c>
      <c r="D63" s="204" t="s">
        <v>50</v>
      </c>
      <c r="E63" s="204" t="s">
        <v>105</v>
      </c>
      <c r="F63" s="204"/>
      <c r="G63" s="204" t="s">
        <v>335</v>
      </c>
      <c r="H63" s="204" t="s">
        <v>53</v>
      </c>
      <c r="I63" s="205">
        <v>1</v>
      </c>
      <c r="J63" s="205">
        <v>222736001</v>
      </c>
      <c r="K63" s="206">
        <v>222736001</v>
      </c>
      <c r="L63" s="237" t="s">
        <v>342</v>
      </c>
      <c r="M63" s="237" t="s">
        <v>343</v>
      </c>
      <c r="N63" s="207">
        <v>45150</v>
      </c>
      <c r="O63" s="208" t="s">
        <v>58</v>
      </c>
      <c r="P63" s="209">
        <v>1</v>
      </c>
      <c r="Q63" s="209">
        <v>1</v>
      </c>
      <c r="R63" s="210">
        <v>2132</v>
      </c>
      <c r="S63" s="208" t="s">
        <v>91</v>
      </c>
      <c r="T63" s="211"/>
      <c r="U63" s="211">
        <v>18</v>
      </c>
      <c r="V63" s="212" t="s">
        <v>344</v>
      </c>
      <c r="W63" s="213"/>
      <c r="X63" s="214"/>
      <c r="Y63" s="214"/>
      <c r="Z63" s="215" t="s">
        <v>60</v>
      </c>
      <c r="AA63" s="216">
        <v>0</v>
      </c>
      <c r="AB63" s="217">
        <v>0</v>
      </c>
      <c r="AC63" s="214"/>
      <c r="AD63" s="214"/>
      <c r="AE63" s="214"/>
      <c r="AF63" s="218"/>
      <c r="AG63" s="219">
        <v>0</v>
      </c>
      <c r="AH63" s="220">
        <v>0</v>
      </c>
      <c r="AI63" s="217">
        <v>0</v>
      </c>
      <c r="AJ63" s="217"/>
      <c r="AK63" s="216" t="s">
        <v>60</v>
      </c>
      <c r="AL63" s="216" t="s">
        <v>60</v>
      </c>
      <c r="AM63" s="217" t="s">
        <v>60</v>
      </c>
      <c r="AN63" s="221">
        <v>0</v>
      </c>
      <c r="AO63" s="221" t="s">
        <v>60</v>
      </c>
      <c r="AP63" s="221" t="s">
        <v>60</v>
      </c>
      <c r="AQ63" s="221">
        <v>0</v>
      </c>
      <c r="AR63" s="221" t="s">
        <v>60</v>
      </c>
      <c r="AS63" s="222">
        <v>35000</v>
      </c>
      <c r="AT63" s="223">
        <v>16.416510318949342</v>
      </c>
      <c r="AU63" s="224">
        <v>32000</v>
      </c>
      <c r="AV63" s="223">
        <v>15.0093808630394</v>
      </c>
    </row>
    <row r="64" spans="1:49" ht="14.25" customHeight="1">
      <c r="A64" s="1" t="s">
        <v>345</v>
      </c>
      <c r="B64" s="21" t="s">
        <v>346</v>
      </c>
      <c r="C64" s="204" t="s">
        <v>346</v>
      </c>
      <c r="D64" s="204" t="s">
        <v>104</v>
      </c>
      <c r="E64" s="204" t="s">
        <v>105</v>
      </c>
      <c r="F64" s="204"/>
      <c r="G64" s="204" t="s">
        <v>157</v>
      </c>
      <c r="H64" s="204" t="s">
        <v>53</v>
      </c>
      <c r="I64" s="205">
        <v>1</v>
      </c>
      <c r="J64" s="205">
        <v>222711001</v>
      </c>
      <c r="K64" s="206">
        <v>222711001</v>
      </c>
      <c r="L64" s="237" t="s">
        <v>347</v>
      </c>
      <c r="M64" s="237" t="s">
        <v>348</v>
      </c>
      <c r="N64" s="207">
        <v>44722</v>
      </c>
      <c r="O64" s="208" t="s">
        <v>58</v>
      </c>
      <c r="P64" s="209">
        <v>1</v>
      </c>
      <c r="Q64" s="209">
        <v>1</v>
      </c>
      <c r="R64" s="210">
        <v>5489</v>
      </c>
      <c r="S64" s="208" t="s">
        <v>349</v>
      </c>
      <c r="T64" s="211"/>
      <c r="U64" s="211" t="s">
        <v>60</v>
      </c>
      <c r="V64" s="212"/>
      <c r="W64" s="213"/>
      <c r="X64" s="214">
        <v>45645</v>
      </c>
      <c r="Y64" s="214" t="s">
        <v>350</v>
      </c>
      <c r="Z64" s="215">
        <v>9</v>
      </c>
      <c r="AA64" s="216">
        <v>11.999986849329481</v>
      </c>
      <c r="AB64" s="217">
        <v>-137224.84961660317</v>
      </c>
      <c r="AC64" s="214">
        <v>47471</v>
      </c>
      <c r="AD64" s="214">
        <v>51122</v>
      </c>
      <c r="AE64" s="214">
        <v>51122</v>
      </c>
      <c r="AF64" s="218">
        <v>0</v>
      </c>
      <c r="AG64" s="219">
        <v>137225</v>
      </c>
      <c r="AH64" s="220">
        <v>25</v>
      </c>
      <c r="AI64" s="217">
        <v>128073.94906543047</v>
      </c>
      <c r="AJ64" s="217"/>
      <c r="AK64" s="216">
        <v>0</v>
      </c>
      <c r="AL64" s="216">
        <v>11.999986849329481</v>
      </c>
      <c r="AM64" s="217">
        <v>137224.84961660317</v>
      </c>
      <c r="AN64" s="221">
        <v>14.995528994185227</v>
      </c>
      <c r="AO64" s="221">
        <v>14.823040711067888</v>
      </c>
      <c r="AP64" s="221">
        <v>4.8269340180296796</v>
      </c>
      <c r="AQ64" s="221">
        <v>14.995528994185227</v>
      </c>
      <c r="AR64" s="221">
        <v>14.823040711067888</v>
      </c>
      <c r="AS64" s="222"/>
      <c r="AT64" s="223"/>
      <c r="AU64" s="224"/>
      <c r="AV64" s="223"/>
    </row>
    <row r="65" spans="1:48" ht="14.25" customHeight="1">
      <c r="A65" s="1" t="s">
        <v>351</v>
      </c>
      <c r="B65" s="21" t="s">
        <v>346</v>
      </c>
      <c r="C65" s="204" t="s">
        <v>346</v>
      </c>
      <c r="D65" s="204" t="s">
        <v>104</v>
      </c>
      <c r="E65" s="204" t="s">
        <v>105</v>
      </c>
      <c r="F65" s="204"/>
      <c r="G65" s="204" t="s">
        <v>157</v>
      </c>
      <c r="H65" s="204" t="s">
        <v>53</v>
      </c>
      <c r="I65" s="205">
        <v>2</v>
      </c>
      <c r="J65" s="205">
        <v>222711002</v>
      </c>
      <c r="K65" s="206">
        <v>222711002</v>
      </c>
      <c r="L65" s="237" t="s">
        <v>352</v>
      </c>
      <c r="M65" s="237" t="s">
        <v>353</v>
      </c>
      <c r="N65" s="207">
        <v>44722</v>
      </c>
      <c r="O65" s="208" t="s">
        <v>58</v>
      </c>
      <c r="P65" s="209">
        <v>1</v>
      </c>
      <c r="Q65" s="209">
        <v>1</v>
      </c>
      <c r="R65" s="210">
        <v>1241</v>
      </c>
      <c r="S65" s="208" t="s">
        <v>91</v>
      </c>
      <c r="T65" s="211"/>
      <c r="U65" s="211">
        <v>32</v>
      </c>
      <c r="V65" s="212"/>
      <c r="W65" s="213"/>
      <c r="X65" s="214"/>
      <c r="Y65" s="214"/>
      <c r="Z65" s="215" t="s">
        <v>60</v>
      </c>
      <c r="AA65" s="216">
        <v>0</v>
      </c>
      <c r="AB65" s="217">
        <v>0</v>
      </c>
      <c r="AC65" s="214"/>
      <c r="AD65" s="214"/>
      <c r="AE65" s="214"/>
      <c r="AF65" s="218"/>
      <c r="AG65" s="219">
        <v>0</v>
      </c>
      <c r="AH65" s="220">
        <v>0</v>
      </c>
      <c r="AI65" s="217">
        <v>0</v>
      </c>
      <c r="AJ65" s="217"/>
      <c r="AK65" s="216" t="s">
        <v>60</v>
      </c>
      <c r="AL65" s="216" t="s">
        <v>60</v>
      </c>
      <c r="AM65" s="217" t="s">
        <v>60</v>
      </c>
      <c r="AN65" s="221">
        <v>0</v>
      </c>
      <c r="AO65" s="221" t="s">
        <v>60</v>
      </c>
      <c r="AP65" s="221" t="s">
        <v>60</v>
      </c>
      <c r="AQ65" s="221">
        <v>0</v>
      </c>
      <c r="AR65" s="221" t="s">
        <v>60</v>
      </c>
      <c r="AS65" s="222">
        <v>27922.5</v>
      </c>
      <c r="AT65" s="223">
        <v>22.5</v>
      </c>
      <c r="AU65" s="224">
        <v>31000</v>
      </c>
      <c r="AV65" s="223">
        <v>24.979854955680903</v>
      </c>
    </row>
    <row r="66" spans="1:48" ht="14.25" customHeight="1">
      <c r="A66" s="1" t="s">
        <v>354</v>
      </c>
      <c r="B66" s="22" t="s">
        <v>346</v>
      </c>
      <c r="C66" s="204" t="s">
        <v>346</v>
      </c>
      <c r="D66" s="204" t="s">
        <v>104</v>
      </c>
      <c r="E66" s="204" t="s">
        <v>105</v>
      </c>
      <c r="F66" s="204"/>
      <c r="G66" s="204" t="s">
        <v>157</v>
      </c>
      <c r="H66" s="204" t="s">
        <v>53</v>
      </c>
      <c r="I66" s="205">
        <v>3</v>
      </c>
      <c r="J66" s="205">
        <v>222711003</v>
      </c>
      <c r="K66" s="206">
        <v>222711003</v>
      </c>
      <c r="L66" s="237" t="s">
        <v>355</v>
      </c>
      <c r="M66" s="237" t="s">
        <v>356</v>
      </c>
      <c r="N66" s="207">
        <v>44722</v>
      </c>
      <c r="O66" s="208" t="s">
        <v>58</v>
      </c>
      <c r="P66" s="209">
        <v>1</v>
      </c>
      <c r="Q66" s="209">
        <v>1</v>
      </c>
      <c r="R66" s="210">
        <v>1492</v>
      </c>
      <c r="S66" s="208" t="s">
        <v>91</v>
      </c>
      <c r="T66" s="211"/>
      <c r="U66" s="211">
        <v>32</v>
      </c>
      <c r="V66" s="212"/>
      <c r="W66" s="213"/>
      <c r="X66" s="214"/>
      <c r="Y66" s="214"/>
      <c r="Z66" s="215" t="s">
        <v>60</v>
      </c>
      <c r="AA66" s="216">
        <v>0</v>
      </c>
      <c r="AB66" s="217">
        <v>0</v>
      </c>
      <c r="AC66" s="214"/>
      <c r="AD66" s="214"/>
      <c r="AE66" s="214"/>
      <c r="AF66" s="218"/>
      <c r="AG66" s="219">
        <v>0</v>
      </c>
      <c r="AH66" s="220">
        <v>0</v>
      </c>
      <c r="AI66" s="217">
        <v>0</v>
      </c>
      <c r="AJ66" s="217"/>
      <c r="AK66" s="216" t="s">
        <v>60</v>
      </c>
      <c r="AL66" s="216" t="s">
        <v>60</v>
      </c>
      <c r="AM66" s="217" t="s">
        <v>60</v>
      </c>
      <c r="AN66" s="221">
        <v>0</v>
      </c>
      <c r="AO66" s="221" t="s">
        <v>60</v>
      </c>
      <c r="AP66" s="221" t="s">
        <v>60</v>
      </c>
      <c r="AQ66" s="221">
        <v>0</v>
      </c>
      <c r="AR66" s="221" t="s">
        <v>60</v>
      </c>
      <c r="AS66" s="222">
        <v>26572.5</v>
      </c>
      <c r="AT66" s="223">
        <v>17.809986595174262</v>
      </c>
      <c r="AU66" s="224">
        <v>38000</v>
      </c>
      <c r="AV66" s="223">
        <v>25.469168900804288</v>
      </c>
    </row>
    <row r="67" spans="1:48" ht="14.25" customHeight="1">
      <c r="A67" s="1" t="s">
        <v>357</v>
      </c>
      <c r="B67" s="20" t="s">
        <v>358</v>
      </c>
      <c r="C67" s="204" t="s">
        <v>359</v>
      </c>
      <c r="D67" s="204" t="s">
        <v>104</v>
      </c>
      <c r="E67" s="204" t="s">
        <v>217</v>
      </c>
      <c r="F67" s="204" t="s">
        <v>360</v>
      </c>
      <c r="G67" s="204" t="s">
        <v>166</v>
      </c>
      <c r="H67" s="204" t="s">
        <v>166</v>
      </c>
      <c r="I67" s="205" t="s">
        <v>361</v>
      </c>
      <c r="J67" s="205">
        <v>222746001</v>
      </c>
      <c r="K67" s="206">
        <v>222746001</v>
      </c>
      <c r="L67" s="237" t="s">
        <v>362</v>
      </c>
      <c r="M67" s="237" t="s">
        <v>363</v>
      </c>
      <c r="N67" s="207" t="s">
        <v>364</v>
      </c>
      <c r="O67" s="208" t="s">
        <v>58</v>
      </c>
      <c r="P67" s="209">
        <v>1</v>
      </c>
      <c r="Q67" s="209">
        <v>1</v>
      </c>
      <c r="R67" s="210">
        <v>2862</v>
      </c>
      <c r="S67" s="208" t="s">
        <v>91</v>
      </c>
      <c r="T67" s="211" t="s">
        <v>365</v>
      </c>
      <c r="U67" s="211">
        <v>18</v>
      </c>
      <c r="V67" s="212"/>
      <c r="W67" s="213" t="s">
        <v>173</v>
      </c>
      <c r="X67" s="214"/>
      <c r="Y67" s="214"/>
      <c r="Z67" s="215" t="s">
        <v>60</v>
      </c>
      <c r="AA67" s="216">
        <v>0</v>
      </c>
      <c r="AB67" s="217">
        <v>0</v>
      </c>
      <c r="AC67" s="214"/>
      <c r="AD67" s="214"/>
      <c r="AE67" s="214"/>
      <c r="AF67" s="218"/>
      <c r="AG67" s="218">
        <v>0</v>
      </c>
      <c r="AH67" s="220">
        <v>0</v>
      </c>
      <c r="AI67" s="217">
        <v>0</v>
      </c>
      <c r="AJ67" s="217"/>
      <c r="AK67" s="216" t="s">
        <v>60</v>
      </c>
      <c r="AL67" s="216" t="s">
        <v>60</v>
      </c>
      <c r="AM67" s="217" t="s">
        <v>60</v>
      </c>
      <c r="AN67" s="221">
        <v>0</v>
      </c>
      <c r="AO67" s="221" t="s">
        <v>60</v>
      </c>
      <c r="AP67" s="221" t="s">
        <v>60</v>
      </c>
      <c r="AQ67" s="221">
        <v>0</v>
      </c>
      <c r="AR67" s="221" t="s">
        <v>60</v>
      </c>
      <c r="AS67" s="222">
        <v>61533</v>
      </c>
      <c r="AT67" s="223">
        <v>21.5</v>
      </c>
      <c r="AU67" s="224">
        <v>94446</v>
      </c>
      <c r="AV67" s="223">
        <v>33</v>
      </c>
    </row>
    <row r="68" spans="1:48" ht="14.25" customHeight="1">
      <c r="A68" s="1" t="s">
        <v>366</v>
      </c>
      <c r="B68" s="21" t="s">
        <v>358</v>
      </c>
      <c r="C68" s="204" t="s">
        <v>359</v>
      </c>
      <c r="D68" s="204" t="s">
        <v>104</v>
      </c>
      <c r="E68" s="204" t="s">
        <v>217</v>
      </c>
      <c r="F68" s="204" t="s">
        <v>360</v>
      </c>
      <c r="G68" s="204" t="s">
        <v>166</v>
      </c>
      <c r="H68" s="204" t="s">
        <v>166</v>
      </c>
      <c r="I68" s="205" t="s">
        <v>367</v>
      </c>
      <c r="J68" s="205">
        <v>222746002</v>
      </c>
      <c r="K68" s="206">
        <v>222746002</v>
      </c>
      <c r="L68" s="237" t="s">
        <v>368</v>
      </c>
      <c r="M68" s="237" t="s">
        <v>369</v>
      </c>
      <c r="N68" s="207" t="s">
        <v>364</v>
      </c>
      <c r="O68" s="208" t="s">
        <v>58</v>
      </c>
      <c r="P68" s="209">
        <v>1</v>
      </c>
      <c r="Q68" s="209">
        <v>1</v>
      </c>
      <c r="R68" s="210">
        <v>1819</v>
      </c>
      <c r="S68" s="208" t="s">
        <v>91</v>
      </c>
      <c r="T68" s="211" t="s">
        <v>365</v>
      </c>
      <c r="U68" s="211">
        <v>18</v>
      </c>
      <c r="V68" s="212"/>
      <c r="W68" s="213" t="s">
        <v>173</v>
      </c>
      <c r="X68" s="214"/>
      <c r="Y68" s="214"/>
      <c r="Z68" s="215" t="s">
        <v>60</v>
      </c>
      <c r="AA68" s="216">
        <v>0</v>
      </c>
      <c r="AB68" s="217">
        <v>0</v>
      </c>
      <c r="AC68" s="214"/>
      <c r="AD68" s="214"/>
      <c r="AE68" s="214"/>
      <c r="AF68" s="218"/>
      <c r="AG68" s="218">
        <v>0</v>
      </c>
      <c r="AH68" s="220">
        <v>0</v>
      </c>
      <c r="AI68" s="217">
        <v>0</v>
      </c>
      <c r="AJ68" s="217"/>
      <c r="AK68" s="216" t="s">
        <v>60</v>
      </c>
      <c r="AL68" s="216" t="s">
        <v>60</v>
      </c>
      <c r="AM68" s="217" t="s">
        <v>60</v>
      </c>
      <c r="AN68" s="221">
        <v>0</v>
      </c>
      <c r="AO68" s="221" t="s">
        <v>60</v>
      </c>
      <c r="AP68" s="221" t="s">
        <v>60</v>
      </c>
      <c r="AQ68" s="221">
        <v>0</v>
      </c>
      <c r="AR68" s="221" t="s">
        <v>60</v>
      </c>
      <c r="AS68" s="222">
        <v>45020</v>
      </c>
      <c r="AT68" s="223">
        <v>24.74986256184717</v>
      </c>
      <c r="AU68" s="224">
        <v>54570</v>
      </c>
      <c r="AV68" s="223">
        <v>30</v>
      </c>
    </row>
    <row r="69" spans="1:48" ht="14.25" customHeight="1">
      <c r="A69" s="1" t="s">
        <v>370</v>
      </c>
      <c r="B69" s="21" t="s">
        <v>358</v>
      </c>
      <c r="C69" s="204" t="s">
        <v>359</v>
      </c>
      <c r="D69" s="204" t="s">
        <v>104</v>
      </c>
      <c r="E69" s="204" t="s">
        <v>217</v>
      </c>
      <c r="F69" s="204" t="s">
        <v>360</v>
      </c>
      <c r="G69" s="204" t="s">
        <v>166</v>
      </c>
      <c r="H69" s="204" t="s">
        <v>166</v>
      </c>
      <c r="I69" s="205" t="s">
        <v>371</v>
      </c>
      <c r="J69" s="205">
        <v>222746003</v>
      </c>
      <c r="K69" s="206">
        <v>222746003</v>
      </c>
      <c r="L69" s="237" t="s">
        <v>372</v>
      </c>
      <c r="M69" s="237" t="s">
        <v>373</v>
      </c>
      <c r="N69" s="207" t="s">
        <v>364</v>
      </c>
      <c r="O69" s="208" t="s">
        <v>58</v>
      </c>
      <c r="P69" s="209">
        <v>1</v>
      </c>
      <c r="Q69" s="209">
        <v>1</v>
      </c>
      <c r="R69" s="210">
        <v>1035</v>
      </c>
      <c r="S69" s="208" t="s">
        <v>91</v>
      </c>
      <c r="T69" s="211" t="s">
        <v>374</v>
      </c>
      <c r="U69" s="211">
        <v>18</v>
      </c>
      <c r="V69" s="212"/>
      <c r="W69" s="213" t="s">
        <v>173</v>
      </c>
      <c r="X69" s="214"/>
      <c r="Y69" s="214"/>
      <c r="Z69" s="215" t="s">
        <v>60</v>
      </c>
      <c r="AA69" s="216">
        <v>0</v>
      </c>
      <c r="AB69" s="217">
        <v>0</v>
      </c>
      <c r="AC69" s="214"/>
      <c r="AD69" s="214"/>
      <c r="AE69" s="214"/>
      <c r="AF69" s="218"/>
      <c r="AG69" s="218">
        <v>0</v>
      </c>
      <c r="AH69" s="220">
        <v>0</v>
      </c>
      <c r="AI69" s="217">
        <v>0</v>
      </c>
      <c r="AJ69" s="217"/>
      <c r="AK69" s="216" t="s">
        <v>60</v>
      </c>
      <c r="AL69" s="216" t="s">
        <v>60</v>
      </c>
      <c r="AM69" s="217" t="s">
        <v>60</v>
      </c>
      <c r="AN69" s="221">
        <v>0</v>
      </c>
      <c r="AO69" s="221" t="s">
        <v>60</v>
      </c>
      <c r="AP69" s="221" t="s">
        <v>60</v>
      </c>
      <c r="AQ69" s="221">
        <v>0</v>
      </c>
      <c r="AR69" s="221" t="s">
        <v>60</v>
      </c>
      <c r="AS69" s="222">
        <v>31050</v>
      </c>
      <c r="AT69" s="223">
        <v>30</v>
      </c>
      <c r="AU69" s="224">
        <v>35000</v>
      </c>
      <c r="AV69" s="223">
        <v>34</v>
      </c>
    </row>
    <row r="70" spans="1:48" ht="14.25" customHeight="1">
      <c r="A70" s="1" t="s">
        <v>375</v>
      </c>
      <c r="B70" s="21" t="s">
        <v>358</v>
      </c>
      <c r="C70" s="204" t="s">
        <v>359</v>
      </c>
      <c r="D70" s="204" t="s">
        <v>104</v>
      </c>
      <c r="E70" s="204" t="s">
        <v>217</v>
      </c>
      <c r="F70" s="204" t="s">
        <v>360</v>
      </c>
      <c r="G70" s="204" t="s">
        <v>166</v>
      </c>
      <c r="H70" s="204" t="s">
        <v>166</v>
      </c>
      <c r="I70" s="205" t="s">
        <v>376</v>
      </c>
      <c r="J70" s="205">
        <v>222746004</v>
      </c>
      <c r="K70" s="206">
        <v>222746004</v>
      </c>
      <c r="L70" s="237" t="s">
        <v>377</v>
      </c>
      <c r="M70" s="237" t="s">
        <v>378</v>
      </c>
      <c r="N70" s="207" t="s">
        <v>364</v>
      </c>
      <c r="O70" s="208" t="s">
        <v>58</v>
      </c>
      <c r="P70" s="209">
        <v>1</v>
      </c>
      <c r="Q70" s="209">
        <v>1</v>
      </c>
      <c r="R70" s="210">
        <v>2772</v>
      </c>
      <c r="S70" s="208" t="s">
        <v>120</v>
      </c>
      <c r="T70" s="211" t="s">
        <v>379</v>
      </c>
      <c r="U70" s="211">
        <v>18</v>
      </c>
      <c r="V70" s="212"/>
      <c r="W70" s="213" t="s">
        <v>173</v>
      </c>
      <c r="X70" s="214"/>
      <c r="Y70" s="214"/>
      <c r="Z70" s="215" t="s">
        <v>60</v>
      </c>
      <c r="AA70" s="216">
        <v>0</v>
      </c>
      <c r="AB70" s="217">
        <v>0</v>
      </c>
      <c r="AC70" s="214"/>
      <c r="AD70" s="214"/>
      <c r="AE70" s="214"/>
      <c r="AF70" s="218"/>
      <c r="AG70" s="218">
        <v>0</v>
      </c>
      <c r="AH70" s="220">
        <v>0</v>
      </c>
      <c r="AI70" s="217">
        <v>0</v>
      </c>
      <c r="AJ70" s="217"/>
      <c r="AK70" s="216" t="s">
        <v>60</v>
      </c>
      <c r="AL70" s="216" t="s">
        <v>60</v>
      </c>
      <c r="AM70" s="217" t="s">
        <v>60</v>
      </c>
      <c r="AN70" s="221">
        <v>0</v>
      </c>
      <c r="AO70" s="221" t="s">
        <v>60</v>
      </c>
      <c r="AP70" s="221" t="s">
        <v>60</v>
      </c>
      <c r="AQ70" s="221">
        <v>0</v>
      </c>
      <c r="AR70" s="221" t="s">
        <v>60</v>
      </c>
      <c r="AS70" s="222">
        <v>60430</v>
      </c>
      <c r="AT70" s="223">
        <v>21.8001443001443</v>
      </c>
      <c r="AU70" s="224">
        <v>86000</v>
      </c>
      <c r="AV70" s="223">
        <v>31</v>
      </c>
    </row>
    <row r="71" spans="1:48" ht="14.25" customHeight="1">
      <c r="A71" s="1" t="s">
        <v>380</v>
      </c>
      <c r="B71" s="22" t="s">
        <v>358</v>
      </c>
      <c r="C71" s="204" t="s">
        <v>359</v>
      </c>
      <c r="D71" s="204" t="s">
        <v>104</v>
      </c>
      <c r="E71" s="204" t="s">
        <v>217</v>
      </c>
      <c r="F71" s="204" t="s">
        <v>360</v>
      </c>
      <c r="G71" s="204" t="s">
        <v>166</v>
      </c>
      <c r="H71" s="204" t="s">
        <v>166</v>
      </c>
      <c r="I71" s="205" t="s">
        <v>381</v>
      </c>
      <c r="J71" s="205">
        <v>222746005</v>
      </c>
      <c r="K71" s="206">
        <v>222746005</v>
      </c>
      <c r="L71" s="237" t="s">
        <v>382</v>
      </c>
      <c r="M71" s="237" t="s">
        <v>383</v>
      </c>
      <c r="N71" s="207" t="s">
        <v>364</v>
      </c>
      <c r="O71" s="208" t="s">
        <v>58</v>
      </c>
      <c r="P71" s="209">
        <v>1</v>
      </c>
      <c r="Q71" s="209">
        <v>1</v>
      </c>
      <c r="R71" s="210">
        <v>4146</v>
      </c>
      <c r="S71" s="208" t="s">
        <v>91</v>
      </c>
      <c r="T71" s="211"/>
      <c r="U71" s="211">
        <v>18</v>
      </c>
      <c r="V71" s="212"/>
      <c r="W71" s="213" t="s">
        <v>173</v>
      </c>
      <c r="X71" s="214"/>
      <c r="Y71" s="214"/>
      <c r="Z71" s="215" t="s">
        <v>60</v>
      </c>
      <c r="AA71" s="216">
        <v>0</v>
      </c>
      <c r="AB71" s="217">
        <v>0</v>
      </c>
      <c r="AC71" s="214"/>
      <c r="AD71" s="214"/>
      <c r="AE71" s="214"/>
      <c r="AF71" s="218"/>
      <c r="AG71" s="219">
        <v>0</v>
      </c>
      <c r="AH71" s="220">
        <v>0</v>
      </c>
      <c r="AI71" s="217">
        <v>0</v>
      </c>
      <c r="AJ71" s="217"/>
      <c r="AK71" s="216" t="s">
        <v>60</v>
      </c>
      <c r="AL71" s="216" t="s">
        <v>60</v>
      </c>
      <c r="AM71" s="217" t="s">
        <v>60</v>
      </c>
      <c r="AN71" s="221">
        <v>0</v>
      </c>
      <c r="AO71" s="221" t="s">
        <v>60</v>
      </c>
      <c r="AP71" s="221" t="s">
        <v>60</v>
      </c>
      <c r="AQ71" s="221">
        <v>0</v>
      </c>
      <c r="AR71" s="221" t="s">
        <v>60</v>
      </c>
      <c r="AS71" s="222">
        <v>103650</v>
      </c>
      <c r="AT71" s="223">
        <v>25</v>
      </c>
      <c r="AU71" s="224">
        <v>103650</v>
      </c>
      <c r="AV71" s="223">
        <v>25</v>
      </c>
    </row>
    <row r="72" spans="1:48" ht="14.25" customHeight="1">
      <c r="A72" s="1" t="s">
        <v>384</v>
      </c>
      <c r="B72" s="20" t="s">
        <v>385</v>
      </c>
      <c r="C72" s="204" t="s">
        <v>386</v>
      </c>
      <c r="D72" s="204" t="s">
        <v>281</v>
      </c>
      <c r="E72" s="204" t="s">
        <v>105</v>
      </c>
      <c r="F72" s="204" t="s">
        <v>360</v>
      </c>
      <c r="G72" s="204" t="s">
        <v>166</v>
      </c>
      <c r="H72" s="204" t="s">
        <v>166</v>
      </c>
      <c r="I72" s="205" t="s">
        <v>361</v>
      </c>
      <c r="J72" s="205"/>
      <c r="K72" s="206" t="e">
        <v>#N/A</v>
      </c>
      <c r="L72" s="237" t="s">
        <v>124</v>
      </c>
      <c r="M72" s="237" t="s">
        <v>125</v>
      </c>
      <c r="N72" s="236" t="s">
        <v>387</v>
      </c>
      <c r="O72" s="208" t="s">
        <v>127</v>
      </c>
      <c r="P72" s="209">
        <v>1</v>
      </c>
      <c r="Q72" s="209">
        <v>1</v>
      </c>
      <c r="R72" s="210">
        <v>2746</v>
      </c>
      <c r="S72" s="208" t="s">
        <v>91</v>
      </c>
      <c r="T72" s="211"/>
      <c r="U72" s="211" t="s">
        <v>60</v>
      </c>
      <c r="V72" s="228"/>
      <c r="W72" s="213"/>
      <c r="X72" s="214"/>
      <c r="Y72" s="214"/>
      <c r="Z72" s="215" t="s">
        <v>60</v>
      </c>
      <c r="AA72" s="216">
        <v>0</v>
      </c>
      <c r="AB72" s="217">
        <v>0</v>
      </c>
      <c r="AC72" s="214"/>
      <c r="AD72" s="214"/>
      <c r="AE72" s="214"/>
      <c r="AF72" s="218"/>
      <c r="AG72" s="218">
        <v>0</v>
      </c>
      <c r="AH72" s="220">
        <v>0</v>
      </c>
      <c r="AI72" s="217">
        <v>0</v>
      </c>
      <c r="AJ72" s="217"/>
      <c r="AK72" s="216" t="s">
        <v>60</v>
      </c>
      <c r="AL72" s="216" t="s">
        <v>60</v>
      </c>
      <c r="AM72" s="217" t="s">
        <v>60</v>
      </c>
      <c r="AN72" s="221">
        <v>0</v>
      </c>
      <c r="AO72" s="221" t="s">
        <v>60</v>
      </c>
      <c r="AP72" s="221" t="s">
        <v>60</v>
      </c>
      <c r="AQ72" s="221">
        <v>0</v>
      </c>
      <c r="AR72" s="221" t="s">
        <v>60</v>
      </c>
      <c r="AS72" s="222">
        <v>68650</v>
      </c>
      <c r="AT72" s="223">
        <v>25</v>
      </c>
      <c r="AU72" s="224">
        <v>100000</v>
      </c>
      <c r="AV72" s="223">
        <v>36.4</v>
      </c>
    </row>
    <row r="73" spans="1:48" ht="14.25" customHeight="1">
      <c r="A73" s="1" t="s">
        <v>388</v>
      </c>
      <c r="B73" s="21" t="s">
        <v>385</v>
      </c>
      <c r="C73" s="204" t="s">
        <v>386</v>
      </c>
      <c r="D73" s="204" t="s">
        <v>281</v>
      </c>
      <c r="E73" s="204" t="s">
        <v>105</v>
      </c>
      <c r="F73" s="204" t="s">
        <v>360</v>
      </c>
      <c r="G73" s="204" t="s">
        <v>166</v>
      </c>
      <c r="H73" s="204" t="s">
        <v>166</v>
      </c>
      <c r="I73" s="205" t="s">
        <v>367</v>
      </c>
      <c r="J73" s="205"/>
      <c r="K73" s="206" t="e">
        <v>#N/A</v>
      </c>
      <c r="L73" s="237" t="s">
        <v>124</v>
      </c>
      <c r="M73" s="237" t="s">
        <v>125</v>
      </c>
      <c r="N73" s="236" t="s">
        <v>387</v>
      </c>
      <c r="O73" s="208" t="s">
        <v>127</v>
      </c>
      <c r="P73" s="209">
        <v>1</v>
      </c>
      <c r="Q73" s="209">
        <v>1</v>
      </c>
      <c r="R73" s="210">
        <v>1247</v>
      </c>
      <c r="S73" s="208" t="s">
        <v>91</v>
      </c>
      <c r="T73" s="211" t="s">
        <v>389</v>
      </c>
      <c r="U73" s="211" t="s">
        <v>60</v>
      </c>
      <c r="V73" s="228"/>
      <c r="W73" s="213"/>
      <c r="X73" s="214"/>
      <c r="Y73" s="214"/>
      <c r="Z73" s="215" t="s">
        <v>60</v>
      </c>
      <c r="AA73" s="216">
        <v>0</v>
      </c>
      <c r="AB73" s="217">
        <v>0</v>
      </c>
      <c r="AC73" s="214"/>
      <c r="AD73" s="214"/>
      <c r="AE73" s="214"/>
      <c r="AF73" s="218"/>
      <c r="AG73" s="218">
        <v>0</v>
      </c>
      <c r="AH73" s="220">
        <v>0</v>
      </c>
      <c r="AI73" s="217">
        <v>0</v>
      </c>
      <c r="AJ73" s="217"/>
      <c r="AK73" s="216" t="s">
        <v>60</v>
      </c>
      <c r="AL73" s="216" t="s">
        <v>60</v>
      </c>
      <c r="AM73" s="217" t="s">
        <v>60</v>
      </c>
      <c r="AN73" s="221">
        <v>0</v>
      </c>
      <c r="AO73" s="221" t="s">
        <v>60</v>
      </c>
      <c r="AP73" s="221" t="s">
        <v>60</v>
      </c>
      <c r="AQ73" s="221">
        <v>0</v>
      </c>
      <c r="AR73" s="221" t="s">
        <v>60</v>
      </c>
      <c r="AS73" s="222">
        <v>31175</v>
      </c>
      <c r="AT73" s="223">
        <v>25</v>
      </c>
      <c r="AU73" s="224">
        <v>40000</v>
      </c>
      <c r="AV73" s="223">
        <v>32</v>
      </c>
    </row>
    <row r="74" spans="1:48" ht="14.25" customHeight="1">
      <c r="A74" s="1" t="s">
        <v>390</v>
      </c>
      <c r="B74" s="21" t="s">
        <v>385</v>
      </c>
      <c r="C74" s="204" t="s">
        <v>386</v>
      </c>
      <c r="D74" s="204" t="s">
        <v>281</v>
      </c>
      <c r="E74" s="204" t="s">
        <v>105</v>
      </c>
      <c r="F74" s="204" t="s">
        <v>360</v>
      </c>
      <c r="G74" s="204" t="s">
        <v>166</v>
      </c>
      <c r="H74" s="204" t="s">
        <v>166</v>
      </c>
      <c r="I74" s="205" t="s">
        <v>371</v>
      </c>
      <c r="J74" s="205"/>
      <c r="K74" s="206" t="e">
        <v>#N/A</v>
      </c>
      <c r="L74" s="237" t="s">
        <v>124</v>
      </c>
      <c r="M74" s="237" t="s">
        <v>125</v>
      </c>
      <c r="N74" s="236" t="s">
        <v>387</v>
      </c>
      <c r="O74" s="208" t="s">
        <v>127</v>
      </c>
      <c r="P74" s="209">
        <v>1</v>
      </c>
      <c r="Q74" s="209">
        <v>1</v>
      </c>
      <c r="R74" s="210">
        <v>1124</v>
      </c>
      <c r="S74" s="208" t="s">
        <v>91</v>
      </c>
      <c r="T74" s="211" t="s">
        <v>391</v>
      </c>
      <c r="U74" s="211" t="s">
        <v>60</v>
      </c>
      <c r="V74" s="228"/>
      <c r="W74" s="213"/>
      <c r="X74" s="214"/>
      <c r="Y74" s="214"/>
      <c r="Z74" s="215" t="s">
        <v>60</v>
      </c>
      <c r="AA74" s="216">
        <v>0</v>
      </c>
      <c r="AB74" s="217">
        <v>0</v>
      </c>
      <c r="AC74" s="214"/>
      <c r="AD74" s="214"/>
      <c r="AE74" s="214"/>
      <c r="AF74" s="218"/>
      <c r="AG74" s="218">
        <v>0</v>
      </c>
      <c r="AH74" s="220">
        <v>0</v>
      </c>
      <c r="AI74" s="217">
        <v>0</v>
      </c>
      <c r="AJ74" s="217"/>
      <c r="AK74" s="216" t="s">
        <v>60</v>
      </c>
      <c r="AL74" s="216" t="s">
        <v>60</v>
      </c>
      <c r="AM74" s="217" t="s">
        <v>60</v>
      </c>
      <c r="AN74" s="221">
        <v>0</v>
      </c>
      <c r="AO74" s="221" t="s">
        <v>60</v>
      </c>
      <c r="AP74" s="221" t="s">
        <v>60</v>
      </c>
      <c r="AQ74" s="221">
        <v>0</v>
      </c>
      <c r="AR74" s="221" t="s">
        <v>60</v>
      </c>
      <c r="AS74" s="222">
        <v>28100</v>
      </c>
      <c r="AT74" s="223">
        <v>25</v>
      </c>
      <c r="AU74" s="224">
        <v>38000</v>
      </c>
      <c r="AV74" s="223">
        <v>34</v>
      </c>
    </row>
    <row r="75" spans="1:48" ht="14.25" customHeight="1">
      <c r="A75" s="1" t="s">
        <v>392</v>
      </c>
      <c r="B75" s="21" t="s">
        <v>385</v>
      </c>
      <c r="C75" s="204" t="s">
        <v>386</v>
      </c>
      <c r="D75" s="204" t="s">
        <v>281</v>
      </c>
      <c r="E75" s="204" t="s">
        <v>105</v>
      </c>
      <c r="F75" s="204" t="s">
        <v>360</v>
      </c>
      <c r="G75" s="204" t="s">
        <v>166</v>
      </c>
      <c r="H75" s="204" t="s">
        <v>166</v>
      </c>
      <c r="I75" s="205" t="s">
        <v>376</v>
      </c>
      <c r="J75" s="205"/>
      <c r="K75" s="206" t="e">
        <v>#N/A</v>
      </c>
      <c r="L75" s="237" t="s">
        <v>124</v>
      </c>
      <c r="M75" s="237" t="s">
        <v>125</v>
      </c>
      <c r="N75" s="236" t="s">
        <v>387</v>
      </c>
      <c r="O75" s="208" t="s">
        <v>127</v>
      </c>
      <c r="P75" s="209">
        <v>1</v>
      </c>
      <c r="Q75" s="209">
        <v>1</v>
      </c>
      <c r="R75" s="210">
        <v>1182</v>
      </c>
      <c r="S75" s="208" t="s">
        <v>91</v>
      </c>
      <c r="T75" s="211" t="s">
        <v>393</v>
      </c>
      <c r="U75" s="211" t="s">
        <v>60</v>
      </c>
      <c r="V75" s="228"/>
      <c r="W75" s="213"/>
      <c r="X75" s="214"/>
      <c r="Y75" s="214"/>
      <c r="Z75" s="215" t="s">
        <v>60</v>
      </c>
      <c r="AA75" s="216">
        <v>0</v>
      </c>
      <c r="AB75" s="217">
        <v>0</v>
      </c>
      <c r="AC75" s="214"/>
      <c r="AD75" s="214"/>
      <c r="AE75" s="214"/>
      <c r="AF75" s="218"/>
      <c r="AG75" s="218">
        <v>0</v>
      </c>
      <c r="AH75" s="220">
        <v>0</v>
      </c>
      <c r="AI75" s="217">
        <v>0</v>
      </c>
      <c r="AJ75" s="217"/>
      <c r="AK75" s="216" t="s">
        <v>60</v>
      </c>
      <c r="AL75" s="216" t="s">
        <v>60</v>
      </c>
      <c r="AM75" s="217" t="s">
        <v>60</v>
      </c>
      <c r="AN75" s="221">
        <v>0</v>
      </c>
      <c r="AO75" s="221" t="s">
        <v>60</v>
      </c>
      <c r="AP75" s="221" t="s">
        <v>60</v>
      </c>
      <c r="AQ75" s="221">
        <v>0</v>
      </c>
      <c r="AR75" s="221" t="s">
        <v>60</v>
      </c>
      <c r="AS75" s="222">
        <v>29550</v>
      </c>
      <c r="AT75" s="223">
        <v>25</v>
      </c>
      <c r="AU75" s="224">
        <v>40000</v>
      </c>
      <c r="AV75" s="223">
        <v>34</v>
      </c>
    </row>
    <row r="76" spans="1:48" ht="14.25" customHeight="1">
      <c r="A76" s="1" t="s">
        <v>394</v>
      </c>
      <c r="B76" s="21" t="s">
        <v>385</v>
      </c>
      <c r="C76" s="204" t="s">
        <v>386</v>
      </c>
      <c r="D76" s="204" t="s">
        <v>281</v>
      </c>
      <c r="E76" s="204" t="s">
        <v>105</v>
      </c>
      <c r="F76" s="204" t="s">
        <v>360</v>
      </c>
      <c r="G76" s="204" t="s">
        <v>166</v>
      </c>
      <c r="H76" s="204" t="s">
        <v>166</v>
      </c>
      <c r="I76" s="205" t="s">
        <v>395</v>
      </c>
      <c r="J76" s="205"/>
      <c r="K76" s="206" t="e">
        <v>#N/A</v>
      </c>
      <c r="L76" s="237" t="s">
        <v>124</v>
      </c>
      <c r="M76" s="237" t="s">
        <v>125</v>
      </c>
      <c r="N76" s="236" t="s">
        <v>387</v>
      </c>
      <c r="O76" s="208" t="s">
        <v>127</v>
      </c>
      <c r="P76" s="209">
        <v>1</v>
      </c>
      <c r="Q76" s="209">
        <v>1</v>
      </c>
      <c r="R76" s="210">
        <v>2518</v>
      </c>
      <c r="S76" s="208" t="s">
        <v>91</v>
      </c>
      <c r="T76" s="211" t="s">
        <v>393</v>
      </c>
      <c r="U76" s="211" t="s">
        <v>60</v>
      </c>
      <c r="V76" s="228"/>
      <c r="W76" s="213"/>
      <c r="X76" s="214"/>
      <c r="Y76" s="214"/>
      <c r="Z76" s="215" t="s">
        <v>60</v>
      </c>
      <c r="AA76" s="216">
        <v>0</v>
      </c>
      <c r="AB76" s="217">
        <v>0</v>
      </c>
      <c r="AC76" s="214"/>
      <c r="AD76" s="214"/>
      <c r="AE76" s="214"/>
      <c r="AF76" s="218"/>
      <c r="AG76" s="218">
        <v>0</v>
      </c>
      <c r="AH76" s="220">
        <v>0</v>
      </c>
      <c r="AI76" s="217">
        <v>0</v>
      </c>
      <c r="AJ76" s="217"/>
      <c r="AK76" s="216" t="s">
        <v>60</v>
      </c>
      <c r="AL76" s="216" t="s">
        <v>60</v>
      </c>
      <c r="AM76" s="217" t="s">
        <v>60</v>
      </c>
      <c r="AN76" s="221">
        <v>0</v>
      </c>
      <c r="AO76" s="221" t="s">
        <v>60</v>
      </c>
      <c r="AP76" s="221" t="s">
        <v>60</v>
      </c>
      <c r="AQ76" s="221">
        <v>0</v>
      </c>
      <c r="AR76" s="221" t="s">
        <v>60</v>
      </c>
      <c r="AS76" s="222">
        <v>62950</v>
      </c>
      <c r="AT76" s="223">
        <v>25</v>
      </c>
      <c r="AU76" s="224">
        <v>83000</v>
      </c>
      <c r="AV76" s="223">
        <v>33</v>
      </c>
    </row>
    <row r="77" spans="1:48" ht="14.25" customHeight="1">
      <c r="A77" s="1" t="s">
        <v>396</v>
      </c>
      <c r="B77" s="22" t="s">
        <v>385</v>
      </c>
      <c r="C77" s="204" t="s">
        <v>386</v>
      </c>
      <c r="D77" s="204" t="s">
        <v>281</v>
      </c>
      <c r="E77" s="204" t="s">
        <v>105</v>
      </c>
      <c r="F77" s="204" t="s">
        <v>360</v>
      </c>
      <c r="G77" s="204" t="s">
        <v>166</v>
      </c>
      <c r="H77" s="204" t="s">
        <v>166</v>
      </c>
      <c r="I77" s="205" t="s">
        <v>397</v>
      </c>
      <c r="J77" s="205"/>
      <c r="K77" s="206" t="e">
        <v>#N/A</v>
      </c>
      <c r="L77" s="237" t="s">
        <v>124</v>
      </c>
      <c r="M77" s="237" t="s">
        <v>125</v>
      </c>
      <c r="N77" s="236" t="s">
        <v>387</v>
      </c>
      <c r="O77" s="208" t="s">
        <v>127</v>
      </c>
      <c r="P77" s="209">
        <v>1</v>
      </c>
      <c r="Q77" s="209">
        <v>1</v>
      </c>
      <c r="R77" s="210">
        <v>2180</v>
      </c>
      <c r="S77" s="208" t="s">
        <v>91</v>
      </c>
      <c r="T77" s="211"/>
      <c r="U77" s="211" t="s">
        <v>60</v>
      </c>
      <c r="V77" s="228"/>
      <c r="W77" s="213"/>
      <c r="X77" s="214"/>
      <c r="Y77" s="214"/>
      <c r="Z77" s="215" t="s">
        <v>60</v>
      </c>
      <c r="AA77" s="216">
        <v>0</v>
      </c>
      <c r="AB77" s="217">
        <v>0</v>
      </c>
      <c r="AC77" s="214"/>
      <c r="AD77" s="214"/>
      <c r="AE77" s="214"/>
      <c r="AF77" s="218"/>
      <c r="AG77" s="218">
        <v>0</v>
      </c>
      <c r="AH77" s="220">
        <v>0</v>
      </c>
      <c r="AI77" s="217">
        <v>0</v>
      </c>
      <c r="AJ77" s="217"/>
      <c r="AK77" s="216" t="s">
        <v>60</v>
      </c>
      <c r="AL77" s="216" t="s">
        <v>60</v>
      </c>
      <c r="AM77" s="217" t="s">
        <v>60</v>
      </c>
      <c r="AN77" s="221">
        <v>0</v>
      </c>
      <c r="AO77" s="221" t="s">
        <v>60</v>
      </c>
      <c r="AP77" s="221" t="s">
        <v>60</v>
      </c>
      <c r="AQ77" s="221">
        <v>0</v>
      </c>
      <c r="AR77" s="221" t="s">
        <v>60</v>
      </c>
      <c r="AS77" s="222">
        <v>54500</v>
      </c>
      <c r="AT77" s="223">
        <v>25</v>
      </c>
      <c r="AU77" s="224">
        <v>54500</v>
      </c>
      <c r="AV77" s="223">
        <v>25</v>
      </c>
    </row>
    <row r="78" spans="1:48" ht="14.25" customHeight="1">
      <c r="A78" s="1" t="s">
        <v>398</v>
      </c>
      <c r="B78" s="23" t="s">
        <v>399</v>
      </c>
      <c r="C78" s="204" t="s">
        <v>400</v>
      </c>
      <c r="D78" s="204" t="s">
        <v>104</v>
      </c>
      <c r="E78" s="204" t="s">
        <v>51</v>
      </c>
      <c r="F78" s="204"/>
      <c r="G78" s="204" t="s">
        <v>401</v>
      </c>
      <c r="H78" s="204" t="s">
        <v>53</v>
      </c>
      <c r="I78" s="205">
        <v>1</v>
      </c>
      <c r="J78" s="205">
        <v>222761001</v>
      </c>
      <c r="K78" s="206">
        <v>222761001</v>
      </c>
      <c r="L78" s="237" t="s">
        <v>402</v>
      </c>
      <c r="M78" s="237" t="s">
        <v>403</v>
      </c>
      <c r="N78" s="207">
        <v>45179</v>
      </c>
      <c r="O78" s="208" t="s">
        <v>58</v>
      </c>
      <c r="P78" s="209">
        <v>1</v>
      </c>
      <c r="Q78" s="209">
        <v>1</v>
      </c>
      <c r="R78" s="210">
        <v>1800</v>
      </c>
      <c r="S78" s="208" t="s">
        <v>91</v>
      </c>
      <c r="T78" s="211"/>
      <c r="U78" s="211">
        <v>17</v>
      </c>
      <c r="V78" s="212"/>
      <c r="W78" s="213"/>
      <c r="X78" s="214"/>
      <c r="Y78" s="214"/>
      <c r="Z78" s="215" t="s">
        <v>60</v>
      </c>
      <c r="AA78" s="216">
        <v>0</v>
      </c>
      <c r="AB78" s="217">
        <v>0</v>
      </c>
      <c r="AC78" s="214"/>
      <c r="AD78" s="214"/>
      <c r="AE78" s="214"/>
      <c r="AF78" s="218"/>
      <c r="AG78" s="218">
        <v>0</v>
      </c>
      <c r="AH78" s="220">
        <v>0</v>
      </c>
      <c r="AI78" s="217">
        <v>0</v>
      </c>
      <c r="AJ78" s="217"/>
      <c r="AK78" s="216" t="s">
        <v>60</v>
      </c>
      <c r="AL78" s="216" t="s">
        <v>60</v>
      </c>
      <c r="AM78" s="217" t="s">
        <v>60</v>
      </c>
      <c r="AN78" s="221">
        <v>0</v>
      </c>
      <c r="AO78" s="221" t="s">
        <v>60</v>
      </c>
      <c r="AP78" s="221" t="s">
        <v>60</v>
      </c>
      <c r="AQ78" s="221">
        <v>0</v>
      </c>
      <c r="AR78" s="221" t="s">
        <v>60</v>
      </c>
      <c r="AS78" s="222">
        <v>22500</v>
      </c>
      <c r="AT78" s="223">
        <v>12.5</v>
      </c>
      <c r="AU78" s="224">
        <v>25000</v>
      </c>
      <c r="AV78" s="223">
        <v>13.888888888888889</v>
      </c>
    </row>
    <row r="79" spans="1:48" ht="14.25" customHeight="1">
      <c r="A79" s="1" t="s">
        <v>404</v>
      </c>
      <c r="B79" s="23" t="s">
        <v>405</v>
      </c>
      <c r="C79" s="204" t="s">
        <v>405</v>
      </c>
      <c r="D79" s="204" t="s">
        <v>104</v>
      </c>
      <c r="E79" s="204" t="s">
        <v>51</v>
      </c>
      <c r="F79" s="204"/>
      <c r="G79" s="204" t="s">
        <v>142</v>
      </c>
      <c r="H79" s="204" t="s">
        <v>53</v>
      </c>
      <c r="I79" s="205">
        <v>1</v>
      </c>
      <c r="J79" s="205">
        <v>222757001</v>
      </c>
      <c r="K79" s="206">
        <v>222757001</v>
      </c>
      <c r="L79" s="237" t="s">
        <v>406</v>
      </c>
      <c r="M79" s="237" t="s">
        <v>407</v>
      </c>
      <c r="N79" s="207" t="s">
        <v>408</v>
      </c>
      <c r="O79" s="208" t="s">
        <v>58</v>
      </c>
      <c r="P79" s="209">
        <v>1</v>
      </c>
      <c r="Q79" s="209">
        <v>1</v>
      </c>
      <c r="R79" s="210">
        <v>613</v>
      </c>
      <c r="S79" s="208" t="s">
        <v>120</v>
      </c>
      <c r="T79" s="211"/>
      <c r="U79" s="211">
        <v>18</v>
      </c>
      <c r="V79" s="212"/>
      <c r="W79" s="213"/>
      <c r="X79" s="214"/>
      <c r="Y79" s="214"/>
      <c r="Z79" s="215" t="s">
        <v>60</v>
      </c>
      <c r="AA79" s="216">
        <v>0</v>
      </c>
      <c r="AB79" s="217">
        <v>0</v>
      </c>
      <c r="AC79" s="214"/>
      <c r="AD79" s="214"/>
      <c r="AE79" s="214"/>
      <c r="AF79" s="218"/>
      <c r="AG79" s="218">
        <v>0</v>
      </c>
      <c r="AH79" s="220">
        <v>0</v>
      </c>
      <c r="AI79" s="217">
        <v>0</v>
      </c>
      <c r="AJ79" s="217"/>
      <c r="AK79" s="216" t="s">
        <v>60</v>
      </c>
      <c r="AL79" s="216" t="s">
        <v>60</v>
      </c>
      <c r="AM79" s="217" t="s">
        <v>60</v>
      </c>
      <c r="AN79" s="221">
        <v>0</v>
      </c>
      <c r="AO79" s="221" t="s">
        <v>60</v>
      </c>
      <c r="AP79" s="221" t="s">
        <v>60</v>
      </c>
      <c r="AQ79" s="221">
        <v>0</v>
      </c>
      <c r="AR79" s="221" t="s">
        <v>60</v>
      </c>
      <c r="AS79" s="222">
        <v>9384</v>
      </c>
      <c r="AT79" s="223">
        <v>15.308319738988581</v>
      </c>
      <c r="AU79" s="224">
        <v>12000</v>
      </c>
      <c r="AV79" s="223">
        <v>19.575856443719413</v>
      </c>
    </row>
    <row r="80" spans="1:48" ht="14.25" customHeight="1">
      <c r="A80" s="1" t="s">
        <v>409</v>
      </c>
      <c r="B80" s="20" t="s">
        <v>410</v>
      </c>
      <c r="C80" s="204" t="s">
        <v>410</v>
      </c>
      <c r="D80" s="204" t="s">
        <v>50</v>
      </c>
      <c r="E80" s="204" t="s">
        <v>51</v>
      </c>
      <c r="F80" s="204"/>
      <c r="G80" s="204" t="s">
        <v>411</v>
      </c>
      <c r="H80" s="204" t="s">
        <v>53</v>
      </c>
      <c r="I80" s="205">
        <v>1</v>
      </c>
      <c r="J80" s="205">
        <v>222740001</v>
      </c>
      <c r="K80" s="206">
        <v>222740001</v>
      </c>
      <c r="L80" s="237" t="s">
        <v>412</v>
      </c>
      <c r="M80" s="237" t="s">
        <v>413</v>
      </c>
      <c r="N80" s="207" t="s">
        <v>414</v>
      </c>
      <c r="O80" s="208" t="s">
        <v>58</v>
      </c>
      <c r="P80" s="209">
        <v>1</v>
      </c>
      <c r="Q80" s="209">
        <v>1</v>
      </c>
      <c r="R80" s="210">
        <v>4266</v>
      </c>
      <c r="S80" s="208" t="s">
        <v>415</v>
      </c>
      <c r="T80" s="211" t="s">
        <v>416</v>
      </c>
      <c r="U80" s="211" t="s">
        <v>60</v>
      </c>
      <c r="V80" s="212" t="s">
        <v>61</v>
      </c>
      <c r="W80" s="213"/>
      <c r="X80" s="214">
        <v>45471</v>
      </c>
      <c r="Y80" s="214">
        <v>46009</v>
      </c>
      <c r="Z80" s="215">
        <v>9</v>
      </c>
      <c r="AA80" s="216">
        <v>17.687651849148658</v>
      </c>
      <c r="AB80" s="217">
        <v>-73698.54937145274</v>
      </c>
      <c r="AC80" s="214">
        <v>47297</v>
      </c>
      <c r="AD80" s="214"/>
      <c r="AE80" s="214">
        <v>50948</v>
      </c>
      <c r="AF80" s="218"/>
      <c r="AG80" s="218">
        <v>50000</v>
      </c>
      <c r="AH80" s="220">
        <v>11.720581340834505</v>
      </c>
      <c r="AI80" s="217">
        <v>45085.298464626976</v>
      </c>
      <c r="AJ80" s="217"/>
      <c r="AK80" s="216">
        <v>0</v>
      </c>
      <c r="AL80" s="216">
        <v>17.687651849148658</v>
      </c>
      <c r="AM80" s="217">
        <v>73698.54937145274</v>
      </c>
      <c r="AN80" s="221">
        <v>14.995528994185227</v>
      </c>
      <c r="AO80" s="221">
        <v>14.34664450055333</v>
      </c>
      <c r="AP80" s="221">
        <v>4.3505378075151224</v>
      </c>
      <c r="AQ80" s="221" t="s">
        <v>60</v>
      </c>
      <c r="AR80" s="221" t="s">
        <v>60</v>
      </c>
      <c r="AS80" s="222">
        <v>50125.5</v>
      </c>
      <c r="AT80" s="223">
        <v>11.75</v>
      </c>
      <c r="AU80" s="224"/>
      <c r="AV80" s="223"/>
    </row>
    <row r="81" spans="1:48" ht="14.25" customHeight="1">
      <c r="A81" s="1" t="s">
        <v>417</v>
      </c>
      <c r="B81" s="22" t="s">
        <v>410</v>
      </c>
      <c r="C81" s="204" t="s">
        <v>410</v>
      </c>
      <c r="D81" s="204" t="s">
        <v>50</v>
      </c>
      <c r="E81" s="204" t="s">
        <v>51</v>
      </c>
      <c r="F81" s="204"/>
      <c r="G81" s="204" t="s">
        <v>411</v>
      </c>
      <c r="H81" s="204" t="s">
        <v>53</v>
      </c>
      <c r="I81" s="205">
        <v>2</v>
      </c>
      <c r="J81" s="205">
        <v>222740002</v>
      </c>
      <c r="K81" s="206">
        <v>222740002</v>
      </c>
      <c r="L81" s="237" t="s">
        <v>418</v>
      </c>
      <c r="M81" s="237" t="s">
        <v>419</v>
      </c>
      <c r="N81" s="207" t="s">
        <v>414</v>
      </c>
      <c r="O81" s="208" t="s">
        <v>58</v>
      </c>
      <c r="P81" s="209">
        <v>1</v>
      </c>
      <c r="Q81" s="209">
        <v>1</v>
      </c>
      <c r="R81" s="210">
        <v>2590</v>
      </c>
      <c r="S81" s="208" t="s">
        <v>420</v>
      </c>
      <c r="T81" s="211"/>
      <c r="U81" s="211" t="s">
        <v>60</v>
      </c>
      <c r="V81" s="212" t="s">
        <v>61</v>
      </c>
      <c r="W81" s="213"/>
      <c r="X81" s="214">
        <v>45229</v>
      </c>
      <c r="Y81" s="214">
        <v>45595</v>
      </c>
      <c r="Z81" s="215" t="s">
        <v>60</v>
      </c>
      <c r="AA81" s="216">
        <v>12.032863525629013</v>
      </c>
      <c r="AB81" s="217">
        <v>-31586.266754776159</v>
      </c>
      <c r="AC81" s="214">
        <v>47056</v>
      </c>
      <c r="AD81" s="214">
        <v>47420</v>
      </c>
      <c r="AE81" s="214">
        <v>48881</v>
      </c>
      <c r="AF81" s="218">
        <v>0</v>
      </c>
      <c r="AG81" s="218">
        <v>31500</v>
      </c>
      <c r="AH81" s="220">
        <v>12.162162162162161</v>
      </c>
      <c r="AI81" s="217">
        <v>26234.533291053718</v>
      </c>
      <c r="AJ81" s="217"/>
      <c r="AK81" s="216">
        <v>0</v>
      </c>
      <c r="AL81" s="216">
        <v>12.032863525629013</v>
      </c>
      <c r="AM81" s="217">
        <v>31586.266754776159</v>
      </c>
      <c r="AN81" s="221">
        <v>9.9988446022940387</v>
      </c>
      <c r="AO81" s="221">
        <v>8.687386068751092</v>
      </c>
      <c r="AP81" s="221">
        <v>3.6907016768599026</v>
      </c>
      <c r="AQ81" s="221">
        <v>5.9987591795252575</v>
      </c>
      <c r="AR81" s="221">
        <v>4.6873006459823099</v>
      </c>
      <c r="AS81" s="222">
        <v>31500</v>
      </c>
      <c r="AT81" s="223">
        <v>12.162162162162161</v>
      </c>
      <c r="AU81" s="224"/>
      <c r="AV81" s="223"/>
    </row>
    <row r="82" spans="1:48" ht="14.25" customHeight="1">
      <c r="A82" s="1" t="s">
        <v>421</v>
      </c>
      <c r="B82" s="20" t="s">
        <v>422</v>
      </c>
      <c r="C82" s="204" t="s">
        <v>422</v>
      </c>
      <c r="D82" s="204" t="s">
        <v>50</v>
      </c>
      <c r="E82" s="204" t="s">
        <v>51</v>
      </c>
      <c r="F82" s="204"/>
      <c r="G82" s="204" t="s">
        <v>52</v>
      </c>
      <c r="H82" s="204" t="s">
        <v>53</v>
      </c>
      <c r="I82" s="227">
        <v>1</v>
      </c>
      <c r="J82" s="205">
        <v>222801001</v>
      </c>
      <c r="K82" s="206">
        <v>222801001</v>
      </c>
      <c r="L82" s="237" t="s">
        <v>423</v>
      </c>
      <c r="M82" s="237" t="s">
        <v>424</v>
      </c>
      <c r="N82" s="207" t="s">
        <v>425</v>
      </c>
      <c r="O82" s="208" t="s">
        <v>58</v>
      </c>
      <c r="P82" s="209">
        <v>1</v>
      </c>
      <c r="Q82" s="209">
        <v>1</v>
      </c>
      <c r="R82" s="210">
        <v>3481</v>
      </c>
      <c r="S82" s="208" t="s">
        <v>426</v>
      </c>
      <c r="T82" s="211"/>
      <c r="U82" s="211" t="s">
        <v>60</v>
      </c>
      <c r="V82" s="212"/>
      <c r="W82" s="213"/>
      <c r="X82" s="214">
        <v>43719</v>
      </c>
      <c r="Y82" s="214"/>
      <c r="Z82" s="215" t="s">
        <v>60</v>
      </c>
      <c r="AA82" s="216">
        <v>0</v>
      </c>
      <c r="AB82" s="217">
        <v>0</v>
      </c>
      <c r="AC82" s="214">
        <v>47372</v>
      </c>
      <c r="AD82" s="214">
        <v>47372</v>
      </c>
      <c r="AE82" s="214">
        <v>51024</v>
      </c>
      <c r="AF82" s="218">
        <v>0</v>
      </c>
      <c r="AG82" s="218">
        <v>48734</v>
      </c>
      <c r="AH82" s="220">
        <v>14</v>
      </c>
      <c r="AI82" s="217"/>
      <c r="AJ82" s="217"/>
      <c r="AK82" s="216"/>
      <c r="AL82" s="216"/>
      <c r="AM82" s="217"/>
      <c r="AN82" s="221"/>
      <c r="AO82" s="221"/>
      <c r="AP82" s="221"/>
      <c r="AQ82" s="221"/>
      <c r="AR82" s="221"/>
      <c r="AS82" s="222">
        <v>41750</v>
      </c>
      <c r="AT82" s="223">
        <v>11.993679977018099</v>
      </c>
      <c r="AU82" s="224"/>
      <c r="AV82" s="223"/>
    </row>
    <row r="83" spans="1:48" ht="14.25" customHeight="1">
      <c r="A83" s="1" t="s">
        <v>427</v>
      </c>
      <c r="B83" s="21" t="s">
        <v>422</v>
      </c>
      <c r="C83" s="204" t="s">
        <v>422</v>
      </c>
      <c r="D83" s="204" t="s">
        <v>50</v>
      </c>
      <c r="E83" s="204" t="s">
        <v>51</v>
      </c>
      <c r="F83" s="204"/>
      <c r="G83" s="204" t="s">
        <v>52</v>
      </c>
      <c r="H83" s="204" t="s">
        <v>53</v>
      </c>
      <c r="I83" s="227">
        <v>2</v>
      </c>
      <c r="J83" s="205">
        <v>222801002</v>
      </c>
      <c r="K83" s="206">
        <v>222801002</v>
      </c>
      <c r="L83" s="237" t="s">
        <v>428</v>
      </c>
      <c r="M83" s="237" t="s">
        <v>429</v>
      </c>
      <c r="N83" s="207" t="s">
        <v>425</v>
      </c>
      <c r="O83" s="208" t="s">
        <v>58</v>
      </c>
      <c r="P83" s="209">
        <v>1</v>
      </c>
      <c r="Q83" s="209">
        <v>1</v>
      </c>
      <c r="R83" s="210">
        <v>1483.58</v>
      </c>
      <c r="S83" s="208" t="s">
        <v>430</v>
      </c>
      <c r="T83" s="211"/>
      <c r="U83" s="211" t="s">
        <v>60</v>
      </c>
      <c r="V83" s="228"/>
      <c r="W83" s="213"/>
      <c r="X83" s="214">
        <v>43579</v>
      </c>
      <c r="Y83" s="214"/>
      <c r="Z83" s="215" t="s">
        <v>60</v>
      </c>
      <c r="AA83" s="216">
        <v>0</v>
      </c>
      <c r="AB83" s="217">
        <v>0</v>
      </c>
      <c r="AC83" s="214">
        <v>45405</v>
      </c>
      <c r="AD83" s="214"/>
      <c r="AE83" s="214">
        <v>47231</v>
      </c>
      <c r="AF83" s="218">
        <v>0</v>
      </c>
      <c r="AG83" s="218">
        <v>37997</v>
      </c>
      <c r="AH83" s="220">
        <v>25.611696032569867</v>
      </c>
      <c r="AI83" s="217"/>
      <c r="AJ83" s="217"/>
      <c r="AK83" s="216"/>
      <c r="AL83" s="216"/>
      <c r="AM83" s="217"/>
      <c r="AN83" s="221"/>
      <c r="AO83" s="221"/>
      <c r="AP83" s="221"/>
      <c r="AQ83" s="221"/>
      <c r="AR83" s="221"/>
      <c r="AS83" s="222">
        <v>16500</v>
      </c>
      <c r="AT83" s="223">
        <v>11.121746046724814</v>
      </c>
      <c r="AU83" s="224"/>
      <c r="AV83" s="223"/>
    </row>
    <row r="84" spans="1:48" ht="14.25" customHeight="1">
      <c r="A84" s="1" t="s">
        <v>431</v>
      </c>
      <c r="B84" s="22" t="s">
        <v>422</v>
      </c>
      <c r="C84" s="204" t="s">
        <v>422</v>
      </c>
      <c r="D84" s="204" t="s">
        <v>50</v>
      </c>
      <c r="E84" s="204" t="s">
        <v>51</v>
      </c>
      <c r="F84" s="204"/>
      <c r="G84" s="204" t="s">
        <v>52</v>
      </c>
      <c r="H84" s="204" t="s">
        <v>53</v>
      </c>
      <c r="I84" s="227">
        <v>3</v>
      </c>
      <c r="J84" s="205">
        <v>222801003</v>
      </c>
      <c r="K84" s="206">
        <v>222801003</v>
      </c>
      <c r="L84" s="237" t="s">
        <v>432</v>
      </c>
      <c r="M84" s="237" t="s">
        <v>433</v>
      </c>
      <c r="N84" s="207" t="s">
        <v>425</v>
      </c>
      <c r="O84" s="208" t="s">
        <v>58</v>
      </c>
      <c r="P84" s="209">
        <v>1</v>
      </c>
      <c r="Q84" s="209">
        <v>1</v>
      </c>
      <c r="R84" s="210">
        <v>526</v>
      </c>
      <c r="S84" s="208" t="s">
        <v>434</v>
      </c>
      <c r="T84" s="211"/>
      <c r="U84" s="211" t="s">
        <v>60</v>
      </c>
      <c r="V84" s="212"/>
      <c r="W84" s="213"/>
      <c r="X84" s="214">
        <v>43532</v>
      </c>
      <c r="Y84" s="214"/>
      <c r="Z84" s="215" t="s">
        <v>60</v>
      </c>
      <c r="AA84" s="216">
        <v>0</v>
      </c>
      <c r="AB84" s="217">
        <v>0</v>
      </c>
      <c r="AC84" s="214">
        <v>45359</v>
      </c>
      <c r="AD84" s="214"/>
      <c r="AE84" s="214">
        <v>47184</v>
      </c>
      <c r="AF84" s="218">
        <v>0</v>
      </c>
      <c r="AG84" s="218">
        <v>17500</v>
      </c>
      <c r="AH84" s="220">
        <v>33.269961977186313</v>
      </c>
      <c r="AI84" s="217"/>
      <c r="AJ84" s="217"/>
      <c r="AK84" s="216"/>
      <c r="AL84" s="216"/>
      <c r="AM84" s="217"/>
      <c r="AN84" s="221"/>
      <c r="AO84" s="221"/>
      <c r="AP84" s="221"/>
      <c r="AQ84" s="221"/>
      <c r="AR84" s="221"/>
      <c r="AS84" s="222">
        <v>8500</v>
      </c>
      <c r="AT84" s="223">
        <v>16.159695817490494</v>
      </c>
      <c r="AU84" s="224"/>
      <c r="AV84" s="223"/>
    </row>
    <row r="85" spans="1:48" ht="15.75" customHeight="1">
      <c r="A85" s="1" t="s">
        <v>435</v>
      </c>
      <c r="B85" s="20" t="s">
        <v>436</v>
      </c>
      <c r="C85" s="204" t="s">
        <v>436</v>
      </c>
      <c r="D85" s="204" t="s">
        <v>86</v>
      </c>
      <c r="E85" s="204" t="s">
        <v>105</v>
      </c>
      <c r="F85" s="204" t="s">
        <v>437</v>
      </c>
      <c r="G85" s="204" t="s">
        <v>166</v>
      </c>
      <c r="H85" s="204" t="s">
        <v>166</v>
      </c>
      <c r="I85" s="205">
        <v>1</v>
      </c>
      <c r="J85" s="205"/>
      <c r="K85" s="206" t="e">
        <v>#N/A</v>
      </c>
      <c r="L85" s="237" t="s">
        <v>124</v>
      </c>
      <c r="M85" s="237" t="s">
        <v>125</v>
      </c>
      <c r="N85" s="226" t="s">
        <v>438</v>
      </c>
      <c r="O85" s="208" t="s">
        <v>127</v>
      </c>
      <c r="P85" s="209">
        <v>1</v>
      </c>
      <c r="Q85" s="209">
        <v>1</v>
      </c>
      <c r="R85" s="210">
        <v>1531</v>
      </c>
      <c r="S85" s="208" t="s">
        <v>91</v>
      </c>
      <c r="T85" s="211"/>
      <c r="U85" s="211" t="s">
        <v>60</v>
      </c>
      <c r="V85" s="228"/>
      <c r="W85" s="213"/>
      <c r="X85" s="214"/>
      <c r="Y85" s="214"/>
      <c r="Z85" s="215" t="s">
        <v>60</v>
      </c>
      <c r="AA85" s="216">
        <v>0</v>
      </c>
      <c r="AB85" s="217">
        <v>0</v>
      </c>
      <c r="AC85" s="214"/>
      <c r="AD85" s="214"/>
      <c r="AE85" s="214"/>
      <c r="AF85" s="218"/>
      <c r="AG85" s="218">
        <v>0</v>
      </c>
      <c r="AH85" s="220">
        <v>0</v>
      </c>
      <c r="AI85" s="217">
        <v>0</v>
      </c>
      <c r="AJ85" s="217"/>
      <c r="AK85" s="216" t="s">
        <v>60</v>
      </c>
      <c r="AL85" s="216" t="s">
        <v>60</v>
      </c>
      <c r="AM85" s="217" t="s">
        <v>60</v>
      </c>
      <c r="AN85" s="221">
        <v>0</v>
      </c>
      <c r="AO85" s="221" t="s">
        <v>60</v>
      </c>
      <c r="AP85" s="221" t="s">
        <v>60</v>
      </c>
      <c r="AQ85" s="221">
        <v>0</v>
      </c>
      <c r="AR85" s="221" t="s">
        <v>60</v>
      </c>
      <c r="AS85" s="222" t="e">
        <v>#N/A</v>
      </c>
      <c r="AT85" s="223" t="e">
        <v>#N/A</v>
      </c>
      <c r="AU85" s="224"/>
      <c r="AV85" s="223"/>
    </row>
    <row r="86" spans="1:48" ht="15.75" customHeight="1">
      <c r="A86" s="1" t="s">
        <v>439</v>
      </c>
      <c r="B86" s="21" t="s">
        <v>436</v>
      </c>
      <c r="C86" s="204" t="s">
        <v>436</v>
      </c>
      <c r="D86" s="204" t="s">
        <v>86</v>
      </c>
      <c r="E86" s="204" t="s">
        <v>105</v>
      </c>
      <c r="F86" s="204" t="s">
        <v>437</v>
      </c>
      <c r="G86" s="204" t="s">
        <v>166</v>
      </c>
      <c r="H86" s="204" t="s">
        <v>166</v>
      </c>
      <c r="I86" s="205">
        <v>2</v>
      </c>
      <c r="J86" s="205"/>
      <c r="K86" s="206" t="e">
        <v>#N/A</v>
      </c>
      <c r="L86" s="237" t="s">
        <v>124</v>
      </c>
      <c r="M86" s="237" t="s">
        <v>125</v>
      </c>
      <c r="N86" s="226" t="s">
        <v>440</v>
      </c>
      <c r="O86" s="208" t="s">
        <v>127</v>
      </c>
      <c r="P86" s="209">
        <v>1</v>
      </c>
      <c r="Q86" s="209">
        <v>1</v>
      </c>
      <c r="R86" s="210">
        <v>1178</v>
      </c>
      <c r="S86" s="208" t="s">
        <v>91</v>
      </c>
      <c r="T86" s="211"/>
      <c r="U86" s="211" t="s">
        <v>60</v>
      </c>
      <c r="V86" s="228"/>
      <c r="W86" s="213"/>
      <c r="X86" s="214"/>
      <c r="Y86" s="214"/>
      <c r="Z86" s="215" t="s">
        <v>60</v>
      </c>
      <c r="AA86" s="216">
        <v>0</v>
      </c>
      <c r="AB86" s="217">
        <v>0</v>
      </c>
      <c r="AC86" s="214"/>
      <c r="AD86" s="214"/>
      <c r="AE86" s="214"/>
      <c r="AF86" s="218"/>
      <c r="AG86" s="218">
        <v>0</v>
      </c>
      <c r="AH86" s="220">
        <v>0</v>
      </c>
      <c r="AI86" s="217">
        <v>0</v>
      </c>
      <c r="AJ86" s="217"/>
      <c r="AK86" s="216" t="s">
        <v>60</v>
      </c>
      <c r="AL86" s="216" t="s">
        <v>60</v>
      </c>
      <c r="AM86" s="217" t="s">
        <v>60</v>
      </c>
      <c r="AN86" s="221">
        <v>0</v>
      </c>
      <c r="AO86" s="221" t="s">
        <v>60</v>
      </c>
      <c r="AP86" s="221" t="s">
        <v>60</v>
      </c>
      <c r="AQ86" s="221">
        <v>0</v>
      </c>
      <c r="AR86" s="221" t="s">
        <v>60</v>
      </c>
      <c r="AS86" s="222" t="e">
        <v>#N/A</v>
      </c>
      <c r="AT86" s="223" t="e">
        <v>#N/A</v>
      </c>
      <c r="AU86" s="224"/>
      <c r="AV86" s="223"/>
    </row>
    <row r="87" spans="1:48" ht="15.75" customHeight="1">
      <c r="A87" s="1" t="s">
        <v>441</v>
      </c>
      <c r="B87" s="22" t="s">
        <v>436</v>
      </c>
      <c r="C87" s="204" t="s">
        <v>436</v>
      </c>
      <c r="D87" s="204" t="s">
        <v>86</v>
      </c>
      <c r="E87" s="204" t="s">
        <v>105</v>
      </c>
      <c r="F87" s="204" t="s">
        <v>437</v>
      </c>
      <c r="G87" s="204" t="s">
        <v>166</v>
      </c>
      <c r="H87" s="204" t="s">
        <v>166</v>
      </c>
      <c r="I87" s="205">
        <v>3</v>
      </c>
      <c r="J87" s="205"/>
      <c r="K87" s="206" t="e">
        <v>#N/A</v>
      </c>
      <c r="L87" s="237" t="s">
        <v>124</v>
      </c>
      <c r="M87" s="237" t="s">
        <v>125</v>
      </c>
      <c r="N87" s="226" t="s">
        <v>440</v>
      </c>
      <c r="O87" s="208" t="s">
        <v>127</v>
      </c>
      <c r="P87" s="209">
        <v>1</v>
      </c>
      <c r="Q87" s="209">
        <v>1</v>
      </c>
      <c r="R87" s="210">
        <v>15823</v>
      </c>
      <c r="S87" s="208" t="s">
        <v>91</v>
      </c>
      <c r="T87" s="211"/>
      <c r="U87" s="211" t="s">
        <v>60</v>
      </c>
      <c r="V87" s="228"/>
      <c r="W87" s="213"/>
      <c r="X87" s="214"/>
      <c r="Y87" s="214"/>
      <c r="Z87" s="215" t="s">
        <v>60</v>
      </c>
      <c r="AA87" s="216">
        <v>0</v>
      </c>
      <c r="AB87" s="217">
        <v>0</v>
      </c>
      <c r="AC87" s="214"/>
      <c r="AD87" s="214"/>
      <c r="AE87" s="214"/>
      <c r="AF87" s="218"/>
      <c r="AG87" s="218">
        <v>0</v>
      </c>
      <c r="AH87" s="220">
        <v>0</v>
      </c>
      <c r="AI87" s="217">
        <v>0</v>
      </c>
      <c r="AJ87" s="217"/>
      <c r="AK87" s="216" t="s">
        <v>60</v>
      </c>
      <c r="AL87" s="216" t="s">
        <v>60</v>
      </c>
      <c r="AM87" s="217" t="s">
        <v>60</v>
      </c>
      <c r="AN87" s="221">
        <v>0</v>
      </c>
      <c r="AO87" s="221" t="s">
        <v>60</v>
      </c>
      <c r="AP87" s="221" t="s">
        <v>60</v>
      </c>
      <c r="AQ87" s="221">
        <v>0</v>
      </c>
      <c r="AR87" s="221" t="s">
        <v>60</v>
      </c>
      <c r="AS87" s="222" t="e">
        <v>#N/A</v>
      </c>
      <c r="AT87" s="223" t="e">
        <v>#N/A</v>
      </c>
      <c r="AU87" s="224"/>
      <c r="AV87" s="223"/>
    </row>
    <row r="88" spans="1:48" ht="14.25" customHeight="1">
      <c r="A88" s="1" t="s">
        <v>442</v>
      </c>
      <c r="B88" s="20" t="s">
        <v>443</v>
      </c>
      <c r="C88" s="204" t="s">
        <v>444</v>
      </c>
      <c r="D88" s="204" t="s">
        <v>86</v>
      </c>
      <c r="E88" s="204" t="s">
        <v>105</v>
      </c>
      <c r="F88" s="204" t="s">
        <v>445</v>
      </c>
      <c r="G88" s="204" t="s">
        <v>446</v>
      </c>
      <c r="H88" s="204" t="s">
        <v>53</v>
      </c>
      <c r="I88" s="205">
        <v>1</v>
      </c>
      <c r="J88" s="225">
        <v>222813001</v>
      </c>
      <c r="K88" s="206">
        <v>222813001</v>
      </c>
      <c r="L88" s="237" t="s">
        <v>447</v>
      </c>
      <c r="M88" s="237" t="s">
        <v>448</v>
      </c>
      <c r="N88" s="207">
        <v>45645</v>
      </c>
      <c r="O88" s="208" t="s">
        <v>58</v>
      </c>
      <c r="P88" s="209">
        <v>1</v>
      </c>
      <c r="Q88" s="209">
        <v>1</v>
      </c>
      <c r="R88" s="210">
        <v>1842</v>
      </c>
      <c r="S88" s="208" t="s">
        <v>91</v>
      </c>
      <c r="T88" s="211"/>
      <c r="U88" s="211">
        <v>2</v>
      </c>
      <c r="V88" s="228"/>
      <c r="W88" s="213"/>
      <c r="X88" s="214"/>
      <c r="Y88" s="214"/>
      <c r="Z88" s="215" t="s">
        <v>60</v>
      </c>
      <c r="AA88" s="216">
        <v>0</v>
      </c>
      <c r="AB88" s="217">
        <v>0</v>
      </c>
      <c r="AC88" s="214"/>
      <c r="AD88" s="214"/>
      <c r="AE88" s="214"/>
      <c r="AF88" s="218"/>
      <c r="AG88" s="218">
        <v>0</v>
      </c>
      <c r="AH88" s="220">
        <v>0</v>
      </c>
      <c r="AI88" s="217">
        <v>0</v>
      </c>
      <c r="AJ88" s="217"/>
      <c r="AK88" s="216" t="s">
        <v>60</v>
      </c>
      <c r="AL88" s="216" t="s">
        <v>60</v>
      </c>
      <c r="AM88" s="217" t="s">
        <v>60</v>
      </c>
      <c r="AN88" s="221">
        <v>0</v>
      </c>
      <c r="AO88" s="221" t="s">
        <v>60</v>
      </c>
      <c r="AP88" s="221" t="s">
        <v>60</v>
      </c>
      <c r="AQ88" s="221">
        <v>0</v>
      </c>
      <c r="AR88" s="221" t="s">
        <v>60</v>
      </c>
      <c r="AS88" s="222">
        <v>80500</v>
      </c>
      <c r="AT88" s="223">
        <v>43.702497285559176</v>
      </c>
      <c r="AU88" s="224">
        <v>59000</v>
      </c>
      <c r="AV88" s="223">
        <v>32.03040173724213</v>
      </c>
    </row>
    <row r="89" spans="1:48" ht="14.25" customHeight="1">
      <c r="A89" s="1" t="s">
        <v>449</v>
      </c>
      <c r="B89" s="21" t="s">
        <v>443</v>
      </c>
      <c r="C89" s="204" t="s">
        <v>444</v>
      </c>
      <c r="D89" s="204" t="s">
        <v>86</v>
      </c>
      <c r="E89" s="204" t="s">
        <v>105</v>
      </c>
      <c r="F89" s="204" t="s">
        <v>445</v>
      </c>
      <c r="G89" s="204" t="s">
        <v>446</v>
      </c>
      <c r="H89" s="204" t="s">
        <v>53</v>
      </c>
      <c r="I89" s="205">
        <v>2</v>
      </c>
      <c r="J89" s="225">
        <v>222813002</v>
      </c>
      <c r="K89" s="206">
        <v>222813002</v>
      </c>
      <c r="L89" s="237" t="s">
        <v>450</v>
      </c>
      <c r="M89" s="237" t="s">
        <v>451</v>
      </c>
      <c r="N89" s="207">
        <v>45645</v>
      </c>
      <c r="O89" s="208" t="s">
        <v>58</v>
      </c>
      <c r="P89" s="209">
        <v>1</v>
      </c>
      <c r="Q89" s="209">
        <v>1</v>
      </c>
      <c r="R89" s="210">
        <v>1132.4000000000001</v>
      </c>
      <c r="S89" s="208" t="s">
        <v>91</v>
      </c>
      <c r="T89" s="211"/>
      <c r="U89" s="211">
        <v>2</v>
      </c>
      <c r="V89" s="228"/>
      <c r="W89" s="213"/>
      <c r="X89" s="214"/>
      <c r="Y89" s="214"/>
      <c r="Z89" s="215" t="s">
        <v>60</v>
      </c>
      <c r="AA89" s="216">
        <v>0</v>
      </c>
      <c r="AB89" s="217">
        <v>0</v>
      </c>
      <c r="AC89" s="214"/>
      <c r="AD89" s="214"/>
      <c r="AE89" s="214"/>
      <c r="AF89" s="218"/>
      <c r="AG89" s="218">
        <v>0</v>
      </c>
      <c r="AH89" s="220">
        <v>0</v>
      </c>
      <c r="AI89" s="217">
        <v>0</v>
      </c>
      <c r="AJ89" s="217"/>
      <c r="AK89" s="216" t="s">
        <v>60</v>
      </c>
      <c r="AL89" s="216" t="s">
        <v>60</v>
      </c>
      <c r="AM89" s="217" t="s">
        <v>60</v>
      </c>
      <c r="AN89" s="221">
        <v>0</v>
      </c>
      <c r="AO89" s="221" t="s">
        <v>60</v>
      </c>
      <c r="AP89" s="221" t="s">
        <v>60</v>
      </c>
      <c r="AQ89" s="221">
        <v>0</v>
      </c>
      <c r="AR89" s="221" t="s">
        <v>60</v>
      </c>
      <c r="AS89" s="222">
        <v>33960</v>
      </c>
      <c r="AT89" s="223">
        <v>29.989403037795828</v>
      </c>
      <c r="AU89" s="224">
        <v>32500</v>
      </c>
      <c r="AV89" s="223">
        <v>28.70010596962204</v>
      </c>
    </row>
    <row r="90" spans="1:48" ht="14.25" customHeight="1">
      <c r="A90" s="1" t="s">
        <v>452</v>
      </c>
      <c r="B90" s="21" t="s">
        <v>443</v>
      </c>
      <c r="C90" s="204" t="s">
        <v>444</v>
      </c>
      <c r="D90" s="204" t="s">
        <v>86</v>
      </c>
      <c r="E90" s="204" t="s">
        <v>105</v>
      </c>
      <c r="F90" s="204" t="s">
        <v>445</v>
      </c>
      <c r="G90" s="204" t="s">
        <v>446</v>
      </c>
      <c r="H90" s="204" t="s">
        <v>53</v>
      </c>
      <c r="I90" s="205">
        <v>3</v>
      </c>
      <c r="J90" s="225">
        <v>222813003</v>
      </c>
      <c r="K90" s="206">
        <v>222813003</v>
      </c>
      <c r="L90" s="237" t="s">
        <v>453</v>
      </c>
      <c r="M90" s="237" t="s">
        <v>454</v>
      </c>
      <c r="N90" s="207">
        <v>45645</v>
      </c>
      <c r="O90" s="208" t="s">
        <v>58</v>
      </c>
      <c r="P90" s="209">
        <v>1</v>
      </c>
      <c r="Q90" s="209">
        <v>1</v>
      </c>
      <c r="R90" s="210">
        <v>1132.4000000000001</v>
      </c>
      <c r="S90" s="208" t="s">
        <v>91</v>
      </c>
      <c r="T90" s="211"/>
      <c r="U90" s="211">
        <v>2</v>
      </c>
      <c r="V90" s="228"/>
      <c r="W90" s="213"/>
      <c r="X90" s="214"/>
      <c r="Y90" s="214"/>
      <c r="Z90" s="215" t="s">
        <v>60</v>
      </c>
      <c r="AA90" s="216">
        <v>0</v>
      </c>
      <c r="AB90" s="217">
        <v>0</v>
      </c>
      <c r="AC90" s="214"/>
      <c r="AD90" s="214"/>
      <c r="AE90" s="214"/>
      <c r="AF90" s="218"/>
      <c r="AG90" s="218">
        <v>0</v>
      </c>
      <c r="AH90" s="220">
        <v>0</v>
      </c>
      <c r="AI90" s="217">
        <v>0</v>
      </c>
      <c r="AJ90" s="217"/>
      <c r="AK90" s="216" t="s">
        <v>60</v>
      </c>
      <c r="AL90" s="216" t="s">
        <v>60</v>
      </c>
      <c r="AM90" s="217" t="s">
        <v>60</v>
      </c>
      <c r="AN90" s="221">
        <v>0</v>
      </c>
      <c r="AO90" s="221" t="s">
        <v>60</v>
      </c>
      <c r="AP90" s="221" t="s">
        <v>60</v>
      </c>
      <c r="AQ90" s="221">
        <v>0</v>
      </c>
      <c r="AR90" s="221" t="s">
        <v>60</v>
      </c>
      <c r="AS90" s="222">
        <v>33960</v>
      </c>
      <c r="AT90" s="223">
        <v>29.989403037795828</v>
      </c>
      <c r="AU90" s="224">
        <v>32500</v>
      </c>
      <c r="AV90" s="223">
        <v>28.70010596962204</v>
      </c>
    </row>
    <row r="91" spans="1:48" ht="14.25" customHeight="1">
      <c r="A91" s="1" t="s">
        <v>455</v>
      </c>
      <c r="B91" s="21" t="s">
        <v>443</v>
      </c>
      <c r="C91" s="204" t="s">
        <v>444</v>
      </c>
      <c r="D91" s="204" t="s">
        <v>86</v>
      </c>
      <c r="E91" s="204" t="s">
        <v>105</v>
      </c>
      <c r="F91" s="204" t="s">
        <v>445</v>
      </c>
      <c r="G91" s="204" t="s">
        <v>446</v>
      </c>
      <c r="H91" s="204" t="s">
        <v>53</v>
      </c>
      <c r="I91" s="205">
        <v>4</v>
      </c>
      <c r="J91" s="225">
        <v>222813004</v>
      </c>
      <c r="K91" s="206">
        <v>222813004</v>
      </c>
      <c r="L91" s="237" t="s">
        <v>456</v>
      </c>
      <c r="M91" s="237" t="s">
        <v>457</v>
      </c>
      <c r="N91" s="207">
        <v>45645</v>
      </c>
      <c r="O91" s="208" t="s">
        <v>58</v>
      </c>
      <c r="P91" s="209">
        <v>1</v>
      </c>
      <c r="Q91" s="209">
        <v>1</v>
      </c>
      <c r="R91" s="210">
        <v>1080.7</v>
      </c>
      <c r="S91" s="208" t="s">
        <v>91</v>
      </c>
      <c r="T91" s="211"/>
      <c r="U91" s="211">
        <v>2</v>
      </c>
      <c r="V91" s="228"/>
      <c r="W91" s="213"/>
      <c r="X91" s="214"/>
      <c r="Y91" s="214"/>
      <c r="Z91" s="215" t="s">
        <v>60</v>
      </c>
      <c r="AA91" s="216">
        <v>0</v>
      </c>
      <c r="AB91" s="217">
        <v>0</v>
      </c>
      <c r="AC91" s="214"/>
      <c r="AD91" s="214"/>
      <c r="AE91" s="214"/>
      <c r="AF91" s="218"/>
      <c r="AG91" s="218">
        <v>0</v>
      </c>
      <c r="AH91" s="220">
        <v>0</v>
      </c>
      <c r="AI91" s="217">
        <v>0</v>
      </c>
      <c r="AJ91" s="217"/>
      <c r="AK91" s="216" t="s">
        <v>60</v>
      </c>
      <c r="AL91" s="216" t="s">
        <v>60</v>
      </c>
      <c r="AM91" s="217" t="s">
        <v>60</v>
      </c>
      <c r="AN91" s="221">
        <v>0</v>
      </c>
      <c r="AO91" s="221" t="s">
        <v>60</v>
      </c>
      <c r="AP91" s="221" t="s">
        <v>60</v>
      </c>
      <c r="AQ91" s="221">
        <v>0</v>
      </c>
      <c r="AR91" s="221" t="s">
        <v>60</v>
      </c>
      <c r="AS91" s="222">
        <v>32430</v>
      </c>
      <c r="AT91" s="223">
        <v>30.008327935597297</v>
      </c>
      <c r="AU91" s="224">
        <v>31000</v>
      </c>
      <c r="AV91" s="223">
        <v>28.685111501804386</v>
      </c>
    </row>
    <row r="92" spans="1:48" ht="14.25" customHeight="1">
      <c r="A92" s="1" t="s">
        <v>458</v>
      </c>
      <c r="B92" s="21" t="s">
        <v>443</v>
      </c>
      <c r="C92" s="204" t="s">
        <v>444</v>
      </c>
      <c r="D92" s="204" t="s">
        <v>86</v>
      </c>
      <c r="E92" s="204" t="s">
        <v>105</v>
      </c>
      <c r="F92" s="204" t="s">
        <v>445</v>
      </c>
      <c r="G92" s="204" t="s">
        <v>446</v>
      </c>
      <c r="H92" s="204" t="s">
        <v>53</v>
      </c>
      <c r="I92" s="205">
        <v>5</v>
      </c>
      <c r="J92" s="225">
        <v>222813005</v>
      </c>
      <c r="K92" s="206">
        <v>222813005</v>
      </c>
      <c r="L92" s="237" t="s">
        <v>459</v>
      </c>
      <c r="M92" s="237" t="s">
        <v>460</v>
      </c>
      <c r="N92" s="207">
        <v>45645</v>
      </c>
      <c r="O92" s="208" t="s">
        <v>58</v>
      </c>
      <c r="P92" s="209">
        <v>1</v>
      </c>
      <c r="Q92" s="209">
        <v>1</v>
      </c>
      <c r="R92" s="210">
        <v>2079.6</v>
      </c>
      <c r="S92" s="208" t="s">
        <v>91</v>
      </c>
      <c r="T92" s="211"/>
      <c r="U92" s="211">
        <v>2</v>
      </c>
      <c r="V92" s="228"/>
      <c r="W92" s="213"/>
      <c r="X92" s="214"/>
      <c r="Y92" s="214"/>
      <c r="Z92" s="215" t="s">
        <v>60</v>
      </c>
      <c r="AA92" s="216">
        <v>0</v>
      </c>
      <c r="AB92" s="217">
        <v>0</v>
      </c>
      <c r="AC92" s="214"/>
      <c r="AD92" s="214"/>
      <c r="AE92" s="214"/>
      <c r="AF92" s="218"/>
      <c r="AG92" s="218">
        <v>0</v>
      </c>
      <c r="AH92" s="220">
        <v>0</v>
      </c>
      <c r="AI92" s="217">
        <v>0</v>
      </c>
      <c r="AJ92" s="217"/>
      <c r="AK92" s="216" t="s">
        <v>60</v>
      </c>
      <c r="AL92" s="216" t="s">
        <v>60</v>
      </c>
      <c r="AM92" s="217" t="s">
        <v>60</v>
      </c>
      <c r="AN92" s="221">
        <v>0</v>
      </c>
      <c r="AO92" s="221" t="s">
        <v>60</v>
      </c>
      <c r="AP92" s="221" t="s">
        <v>60</v>
      </c>
      <c r="AQ92" s="221">
        <v>0</v>
      </c>
      <c r="AR92" s="221" t="s">
        <v>60</v>
      </c>
      <c r="AS92" s="222">
        <v>62400</v>
      </c>
      <c r="AT92" s="223">
        <v>30.005770340450088</v>
      </c>
      <c r="AU92" s="224">
        <v>68000</v>
      </c>
      <c r="AV92" s="223">
        <v>32.698595883823813</v>
      </c>
    </row>
    <row r="93" spans="1:48" ht="14.25" customHeight="1">
      <c r="A93" s="1" t="s">
        <v>461</v>
      </c>
      <c r="B93" s="21" t="s">
        <v>443</v>
      </c>
      <c r="C93" s="204" t="s">
        <v>444</v>
      </c>
      <c r="D93" s="204" t="s">
        <v>86</v>
      </c>
      <c r="E93" s="204" t="s">
        <v>105</v>
      </c>
      <c r="F93" s="204" t="s">
        <v>445</v>
      </c>
      <c r="G93" s="204" t="s">
        <v>446</v>
      </c>
      <c r="H93" s="204" t="s">
        <v>53</v>
      </c>
      <c r="I93" s="205">
        <v>6</v>
      </c>
      <c r="J93" s="225">
        <v>222813006</v>
      </c>
      <c r="K93" s="206">
        <v>222813006</v>
      </c>
      <c r="L93" s="237" t="s">
        <v>462</v>
      </c>
      <c r="M93" s="237" t="s">
        <v>463</v>
      </c>
      <c r="N93" s="207">
        <v>45645</v>
      </c>
      <c r="O93" s="208" t="s">
        <v>58</v>
      </c>
      <c r="P93" s="209">
        <v>1</v>
      </c>
      <c r="Q93" s="209">
        <v>1</v>
      </c>
      <c r="R93" s="210">
        <v>1305.7</v>
      </c>
      <c r="S93" s="208" t="s">
        <v>91</v>
      </c>
      <c r="T93" s="211"/>
      <c r="U93" s="211">
        <v>2</v>
      </c>
      <c r="V93" s="228"/>
      <c r="W93" s="213"/>
      <c r="X93" s="214"/>
      <c r="Y93" s="214"/>
      <c r="Z93" s="215" t="s">
        <v>60</v>
      </c>
      <c r="AA93" s="216">
        <v>0</v>
      </c>
      <c r="AB93" s="217">
        <v>0</v>
      </c>
      <c r="AC93" s="214"/>
      <c r="AD93" s="214"/>
      <c r="AE93" s="214"/>
      <c r="AF93" s="218"/>
      <c r="AG93" s="218">
        <v>0</v>
      </c>
      <c r="AH93" s="220">
        <v>0</v>
      </c>
      <c r="AI93" s="217">
        <v>0</v>
      </c>
      <c r="AJ93" s="217"/>
      <c r="AK93" s="216" t="s">
        <v>60</v>
      </c>
      <c r="AL93" s="216" t="s">
        <v>60</v>
      </c>
      <c r="AM93" s="217" t="s">
        <v>60</v>
      </c>
      <c r="AN93" s="221">
        <v>0</v>
      </c>
      <c r="AO93" s="221" t="s">
        <v>60</v>
      </c>
      <c r="AP93" s="221" t="s">
        <v>60</v>
      </c>
      <c r="AQ93" s="221">
        <v>0</v>
      </c>
      <c r="AR93" s="221" t="s">
        <v>60</v>
      </c>
      <c r="AS93" s="222">
        <v>39180</v>
      </c>
      <c r="AT93" s="223">
        <v>30.006892854407596</v>
      </c>
      <c r="AU93" s="224">
        <v>38500</v>
      </c>
      <c r="AV93" s="223">
        <v>29.486099410278012</v>
      </c>
    </row>
    <row r="94" spans="1:48" ht="14.25" customHeight="1">
      <c r="A94" s="1" t="s">
        <v>464</v>
      </c>
      <c r="B94" s="22" t="s">
        <v>443</v>
      </c>
      <c r="C94" s="204" t="s">
        <v>444</v>
      </c>
      <c r="D94" s="204" t="s">
        <v>86</v>
      </c>
      <c r="E94" s="204" t="s">
        <v>105</v>
      </c>
      <c r="F94" s="204" t="s">
        <v>445</v>
      </c>
      <c r="G94" s="204" t="s">
        <v>446</v>
      </c>
      <c r="H94" s="204" t="s">
        <v>53</v>
      </c>
      <c r="I94" s="205">
        <v>7</v>
      </c>
      <c r="J94" s="225">
        <v>222813007</v>
      </c>
      <c r="K94" s="206">
        <v>222813007</v>
      </c>
      <c r="L94" s="237" t="s">
        <v>465</v>
      </c>
      <c r="M94" s="237" t="s">
        <v>466</v>
      </c>
      <c r="N94" s="207">
        <v>45645</v>
      </c>
      <c r="O94" s="208" t="s">
        <v>58</v>
      </c>
      <c r="P94" s="209">
        <v>1</v>
      </c>
      <c r="Q94" s="209">
        <v>1</v>
      </c>
      <c r="R94" s="210">
        <v>995.7</v>
      </c>
      <c r="S94" s="208" t="s">
        <v>91</v>
      </c>
      <c r="T94" s="211"/>
      <c r="U94" s="211">
        <v>2</v>
      </c>
      <c r="V94" s="228"/>
      <c r="W94" s="213"/>
      <c r="X94" s="214"/>
      <c r="Y94" s="214"/>
      <c r="Z94" s="215" t="s">
        <v>60</v>
      </c>
      <c r="AA94" s="216">
        <v>0</v>
      </c>
      <c r="AB94" s="217">
        <v>0</v>
      </c>
      <c r="AC94" s="214"/>
      <c r="AD94" s="214"/>
      <c r="AE94" s="214"/>
      <c r="AF94" s="218"/>
      <c r="AG94" s="218">
        <v>0</v>
      </c>
      <c r="AH94" s="220">
        <v>0</v>
      </c>
      <c r="AI94" s="217">
        <v>0</v>
      </c>
      <c r="AJ94" s="217"/>
      <c r="AK94" s="216" t="s">
        <v>60</v>
      </c>
      <c r="AL94" s="216" t="s">
        <v>60</v>
      </c>
      <c r="AM94" s="217" t="s">
        <v>60</v>
      </c>
      <c r="AN94" s="221">
        <v>0</v>
      </c>
      <c r="AO94" s="221" t="s">
        <v>60</v>
      </c>
      <c r="AP94" s="221" t="s">
        <v>60</v>
      </c>
      <c r="AQ94" s="221">
        <v>0</v>
      </c>
      <c r="AR94" s="221" t="s">
        <v>60</v>
      </c>
      <c r="AS94" s="222">
        <v>29880</v>
      </c>
      <c r="AT94" s="223">
        <v>30.009038867128652</v>
      </c>
      <c r="AU94" s="224">
        <v>29000</v>
      </c>
      <c r="AV94" s="223">
        <v>29.12523852566034</v>
      </c>
    </row>
    <row r="95" spans="1:48" ht="14.25" customHeight="1">
      <c r="A95" s="1" t="s">
        <v>467</v>
      </c>
      <c r="B95" s="20" t="s">
        <v>468</v>
      </c>
      <c r="C95" s="204" t="s">
        <v>468</v>
      </c>
      <c r="D95" s="204" t="s">
        <v>104</v>
      </c>
      <c r="E95" s="204" t="s">
        <v>105</v>
      </c>
      <c r="F95" s="204" t="s">
        <v>469</v>
      </c>
      <c r="G95" s="204" t="s">
        <v>166</v>
      </c>
      <c r="H95" s="204" t="s">
        <v>166</v>
      </c>
      <c r="I95" s="227">
        <v>1</v>
      </c>
      <c r="J95" s="205">
        <v>222808001</v>
      </c>
      <c r="K95" s="206">
        <v>222808001</v>
      </c>
      <c r="L95" s="237" t="s">
        <v>470</v>
      </c>
      <c r="M95" s="237" t="s">
        <v>471</v>
      </c>
      <c r="N95" s="207">
        <v>45561</v>
      </c>
      <c r="O95" s="208" t="s">
        <v>58</v>
      </c>
      <c r="P95" s="209">
        <v>1</v>
      </c>
      <c r="Q95" s="209">
        <v>1</v>
      </c>
      <c r="R95" s="210">
        <v>1159</v>
      </c>
      <c r="S95" s="208" t="s">
        <v>91</v>
      </c>
      <c r="T95" s="211"/>
      <c r="U95" s="211">
        <v>4</v>
      </c>
      <c r="V95" s="228"/>
      <c r="W95" s="213"/>
      <c r="X95" s="214"/>
      <c r="Y95" s="214"/>
      <c r="Z95" s="215" t="s">
        <v>60</v>
      </c>
      <c r="AA95" s="216">
        <v>0</v>
      </c>
      <c r="AB95" s="217">
        <v>0</v>
      </c>
      <c r="AC95" s="214"/>
      <c r="AD95" s="214"/>
      <c r="AE95" s="214"/>
      <c r="AF95" s="218"/>
      <c r="AG95" s="218">
        <v>0</v>
      </c>
      <c r="AH95" s="220">
        <v>0</v>
      </c>
      <c r="AI95" s="217">
        <v>0</v>
      </c>
      <c r="AJ95" s="217"/>
      <c r="AK95" s="216" t="s">
        <v>60</v>
      </c>
      <c r="AL95" s="216" t="s">
        <v>60</v>
      </c>
      <c r="AM95" s="217" t="s">
        <v>60</v>
      </c>
      <c r="AN95" s="221">
        <v>0</v>
      </c>
      <c r="AO95" s="221" t="s">
        <v>60</v>
      </c>
      <c r="AP95" s="221" t="s">
        <v>60</v>
      </c>
      <c r="AQ95" s="221">
        <v>0</v>
      </c>
      <c r="AR95" s="221" t="s">
        <v>60</v>
      </c>
      <c r="AS95" s="222">
        <v>26078</v>
      </c>
      <c r="AT95" s="223">
        <v>22.500431406384813</v>
      </c>
      <c r="AU95" s="224">
        <v>29000</v>
      </c>
      <c r="AV95" s="223">
        <v>25.021570319240723</v>
      </c>
    </row>
    <row r="96" spans="1:48" ht="14.25" customHeight="1">
      <c r="A96" s="1" t="s">
        <v>472</v>
      </c>
      <c r="B96" s="22" t="s">
        <v>468</v>
      </c>
      <c r="C96" s="204" t="s">
        <v>468</v>
      </c>
      <c r="D96" s="204" t="s">
        <v>104</v>
      </c>
      <c r="E96" s="204" t="s">
        <v>105</v>
      </c>
      <c r="F96" s="204" t="s">
        <v>469</v>
      </c>
      <c r="G96" s="204" t="s">
        <v>166</v>
      </c>
      <c r="H96" s="204" t="s">
        <v>166</v>
      </c>
      <c r="I96" s="227">
        <v>2</v>
      </c>
      <c r="J96" s="205"/>
      <c r="K96" s="206" t="e">
        <v>#N/A</v>
      </c>
      <c r="L96" s="237" t="s">
        <v>473</v>
      </c>
      <c r="M96" s="237" t="s">
        <v>473</v>
      </c>
      <c r="N96" s="207">
        <v>45562</v>
      </c>
      <c r="O96" s="208" t="s">
        <v>58</v>
      </c>
      <c r="P96" s="209">
        <v>1</v>
      </c>
      <c r="Q96" s="209">
        <v>1</v>
      </c>
      <c r="R96" s="210">
        <v>763</v>
      </c>
      <c r="S96" s="208" t="s">
        <v>91</v>
      </c>
      <c r="T96" s="211"/>
      <c r="U96" s="211">
        <v>4</v>
      </c>
      <c r="V96" s="228"/>
      <c r="W96" s="213"/>
      <c r="X96" s="214"/>
      <c r="Y96" s="214"/>
      <c r="Z96" s="215" t="s">
        <v>60</v>
      </c>
      <c r="AA96" s="216">
        <v>0</v>
      </c>
      <c r="AB96" s="217">
        <v>0</v>
      </c>
      <c r="AC96" s="214"/>
      <c r="AD96" s="214"/>
      <c r="AE96" s="214"/>
      <c r="AF96" s="218"/>
      <c r="AG96" s="218">
        <v>0</v>
      </c>
      <c r="AH96" s="220">
        <v>0</v>
      </c>
      <c r="AI96" s="217">
        <v>0</v>
      </c>
      <c r="AJ96" s="217"/>
      <c r="AK96" s="216" t="s">
        <v>60</v>
      </c>
      <c r="AL96" s="216" t="s">
        <v>60</v>
      </c>
      <c r="AM96" s="217" t="s">
        <v>60</v>
      </c>
      <c r="AN96" s="221">
        <v>0</v>
      </c>
      <c r="AO96" s="221" t="s">
        <v>60</v>
      </c>
      <c r="AP96" s="221" t="s">
        <v>60</v>
      </c>
      <c r="AQ96" s="221">
        <v>0</v>
      </c>
      <c r="AR96" s="221" t="s">
        <v>60</v>
      </c>
      <c r="AS96" s="222">
        <v>19075</v>
      </c>
      <c r="AT96" s="223">
        <v>25</v>
      </c>
      <c r="AU96" s="224">
        <v>19000</v>
      </c>
      <c r="AV96" s="223">
        <v>24.901703800786368</v>
      </c>
    </row>
    <row r="100" spans="8:22" ht="14.25" customHeight="1">
      <c r="H100" s="27"/>
    </row>
    <row r="103" spans="8:22" ht="14.25" customHeight="1">
      <c r="V103" s="28"/>
    </row>
  </sheetData>
  <autoFilter ref="A4:AV96" xr:uid="{2C50E0C0-0CA3-44E1-8343-E04BCE01BD6E}"/>
  <conditionalFormatting sqref="O5:O96">
    <cfRule type="containsText" dxfId="13" priority="19" operator="containsText" text="Under Construction">
      <formula>NOT(ISERROR(SEARCH("Under Construction",O5)))</formula>
    </cfRule>
    <cfRule type="containsText" dxfId="12" priority="20" operator="containsText" text="Operational">
      <formula>NOT(ISERROR(SEARCH("Operational",O5)))</formula>
    </cfRule>
  </conditionalFormatting>
  <conditionalFormatting sqref="O82:O84">
    <cfRule type="containsText" dxfId="11" priority="7" operator="containsText" text="Under Construction">
      <formula>NOT(ISERROR(SEARCH("Under Construction",O82)))</formula>
    </cfRule>
    <cfRule type="containsText" dxfId="10" priority="8" operator="containsText" text="Operational">
      <formula>NOT(ISERROR(SEARCH("Operational",O82)))</formula>
    </cfRule>
  </conditionalFormatting>
  <conditionalFormatting sqref="S5:S96">
    <cfRule type="containsText" dxfId="9" priority="1" operator="containsText" text="Interest">
      <formula>NOT(ISERROR(SEARCH("Interest",S5)))</formula>
    </cfRule>
  </conditionalFormatting>
  <conditionalFormatting sqref="S78:U95 V78:V96 S5:V77">
    <cfRule type="containsText" dxfId="8" priority="23" operator="containsText" text="Under Offer">
      <formula>NOT(ISERROR(SEARCH("Under Offer",S5)))</formula>
    </cfRule>
  </conditionalFormatting>
  <conditionalFormatting sqref="AF78:AM96 X78:AE1048576 AF97:AN1048576 S5:V1048576 X5:AM77">
    <cfRule type="containsText" dxfId="7" priority="29" operator="containsText" text="Vacant">
      <formula>NOT(ISERROR(SEARCH("Vacant",S5)))</formula>
    </cfRule>
  </conditionalFormatting>
  <conditionalFormatting sqref="S82:V82">
    <cfRule type="containsText" dxfId="6" priority="12" operator="containsText" text="Under Offer">
      <formula>NOT(ISERROR(SEARCH("Under Offer",S82)))</formula>
    </cfRule>
  </conditionalFormatting>
  <conditionalFormatting sqref="S83:V84">
    <cfRule type="containsText" dxfId="5" priority="9" operator="containsText" text="Under Offer">
      <formula>NOT(ISERROR(SEARCH("Under Offer",S83)))</formula>
    </cfRule>
  </conditionalFormatting>
  <conditionalFormatting sqref="S96:V96">
    <cfRule type="containsText" dxfId="4" priority="18" operator="containsText" text="Under Offer">
      <formula>NOT(ISERROR(SEARCH("Under Offer",S96)))</formula>
    </cfRule>
  </conditionalFormatting>
  <conditionalFormatting sqref="T5:V96">
    <cfRule type="containsText" dxfId="3" priority="21" operator="containsText" text="Under Offer">
      <formula>NOT(ISERROR(SEARCH("Under Offer",T5)))</formula>
    </cfRule>
    <cfRule type="containsText" dxfId="2" priority="22" operator="containsText" text="Vacant">
      <formula>NOT(ISERROR(SEARCH("Vacant",T5)))</formula>
    </cfRule>
  </conditionalFormatting>
  <conditionalFormatting sqref="T82:V84">
    <cfRule type="containsText" dxfId="1" priority="10" operator="containsText" text="Under Offer">
      <formula>NOT(ISERROR(SEARCH("Under Offer",T82)))</formula>
    </cfRule>
    <cfRule type="containsText" dxfId="0" priority="11" operator="containsText" text="Vacant">
      <formula>NOT(ISERROR(SEARCH("Vacant",T82)))</formula>
    </cfRule>
  </conditionalFormatting>
  <conditionalFormatting sqref="AN20:AN23">
    <cfRule type="iconSet" priority="2">
      <iconSet>
        <cfvo type="percent" val="0"/>
        <cfvo type="num" val="1" gte="0"/>
        <cfvo type="num" val="5"/>
      </iconSet>
    </cfRule>
  </conditionalFormatting>
  <conditionalFormatting sqref="AN82:AN84">
    <cfRule type="iconSet" priority="13">
      <iconSet>
        <cfvo type="percent" val="0"/>
        <cfvo type="num" val="1" gte="0"/>
        <cfvo type="num" val="5"/>
      </iconSet>
    </cfRule>
  </conditionalFormatting>
  <conditionalFormatting sqref="AN85:AN94 AN5:AN19 AN24:AN81">
    <cfRule type="iconSet" priority="30">
      <iconSet>
        <cfvo type="percent" val="0"/>
        <cfvo type="num" val="1" gte="0"/>
        <cfvo type="num" val="5"/>
      </iconSet>
    </cfRule>
  </conditionalFormatting>
  <conditionalFormatting sqref="AN95:AN96">
    <cfRule type="iconSet" priority="24">
      <iconSet>
        <cfvo type="percent" val="0"/>
        <cfvo type="num" val="1" gte="0"/>
        <cfvo type="num" val="5"/>
      </iconSet>
    </cfRule>
  </conditionalFormatting>
  <conditionalFormatting sqref="AO20:AO23">
    <cfRule type="iconSet" priority="3">
      <iconSet>
        <cfvo type="percent" val="0"/>
        <cfvo type="num" val="1" gte="0"/>
        <cfvo type="num" val="5"/>
      </iconSet>
    </cfRule>
  </conditionalFormatting>
  <conditionalFormatting sqref="AO82:AO84">
    <cfRule type="iconSet" priority="14">
      <iconSet>
        <cfvo type="percent" val="0"/>
        <cfvo type="num" val="1" gte="0"/>
        <cfvo type="num" val="5"/>
      </iconSet>
    </cfRule>
  </conditionalFormatting>
  <conditionalFormatting sqref="AO85:AO94 AO5:AO19 AO24:AO81">
    <cfRule type="iconSet" priority="31">
      <iconSet>
        <cfvo type="percent" val="0"/>
        <cfvo type="num" val="1" gte="0"/>
        <cfvo type="num" val="5"/>
      </iconSet>
    </cfRule>
  </conditionalFormatting>
  <conditionalFormatting sqref="AO95:AO96">
    <cfRule type="iconSet" priority="25">
      <iconSet>
        <cfvo type="percent" val="0"/>
        <cfvo type="num" val="1" gte="0"/>
        <cfvo type="num" val="5"/>
      </iconSet>
    </cfRule>
  </conditionalFormatting>
  <conditionalFormatting sqref="AP20:AP23">
    <cfRule type="iconSet" priority="4">
      <iconSet>
        <cfvo type="percent" val="0"/>
        <cfvo type="num" val="1" gte="0"/>
        <cfvo type="num" val="5"/>
      </iconSet>
    </cfRule>
  </conditionalFormatting>
  <conditionalFormatting sqref="AP82:AP84">
    <cfRule type="iconSet" priority="15">
      <iconSet>
        <cfvo type="percent" val="0"/>
        <cfvo type="num" val="1" gte="0"/>
        <cfvo type="num" val="5"/>
      </iconSet>
    </cfRule>
  </conditionalFormatting>
  <conditionalFormatting sqref="AP85:AP94 AP5:AP19 AP24:AP81">
    <cfRule type="iconSet" priority="32">
      <iconSet>
        <cfvo type="percent" val="0"/>
        <cfvo type="num" val="1" gte="0"/>
        <cfvo type="num" val="5"/>
      </iconSet>
    </cfRule>
  </conditionalFormatting>
  <conditionalFormatting sqref="AP95:AP96">
    <cfRule type="iconSet" priority="26">
      <iconSet>
        <cfvo type="percent" val="0"/>
        <cfvo type="num" val="1" gte="0"/>
        <cfvo type="num" val="5"/>
      </iconSet>
    </cfRule>
  </conditionalFormatting>
  <conditionalFormatting sqref="AQ20:AQ23">
    <cfRule type="iconSet" priority="5">
      <iconSet>
        <cfvo type="percent" val="0"/>
        <cfvo type="num" val="1" gte="0"/>
        <cfvo type="num" val="5"/>
      </iconSet>
    </cfRule>
  </conditionalFormatting>
  <conditionalFormatting sqref="AQ82:AQ84">
    <cfRule type="iconSet" priority="16">
      <iconSet>
        <cfvo type="percent" val="0"/>
        <cfvo type="num" val="1" gte="0"/>
        <cfvo type="num" val="5"/>
      </iconSet>
    </cfRule>
  </conditionalFormatting>
  <conditionalFormatting sqref="AQ85:AQ94 AQ5:AQ19 AQ24:AQ81">
    <cfRule type="iconSet" priority="33">
      <iconSet>
        <cfvo type="percent" val="0"/>
        <cfvo type="num" val="1" gte="0"/>
        <cfvo type="num" val="5"/>
      </iconSet>
    </cfRule>
  </conditionalFormatting>
  <conditionalFormatting sqref="AQ95:AQ96">
    <cfRule type="iconSet" priority="27">
      <iconSet>
        <cfvo type="percent" val="0"/>
        <cfvo type="num" val="1" gte="0"/>
        <cfvo type="num" val="5"/>
      </iconSet>
    </cfRule>
  </conditionalFormatting>
  <conditionalFormatting sqref="AR20:AR23">
    <cfRule type="iconSet" priority="6">
      <iconSet>
        <cfvo type="percent" val="0"/>
        <cfvo type="num" val="1" gte="0"/>
        <cfvo type="num" val="5"/>
      </iconSet>
    </cfRule>
  </conditionalFormatting>
  <conditionalFormatting sqref="AR82:AR84">
    <cfRule type="iconSet" priority="17">
      <iconSet>
        <cfvo type="percent" val="0"/>
        <cfvo type="num" val="1" gte="0"/>
        <cfvo type="num" val="5"/>
      </iconSet>
    </cfRule>
  </conditionalFormatting>
  <conditionalFormatting sqref="AR85:AR94 AR5:AR19 AR24:AR81">
    <cfRule type="iconSet" priority="34">
      <iconSet>
        <cfvo type="percent" val="0"/>
        <cfvo type="num" val="1" gte="0"/>
        <cfvo type="num" val="5"/>
      </iconSet>
    </cfRule>
  </conditionalFormatting>
  <conditionalFormatting sqref="AR95:AR96">
    <cfRule type="iconSet" priority="28">
      <iconSet>
        <cfvo type="percent" val="0"/>
        <cfvo type="num" val="1" gte="0"/>
        <cfvo type="num" val="5"/>
      </iconSet>
    </cfRule>
  </conditionalFormatting>
  <dataValidations count="1">
    <dataValidation type="list" allowBlank="1" showInputMessage="1" showErrorMessage="1" sqref="O5:O94" xr:uid="{32086850-E323-45F0-81CF-131D87BEC393}">
      <formula1>"Operational, Under Construction"</formula1>
    </dataValidation>
  </dataValidations>
  <pageMargins left="0.7" right="0.7" top="0.75" bottom="0.75" header="0.3" footer="0.3"/>
  <pageSetup paperSize="8" scale="3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1C97-5108-4391-825E-30CF800D8648}">
  <dimension ref="A1:AK12"/>
  <sheetViews>
    <sheetView zoomScaleNormal="100" workbookViewId="0">
      <selection sqref="A1:XFD1048576"/>
    </sheetView>
  </sheetViews>
  <sheetFormatPr defaultRowHeight="15"/>
  <cols>
    <col min="1" max="1" width="1" customWidth="1"/>
    <col min="2" max="2" width="17.85546875" customWidth="1"/>
    <col min="3" max="6" width="19.42578125" customWidth="1"/>
    <col min="7" max="7" width="10" style="132" customWidth="1"/>
    <col min="8" max="8" width="12.85546875" style="132" customWidth="1"/>
    <col min="9" max="9" width="10.28515625" customWidth="1"/>
    <col min="10" max="10" width="26.7109375" customWidth="1"/>
    <col min="11" max="11" width="15.7109375" customWidth="1"/>
    <col min="12" max="12" width="11.140625" customWidth="1"/>
    <col min="13" max="13" width="10" bestFit="1" customWidth="1"/>
    <col min="14" max="14" width="11.28515625" customWidth="1"/>
    <col min="15" max="15" width="13.42578125" customWidth="1"/>
    <col min="16" max="16" width="11.42578125" customWidth="1"/>
    <col min="17" max="18" width="17.42578125" customWidth="1"/>
    <col min="19" max="19" width="10.5703125" customWidth="1"/>
    <col min="20" max="20" width="12.140625" customWidth="1"/>
    <col min="21" max="21" width="10.5703125" customWidth="1"/>
    <col min="22" max="22" width="14.5703125" customWidth="1"/>
    <col min="23" max="23" width="15.85546875" customWidth="1"/>
    <col min="24" max="24" width="13.5703125" customWidth="1"/>
    <col min="25" max="26" width="14.28515625" customWidth="1"/>
    <col min="27" max="28" width="11" customWidth="1"/>
    <col min="29" max="29" width="10.7109375" customWidth="1"/>
    <col min="30" max="30" width="42.140625" customWidth="1"/>
    <col min="31" max="31" width="6.28515625" customWidth="1"/>
    <col min="33" max="33" width="9.140625" customWidth="1"/>
    <col min="35" max="35" width="34.28515625" customWidth="1"/>
    <col min="255" max="255" width="4.5703125" customWidth="1"/>
    <col min="256" max="257" width="21.85546875" customWidth="1"/>
    <col min="258" max="258" width="26.7109375" customWidth="1"/>
    <col min="259" max="260" width="15.7109375" customWidth="1"/>
    <col min="261" max="261" width="11.28515625" customWidth="1"/>
    <col min="262" max="262" width="13.140625" customWidth="1"/>
    <col min="263" max="263" width="11.42578125" bestFit="1" customWidth="1"/>
    <col min="264" max="265" width="17.42578125" customWidth="1"/>
    <col min="266" max="266" width="10.5703125" customWidth="1"/>
    <col min="267" max="267" width="12.140625" customWidth="1"/>
    <col min="268" max="268" width="10.5703125" customWidth="1"/>
    <col min="269" max="269" width="18.42578125" customWidth="1"/>
    <col min="270" max="270" width="13.140625" customWidth="1"/>
    <col min="271" max="272" width="14.28515625" customWidth="1"/>
    <col min="273" max="273" width="11" customWidth="1"/>
    <col min="274" max="274" width="10.7109375" customWidth="1"/>
    <col min="275" max="275" width="26.140625" customWidth="1"/>
    <col min="276" max="276" width="42.140625" customWidth="1"/>
    <col min="511" max="511" width="4.5703125" customWidth="1"/>
    <col min="512" max="513" width="21.85546875" customWidth="1"/>
    <col min="514" max="514" width="26.7109375" customWidth="1"/>
    <col min="515" max="516" width="15.7109375" customWidth="1"/>
    <col min="517" max="517" width="11.28515625" customWidth="1"/>
    <col min="518" max="518" width="13.140625" customWidth="1"/>
    <col min="519" max="519" width="11.42578125" bestFit="1" customWidth="1"/>
    <col min="520" max="521" width="17.42578125" customWidth="1"/>
    <col min="522" max="522" width="10.5703125" customWidth="1"/>
    <col min="523" max="523" width="12.140625" customWidth="1"/>
    <col min="524" max="524" width="10.5703125" customWidth="1"/>
    <col min="525" max="525" width="18.42578125" customWidth="1"/>
    <col min="526" max="526" width="13.140625" customWidth="1"/>
    <col min="527" max="528" width="14.28515625" customWidth="1"/>
    <col min="529" max="529" width="11" customWidth="1"/>
    <col min="530" max="530" width="10.7109375" customWidth="1"/>
    <col min="531" max="531" width="26.140625" customWidth="1"/>
    <col min="532" max="532" width="42.140625" customWidth="1"/>
    <col min="767" max="767" width="4.5703125" customWidth="1"/>
    <col min="768" max="769" width="21.85546875" customWidth="1"/>
    <col min="770" max="770" width="26.7109375" customWidth="1"/>
    <col min="771" max="772" width="15.7109375" customWidth="1"/>
    <col min="773" max="773" width="11.28515625" customWidth="1"/>
    <col min="774" max="774" width="13.140625" customWidth="1"/>
    <col min="775" max="775" width="11.42578125" bestFit="1" customWidth="1"/>
    <col min="776" max="777" width="17.42578125" customWidth="1"/>
    <col min="778" max="778" width="10.5703125" customWidth="1"/>
    <col min="779" max="779" width="12.140625" customWidth="1"/>
    <col min="780" max="780" width="10.5703125" customWidth="1"/>
    <col min="781" max="781" width="18.42578125" customWidth="1"/>
    <col min="782" max="782" width="13.140625" customWidth="1"/>
    <col min="783" max="784" width="14.28515625" customWidth="1"/>
    <col min="785" max="785" width="11" customWidth="1"/>
    <col min="786" max="786" width="10.7109375" customWidth="1"/>
    <col min="787" max="787" width="26.140625" customWidth="1"/>
    <col min="788" max="788" width="42.140625" customWidth="1"/>
    <col min="1023" max="1023" width="4.5703125" customWidth="1"/>
    <col min="1024" max="1025" width="21.85546875" customWidth="1"/>
    <col min="1026" max="1026" width="26.7109375" customWidth="1"/>
    <col min="1027" max="1028" width="15.7109375" customWidth="1"/>
    <col min="1029" max="1029" width="11.28515625" customWidth="1"/>
    <col min="1030" max="1030" width="13.140625" customWidth="1"/>
    <col min="1031" max="1031" width="11.42578125" bestFit="1" customWidth="1"/>
    <col min="1032" max="1033" width="17.42578125" customWidth="1"/>
    <col min="1034" max="1034" width="10.5703125" customWidth="1"/>
    <col min="1035" max="1035" width="12.140625" customWidth="1"/>
    <col min="1036" max="1036" width="10.5703125" customWidth="1"/>
    <col min="1037" max="1037" width="18.42578125" customWidth="1"/>
    <col min="1038" max="1038" width="13.140625" customWidth="1"/>
    <col min="1039" max="1040" width="14.28515625" customWidth="1"/>
    <col min="1041" max="1041" width="11" customWidth="1"/>
    <col min="1042" max="1042" width="10.7109375" customWidth="1"/>
    <col min="1043" max="1043" width="26.140625" customWidth="1"/>
    <col min="1044" max="1044" width="42.140625" customWidth="1"/>
    <col min="1279" max="1279" width="4.5703125" customWidth="1"/>
    <col min="1280" max="1281" width="21.85546875" customWidth="1"/>
    <col min="1282" max="1282" width="26.7109375" customWidth="1"/>
    <col min="1283" max="1284" width="15.7109375" customWidth="1"/>
    <col min="1285" max="1285" width="11.28515625" customWidth="1"/>
    <col min="1286" max="1286" width="13.140625" customWidth="1"/>
    <col min="1287" max="1287" width="11.42578125" bestFit="1" customWidth="1"/>
    <col min="1288" max="1289" width="17.42578125" customWidth="1"/>
    <col min="1290" max="1290" width="10.5703125" customWidth="1"/>
    <col min="1291" max="1291" width="12.140625" customWidth="1"/>
    <col min="1292" max="1292" width="10.5703125" customWidth="1"/>
    <col min="1293" max="1293" width="18.42578125" customWidth="1"/>
    <col min="1294" max="1294" width="13.140625" customWidth="1"/>
    <col min="1295" max="1296" width="14.28515625" customWidth="1"/>
    <col min="1297" max="1297" width="11" customWidth="1"/>
    <col min="1298" max="1298" width="10.7109375" customWidth="1"/>
    <col min="1299" max="1299" width="26.140625" customWidth="1"/>
    <col min="1300" max="1300" width="42.140625" customWidth="1"/>
    <col min="1535" max="1535" width="4.5703125" customWidth="1"/>
    <col min="1536" max="1537" width="21.85546875" customWidth="1"/>
    <col min="1538" max="1538" width="26.7109375" customWidth="1"/>
    <col min="1539" max="1540" width="15.7109375" customWidth="1"/>
    <col min="1541" max="1541" width="11.28515625" customWidth="1"/>
    <col min="1542" max="1542" width="13.140625" customWidth="1"/>
    <col min="1543" max="1543" width="11.42578125" bestFit="1" customWidth="1"/>
    <col min="1544" max="1545" width="17.42578125" customWidth="1"/>
    <col min="1546" max="1546" width="10.5703125" customWidth="1"/>
    <col min="1547" max="1547" width="12.140625" customWidth="1"/>
    <col min="1548" max="1548" width="10.5703125" customWidth="1"/>
    <col min="1549" max="1549" width="18.42578125" customWidth="1"/>
    <col min="1550" max="1550" width="13.140625" customWidth="1"/>
    <col min="1551" max="1552" width="14.28515625" customWidth="1"/>
    <col min="1553" max="1553" width="11" customWidth="1"/>
    <col min="1554" max="1554" width="10.7109375" customWidth="1"/>
    <col min="1555" max="1555" width="26.140625" customWidth="1"/>
    <col min="1556" max="1556" width="42.140625" customWidth="1"/>
    <col min="1791" max="1791" width="4.5703125" customWidth="1"/>
    <col min="1792" max="1793" width="21.85546875" customWidth="1"/>
    <col min="1794" max="1794" width="26.7109375" customWidth="1"/>
    <col min="1795" max="1796" width="15.7109375" customWidth="1"/>
    <col min="1797" max="1797" width="11.28515625" customWidth="1"/>
    <col min="1798" max="1798" width="13.140625" customWidth="1"/>
    <col min="1799" max="1799" width="11.42578125" bestFit="1" customWidth="1"/>
    <col min="1800" max="1801" width="17.42578125" customWidth="1"/>
    <col min="1802" max="1802" width="10.5703125" customWidth="1"/>
    <col min="1803" max="1803" width="12.140625" customWidth="1"/>
    <col min="1804" max="1804" width="10.5703125" customWidth="1"/>
    <col min="1805" max="1805" width="18.42578125" customWidth="1"/>
    <col min="1806" max="1806" width="13.140625" customWidth="1"/>
    <col min="1807" max="1808" width="14.28515625" customWidth="1"/>
    <col min="1809" max="1809" width="11" customWidth="1"/>
    <col min="1810" max="1810" width="10.7109375" customWidth="1"/>
    <col min="1811" max="1811" width="26.140625" customWidth="1"/>
    <col min="1812" max="1812" width="42.140625" customWidth="1"/>
    <col min="2047" max="2047" width="4.5703125" customWidth="1"/>
    <col min="2048" max="2049" width="21.85546875" customWidth="1"/>
    <col min="2050" max="2050" width="26.7109375" customWidth="1"/>
    <col min="2051" max="2052" width="15.7109375" customWidth="1"/>
    <col min="2053" max="2053" width="11.28515625" customWidth="1"/>
    <col min="2054" max="2054" width="13.140625" customWidth="1"/>
    <col min="2055" max="2055" width="11.42578125" bestFit="1" customWidth="1"/>
    <col min="2056" max="2057" width="17.42578125" customWidth="1"/>
    <col min="2058" max="2058" width="10.5703125" customWidth="1"/>
    <col min="2059" max="2059" width="12.140625" customWidth="1"/>
    <col min="2060" max="2060" width="10.5703125" customWidth="1"/>
    <col min="2061" max="2061" width="18.42578125" customWidth="1"/>
    <col min="2062" max="2062" width="13.140625" customWidth="1"/>
    <col min="2063" max="2064" width="14.28515625" customWidth="1"/>
    <col min="2065" max="2065" width="11" customWidth="1"/>
    <col min="2066" max="2066" width="10.7109375" customWidth="1"/>
    <col min="2067" max="2067" width="26.140625" customWidth="1"/>
    <col min="2068" max="2068" width="42.140625" customWidth="1"/>
    <col min="2303" max="2303" width="4.5703125" customWidth="1"/>
    <col min="2304" max="2305" width="21.85546875" customWidth="1"/>
    <col min="2306" max="2306" width="26.7109375" customWidth="1"/>
    <col min="2307" max="2308" width="15.7109375" customWidth="1"/>
    <col min="2309" max="2309" width="11.28515625" customWidth="1"/>
    <col min="2310" max="2310" width="13.140625" customWidth="1"/>
    <col min="2311" max="2311" width="11.42578125" bestFit="1" customWidth="1"/>
    <col min="2312" max="2313" width="17.42578125" customWidth="1"/>
    <col min="2314" max="2314" width="10.5703125" customWidth="1"/>
    <col min="2315" max="2315" width="12.140625" customWidth="1"/>
    <col min="2316" max="2316" width="10.5703125" customWidth="1"/>
    <col min="2317" max="2317" width="18.42578125" customWidth="1"/>
    <col min="2318" max="2318" width="13.140625" customWidth="1"/>
    <col min="2319" max="2320" width="14.28515625" customWidth="1"/>
    <col min="2321" max="2321" width="11" customWidth="1"/>
    <col min="2322" max="2322" width="10.7109375" customWidth="1"/>
    <col min="2323" max="2323" width="26.140625" customWidth="1"/>
    <col min="2324" max="2324" width="42.140625" customWidth="1"/>
    <col min="2559" max="2559" width="4.5703125" customWidth="1"/>
    <col min="2560" max="2561" width="21.85546875" customWidth="1"/>
    <col min="2562" max="2562" width="26.7109375" customWidth="1"/>
    <col min="2563" max="2564" width="15.7109375" customWidth="1"/>
    <col min="2565" max="2565" width="11.28515625" customWidth="1"/>
    <col min="2566" max="2566" width="13.140625" customWidth="1"/>
    <col min="2567" max="2567" width="11.42578125" bestFit="1" customWidth="1"/>
    <col min="2568" max="2569" width="17.42578125" customWidth="1"/>
    <col min="2570" max="2570" width="10.5703125" customWidth="1"/>
    <col min="2571" max="2571" width="12.140625" customWidth="1"/>
    <col min="2572" max="2572" width="10.5703125" customWidth="1"/>
    <col min="2573" max="2573" width="18.42578125" customWidth="1"/>
    <col min="2574" max="2574" width="13.140625" customWidth="1"/>
    <col min="2575" max="2576" width="14.28515625" customWidth="1"/>
    <col min="2577" max="2577" width="11" customWidth="1"/>
    <col min="2578" max="2578" width="10.7109375" customWidth="1"/>
    <col min="2579" max="2579" width="26.140625" customWidth="1"/>
    <col min="2580" max="2580" width="42.140625" customWidth="1"/>
    <col min="2815" max="2815" width="4.5703125" customWidth="1"/>
    <col min="2816" max="2817" width="21.85546875" customWidth="1"/>
    <col min="2818" max="2818" width="26.7109375" customWidth="1"/>
    <col min="2819" max="2820" width="15.7109375" customWidth="1"/>
    <col min="2821" max="2821" width="11.28515625" customWidth="1"/>
    <col min="2822" max="2822" width="13.140625" customWidth="1"/>
    <col min="2823" max="2823" width="11.42578125" bestFit="1" customWidth="1"/>
    <col min="2824" max="2825" width="17.42578125" customWidth="1"/>
    <col min="2826" max="2826" width="10.5703125" customWidth="1"/>
    <col min="2827" max="2827" width="12.140625" customWidth="1"/>
    <col min="2828" max="2828" width="10.5703125" customWidth="1"/>
    <col min="2829" max="2829" width="18.42578125" customWidth="1"/>
    <col min="2830" max="2830" width="13.140625" customWidth="1"/>
    <col min="2831" max="2832" width="14.28515625" customWidth="1"/>
    <col min="2833" max="2833" width="11" customWidth="1"/>
    <col min="2834" max="2834" width="10.7109375" customWidth="1"/>
    <col min="2835" max="2835" width="26.140625" customWidth="1"/>
    <col min="2836" max="2836" width="42.140625" customWidth="1"/>
    <col min="3071" max="3071" width="4.5703125" customWidth="1"/>
    <col min="3072" max="3073" width="21.85546875" customWidth="1"/>
    <col min="3074" max="3074" width="26.7109375" customWidth="1"/>
    <col min="3075" max="3076" width="15.7109375" customWidth="1"/>
    <col min="3077" max="3077" width="11.28515625" customWidth="1"/>
    <col min="3078" max="3078" width="13.140625" customWidth="1"/>
    <col min="3079" max="3079" width="11.42578125" bestFit="1" customWidth="1"/>
    <col min="3080" max="3081" width="17.42578125" customWidth="1"/>
    <col min="3082" max="3082" width="10.5703125" customWidth="1"/>
    <col min="3083" max="3083" width="12.140625" customWidth="1"/>
    <col min="3084" max="3084" width="10.5703125" customWidth="1"/>
    <col min="3085" max="3085" width="18.42578125" customWidth="1"/>
    <col min="3086" max="3086" width="13.140625" customWidth="1"/>
    <col min="3087" max="3088" width="14.28515625" customWidth="1"/>
    <col min="3089" max="3089" width="11" customWidth="1"/>
    <col min="3090" max="3090" width="10.7109375" customWidth="1"/>
    <col min="3091" max="3091" width="26.140625" customWidth="1"/>
    <col min="3092" max="3092" width="42.140625" customWidth="1"/>
    <col min="3327" max="3327" width="4.5703125" customWidth="1"/>
    <col min="3328" max="3329" width="21.85546875" customWidth="1"/>
    <col min="3330" max="3330" width="26.7109375" customWidth="1"/>
    <col min="3331" max="3332" width="15.7109375" customWidth="1"/>
    <col min="3333" max="3333" width="11.28515625" customWidth="1"/>
    <col min="3334" max="3334" width="13.140625" customWidth="1"/>
    <col min="3335" max="3335" width="11.42578125" bestFit="1" customWidth="1"/>
    <col min="3336" max="3337" width="17.42578125" customWidth="1"/>
    <col min="3338" max="3338" width="10.5703125" customWidth="1"/>
    <col min="3339" max="3339" width="12.140625" customWidth="1"/>
    <col min="3340" max="3340" width="10.5703125" customWidth="1"/>
    <col min="3341" max="3341" width="18.42578125" customWidth="1"/>
    <col min="3342" max="3342" width="13.140625" customWidth="1"/>
    <col min="3343" max="3344" width="14.28515625" customWidth="1"/>
    <col min="3345" max="3345" width="11" customWidth="1"/>
    <col min="3346" max="3346" width="10.7109375" customWidth="1"/>
    <col min="3347" max="3347" width="26.140625" customWidth="1"/>
    <col min="3348" max="3348" width="42.140625" customWidth="1"/>
    <col min="3583" max="3583" width="4.5703125" customWidth="1"/>
    <col min="3584" max="3585" width="21.85546875" customWidth="1"/>
    <col min="3586" max="3586" width="26.7109375" customWidth="1"/>
    <col min="3587" max="3588" width="15.7109375" customWidth="1"/>
    <col min="3589" max="3589" width="11.28515625" customWidth="1"/>
    <col min="3590" max="3590" width="13.140625" customWidth="1"/>
    <col min="3591" max="3591" width="11.42578125" bestFit="1" customWidth="1"/>
    <col min="3592" max="3593" width="17.42578125" customWidth="1"/>
    <col min="3594" max="3594" width="10.5703125" customWidth="1"/>
    <col min="3595" max="3595" width="12.140625" customWidth="1"/>
    <col min="3596" max="3596" width="10.5703125" customWidth="1"/>
    <col min="3597" max="3597" width="18.42578125" customWidth="1"/>
    <col min="3598" max="3598" width="13.140625" customWidth="1"/>
    <col min="3599" max="3600" width="14.28515625" customWidth="1"/>
    <col min="3601" max="3601" width="11" customWidth="1"/>
    <col min="3602" max="3602" width="10.7109375" customWidth="1"/>
    <col min="3603" max="3603" width="26.140625" customWidth="1"/>
    <col min="3604" max="3604" width="42.140625" customWidth="1"/>
    <col min="3839" max="3839" width="4.5703125" customWidth="1"/>
    <col min="3840" max="3841" width="21.85546875" customWidth="1"/>
    <col min="3842" max="3842" width="26.7109375" customWidth="1"/>
    <col min="3843" max="3844" width="15.7109375" customWidth="1"/>
    <col min="3845" max="3845" width="11.28515625" customWidth="1"/>
    <col min="3846" max="3846" width="13.140625" customWidth="1"/>
    <col min="3847" max="3847" width="11.42578125" bestFit="1" customWidth="1"/>
    <col min="3848" max="3849" width="17.42578125" customWidth="1"/>
    <col min="3850" max="3850" width="10.5703125" customWidth="1"/>
    <col min="3851" max="3851" width="12.140625" customWidth="1"/>
    <col min="3852" max="3852" width="10.5703125" customWidth="1"/>
    <col min="3853" max="3853" width="18.42578125" customWidth="1"/>
    <col min="3854" max="3854" width="13.140625" customWidth="1"/>
    <col min="3855" max="3856" width="14.28515625" customWidth="1"/>
    <col min="3857" max="3857" width="11" customWidth="1"/>
    <col min="3858" max="3858" width="10.7109375" customWidth="1"/>
    <col min="3859" max="3859" width="26.140625" customWidth="1"/>
    <col min="3860" max="3860" width="42.140625" customWidth="1"/>
    <col min="4095" max="4095" width="4.5703125" customWidth="1"/>
    <col min="4096" max="4097" width="21.85546875" customWidth="1"/>
    <col min="4098" max="4098" width="26.7109375" customWidth="1"/>
    <col min="4099" max="4100" width="15.7109375" customWidth="1"/>
    <col min="4101" max="4101" width="11.28515625" customWidth="1"/>
    <col min="4102" max="4102" width="13.140625" customWidth="1"/>
    <col min="4103" max="4103" width="11.42578125" bestFit="1" customWidth="1"/>
    <col min="4104" max="4105" width="17.42578125" customWidth="1"/>
    <col min="4106" max="4106" width="10.5703125" customWidth="1"/>
    <col min="4107" max="4107" width="12.140625" customWidth="1"/>
    <col min="4108" max="4108" width="10.5703125" customWidth="1"/>
    <col min="4109" max="4109" width="18.42578125" customWidth="1"/>
    <col min="4110" max="4110" width="13.140625" customWidth="1"/>
    <col min="4111" max="4112" width="14.28515625" customWidth="1"/>
    <col min="4113" max="4113" width="11" customWidth="1"/>
    <col min="4114" max="4114" width="10.7109375" customWidth="1"/>
    <col min="4115" max="4115" width="26.140625" customWidth="1"/>
    <col min="4116" max="4116" width="42.140625" customWidth="1"/>
    <col min="4351" max="4351" width="4.5703125" customWidth="1"/>
    <col min="4352" max="4353" width="21.85546875" customWidth="1"/>
    <col min="4354" max="4354" width="26.7109375" customWidth="1"/>
    <col min="4355" max="4356" width="15.7109375" customWidth="1"/>
    <col min="4357" max="4357" width="11.28515625" customWidth="1"/>
    <col min="4358" max="4358" width="13.140625" customWidth="1"/>
    <col min="4359" max="4359" width="11.42578125" bestFit="1" customWidth="1"/>
    <col min="4360" max="4361" width="17.42578125" customWidth="1"/>
    <col min="4362" max="4362" width="10.5703125" customWidth="1"/>
    <col min="4363" max="4363" width="12.140625" customWidth="1"/>
    <col min="4364" max="4364" width="10.5703125" customWidth="1"/>
    <col min="4365" max="4365" width="18.42578125" customWidth="1"/>
    <col min="4366" max="4366" width="13.140625" customWidth="1"/>
    <col min="4367" max="4368" width="14.28515625" customWidth="1"/>
    <col min="4369" max="4369" width="11" customWidth="1"/>
    <col min="4370" max="4370" width="10.7109375" customWidth="1"/>
    <col min="4371" max="4371" width="26.140625" customWidth="1"/>
    <col min="4372" max="4372" width="42.140625" customWidth="1"/>
    <col min="4607" max="4607" width="4.5703125" customWidth="1"/>
    <col min="4608" max="4609" width="21.85546875" customWidth="1"/>
    <col min="4610" max="4610" width="26.7109375" customWidth="1"/>
    <col min="4611" max="4612" width="15.7109375" customWidth="1"/>
    <col min="4613" max="4613" width="11.28515625" customWidth="1"/>
    <col min="4614" max="4614" width="13.140625" customWidth="1"/>
    <col min="4615" max="4615" width="11.42578125" bestFit="1" customWidth="1"/>
    <col min="4616" max="4617" width="17.42578125" customWidth="1"/>
    <col min="4618" max="4618" width="10.5703125" customWidth="1"/>
    <col min="4619" max="4619" width="12.140625" customWidth="1"/>
    <col min="4620" max="4620" width="10.5703125" customWidth="1"/>
    <col min="4621" max="4621" width="18.42578125" customWidth="1"/>
    <col min="4622" max="4622" width="13.140625" customWidth="1"/>
    <col min="4623" max="4624" width="14.28515625" customWidth="1"/>
    <col min="4625" max="4625" width="11" customWidth="1"/>
    <col min="4626" max="4626" width="10.7109375" customWidth="1"/>
    <col min="4627" max="4627" width="26.140625" customWidth="1"/>
    <col min="4628" max="4628" width="42.140625" customWidth="1"/>
    <col min="4863" max="4863" width="4.5703125" customWidth="1"/>
    <col min="4864" max="4865" width="21.85546875" customWidth="1"/>
    <col min="4866" max="4866" width="26.7109375" customWidth="1"/>
    <col min="4867" max="4868" width="15.7109375" customWidth="1"/>
    <col min="4869" max="4869" width="11.28515625" customWidth="1"/>
    <col min="4870" max="4870" width="13.140625" customWidth="1"/>
    <col min="4871" max="4871" width="11.42578125" bestFit="1" customWidth="1"/>
    <col min="4872" max="4873" width="17.42578125" customWidth="1"/>
    <col min="4874" max="4874" width="10.5703125" customWidth="1"/>
    <col min="4875" max="4875" width="12.140625" customWidth="1"/>
    <col min="4876" max="4876" width="10.5703125" customWidth="1"/>
    <col min="4877" max="4877" width="18.42578125" customWidth="1"/>
    <col min="4878" max="4878" width="13.140625" customWidth="1"/>
    <col min="4879" max="4880" width="14.28515625" customWidth="1"/>
    <col min="4881" max="4881" width="11" customWidth="1"/>
    <col min="4882" max="4882" width="10.7109375" customWidth="1"/>
    <col min="4883" max="4883" width="26.140625" customWidth="1"/>
    <col min="4884" max="4884" width="42.140625" customWidth="1"/>
    <col min="5119" max="5119" width="4.5703125" customWidth="1"/>
    <col min="5120" max="5121" width="21.85546875" customWidth="1"/>
    <col min="5122" max="5122" width="26.7109375" customWidth="1"/>
    <col min="5123" max="5124" width="15.7109375" customWidth="1"/>
    <col min="5125" max="5125" width="11.28515625" customWidth="1"/>
    <col min="5126" max="5126" width="13.140625" customWidth="1"/>
    <col min="5127" max="5127" width="11.42578125" bestFit="1" customWidth="1"/>
    <col min="5128" max="5129" width="17.42578125" customWidth="1"/>
    <col min="5130" max="5130" width="10.5703125" customWidth="1"/>
    <col min="5131" max="5131" width="12.140625" customWidth="1"/>
    <col min="5132" max="5132" width="10.5703125" customWidth="1"/>
    <col min="5133" max="5133" width="18.42578125" customWidth="1"/>
    <col min="5134" max="5134" width="13.140625" customWidth="1"/>
    <col min="5135" max="5136" width="14.28515625" customWidth="1"/>
    <col min="5137" max="5137" width="11" customWidth="1"/>
    <col min="5138" max="5138" width="10.7109375" customWidth="1"/>
    <col min="5139" max="5139" width="26.140625" customWidth="1"/>
    <col min="5140" max="5140" width="42.140625" customWidth="1"/>
    <col min="5375" max="5375" width="4.5703125" customWidth="1"/>
    <col min="5376" max="5377" width="21.85546875" customWidth="1"/>
    <col min="5378" max="5378" width="26.7109375" customWidth="1"/>
    <col min="5379" max="5380" width="15.7109375" customWidth="1"/>
    <col min="5381" max="5381" width="11.28515625" customWidth="1"/>
    <col min="5382" max="5382" width="13.140625" customWidth="1"/>
    <col min="5383" max="5383" width="11.42578125" bestFit="1" customWidth="1"/>
    <col min="5384" max="5385" width="17.42578125" customWidth="1"/>
    <col min="5386" max="5386" width="10.5703125" customWidth="1"/>
    <col min="5387" max="5387" width="12.140625" customWidth="1"/>
    <col min="5388" max="5388" width="10.5703125" customWidth="1"/>
    <col min="5389" max="5389" width="18.42578125" customWidth="1"/>
    <col min="5390" max="5390" width="13.140625" customWidth="1"/>
    <col min="5391" max="5392" width="14.28515625" customWidth="1"/>
    <col min="5393" max="5393" width="11" customWidth="1"/>
    <col min="5394" max="5394" width="10.7109375" customWidth="1"/>
    <col min="5395" max="5395" width="26.140625" customWidth="1"/>
    <col min="5396" max="5396" width="42.140625" customWidth="1"/>
    <col min="5631" max="5631" width="4.5703125" customWidth="1"/>
    <col min="5632" max="5633" width="21.85546875" customWidth="1"/>
    <col min="5634" max="5634" width="26.7109375" customWidth="1"/>
    <col min="5635" max="5636" width="15.7109375" customWidth="1"/>
    <col min="5637" max="5637" width="11.28515625" customWidth="1"/>
    <col min="5638" max="5638" width="13.140625" customWidth="1"/>
    <col min="5639" max="5639" width="11.42578125" bestFit="1" customWidth="1"/>
    <col min="5640" max="5641" width="17.42578125" customWidth="1"/>
    <col min="5642" max="5642" width="10.5703125" customWidth="1"/>
    <col min="5643" max="5643" width="12.140625" customWidth="1"/>
    <col min="5644" max="5644" width="10.5703125" customWidth="1"/>
    <col min="5645" max="5645" width="18.42578125" customWidth="1"/>
    <col min="5646" max="5646" width="13.140625" customWidth="1"/>
    <col min="5647" max="5648" width="14.28515625" customWidth="1"/>
    <col min="5649" max="5649" width="11" customWidth="1"/>
    <col min="5650" max="5650" width="10.7109375" customWidth="1"/>
    <col min="5651" max="5651" width="26.140625" customWidth="1"/>
    <col min="5652" max="5652" width="42.140625" customWidth="1"/>
    <col min="5887" max="5887" width="4.5703125" customWidth="1"/>
    <col min="5888" max="5889" width="21.85546875" customWidth="1"/>
    <col min="5890" max="5890" width="26.7109375" customWidth="1"/>
    <col min="5891" max="5892" width="15.7109375" customWidth="1"/>
    <col min="5893" max="5893" width="11.28515625" customWidth="1"/>
    <col min="5894" max="5894" width="13.140625" customWidth="1"/>
    <col min="5895" max="5895" width="11.42578125" bestFit="1" customWidth="1"/>
    <col min="5896" max="5897" width="17.42578125" customWidth="1"/>
    <col min="5898" max="5898" width="10.5703125" customWidth="1"/>
    <col min="5899" max="5899" width="12.140625" customWidth="1"/>
    <col min="5900" max="5900" width="10.5703125" customWidth="1"/>
    <col min="5901" max="5901" width="18.42578125" customWidth="1"/>
    <col min="5902" max="5902" width="13.140625" customWidth="1"/>
    <col min="5903" max="5904" width="14.28515625" customWidth="1"/>
    <col min="5905" max="5905" width="11" customWidth="1"/>
    <col min="5906" max="5906" width="10.7109375" customWidth="1"/>
    <col min="5907" max="5907" width="26.140625" customWidth="1"/>
    <col min="5908" max="5908" width="42.140625" customWidth="1"/>
    <col min="6143" max="6143" width="4.5703125" customWidth="1"/>
    <col min="6144" max="6145" width="21.85546875" customWidth="1"/>
    <col min="6146" max="6146" width="26.7109375" customWidth="1"/>
    <col min="6147" max="6148" width="15.7109375" customWidth="1"/>
    <col min="6149" max="6149" width="11.28515625" customWidth="1"/>
    <col min="6150" max="6150" width="13.140625" customWidth="1"/>
    <col min="6151" max="6151" width="11.42578125" bestFit="1" customWidth="1"/>
    <col min="6152" max="6153" width="17.42578125" customWidth="1"/>
    <col min="6154" max="6154" width="10.5703125" customWidth="1"/>
    <col min="6155" max="6155" width="12.140625" customWidth="1"/>
    <col min="6156" max="6156" width="10.5703125" customWidth="1"/>
    <col min="6157" max="6157" width="18.42578125" customWidth="1"/>
    <col min="6158" max="6158" width="13.140625" customWidth="1"/>
    <col min="6159" max="6160" width="14.28515625" customWidth="1"/>
    <col min="6161" max="6161" width="11" customWidth="1"/>
    <col min="6162" max="6162" width="10.7109375" customWidth="1"/>
    <col min="6163" max="6163" width="26.140625" customWidth="1"/>
    <col min="6164" max="6164" width="42.140625" customWidth="1"/>
    <col min="6399" max="6399" width="4.5703125" customWidth="1"/>
    <col min="6400" max="6401" width="21.85546875" customWidth="1"/>
    <col min="6402" max="6402" width="26.7109375" customWidth="1"/>
    <col min="6403" max="6404" width="15.7109375" customWidth="1"/>
    <col min="6405" max="6405" width="11.28515625" customWidth="1"/>
    <col min="6406" max="6406" width="13.140625" customWidth="1"/>
    <col min="6407" max="6407" width="11.42578125" bestFit="1" customWidth="1"/>
    <col min="6408" max="6409" width="17.42578125" customWidth="1"/>
    <col min="6410" max="6410" width="10.5703125" customWidth="1"/>
    <col min="6411" max="6411" width="12.140625" customWidth="1"/>
    <col min="6412" max="6412" width="10.5703125" customWidth="1"/>
    <col min="6413" max="6413" width="18.42578125" customWidth="1"/>
    <col min="6414" max="6414" width="13.140625" customWidth="1"/>
    <col min="6415" max="6416" width="14.28515625" customWidth="1"/>
    <col min="6417" max="6417" width="11" customWidth="1"/>
    <col min="6418" max="6418" width="10.7109375" customWidth="1"/>
    <col min="6419" max="6419" width="26.140625" customWidth="1"/>
    <col min="6420" max="6420" width="42.140625" customWidth="1"/>
    <col min="6655" max="6655" width="4.5703125" customWidth="1"/>
    <col min="6656" max="6657" width="21.85546875" customWidth="1"/>
    <col min="6658" max="6658" width="26.7109375" customWidth="1"/>
    <col min="6659" max="6660" width="15.7109375" customWidth="1"/>
    <col min="6661" max="6661" width="11.28515625" customWidth="1"/>
    <col min="6662" max="6662" width="13.140625" customWidth="1"/>
    <col min="6663" max="6663" width="11.42578125" bestFit="1" customWidth="1"/>
    <col min="6664" max="6665" width="17.42578125" customWidth="1"/>
    <col min="6666" max="6666" width="10.5703125" customWidth="1"/>
    <col min="6667" max="6667" width="12.140625" customWidth="1"/>
    <col min="6668" max="6668" width="10.5703125" customWidth="1"/>
    <col min="6669" max="6669" width="18.42578125" customWidth="1"/>
    <col min="6670" max="6670" width="13.140625" customWidth="1"/>
    <col min="6671" max="6672" width="14.28515625" customWidth="1"/>
    <col min="6673" max="6673" width="11" customWidth="1"/>
    <col min="6674" max="6674" width="10.7109375" customWidth="1"/>
    <col min="6675" max="6675" width="26.140625" customWidth="1"/>
    <col min="6676" max="6676" width="42.140625" customWidth="1"/>
    <col min="6911" max="6911" width="4.5703125" customWidth="1"/>
    <col min="6912" max="6913" width="21.85546875" customWidth="1"/>
    <col min="6914" max="6914" width="26.7109375" customWidth="1"/>
    <col min="6915" max="6916" width="15.7109375" customWidth="1"/>
    <col min="6917" max="6917" width="11.28515625" customWidth="1"/>
    <col min="6918" max="6918" width="13.140625" customWidth="1"/>
    <col min="6919" max="6919" width="11.42578125" bestFit="1" customWidth="1"/>
    <col min="6920" max="6921" width="17.42578125" customWidth="1"/>
    <col min="6922" max="6922" width="10.5703125" customWidth="1"/>
    <col min="6923" max="6923" width="12.140625" customWidth="1"/>
    <col min="6924" max="6924" width="10.5703125" customWidth="1"/>
    <col min="6925" max="6925" width="18.42578125" customWidth="1"/>
    <col min="6926" max="6926" width="13.140625" customWidth="1"/>
    <col min="6927" max="6928" width="14.28515625" customWidth="1"/>
    <col min="6929" max="6929" width="11" customWidth="1"/>
    <col min="6930" max="6930" width="10.7109375" customWidth="1"/>
    <col min="6931" max="6931" width="26.140625" customWidth="1"/>
    <col min="6932" max="6932" width="42.140625" customWidth="1"/>
    <col min="7167" max="7167" width="4.5703125" customWidth="1"/>
    <col min="7168" max="7169" width="21.85546875" customWidth="1"/>
    <col min="7170" max="7170" width="26.7109375" customWidth="1"/>
    <col min="7171" max="7172" width="15.7109375" customWidth="1"/>
    <col min="7173" max="7173" width="11.28515625" customWidth="1"/>
    <col min="7174" max="7174" width="13.140625" customWidth="1"/>
    <col min="7175" max="7175" width="11.42578125" bestFit="1" customWidth="1"/>
    <col min="7176" max="7177" width="17.42578125" customWidth="1"/>
    <col min="7178" max="7178" width="10.5703125" customWidth="1"/>
    <col min="7179" max="7179" width="12.140625" customWidth="1"/>
    <col min="7180" max="7180" width="10.5703125" customWidth="1"/>
    <col min="7181" max="7181" width="18.42578125" customWidth="1"/>
    <col min="7182" max="7182" width="13.140625" customWidth="1"/>
    <col min="7183" max="7184" width="14.28515625" customWidth="1"/>
    <col min="7185" max="7185" width="11" customWidth="1"/>
    <col min="7186" max="7186" width="10.7109375" customWidth="1"/>
    <col min="7187" max="7187" width="26.140625" customWidth="1"/>
    <col min="7188" max="7188" width="42.140625" customWidth="1"/>
    <col min="7423" max="7423" width="4.5703125" customWidth="1"/>
    <col min="7424" max="7425" width="21.85546875" customWidth="1"/>
    <col min="7426" max="7426" width="26.7109375" customWidth="1"/>
    <col min="7427" max="7428" width="15.7109375" customWidth="1"/>
    <col min="7429" max="7429" width="11.28515625" customWidth="1"/>
    <col min="7430" max="7430" width="13.140625" customWidth="1"/>
    <col min="7431" max="7431" width="11.42578125" bestFit="1" customWidth="1"/>
    <col min="7432" max="7433" width="17.42578125" customWidth="1"/>
    <col min="7434" max="7434" width="10.5703125" customWidth="1"/>
    <col min="7435" max="7435" width="12.140625" customWidth="1"/>
    <col min="7436" max="7436" width="10.5703125" customWidth="1"/>
    <col min="7437" max="7437" width="18.42578125" customWidth="1"/>
    <col min="7438" max="7438" width="13.140625" customWidth="1"/>
    <col min="7439" max="7440" width="14.28515625" customWidth="1"/>
    <col min="7441" max="7441" width="11" customWidth="1"/>
    <col min="7442" max="7442" width="10.7109375" customWidth="1"/>
    <col min="7443" max="7443" width="26.140625" customWidth="1"/>
    <col min="7444" max="7444" width="42.140625" customWidth="1"/>
    <col min="7679" max="7679" width="4.5703125" customWidth="1"/>
    <col min="7680" max="7681" width="21.85546875" customWidth="1"/>
    <col min="7682" max="7682" width="26.7109375" customWidth="1"/>
    <col min="7683" max="7684" width="15.7109375" customWidth="1"/>
    <col min="7685" max="7685" width="11.28515625" customWidth="1"/>
    <col min="7686" max="7686" width="13.140625" customWidth="1"/>
    <col min="7687" max="7687" width="11.42578125" bestFit="1" customWidth="1"/>
    <col min="7688" max="7689" width="17.42578125" customWidth="1"/>
    <col min="7690" max="7690" width="10.5703125" customWidth="1"/>
    <col min="7691" max="7691" width="12.140625" customWidth="1"/>
    <col min="7692" max="7692" width="10.5703125" customWidth="1"/>
    <col min="7693" max="7693" width="18.42578125" customWidth="1"/>
    <col min="7694" max="7694" width="13.140625" customWidth="1"/>
    <col min="7695" max="7696" width="14.28515625" customWidth="1"/>
    <col min="7697" max="7697" width="11" customWidth="1"/>
    <col min="7698" max="7698" width="10.7109375" customWidth="1"/>
    <col min="7699" max="7699" width="26.140625" customWidth="1"/>
    <col min="7700" max="7700" width="42.140625" customWidth="1"/>
    <col min="7935" max="7935" width="4.5703125" customWidth="1"/>
    <col min="7936" max="7937" width="21.85546875" customWidth="1"/>
    <col min="7938" max="7938" width="26.7109375" customWidth="1"/>
    <col min="7939" max="7940" width="15.7109375" customWidth="1"/>
    <col min="7941" max="7941" width="11.28515625" customWidth="1"/>
    <col min="7942" max="7942" width="13.140625" customWidth="1"/>
    <col min="7943" max="7943" width="11.42578125" bestFit="1" customWidth="1"/>
    <col min="7944" max="7945" width="17.42578125" customWidth="1"/>
    <col min="7946" max="7946" width="10.5703125" customWidth="1"/>
    <col min="7947" max="7947" width="12.140625" customWidth="1"/>
    <col min="7948" max="7948" width="10.5703125" customWidth="1"/>
    <col min="7949" max="7949" width="18.42578125" customWidth="1"/>
    <col min="7950" max="7950" width="13.140625" customWidth="1"/>
    <col min="7951" max="7952" width="14.28515625" customWidth="1"/>
    <col min="7953" max="7953" width="11" customWidth="1"/>
    <col min="7954" max="7954" width="10.7109375" customWidth="1"/>
    <col min="7955" max="7955" width="26.140625" customWidth="1"/>
    <col min="7956" max="7956" width="42.140625" customWidth="1"/>
    <col min="8191" max="8191" width="4.5703125" customWidth="1"/>
    <col min="8192" max="8193" width="21.85546875" customWidth="1"/>
    <col min="8194" max="8194" width="26.7109375" customWidth="1"/>
    <col min="8195" max="8196" width="15.7109375" customWidth="1"/>
    <col min="8197" max="8197" width="11.28515625" customWidth="1"/>
    <col min="8198" max="8198" width="13.140625" customWidth="1"/>
    <col min="8199" max="8199" width="11.42578125" bestFit="1" customWidth="1"/>
    <col min="8200" max="8201" width="17.42578125" customWidth="1"/>
    <col min="8202" max="8202" width="10.5703125" customWidth="1"/>
    <col min="8203" max="8203" width="12.140625" customWidth="1"/>
    <col min="8204" max="8204" width="10.5703125" customWidth="1"/>
    <col min="8205" max="8205" width="18.42578125" customWidth="1"/>
    <col min="8206" max="8206" width="13.140625" customWidth="1"/>
    <col min="8207" max="8208" width="14.28515625" customWidth="1"/>
    <col min="8209" max="8209" width="11" customWidth="1"/>
    <col min="8210" max="8210" width="10.7109375" customWidth="1"/>
    <col min="8211" max="8211" width="26.140625" customWidth="1"/>
    <col min="8212" max="8212" width="42.140625" customWidth="1"/>
    <col min="8447" max="8447" width="4.5703125" customWidth="1"/>
    <col min="8448" max="8449" width="21.85546875" customWidth="1"/>
    <col min="8450" max="8450" width="26.7109375" customWidth="1"/>
    <col min="8451" max="8452" width="15.7109375" customWidth="1"/>
    <col min="8453" max="8453" width="11.28515625" customWidth="1"/>
    <col min="8454" max="8454" width="13.140625" customWidth="1"/>
    <col min="8455" max="8455" width="11.42578125" bestFit="1" customWidth="1"/>
    <col min="8456" max="8457" width="17.42578125" customWidth="1"/>
    <col min="8458" max="8458" width="10.5703125" customWidth="1"/>
    <col min="8459" max="8459" width="12.140625" customWidth="1"/>
    <col min="8460" max="8460" width="10.5703125" customWidth="1"/>
    <col min="8461" max="8461" width="18.42578125" customWidth="1"/>
    <col min="8462" max="8462" width="13.140625" customWidth="1"/>
    <col min="8463" max="8464" width="14.28515625" customWidth="1"/>
    <col min="8465" max="8465" width="11" customWidth="1"/>
    <col min="8466" max="8466" width="10.7109375" customWidth="1"/>
    <col min="8467" max="8467" width="26.140625" customWidth="1"/>
    <col min="8468" max="8468" width="42.140625" customWidth="1"/>
    <col min="8703" max="8703" width="4.5703125" customWidth="1"/>
    <col min="8704" max="8705" width="21.85546875" customWidth="1"/>
    <col min="8706" max="8706" width="26.7109375" customWidth="1"/>
    <col min="8707" max="8708" width="15.7109375" customWidth="1"/>
    <col min="8709" max="8709" width="11.28515625" customWidth="1"/>
    <col min="8710" max="8710" width="13.140625" customWidth="1"/>
    <col min="8711" max="8711" width="11.42578125" bestFit="1" customWidth="1"/>
    <col min="8712" max="8713" width="17.42578125" customWidth="1"/>
    <col min="8714" max="8714" width="10.5703125" customWidth="1"/>
    <col min="8715" max="8715" width="12.140625" customWidth="1"/>
    <col min="8716" max="8716" width="10.5703125" customWidth="1"/>
    <col min="8717" max="8717" width="18.42578125" customWidth="1"/>
    <col min="8718" max="8718" width="13.140625" customWidth="1"/>
    <col min="8719" max="8720" width="14.28515625" customWidth="1"/>
    <col min="8721" max="8721" width="11" customWidth="1"/>
    <col min="8722" max="8722" width="10.7109375" customWidth="1"/>
    <col min="8723" max="8723" width="26.140625" customWidth="1"/>
    <col min="8724" max="8724" width="42.140625" customWidth="1"/>
    <col min="8959" max="8959" width="4.5703125" customWidth="1"/>
    <col min="8960" max="8961" width="21.85546875" customWidth="1"/>
    <col min="8962" max="8962" width="26.7109375" customWidth="1"/>
    <col min="8963" max="8964" width="15.7109375" customWidth="1"/>
    <col min="8965" max="8965" width="11.28515625" customWidth="1"/>
    <col min="8966" max="8966" width="13.140625" customWidth="1"/>
    <col min="8967" max="8967" width="11.42578125" bestFit="1" customWidth="1"/>
    <col min="8968" max="8969" width="17.42578125" customWidth="1"/>
    <col min="8970" max="8970" width="10.5703125" customWidth="1"/>
    <col min="8971" max="8971" width="12.140625" customWidth="1"/>
    <col min="8972" max="8972" width="10.5703125" customWidth="1"/>
    <col min="8973" max="8973" width="18.42578125" customWidth="1"/>
    <col min="8974" max="8974" width="13.140625" customWidth="1"/>
    <col min="8975" max="8976" width="14.28515625" customWidth="1"/>
    <col min="8977" max="8977" width="11" customWidth="1"/>
    <col min="8978" max="8978" width="10.7109375" customWidth="1"/>
    <col min="8979" max="8979" width="26.140625" customWidth="1"/>
    <col min="8980" max="8980" width="42.140625" customWidth="1"/>
    <col min="9215" max="9215" width="4.5703125" customWidth="1"/>
    <col min="9216" max="9217" width="21.85546875" customWidth="1"/>
    <col min="9218" max="9218" width="26.7109375" customWidth="1"/>
    <col min="9219" max="9220" width="15.7109375" customWidth="1"/>
    <col min="9221" max="9221" width="11.28515625" customWidth="1"/>
    <col min="9222" max="9222" width="13.140625" customWidth="1"/>
    <col min="9223" max="9223" width="11.42578125" bestFit="1" customWidth="1"/>
    <col min="9224" max="9225" width="17.42578125" customWidth="1"/>
    <col min="9226" max="9226" width="10.5703125" customWidth="1"/>
    <col min="9227" max="9227" width="12.140625" customWidth="1"/>
    <col min="9228" max="9228" width="10.5703125" customWidth="1"/>
    <col min="9229" max="9229" width="18.42578125" customWidth="1"/>
    <col min="9230" max="9230" width="13.140625" customWidth="1"/>
    <col min="9231" max="9232" width="14.28515625" customWidth="1"/>
    <col min="9233" max="9233" width="11" customWidth="1"/>
    <col min="9234" max="9234" width="10.7109375" customWidth="1"/>
    <col min="9235" max="9235" width="26.140625" customWidth="1"/>
    <col min="9236" max="9236" width="42.140625" customWidth="1"/>
    <col min="9471" max="9471" width="4.5703125" customWidth="1"/>
    <col min="9472" max="9473" width="21.85546875" customWidth="1"/>
    <col min="9474" max="9474" width="26.7109375" customWidth="1"/>
    <col min="9475" max="9476" width="15.7109375" customWidth="1"/>
    <col min="9477" max="9477" width="11.28515625" customWidth="1"/>
    <col min="9478" max="9478" width="13.140625" customWidth="1"/>
    <col min="9479" max="9479" width="11.42578125" bestFit="1" customWidth="1"/>
    <col min="9480" max="9481" width="17.42578125" customWidth="1"/>
    <col min="9482" max="9482" width="10.5703125" customWidth="1"/>
    <col min="9483" max="9483" width="12.140625" customWidth="1"/>
    <col min="9484" max="9484" width="10.5703125" customWidth="1"/>
    <col min="9485" max="9485" width="18.42578125" customWidth="1"/>
    <col min="9486" max="9486" width="13.140625" customWidth="1"/>
    <col min="9487" max="9488" width="14.28515625" customWidth="1"/>
    <col min="9489" max="9489" width="11" customWidth="1"/>
    <col min="9490" max="9490" width="10.7109375" customWidth="1"/>
    <col min="9491" max="9491" width="26.140625" customWidth="1"/>
    <col min="9492" max="9492" width="42.140625" customWidth="1"/>
    <col min="9727" max="9727" width="4.5703125" customWidth="1"/>
    <col min="9728" max="9729" width="21.85546875" customWidth="1"/>
    <col min="9730" max="9730" width="26.7109375" customWidth="1"/>
    <col min="9731" max="9732" width="15.7109375" customWidth="1"/>
    <col min="9733" max="9733" width="11.28515625" customWidth="1"/>
    <col min="9734" max="9734" width="13.140625" customWidth="1"/>
    <col min="9735" max="9735" width="11.42578125" bestFit="1" customWidth="1"/>
    <col min="9736" max="9737" width="17.42578125" customWidth="1"/>
    <col min="9738" max="9738" width="10.5703125" customWidth="1"/>
    <col min="9739" max="9739" width="12.140625" customWidth="1"/>
    <col min="9740" max="9740" width="10.5703125" customWidth="1"/>
    <col min="9741" max="9741" width="18.42578125" customWidth="1"/>
    <col min="9742" max="9742" width="13.140625" customWidth="1"/>
    <col min="9743" max="9744" width="14.28515625" customWidth="1"/>
    <col min="9745" max="9745" width="11" customWidth="1"/>
    <col min="9746" max="9746" width="10.7109375" customWidth="1"/>
    <col min="9747" max="9747" width="26.140625" customWidth="1"/>
    <col min="9748" max="9748" width="42.140625" customWidth="1"/>
    <col min="9983" max="9983" width="4.5703125" customWidth="1"/>
    <col min="9984" max="9985" width="21.85546875" customWidth="1"/>
    <col min="9986" max="9986" width="26.7109375" customWidth="1"/>
    <col min="9987" max="9988" width="15.7109375" customWidth="1"/>
    <col min="9989" max="9989" width="11.28515625" customWidth="1"/>
    <col min="9990" max="9990" width="13.140625" customWidth="1"/>
    <col min="9991" max="9991" width="11.42578125" bestFit="1" customWidth="1"/>
    <col min="9992" max="9993" width="17.42578125" customWidth="1"/>
    <col min="9994" max="9994" width="10.5703125" customWidth="1"/>
    <col min="9995" max="9995" width="12.140625" customWidth="1"/>
    <col min="9996" max="9996" width="10.5703125" customWidth="1"/>
    <col min="9997" max="9997" width="18.42578125" customWidth="1"/>
    <col min="9998" max="9998" width="13.140625" customWidth="1"/>
    <col min="9999" max="10000" width="14.28515625" customWidth="1"/>
    <col min="10001" max="10001" width="11" customWidth="1"/>
    <col min="10002" max="10002" width="10.7109375" customWidth="1"/>
    <col min="10003" max="10003" width="26.140625" customWidth="1"/>
    <col min="10004" max="10004" width="42.140625" customWidth="1"/>
    <col min="10239" max="10239" width="4.5703125" customWidth="1"/>
    <col min="10240" max="10241" width="21.85546875" customWidth="1"/>
    <col min="10242" max="10242" width="26.7109375" customWidth="1"/>
    <col min="10243" max="10244" width="15.7109375" customWidth="1"/>
    <col min="10245" max="10245" width="11.28515625" customWidth="1"/>
    <col min="10246" max="10246" width="13.140625" customWidth="1"/>
    <col min="10247" max="10247" width="11.42578125" bestFit="1" customWidth="1"/>
    <col min="10248" max="10249" width="17.42578125" customWidth="1"/>
    <col min="10250" max="10250" width="10.5703125" customWidth="1"/>
    <col min="10251" max="10251" width="12.140625" customWidth="1"/>
    <col min="10252" max="10252" width="10.5703125" customWidth="1"/>
    <col min="10253" max="10253" width="18.42578125" customWidth="1"/>
    <col min="10254" max="10254" width="13.140625" customWidth="1"/>
    <col min="10255" max="10256" width="14.28515625" customWidth="1"/>
    <col min="10257" max="10257" width="11" customWidth="1"/>
    <col min="10258" max="10258" width="10.7109375" customWidth="1"/>
    <col min="10259" max="10259" width="26.140625" customWidth="1"/>
    <col min="10260" max="10260" width="42.140625" customWidth="1"/>
    <col min="10495" max="10495" width="4.5703125" customWidth="1"/>
    <col min="10496" max="10497" width="21.85546875" customWidth="1"/>
    <col min="10498" max="10498" width="26.7109375" customWidth="1"/>
    <col min="10499" max="10500" width="15.7109375" customWidth="1"/>
    <col min="10501" max="10501" width="11.28515625" customWidth="1"/>
    <col min="10502" max="10502" width="13.140625" customWidth="1"/>
    <col min="10503" max="10503" width="11.42578125" bestFit="1" customWidth="1"/>
    <col min="10504" max="10505" width="17.42578125" customWidth="1"/>
    <col min="10506" max="10506" width="10.5703125" customWidth="1"/>
    <col min="10507" max="10507" width="12.140625" customWidth="1"/>
    <col min="10508" max="10508" width="10.5703125" customWidth="1"/>
    <col min="10509" max="10509" width="18.42578125" customWidth="1"/>
    <col min="10510" max="10510" width="13.140625" customWidth="1"/>
    <col min="10511" max="10512" width="14.28515625" customWidth="1"/>
    <col min="10513" max="10513" width="11" customWidth="1"/>
    <col min="10514" max="10514" width="10.7109375" customWidth="1"/>
    <col min="10515" max="10515" width="26.140625" customWidth="1"/>
    <col min="10516" max="10516" width="42.140625" customWidth="1"/>
    <col min="10751" max="10751" width="4.5703125" customWidth="1"/>
    <col min="10752" max="10753" width="21.85546875" customWidth="1"/>
    <col min="10754" max="10754" width="26.7109375" customWidth="1"/>
    <col min="10755" max="10756" width="15.7109375" customWidth="1"/>
    <col min="10757" max="10757" width="11.28515625" customWidth="1"/>
    <col min="10758" max="10758" width="13.140625" customWidth="1"/>
    <col min="10759" max="10759" width="11.42578125" bestFit="1" customWidth="1"/>
    <col min="10760" max="10761" width="17.42578125" customWidth="1"/>
    <col min="10762" max="10762" width="10.5703125" customWidth="1"/>
    <col min="10763" max="10763" width="12.140625" customWidth="1"/>
    <col min="10764" max="10764" width="10.5703125" customWidth="1"/>
    <col min="10765" max="10765" width="18.42578125" customWidth="1"/>
    <col min="10766" max="10766" width="13.140625" customWidth="1"/>
    <col min="10767" max="10768" width="14.28515625" customWidth="1"/>
    <col min="10769" max="10769" width="11" customWidth="1"/>
    <col min="10770" max="10770" width="10.7109375" customWidth="1"/>
    <col min="10771" max="10771" width="26.140625" customWidth="1"/>
    <col min="10772" max="10772" width="42.140625" customWidth="1"/>
    <col min="11007" max="11007" width="4.5703125" customWidth="1"/>
    <col min="11008" max="11009" width="21.85546875" customWidth="1"/>
    <col min="11010" max="11010" width="26.7109375" customWidth="1"/>
    <col min="11011" max="11012" width="15.7109375" customWidth="1"/>
    <col min="11013" max="11013" width="11.28515625" customWidth="1"/>
    <col min="11014" max="11014" width="13.140625" customWidth="1"/>
    <col min="11015" max="11015" width="11.42578125" bestFit="1" customWidth="1"/>
    <col min="11016" max="11017" width="17.42578125" customWidth="1"/>
    <col min="11018" max="11018" width="10.5703125" customWidth="1"/>
    <col min="11019" max="11019" width="12.140625" customWidth="1"/>
    <col min="11020" max="11020" width="10.5703125" customWidth="1"/>
    <col min="11021" max="11021" width="18.42578125" customWidth="1"/>
    <col min="11022" max="11022" width="13.140625" customWidth="1"/>
    <col min="11023" max="11024" width="14.28515625" customWidth="1"/>
    <col min="11025" max="11025" width="11" customWidth="1"/>
    <col min="11026" max="11026" width="10.7109375" customWidth="1"/>
    <col min="11027" max="11027" width="26.140625" customWidth="1"/>
    <col min="11028" max="11028" width="42.140625" customWidth="1"/>
    <col min="11263" max="11263" width="4.5703125" customWidth="1"/>
    <col min="11264" max="11265" width="21.85546875" customWidth="1"/>
    <col min="11266" max="11266" width="26.7109375" customWidth="1"/>
    <col min="11267" max="11268" width="15.7109375" customWidth="1"/>
    <col min="11269" max="11269" width="11.28515625" customWidth="1"/>
    <col min="11270" max="11270" width="13.140625" customWidth="1"/>
    <col min="11271" max="11271" width="11.42578125" bestFit="1" customWidth="1"/>
    <col min="11272" max="11273" width="17.42578125" customWidth="1"/>
    <col min="11274" max="11274" width="10.5703125" customWidth="1"/>
    <col min="11275" max="11275" width="12.140625" customWidth="1"/>
    <col min="11276" max="11276" width="10.5703125" customWidth="1"/>
    <col min="11277" max="11277" width="18.42578125" customWidth="1"/>
    <col min="11278" max="11278" width="13.140625" customWidth="1"/>
    <col min="11279" max="11280" width="14.28515625" customWidth="1"/>
    <col min="11281" max="11281" width="11" customWidth="1"/>
    <col min="11282" max="11282" width="10.7109375" customWidth="1"/>
    <col min="11283" max="11283" width="26.140625" customWidth="1"/>
    <col min="11284" max="11284" width="42.140625" customWidth="1"/>
    <col min="11519" max="11519" width="4.5703125" customWidth="1"/>
    <col min="11520" max="11521" width="21.85546875" customWidth="1"/>
    <col min="11522" max="11522" width="26.7109375" customWidth="1"/>
    <col min="11523" max="11524" width="15.7109375" customWidth="1"/>
    <col min="11525" max="11525" width="11.28515625" customWidth="1"/>
    <col min="11526" max="11526" width="13.140625" customWidth="1"/>
    <col min="11527" max="11527" width="11.42578125" bestFit="1" customWidth="1"/>
    <col min="11528" max="11529" width="17.42578125" customWidth="1"/>
    <col min="11530" max="11530" width="10.5703125" customWidth="1"/>
    <col min="11531" max="11531" width="12.140625" customWidth="1"/>
    <col min="11532" max="11532" width="10.5703125" customWidth="1"/>
    <col min="11533" max="11533" width="18.42578125" customWidth="1"/>
    <col min="11534" max="11534" width="13.140625" customWidth="1"/>
    <col min="11535" max="11536" width="14.28515625" customWidth="1"/>
    <col min="11537" max="11537" width="11" customWidth="1"/>
    <col min="11538" max="11538" width="10.7109375" customWidth="1"/>
    <col min="11539" max="11539" width="26.140625" customWidth="1"/>
    <col min="11540" max="11540" width="42.140625" customWidth="1"/>
    <col min="11775" max="11775" width="4.5703125" customWidth="1"/>
    <col min="11776" max="11777" width="21.85546875" customWidth="1"/>
    <col min="11778" max="11778" width="26.7109375" customWidth="1"/>
    <col min="11779" max="11780" width="15.7109375" customWidth="1"/>
    <col min="11781" max="11781" width="11.28515625" customWidth="1"/>
    <col min="11782" max="11782" width="13.140625" customWidth="1"/>
    <col min="11783" max="11783" width="11.42578125" bestFit="1" customWidth="1"/>
    <col min="11784" max="11785" width="17.42578125" customWidth="1"/>
    <col min="11786" max="11786" width="10.5703125" customWidth="1"/>
    <col min="11787" max="11787" width="12.140625" customWidth="1"/>
    <col min="11788" max="11788" width="10.5703125" customWidth="1"/>
    <col min="11789" max="11789" width="18.42578125" customWidth="1"/>
    <col min="11790" max="11790" width="13.140625" customWidth="1"/>
    <col min="11791" max="11792" width="14.28515625" customWidth="1"/>
    <col min="11793" max="11793" width="11" customWidth="1"/>
    <col min="11794" max="11794" width="10.7109375" customWidth="1"/>
    <col min="11795" max="11795" width="26.140625" customWidth="1"/>
    <col min="11796" max="11796" width="42.140625" customWidth="1"/>
    <col min="12031" max="12031" width="4.5703125" customWidth="1"/>
    <col min="12032" max="12033" width="21.85546875" customWidth="1"/>
    <col min="12034" max="12034" width="26.7109375" customWidth="1"/>
    <col min="12035" max="12036" width="15.7109375" customWidth="1"/>
    <col min="12037" max="12037" width="11.28515625" customWidth="1"/>
    <col min="12038" max="12038" width="13.140625" customWidth="1"/>
    <col min="12039" max="12039" width="11.42578125" bestFit="1" customWidth="1"/>
    <col min="12040" max="12041" width="17.42578125" customWidth="1"/>
    <col min="12042" max="12042" width="10.5703125" customWidth="1"/>
    <col min="12043" max="12043" width="12.140625" customWidth="1"/>
    <col min="12044" max="12044" width="10.5703125" customWidth="1"/>
    <col min="12045" max="12045" width="18.42578125" customWidth="1"/>
    <col min="12046" max="12046" width="13.140625" customWidth="1"/>
    <col min="12047" max="12048" width="14.28515625" customWidth="1"/>
    <col min="12049" max="12049" width="11" customWidth="1"/>
    <col min="12050" max="12050" width="10.7109375" customWidth="1"/>
    <col min="12051" max="12051" width="26.140625" customWidth="1"/>
    <col min="12052" max="12052" width="42.140625" customWidth="1"/>
    <col min="12287" max="12287" width="4.5703125" customWidth="1"/>
    <col min="12288" max="12289" width="21.85546875" customWidth="1"/>
    <col min="12290" max="12290" width="26.7109375" customWidth="1"/>
    <col min="12291" max="12292" width="15.7109375" customWidth="1"/>
    <col min="12293" max="12293" width="11.28515625" customWidth="1"/>
    <col min="12294" max="12294" width="13.140625" customWidth="1"/>
    <col min="12295" max="12295" width="11.42578125" bestFit="1" customWidth="1"/>
    <col min="12296" max="12297" width="17.42578125" customWidth="1"/>
    <col min="12298" max="12298" width="10.5703125" customWidth="1"/>
    <col min="12299" max="12299" width="12.140625" customWidth="1"/>
    <col min="12300" max="12300" width="10.5703125" customWidth="1"/>
    <col min="12301" max="12301" width="18.42578125" customWidth="1"/>
    <col min="12302" max="12302" width="13.140625" customWidth="1"/>
    <col min="12303" max="12304" width="14.28515625" customWidth="1"/>
    <col min="12305" max="12305" width="11" customWidth="1"/>
    <col min="12306" max="12306" width="10.7109375" customWidth="1"/>
    <col min="12307" max="12307" width="26.140625" customWidth="1"/>
    <col min="12308" max="12308" width="42.140625" customWidth="1"/>
    <col min="12543" max="12543" width="4.5703125" customWidth="1"/>
    <col min="12544" max="12545" width="21.85546875" customWidth="1"/>
    <col min="12546" max="12546" width="26.7109375" customWidth="1"/>
    <col min="12547" max="12548" width="15.7109375" customWidth="1"/>
    <col min="12549" max="12549" width="11.28515625" customWidth="1"/>
    <col min="12550" max="12550" width="13.140625" customWidth="1"/>
    <col min="12551" max="12551" width="11.42578125" bestFit="1" customWidth="1"/>
    <col min="12552" max="12553" width="17.42578125" customWidth="1"/>
    <col min="12554" max="12554" width="10.5703125" customWidth="1"/>
    <col min="12555" max="12555" width="12.140625" customWidth="1"/>
    <col min="12556" max="12556" width="10.5703125" customWidth="1"/>
    <col min="12557" max="12557" width="18.42578125" customWidth="1"/>
    <col min="12558" max="12558" width="13.140625" customWidth="1"/>
    <col min="12559" max="12560" width="14.28515625" customWidth="1"/>
    <col min="12561" max="12561" width="11" customWidth="1"/>
    <col min="12562" max="12562" width="10.7109375" customWidth="1"/>
    <col min="12563" max="12563" width="26.140625" customWidth="1"/>
    <col min="12564" max="12564" width="42.140625" customWidth="1"/>
    <col min="12799" max="12799" width="4.5703125" customWidth="1"/>
    <col min="12800" max="12801" width="21.85546875" customWidth="1"/>
    <col min="12802" max="12802" width="26.7109375" customWidth="1"/>
    <col min="12803" max="12804" width="15.7109375" customWidth="1"/>
    <col min="12805" max="12805" width="11.28515625" customWidth="1"/>
    <col min="12806" max="12806" width="13.140625" customWidth="1"/>
    <col min="12807" max="12807" width="11.42578125" bestFit="1" customWidth="1"/>
    <col min="12808" max="12809" width="17.42578125" customWidth="1"/>
    <col min="12810" max="12810" width="10.5703125" customWidth="1"/>
    <col min="12811" max="12811" width="12.140625" customWidth="1"/>
    <col min="12812" max="12812" width="10.5703125" customWidth="1"/>
    <col min="12813" max="12813" width="18.42578125" customWidth="1"/>
    <col min="12814" max="12814" width="13.140625" customWidth="1"/>
    <col min="12815" max="12816" width="14.28515625" customWidth="1"/>
    <col min="12817" max="12817" width="11" customWidth="1"/>
    <col min="12818" max="12818" width="10.7109375" customWidth="1"/>
    <col min="12819" max="12819" width="26.140625" customWidth="1"/>
    <col min="12820" max="12820" width="42.140625" customWidth="1"/>
    <col min="13055" max="13055" width="4.5703125" customWidth="1"/>
    <col min="13056" max="13057" width="21.85546875" customWidth="1"/>
    <col min="13058" max="13058" width="26.7109375" customWidth="1"/>
    <col min="13059" max="13060" width="15.7109375" customWidth="1"/>
    <col min="13061" max="13061" width="11.28515625" customWidth="1"/>
    <col min="13062" max="13062" width="13.140625" customWidth="1"/>
    <col min="13063" max="13063" width="11.42578125" bestFit="1" customWidth="1"/>
    <col min="13064" max="13065" width="17.42578125" customWidth="1"/>
    <col min="13066" max="13066" width="10.5703125" customWidth="1"/>
    <col min="13067" max="13067" width="12.140625" customWidth="1"/>
    <col min="13068" max="13068" width="10.5703125" customWidth="1"/>
    <col min="13069" max="13069" width="18.42578125" customWidth="1"/>
    <col min="13070" max="13070" width="13.140625" customWidth="1"/>
    <col min="13071" max="13072" width="14.28515625" customWidth="1"/>
    <col min="13073" max="13073" width="11" customWidth="1"/>
    <col min="13074" max="13074" width="10.7109375" customWidth="1"/>
    <col min="13075" max="13075" width="26.140625" customWidth="1"/>
    <col min="13076" max="13076" width="42.140625" customWidth="1"/>
    <col min="13311" max="13311" width="4.5703125" customWidth="1"/>
    <col min="13312" max="13313" width="21.85546875" customWidth="1"/>
    <col min="13314" max="13314" width="26.7109375" customWidth="1"/>
    <col min="13315" max="13316" width="15.7109375" customWidth="1"/>
    <col min="13317" max="13317" width="11.28515625" customWidth="1"/>
    <col min="13318" max="13318" width="13.140625" customWidth="1"/>
    <col min="13319" max="13319" width="11.42578125" bestFit="1" customWidth="1"/>
    <col min="13320" max="13321" width="17.42578125" customWidth="1"/>
    <col min="13322" max="13322" width="10.5703125" customWidth="1"/>
    <col min="13323" max="13323" width="12.140625" customWidth="1"/>
    <col min="13324" max="13324" width="10.5703125" customWidth="1"/>
    <col min="13325" max="13325" width="18.42578125" customWidth="1"/>
    <col min="13326" max="13326" width="13.140625" customWidth="1"/>
    <col min="13327" max="13328" width="14.28515625" customWidth="1"/>
    <col min="13329" max="13329" width="11" customWidth="1"/>
    <col min="13330" max="13330" width="10.7109375" customWidth="1"/>
    <col min="13331" max="13331" width="26.140625" customWidth="1"/>
    <col min="13332" max="13332" width="42.140625" customWidth="1"/>
    <col min="13567" max="13567" width="4.5703125" customWidth="1"/>
    <col min="13568" max="13569" width="21.85546875" customWidth="1"/>
    <col min="13570" max="13570" width="26.7109375" customWidth="1"/>
    <col min="13571" max="13572" width="15.7109375" customWidth="1"/>
    <col min="13573" max="13573" width="11.28515625" customWidth="1"/>
    <col min="13574" max="13574" width="13.140625" customWidth="1"/>
    <col min="13575" max="13575" width="11.42578125" bestFit="1" customWidth="1"/>
    <col min="13576" max="13577" width="17.42578125" customWidth="1"/>
    <col min="13578" max="13578" width="10.5703125" customWidth="1"/>
    <col min="13579" max="13579" width="12.140625" customWidth="1"/>
    <col min="13580" max="13580" width="10.5703125" customWidth="1"/>
    <col min="13581" max="13581" width="18.42578125" customWidth="1"/>
    <col min="13582" max="13582" width="13.140625" customWidth="1"/>
    <col min="13583" max="13584" width="14.28515625" customWidth="1"/>
    <col min="13585" max="13585" width="11" customWidth="1"/>
    <col min="13586" max="13586" width="10.7109375" customWidth="1"/>
    <col min="13587" max="13587" width="26.140625" customWidth="1"/>
    <col min="13588" max="13588" width="42.140625" customWidth="1"/>
    <col min="13823" max="13823" width="4.5703125" customWidth="1"/>
    <col min="13824" max="13825" width="21.85546875" customWidth="1"/>
    <col min="13826" max="13826" width="26.7109375" customWidth="1"/>
    <col min="13827" max="13828" width="15.7109375" customWidth="1"/>
    <col min="13829" max="13829" width="11.28515625" customWidth="1"/>
    <col min="13830" max="13830" width="13.140625" customWidth="1"/>
    <col min="13831" max="13831" width="11.42578125" bestFit="1" customWidth="1"/>
    <col min="13832" max="13833" width="17.42578125" customWidth="1"/>
    <col min="13834" max="13834" width="10.5703125" customWidth="1"/>
    <col min="13835" max="13835" width="12.140625" customWidth="1"/>
    <col min="13836" max="13836" width="10.5703125" customWidth="1"/>
    <col min="13837" max="13837" width="18.42578125" customWidth="1"/>
    <col min="13838" max="13838" width="13.140625" customWidth="1"/>
    <col min="13839" max="13840" width="14.28515625" customWidth="1"/>
    <col min="13841" max="13841" width="11" customWidth="1"/>
    <col min="13842" max="13842" width="10.7109375" customWidth="1"/>
    <col min="13843" max="13843" width="26.140625" customWidth="1"/>
    <col min="13844" max="13844" width="42.140625" customWidth="1"/>
    <col min="14079" max="14079" width="4.5703125" customWidth="1"/>
    <col min="14080" max="14081" width="21.85546875" customWidth="1"/>
    <col min="14082" max="14082" width="26.7109375" customWidth="1"/>
    <col min="14083" max="14084" width="15.7109375" customWidth="1"/>
    <col min="14085" max="14085" width="11.28515625" customWidth="1"/>
    <col min="14086" max="14086" width="13.140625" customWidth="1"/>
    <col min="14087" max="14087" width="11.42578125" bestFit="1" customWidth="1"/>
    <col min="14088" max="14089" width="17.42578125" customWidth="1"/>
    <col min="14090" max="14090" width="10.5703125" customWidth="1"/>
    <col min="14091" max="14091" width="12.140625" customWidth="1"/>
    <col min="14092" max="14092" width="10.5703125" customWidth="1"/>
    <col min="14093" max="14093" width="18.42578125" customWidth="1"/>
    <col min="14094" max="14094" width="13.140625" customWidth="1"/>
    <col min="14095" max="14096" width="14.28515625" customWidth="1"/>
    <col min="14097" max="14097" width="11" customWidth="1"/>
    <col min="14098" max="14098" width="10.7109375" customWidth="1"/>
    <col min="14099" max="14099" width="26.140625" customWidth="1"/>
    <col min="14100" max="14100" width="42.140625" customWidth="1"/>
    <col min="14335" max="14335" width="4.5703125" customWidth="1"/>
    <col min="14336" max="14337" width="21.85546875" customWidth="1"/>
    <col min="14338" max="14338" width="26.7109375" customWidth="1"/>
    <col min="14339" max="14340" width="15.7109375" customWidth="1"/>
    <col min="14341" max="14341" width="11.28515625" customWidth="1"/>
    <col min="14342" max="14342" width="13.140625" customWidth="1"/>
    <col min="14343" max="14343" width="11.42578125" bestFit="1" customWidth="1"/>
    <col min="14344" max="14345" width="17.42578125" customWidth="1"/>
    <col min="14346" max="14346" width="10.5703125" customWidth="1"/>
    <col min="14347" max="14347" width="12.140625" customWidth="1"/>
    <col min="14348" max="14348" width="10.5703125" customWidth="1"/>
    <col min="14349" max="14349" width="18.42578125" customWidth="1"/>
    <col min="14350" max="14350" width="13.140625" customWidth="1"/>
    <col min="14351" max="14352" width="14.28515625" customWidth="1"/>
    <col min="14353" max="14353" width="11" customWidth="1"/>
    <col min="14354" max="14354" width="10.7109375" customWidth="1"/>
    <col min="14355" max="14355" width="26.140625" customWidth="1"/>
    <col min="14356" max="14356" width="42.140625" customWidth="1"/>
    <col min="14591" max="14591" width="4.5703125" customWidth="1"/>
    <col min="14592" max="14593" width="21.85546875" customWidth="1"/>
    <col min="14594" max="14594" width="26.7109375" customWidth="1"/>
    <col min="14595" max="14596" width="15.7109375" customWidth="1"/>
    <col min="14597" max="14597" width="11.28515625" customWidth="1"/>
    <col min="14598" max="14598" width="13.140625" customWidth="1"/>
    <col min="14599" max="14599" width="11.42578125" bestFit="1" customWidth="1"/>
    <col min="14600" max="14601" width="17.42578125" customWidth="1"/>
    <col min="14602" max="14602" width="10.5703125" customWidth="1"/>
    <col min="14603" max="14603" width="12.140625" customWidth="1"/>
    <col min="14604" max="14604" width="10.5703125" customWidth="1"/>
    <col min="14605" max="14605" width="18.42578125" customWidth="1"/>
    <col min="14606" max="14606" width="13.140625" customWidth="1"/>
    <col min="14607" max="14608" width="14.28515625" customWidth="1"/>
    <col min="14609" max="14609" width="11" customWidth="1"/>
    <col min="14610" max="14610" width="10.7109375" customWidth="1"/>
    <col min="14611" max="14611" width="26.140625" customWidth="1"/>
    <col min="14612" max="14612" width="42.140625" customWidth="1"/>
    <col min="14847" max="14847" width="4.5703125" customWidth="1"/>
    <col min="14848" max="14849" width="21.85546875" customWidth="1"/>
    <col min="14850" max="14850" width="26.7109375" customWidth="1"/>
    <col min="14851" max="14852" width="15.7109375" customWidth="1"/>
    <col min="14853" max="14853" width="11.28515625" customWidth="1"/>
    <col min="14854" max="14854" width="13.140625" customWidth="1"/>
    <col min="14855" max="14855" width="11.42578125" bestFit="1" customWidth="1"/>
    <col min="14856" max="14857" width="17.42578125" customWidth="1"/>
    <col min="14858" max="14858" width="10.5703125" customWidth="1"/>
    <col min="14859" max="14859" width="12.140625" customWidth="1"/>
    <col min="14860" max="14860" width="10.5703125" customWidth="1"/>
    <col min="14861" max="14861" width="18.42578125" customWidth="1"/>
    <col min="14862" max="14862" width="13.140625" customWidth="1"/>
    <col min="14863" max="14864" width="14.28515625" customWidth="1"/>
    <col min="14865" max="14865" width="11" customWidth="1"/>
    <col min="14866" max="14866" width="10.7109375" customWidth="1"/>
    <col min="14867" max="14867" width="26.140625" customWidth="1"/>
    <col min="14868" max="14868" width="42.140625" customWidth="1"/>
    <col min="15103" max="15103" width="4.5703125" customWidth="1"/>
    <col min="15104" max="15105" width="21.85546875" customWidth="1"/>
    <col min="15106" max="15106" width="26.7109375" customWidth="1"/>
    <col min="15107" max="15108" width="15.7109375" customWidth="1"/>
    <col min="15109" max="15109" width="11.28515625" customWidth="1"/>
    <col min="15110" max="15110" width="13.140625" customWidth="1"/>
    <col min="15111" max="15111" width="11.42578125" bestFit="1" customWidth="1"/>
    <col min="15112" max="15113" width="17.42578125" customWidth="1"/>
    <col min="15114" max="15114" width="10.5703125" customWidth="1"/>
    <col min="15115" max="15115" width="12.140625" customWidth="1"/>
    <col min="15116" max="15116" width="10.5703125" customWidth="1"/>
    <col min="15117" max="15117" width="18.42578125" customWidth="1"/>
    <col min="15118" max="15118" width="13.140625" customWidth="1"/>
    <col min="15119" max="15120" width="14.28515625" customWidth="1"/>
    <col min="15121" max="15121" width="11" customWidth="1"/>
    <col min="15122" max="15122" width="10.7109375" customWidth="1"/>
    <col min="15123" max="15123" width="26.140625" customWidth="1"/>
    <col min="15124" max="15124" width="42.140625" customWidth="1"/>
    <col min="15359" max="15359" width="4.5703125" customWidth="1"/>
    <col min="15360" max="15361" width="21.85546875" customWidth="1"/>
    <col min="15362" max="15362" width="26.7109375" customWidth="1"/>
    <col min="15363" max="15364" width="15.7109375" customWidth="1"/>
    <col min="15365" max="15365" width="11.28515625" customWidth="1"/>
    <col min="15366" max="15366" width="13.140625" customWidth="1"/>
    <col min="15367" max="15367" width="11.42578125" bestFit="1" customWidth="1"/>
    <col min="15368" max="15369" width="17.42578125" customWidth="1"/>
    <col min="15370" max="15370" width="10.5703125" customWidth="1"/>
    <col min="15371" max="15371" width="12.140625" customWidth="1"/>
    <col min="15372" max="15372" width="10.5703125" customWidth="1"/>
    <col min="15373" max="15373" width="18.42578125" customWidth="1"/>
    <col min="15374" max="15374" width="13.140625" customWidth="1"/>
    <col min="15375" max="15376" width="14.28515625" customWidth="1"/>
    <col min="15377" max="15377" width="11" customWidth="1"/>
    <col min="15378" max="15378" width="10.7109375" customWidth="1"/>
    <col min="15379" max="15379" width="26.140625" customWidth="1"/>
    <col min="15380" max="15380" width="42.140625" customWidth="1"/>
    <col min="15615" max="15615" width="4.5703125" customWidth="1"/>
    <col min="15616" max="15617" width="21.85546875" customWidth="1"/>
    <col min="15618" max="15618" width="26.7109375" customWidth="1"/>
    <col min="15619" max="15620" width="15.7109375" customWidth="1"/>
    <col min="15621" max="15621" width="11.28515625" customWidth="1"/>
    <col min="15622" max="15622" width="13.140625" customWidth="1"/>
    <col min="15623" max="15623" width="11.42578125" bestFit="1" customWidth="1"/>
    <col min="15624" max="15625" width="17.42578125" customWidth="1"/>
    <col min="15626" max="15626" width="10.5703125" customWidth="1"/>
    <col min="15627" max="15627" width="12.140625" customWidth="1"/>
    <col min="15628" max="15628" width="10.5703125" customWidth="1"/>
    <col min="15629" max="15629" width="18.42578125" customWidth="1"/>
    <col min="15630" max="15630" width="13.140625" customWidth="1"/>
    <col min="15631" max="15632" width="14.28515625" customWidth="1"/>
    <col min="15633" max="15633" width="11" customWidth="1"/>
    <col min="15634" max="15634" width="10.7109375" customWidth="1"/>
    <col min="15635" max="15635" width="26.140625" customWidth="1"/>
    <col min="15636" max="15636" width="42.140625" customWidth="1"/>
    <col min="15871" max="15871" width="4.5703125" customWidth="1"/>
    <col min="15872" max="15873" width="21.85546875" customWidth="1"/>
    <col min="15874" max="15874" width="26.7109375" customWidth="1"/>
    <col min="15875" max="15876" width="15.7109375" customWidth="1"/>
    <col min="15877" max="15877" width="11.28515625" customWidth="1"/>
    <col min="15878" max="15878" width="13.140625" customWidth="1"/>
    <col min="15879" max="15879" width="11.42578125" bestFit="1" customWidth="1"/>
    <col min="15880" max="15881" width="17.42578125" customWidth="1"/>
    <col min="15882" max="15882" width="10.5703125" customWidth="1"/>
    <col min="15883" max="15883" width="12.140625" customWidth="1"/>
    <col min="15884" max="15884" width="10.5703125" customWidth="1"/>
    <col min="15885" max="15885" width="18.42578125" customWidth="1"/>
    <col min="15886" max="15886" width="13.140625" customWidth="1"/>
    <col min="15887" max="15888" width="14.28515625" customWidth="1"/>
    <col min="15889" max="15889" width="11" customWidth="1"/>
    <col min="15890" max="15890" width="10.7109375" customWidth="1"/>
    <col min="15891" max="15891" width="26.140625" customWidth="1"/>
    <col min="15892" max="15892" width="42.140625" customWidth="1"/>
    <col min="16127" max="16127" width="4.5703125" customWidth="1"/>
    <col min="16128" max="16129" width="21.85546875" customWidth="1"/>
    <col min="16130" max="16130" width="26.7109375" customWidth="1"/>
    <col min="16131" max="16132" width="15.7109375" customWidth="1"/>
    <col min="16133" max="16133" width="11.28515625" customWidth="1"/>
    <col min="16134" max="16134" width="13.140625" customWidth="1"/>
    <col min="16135" max="16135" width="11.42578125" bestFit="1" customWidth="1"/>
    <col min="16136" max="16137" width="17.42578125" customWidth="1"/>
    <col min="16138" max="16138" width="10.5703125" customWidth="1"/>
    <col min="16139" max="16139" width="12.140625" customWidth="1"/>
    <col min="16140" max="16140" width="10.5703125" customWidth="1"/>
    <col min="16141" max="16141" width="18.42578125" customWidth="1"/>
    <col min="16142" max="16142" width="13.140625" customWidth="1"/>
    <col min="16143" max="16144" width="14.28515625" customWidth="1"/>
    <col min="16145" max="16145" width="11" customWidth="1"/>
    <col min="16146" max="16146" width="10.7109375" customWidth="1"/>
    <col min="16147" max="16147" width="26.140625" customWidth="1"/>
    <col min="16148" max="16148" width="42.140625" customWidth="1"/>
  </cols>
  <sheetData>
    <row r="1" spans="1:37" s="39" customFormat="1" ht="33.75">
      <c r="A1" s="30"/>
      <c r="B1" s="247" t="s">
        <v>474</v>
      </c>
      <c r="C1" s="248"/>
      <c r="D1" s="238" t="s">
        <v>475</v>
      </c>
      <c r="E1" s="238" t="s">
        <v>476</v>
      </c>
      <c r="F1" s="238" t="s">
        <v>477</v>
      </c>
      <c r="G1" s="135" t="s">
        <v>478</v>
      </c>
      <c r="H1" s="135" t="s">
        <v>479</v>
      </c>
      <c r="I1" s="31"/>
      <c r="J1" s="32" t="s">
        <v>480</v>
      </c>
      <c r="K1" s="32" t="s">
        <v>481</v>
      </c>
      <c r="L1" s="32" t="s">
        <v>482</v>
      </c>
      <c r="M1" s="32"/>
      <c r="N1" s="32" t="s">
        <v>483</v>
      </c>
      <c r="O1" s="32" t="s">
        <v>484</v>
      </c>
      <c r="P1" s="32" t="s">
        <v>485</v>
      </c>
      <c r="Q1" s="33" t="s">
        <v>486</v>
      </c>
      <c r="R1" s="34" t="s">
        <v>487</v>
      </c>
      <c r="S1" s="32" t="s">
        <v>488</v>
      </c>
      <c r="T1" s="32" t="s">
        <v>21</v>
      </c>
      <c r="U1" s="32" t="s">
        <v>489</v>
      </c>
      <c r="V1" s="35" t="s">
        <v>490</v>
      </c>
      <c r="W1" s="36" t="s">
        <v>491</v>
      </c>
      <c r="X1" s="36" t="s">
        <v>492</v>
      </c>
      <c r="Y1" s="36"/>
      <c r="Z1" s="36"/>
      <c r="AA1" s="36"/>
      <c r="AB1" s="32" t="s">
        <v>493</v>
      </c>
      <c r="AC1" s="32" t="s">
        <v>494</v>
      </c>
      <c r="AD1" s="32" t="s">
        <v>495</v>
      </c>
      <c r="AE1" s="32"/>
      <c r="AF1" s="37"/>
      <c r="AG1" s="38"/>
      <c r="AH1" s="37" t="s">
        <v>496</v>
      </c>
      <c r="AI1" s="38" t="s">
        <v>497</v>
      </c>
    </row>
    <row r="2" spans="1:37" s="40" customFormat="1" ht="45.75" thickBot="1">
      <c r="A2" s="40">
        <v>1</v>
      </c>
      <c r="B2" s="41" t="s">
        <v>498</v>
      </c>
      <c r="C2" s="136" t="s">
        <v>499</v>
      </c>
      <c r="D2" s="145">
        <v>317670001</v>
      </c>
      <c r="E2" s="145" t="s">
        <v>500</v>
      </c>
      <c r="F2" s="145" t="s">
        <v>501</v>
      </c>
      <c r="G2" s="133">
        <v>25000</v>
      </c>
      <c r="H2" s="133">
        <v>26.096033402922757</v>
      </c>
      <c r="I2" s="42">
        <v>1</v>
      </c>
      <c r="J2" s="43" t="s">
        <v>502</v>
      </c>
      <c r="K2" s="44" t="s">
        <v>503</v>
      </c>
      <c r="L2" s="45" t="s">
        <v>504</v>
      </c>
      <c r="M2" s="45">
        <v>1</v>
      </c>
      <c r="N2" s="46"/>
      <c r="O2" s="47"/>
      <c r="P2" s="47"/>
      <c r="Q2" s="48"/>
      <c r="R2" s="47"/>
      <c r="S2" s="49"/>
      <c r="T2" s="49"/>
      <c r="U2" s="49"/>
      <c r="V2" s="49"/>
      <c r="W2" s="50"/>
      <c r="X2" s="51"/>
      <c r="Y2" s="51"/>
      <c r="Z2" s="51"/>
      <c r="AA2" s="51"/>
      <c r="AB2" s="52">
        <v>958</v>
      </c>
      <c r="AC2" s="52" t="s">
        <v>505</v>
      </c>
      <c r="AD2" s="52"/>
      <c r="AE2" s="45"/>
      <c r="AF2" s="53"/>
      <c r="AG2" s="54"/>
      <c r="AH2" s="53"/>
      <c r="AI2" s="54" t="s">
        <v>506</v>
      </c>
    </row>
    <row r="3" spans="1:37" s="130" customFormat="1" ht="43.5" customHeight="1">
      <c r="A3" s="40">
        <v>1</v>
      </c>
      <c r="B3" s="103" t="s">
        <v>507</v>
      </c>
      <c r="C3" s="122" t="s">
        <v>508</v>
      </c>
      <c r="D3" s="146">
        <v>317652009</v>
      </c>
      <c r="E3" s="145" t="s">
        <v>509</v>
      </c>
      <c r="F3" s="145" t="s">
        <v>510</v>
      </c>
      <c r="G3" s="134">
        <v>35000</v>
      </c>
      <c r="H3" s="134">
        <v>37.768425596201574</v>
      </c>
      <c r="I3" s="122">
        <v>1</v>
      </c>
      <c r="J3" s="104" t="s">
        <v>511</v>
      </c>
      <c r="K3" s="44" t="s">
        <v>512</v>
      </c>
      <c r="L3" s="44" t="s">
        <v>513</v>
      </c>
      <c r="M3" s="44">
        <v>1</v>
      </c>
      <c r="N3" s="105" t="s">
        <v>514</v>
      </c>
      <c r="O3" s="108" t="s">
        <v>515</v>
      </c>
      <c r="P3" s="108" t="s">
        <v>516</v>
      </c>
      <c r="Q3" s="107" t="s">
        <v>517</v>
      </c>
      <c r="R3" s="123" t="s">
        <v>517</v>
      </c>
      <c r="S3" s="124" t="s">
        <v>518</v>
      </c>
      <c r="T3" s="53" t="s">
        <v>519</v>
      </c>
      <c r="U3" s="53" t="s">
        <v>519</v>
      </c>
      <c r="V3" s="124" t="s">
        <v>520</v>
      </c>
      <c r="W3" s="125">
        <v>27000</v>
      </c>
      <c r="X3" s="125">
        <v>23000</v>
      </c>
      <c r="Y3" s="125"/>
      <c r="Z3" s="125"/>
      <c r="AA3" s="125"/>
      <c r="AB3" s="126">
        <v>926.7</v>
      </c>
      <c r="AC3" s="126">
        <v>906</v>
      </c>
      <c r="AD3" s="127">
        <v>493</v>
      </c>
      <c r="AE3" s="128"/>
      <c r="AF3" s="53"/>
      <c r="AG3" s="54"/>
      <c r="AH3" s="53">
        <v>29.13564260278407</v>
      </c>
      <c r="AI3" s="129" t="s">
        <v>521</v>
      </c>
    </row>
    <row r="4" spans="1:37" s="70" customFormat="1" ht="57.75" customHeight="1">
      <c r="A4" s="55">
        <v>1</v>
      </c>
      <c r="B4" s="56" t="s">
        <v>522</v>
      </c>
      <c r="C4" s="57" t="s">
        <v>523</v>
      </c>
      <c r="D4" s="147">
        <v>418576001</v>
      </c>
      <c r="E4" s="145" t="s">
        <v>524</v>
      </c>
      <c r="F4" s="145" t="s">
        <v>525</v>
      </c>
      <c r="G4" s="133">
        <v>22770</v>
      </c>
      <c r="H4" s="133">
        <v>22.5</v>
      </c>
      <c r="I4" s="57"/>
      <c r="J4" s="57" t="s">
        <v>502</v>
      </c>
      <c r="K4" s="58" t="s">
        <v>526</v>
      </c>
      <c r="L4" s="58" t="s">
        <v>527</v>
      </c>
      <c r="M4" s="58"/>
      <c r="N4" s="58"/>
      <c r="O4" s="59">
        <v>45398</v>
      </c>
      <c r="P4" s="59"/>
      <c r="Q4" s="60"/>
      <c r="R4" s="59"/>
      <c r="S4" s="61"/>
      <c r="T4" s="62"/>
      <c r="U4" s="62"/>
      <c r="V4" s="63"/>
      <c r="W4" s="64">
        <v>0</v>
      </c>
      <c r="X4" s="65">
        <v>22300</v>
      </c>
      <c r="Y4" s="65"/>
      <c r="Z4" s="65">
        <v>0</v>
      </c>
      <c r="AA4" s="66">
        <v>1012</v>
      </c>
      <c r="AB4" s="66">
        <v>1012</v>
      </c>
      <c r="AC4" s="66"/>
      <c r="AD4" s="67" t="s">
        <v>528</v>
      </c>
      <c r="AE4" s="67" t="s">
        <v>529</v>
      </c>
      <c r="AF4" s="68">
        <v>44898</v>
      </c>
      <c r="AG4" s="68"/>
      <c r="AH4" s="67">
        <v>0</v>
      </c>
      <c r="AI4" s="69" t="s">
        <v>530</v>
      </c>
      <c r="AJ4" s="70" t="s">
        <v>531</v>
      </c>
      <c r="AK4" s="70" t="s">
        <v>532</v>
      </c>
    </row>
    <row r="5" spans="1:37" s="70" customFormat="1" ht="30" customHeight="1">
      <c r="A5" s="55">
        <v>1</v>
      </c>
      <c r="B5" s="71" t="s">
        <v>533</v>
      </c>
      <c r="C5" s="72" t="s">
        <v>523</v>
      </c>
      <c r="D5" s="147">
        <v>418576002</v>
      </c>
      <c r="E5" s="145" t="s">
        <v>534</v>
      </c>
      <c r="F5" s="145" t="s">
        <v>535</v>
      </c>
      <c r="G5" s="133">
        <v>22522.5</v>
      </c>
      <c r="H5" s="133">
        <v>22.5</v>
      </c>
      <c r="I5" s="72"/>
      <c r="J5" s="72" t="s">
        <v>502</v>
      </c>
      <c r="K5" s="73" t="s">
        <v>526</v>
      </c>
      <c r="L5" s="73" t="s">
        <v>536</v>
      </c>
      <c r="M5" s="73"/>
      <c r="N5" s="73" t="s">
        <v>537</v>
      </c>
      <c r="O5" s="74">
        <v>45177</v>
      </c>
      <c r="P5" s="74" t="s">
        <v>538</v>
      </c>
      <c r="Q5" s="75"/>
      <c r="R5" s="76" t="s">
        <v>539</v>
      </c>
      <c r="S5" s="77"/>
      <c r="T5" s="62"/>
      <c r="U5" s="62"/>
      <c r="V5" s="78"/>
      <c r="W5" s="79">
        <v>0</v>
      </c>
      <c r="X5" s="80">
        <v>59800</v>
      </c>
      <c r="Y5" s="80"/>
      <c r="Z5" s="80">
        <v>5405</v>
      </c>
      <c r="AA5" s="81">
        <v>1001</v>
      </c>
      <c r="AB5" s="81">
        <v>1001</v>
      </c>
      <c r="AC5" s="81"/>
      <c r="AD5" s="82" t="s">
        <v>528</v>
      </c>
      <c r="AE5" s="67" t="s">
        <v>540</v>
      </c>
      <c r="AF5" s="68">
        <v>44988</v>
      </c>
      <c r="AG5" s="68"/>
      <c r="AH5" s="67">
        <v>59.740259740259738</v>
      </c>
      <c r="AI5" s="69" t="s">
        <v>541</v>
      </c>
      <c r="AJ5" s="70" t="s">
        <v>542</v>
      </c>
      <c r="AK5" s="83" t="s">
        <v>543</v>
      </c>
    </row>
    <row r="6" spans="1:37" s="70" customFormat="1" ht="28.5" customHeight="1">
      <c r="A6" s="55">
        <v>1</v>
      </c>
      <c r="B6" s="71" t="s">
        <v>544</v>
      </c>
      <c r="C6" s="72" t="s">
        <v>523</v>
      </c>
      <c r="D6" s="147">
        <v>418576003</v>
      </c>
      <c r="E6" s="145" t="s">
        <v>545</v>
      </c>
      <c r="F6" s="145" t="s">
        <v>546</v>
      </c>
      <c r="G6" s="133">
        <v>19350</v>
      </c>
      <c r="H6" s="133">
        <v>22.5</v>
      </c>
      <c r="I6" s="72"/>
      <c r="J6" s="72" t="s">
        <v>502</v>
      </c>
      <c r="K6" s="73" t="s">
        <v>547</v>
      </c>
      <c r="L6" s="73" t="s">
        <v>536</v>
      </c>
      <c r="M6" s="73"/>
      <c r="N6" s="73"/>
      <c r="O6" s="74"/>
      <c r="P6" s="74"/>
      <c r="Q6" s="75"/>
      <c r="R6" s="76" t="s">
        <v>539</v>
      </c>
      <c r="S6" s="77"/>
      <c r="T6" s="62"/>
      <c r="U6" s="62"/>
      <c r="V6" s="78"/>
      <c r="W6" s="79">
        <v>0</v>
      </c>
      <c r="X6" s="80">
        <v>0</v>
      </c>
      <c r="Y6" s="80"/>
      <c r="Z6" s="80">
        <v>0</v>
      </c>
      <c r="AA6" s="81">
        <v>860</v>
      </c>
      <c r="AB6" s="81">
        <v>1001</v>
      </c>
      <c r="AC6" s="81"/>
      <c r="AD6" s="82" t="s">
        <v>528</v>
      </c>
      <c r="AE6" s="67" t="s">
        <v>548</v>
      </c>
      <c r="AF6" s="68">
        <v>44988</v>
      </c>
      <c r="AG6" s="68"/>
      <c r="AH6" s="67">
        <v>0</v>
      </c>
      <c r="AI6" s="69" t="s">
        <v>541</v>
      </c>
    </row>
    <row r="7" spans="1:37" s="70" customFormat="1" ht="35.25" customHeight="1">
      <c r="A7" s="55">
        <v>1</v>
      </c>
      <c r="B7" s="71" t="s">
        <v>549</v>
      </c>
      <c r="C7" s="72" t="s">
        <v>523</v>
      </c>
      <c r="D7" s="147">
        <v>418576004</v>
      </c>
      <c r="E7" s="145" t="s">
        <v>550</v>
      </c>
      <c r="F7" s="145" t="s">
        <v>551</v>
      </c>
      <c r="G7" s="133">
        <v>19327.5</v>
      </c>
      <c r="H7" s="133">
        <v>22.5</v>
      </c>
      <c r="I7" s="72"/>
      <c r="J7" s="72" t="s">
        <v>502</v>
      </c>
      <c r="K7" s="73" t="s">
        <v>526</v>
      </c>
      <c r="L7" s="73" t="s">
        <v>536</v>
      </c>
      <c r="M7" s="73"/>
      <c r="N7" s="73"/>
      <c r="O7" s="74"/>
      <c r="P7" s="74"/>
      <c r="Q7" s="75"/>
      <c r="R7" s="76" t="s">
        <v>539</v>
      </c>
      <c r="S7" s="77"/>
      <c r="T7" s="62"/>
      <c r="U7" s="62"/>
      <c r="V7" s="84"/>
      <c r="W7" s="79">
        <v>0</v>
      </c>
      <c r="X7" s="80">
        <v>0</v>
      </c>
      <c r="Y7" s="80"/>
      <c r="Z7" s="80">
        <v>0</v>
      </c>
      <c r="AA7" s="81">
        <v>859</v>
      </c>
      <c r="AB7" s="81"/>
      <c r="AC7" s="81"/>
      <c r="AD7" s="82" t="s">
        <v>552</v>
      </c>
      <c r="AE7" s="67" t="s">
        <v>553</v>
      </c>
      <c r="AF7" s="68">
        <v>44898</v>
      </c>
      <c r="AG7" s="68"/>
      <c r="AH7" s="67">
        <v>0</v>
      </c>
      <c r="AI7" s="69" t="s">
        <v>541</v>
      </c>
    </row>
    <row r="8" spans="1:37" s="70" customFormat="1" ht="33.75">
      <c r="A8" s="55">
        <v>1</v>
      </c>
      <c r="B8" s="85" t="s">
        <v>554</v>
      </c>
      <c r="C8" s="86" t="s">
        <v>523</v>
      </c>
      <c r="D8" s="149">
        <v>418576005</v>
      </c>
      <c r="E8" s="145" t="s">
        <v>555</v>
      </c>
      <c r="F8" s="145" t="s">
        <v>556</v>
      </c>
      <c r="G8" s="133">
        <v>26000</v>
      </c>
      <c r="H8" s="133">
        <v>25.641025641025642</v>
      </c>
      <c r="I8" s="137">
        <v>25.641025641025642</v>
      </c>
      <c r="J8" s="86" t="s">
        <v>557</v>
      </c>
      <c r="K8" s="73" t="s">
        <v>526</v>
      </c>
      <c r="L8" s="87" t="s">
        <v>504</v>
      </c>
      <c r="M8" s="87"/>
      <c r="N8" s="73" t="s">
        <v>537</v>
      </c>
      <c r="O8" s="74" t="s">
        <v>558</v>
      </c>
      <c r="P8" s="88" t="s">
        <v>559</v>
      </c>
      <c r="Q8" s="75" t="s">
        <v>560</v>
      </c>
      <c r="R8" s="89" t="s">
        <v>539</v>
      </c>
      <c r="S8" s="77" t="s">
        <v>518</v>
      </c>
      <c r="T8" s="62" t="s">
        <v>560</v>
      </c>
      <c r="U8" s="62" t="s">
        <v>561</v>
      </c>
      <c r="V8" s="90" t="s">
        <v>560</v>
      </c>
      <c r="W8" s="91">
        <v>33420</v>
      </c>
      <c r="X8" s="92">
        <v>25400</v>
      </c>
      <c r="Y8" s="92"/>
      <c r="Z8" s="92">
        <v>3342</v>
      </c>
      <c r="AA8" s="81">
        <v>1014</v>
      </c>
      <c r="AB8" s="81"/>
      <c r="AC8" s="81"/>
      <c r="AD8" s="82" t="s">
        <v>528</v>
      </c>
      <c r="AE8" s="67" t="s">
        <v>562</v>
      </c>
      <c r="AF8" s="68">
        <v>44898</v>
      </c>
      <c r="AG8" s="68" t="s">
        <v>563</v>
      </c>
      <c r="AH8" s="67">
        <v>32.958579881656803</v>
      </c>
      <c r="AI8" s="93" t="s">
        <v>564</v>
      </c>
    </row>
    <row r="9" spans="1:37" s="70" customFormat="1" ht="32.25" customHeight="1">
      <c r="A9" s="55">
        <v>1</v>
      </c>
      <c r="B9" s="85" t="s">
        <v>565</v>
      </c>
      <c r="C9" s="86" t="s">
        <v>566</v>
      </c>
      <c r="D9" s="149">
        <v>418577012</v>
      </c>
      <c r="E9" s="145" t="s">
        <v>567</v>
      </c>
      <c r="F9" s="145" t="s">
        <v>568</v>
      </c>
      <c r="G9" s="133">
        <v>37000</v>
      </c>
      <c r="H9" s="133">
        <v>35.852713178294572</v>
      </c>
      <c r="I9" s="131"/>
      <c r="J9" s="85" t="s">
        <v>569</v>
      </c>
      <c r="K9" s="58" t="s">
        <v>570</v>
      </c>
      <c r="L9" s="94" t="s">
        <v>504</v>
      </c>
      <c r="M9" s="94"/>
      <c r="N9" s="58" t="s">
        <v>571</v>
      </c>
      <c r="O9" s="60">
        <v>44104</v>
      </c>
      <c r="P9" s="95">
        <v>45929</v>
      </c>
      <c r="Q9" s="59">
        <v>45199</v>
      </c>
      <c r="R9" s="59" t="s">
        <v>572</v>
      </c>
      <c r="S9" s="96" t="s">
        <v>573</v>
      </c>
      <c r="T9" s="62" t="s">
        <v>574</v>
      </c>
      <c r="U9" s="62" t="s">
        <v>519</v>
      </c>
      <c r="V9" s="63">
        <v>9900</v>
      </c>
      <c r="W9" s="64">
        <v>37000</v>
      </c>
      <c r="X9" s="65">
        <v>30700</v>
      </c>
      <c r="Y9" s="65"/>
      <c r="Z9" s="65">
        <v>9900</v>
      </c>
      <c r="AA9" s="66">
        <v>1662</v>
      </c>
      <c r="AB9" s="66"/>
      <c r="AC9" s="66"/>
      <c r="AD9" s="97" t="s">
        <v>528</v>
      </c>
      <c r="AE9" s="97" t="s">
        <v>575</v>
      </c>
      <c r="AF9" s="61">
        <v>46144</v>
      </c>
      <c r="AG9" s="61"/>
      <c r="AH9" s="97">
        <v>22.262334536702767</v>
      </c>
      <c r="AI9" s="98" t="s">
        <v>576</v>
      </c>
    </row>
    <row r="10" spans="1:37" s="70" customFormat="1" ht="51.75" customHeight="1">
      <c r="A10" s="55">
        <v>1</v>
      </c>
      <c r="B10" s="85" t="s">
        <v>577</v>
      </c>
      <c r="C10" s="86" t="s">
        <v>566</v>
      </c>
      <c r="D10" s="149">
        <v>418577013</v>
      </c>
      <c r="E10" s="145" t="s">
        <v>578</v>
      </c>
      <c r="F10" s="145" t="s">
        <v>579</v>
      </c>
      <c r="G10" s="133">
        <v>29000</v>
      </c>
      <c r="H10" s="133">
        <v>28.100775193798448</v>
      </c>
      <c r="I10" s="86"/>
      <c r="J10" s="86" t="s">
        <v>580</v>
      </c>
      <c r="K10" s="73" t="s">
        <v>570</v>
      </c>
      <c r="L10" s="87" t="s">
        <v>504</v>
      </c>
      <c r="M10" s="87"/>
      <c r="N10" s="73" t="s">
        <v>581</v>
      </c>
      <c r="O10" s="75">
        <v>42095</v>
      </c>
      <c r="P10" s="99">
        <v>45747</v>
      </c>
      <c r="Q10" s="75" t="s">
        <v>560</v>
      </c>
      <c r="R10" s="74" t="s">
        <v>560</v>
      </c>
      <c r="S10" s="77" t="s">
        <v>518</v>
      </c>
      <c r="T10" s="100" t="s">
        <v>148</v>
      </c>
      <c r="U10" s="100" t="s">
        <v>582</v>
      </c>
      <c r="V10" s="78">
        <v>2625</v>
      </c>
      <c r="W10" s="79">
        <v>29000</v>
      </c>
      <c r="X10" s="80">
        <v>25800</v>
      </c>
      <c r="Y10" s="80"/>
      <c r="Z10" s="80">
        <v>0</v>
      </c>
      <c r="AA10" s="81">
        <v>1032</v>
      </c>
      <c r="AB10" s="66"/>
      <c r="AC10" s="66"/>
      <c r="AD10" s="97" t="s">
        <v>552</v>
      </c>
      <c r="AE10" s="97" t="s">
        <v>529</v>
      </c>
      <c r="AF10" s="61">
        <v>44212</v>
      </c>
      <c r="AG10" s="61"/>
      <c r="AH10" s="97">
        <v>28.100775193798448</v>
      </c>
      <c r="AI10" s="101" t="s">
        <v>583</v>
      </c>
    </row>
    <row r="11" spans="1:37" s="70" customFormat="1" ht="58.5" customHeight="1">
      <c r="A11" s="102">
        <v>1</v>
      </c>
      <c r="B11" s="103" t="s">
        <v>371</v>
      </c>
      <c r="C11" s="104" t="s">
        <v>584</v>
      </c>
      <c r="D11" s="148">
        <v>418576003</v>
      </c>
      <c r="E11" s="145" t="s">
        <v>545</v>
      </c>
      <c r="F11" s="145" t="s">
        <v>546</v>
      </c>
      <c r="G11" s="133">
        <v>77220</v>
      </c>
      <c r="H11" s="133">
        <v>22.5</v>
      </c>
      <c r="I11" s="104"/>
      <c r="J11" s="104" t="s">
        <v>557</v>
      </c>
      <c r="K11" s="105" t="s">
        <v>585</v>
      </c>
      <c r="L11" s="105" t="s">
        <v>586</v>
      </c>
      <c r="M11" s="105"/>
      <c r="N11" s="105"/>
      <c r="O11" s="106"/>
      <c r="P11" s="106"/>
      <c r="Q11" s="107"/>
      <c r="R11" s="108"/>
      <c r="S11" s="105"/>
      <c r="T11" s="109"/>
      <c r="U11" s="110"/>
      <c r="V11" s="109"/>
      <c r="W11" s="111">
        <v>0</v>
      </c>
      <c r="X11" s="110">
        <v>89200</v>
      </c>
      <c r="Y11" s="112">
        <v>76050</v>
      </c>
      <c r="Z11" s="110">
        <v>0</v>
      </c>
      <c r="AA11" s="113">
        <v>3432</v>
      </c>
      <c r="AB11" s="113"/>
      <c r="AC11" s="113"/>
      <c r="AD11" s="114"/>
      <c r="AE11" s="114" t="s">
        <v>587</v>
      </c>
      <c r="AF11" s="115">
        <v>44478</v>
      </c>
      <c r="AG11" s="115"/>
      <c r="AH11" s="109">
        <v>25.990675990675992</v>
      </c>
      <c r="AI11" s="116" t="s">
        <v>588</v>
      </c>
      <c r="AJ11" s="70" t="s">
        <v>589</v>
      </c>
      <c r="AK11" s="70" t="s">
        <v>589</v>
      </c>
    </row>
    <row r="12" spans="1:37" s="70" customFormat="1" ht="45">
      <c r="A12" s="102">
        <v>1</v>
      </c>
      <c r="B12" s="71" t="s">
        <v>590</v>
      </c>
      <c r="C12" s="72" t="s">
        <v>591</v>
      </c>
      <c r="D12" s="147">
        <v>418578022</v>
      </c>
      <c r="E12" s="145" t="s">
        <v>592</v>
      </c>
      <c r="F12" s="145" t="s">
        <v>593</v>
      </c>
      <c r="G12" s="133">
        <v>41775</v>
      </c>
      <c r="H12" s="133">
        <v>25</v>
      </c>
      <c r="I12" s="72"/>
      <c r="J12" s="72" t="s">
        <v>502</v>
      </c>
      <c r="K12" s="114" t="s">
        <v>526</v>
      </c>
      <c r="L12" s="117" t="s">
        <v>504</v>
      </c>
      <c r="M12" s="117"/>
      <c r="N12" s="117"/>
      <c r="O12" s="75"/>
      <c r="P12" s="75"/>
      <c r="Q12" s="117"/>
      <c r="R12" s="77"/>
      <c r="S12" s="117"/>
      <c r="T12" s="117"/>
      <c r="U12" s="73"/>
      <c r="V12" s="114"/>
      <c r="W12" s="79">
        <v>0</v>
      </c>
      <c r="X12" s="80">
        <v>45000</v>
      </c>
      <c r="Y12" s="118">
        <v>41775</v>
      </c>
      <c r="Z12" s="80">
        <v>0</v>
      </c>
      <c r="AA12" s="119" t="s">
        <v>594</v>
      </c>
      <c r="AB12" s="119"/>
      <c r="AC12" s="119"/>
      <c r="AD12" s="114"/>
      <c r="AE12" s="120" t="s">
        <v>595</v>
      </c>
      <c r="AF12" s="68"/>
      <c r="AG12" s="68"/>
      <c r="AH12" s="97"/>
      <c r="AI12" s="121" t="s">
        <v>596</v>
      </c>
      <c r="AJ12" s="70" t="s">
        <v>597</v>
      </c>
      <c r="AK12" s="83" t="s">
        <v>598</v>
      </c>
    </row>
  </sheetData>
  <mergeCells count="1">
    <mergeCell ref="B1:C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7DE-174E-4A0F-A6C5-355D95F06726}">
  <sheetPr>
    <tabColor theme="4" tint="0.79998168889431442"/>
  </sheetPr>
  <dimension ref="A1:S754"/>
  <sheetViews>
    <sheetView tabSelected="1" workbookViewId="0">
      <selection activeCell="N2" sqref="N2:S9"/>
    </sheetView>
  </sheetViews>
  <sheetFormatPr defaultRowHeight="15"/>
  <cols>
    <col min="1" max="1" width="22.28515625" customWidth="1"/>
    <col min="2" max="2" width="10.42578125" hidden="1" customWidth="1"/>
    <col min="3" max="3" width="10.5703125" hidden="1" customWidth="1"/>
    <col min="4" max="4" width="20.85546875" bestFit="1" customWidth="1"/>
    <col min="5" max="5" width="11" hidden="1" customWidth="1"/>
    <col min="6" max="6" width="25.7109375" hidden="1" customWidth="1"/>
    <col min="7" max="7" width="48.42578125" bestFit="1" customWidth="1"/>
    <col min="8" max="8" width="16.85546875" bestFit="1" customWidth="1"/>
    <col min="9" max="9" width="13.7109375" bestFit="1" customWidth="1"/>
    <col min="10" max="10" width="11.7109375" bestFit="1" customWidth="1"/>
    <col min="11" max="11" width="7.5703125" bestFit="1" customWidth="1"/>
    <col min="12" max="12" width="10" bestFit="1" customWidth="1"/>
    <col min="13" max="13" width="33.28515625" style="29" bestFit="1" customWidth="1"/>
    <col min="14" max="14" width="26" bestFit="1" customWidth="1"/>
    <col min="17" max="17" width="17.42578125" customWidth="1"/>
  </cols>
  <sheetData>
    <row r="1" spans="1:19" s="200" customFormat="1" ht="15.75" thickBot="1">
      <c r="A1" s="200" t="s">
        <v>599</v>
      </c>
    </row>
    <row r="2" spans="1:19" s="150" customFormat="1" ht="60.75" thickBot="1">
      <c r="A2" s="150" t="s">
        <v>600</v>
      </c>
      <c r="B2" s="150" t="s">
        <v>601</v>
      </c>
      <c r="C2" s="150" t="s">
        <v>602</v>
      </c>
      <c r="D2" s="150" t="s">
        <v>603</v>
      </c>
      <c r="E2" s="150" t="s">
        <v>604</v>
      </c>
      <c r="F2" s="150" t="s">
        <v>605</v>
      </c>
      <c r="G2" s="150" t="s">
        <v>606</v>
      </c>
      <c r="H2" s="150" t="s">
        <v>607</v>
      </c>
      <c r="I2" s="150" t="s">
        <v>14</v>
      </c>
      <c r="J2" s="150" t="s">
        <v>608</v>
      </c>
      <c r="K2" s="150" t="s">
        <v>609</v>
      </c>
      <c r="L2" s="150" t="s">
        <v>610</v>
      </c>
      <c r="M2" s="200" t="s">
        <v>611</v>
      </c>
      <c r="N2" s="243" t="s">
        <v>481</v>
      </c>
      <c r="O2" s="244" t="s">
        <v>612</v>
      </c>
      <c r="P2" s="169" t="s">
        <v>613</v>
      </c>
      <c r="Q2" s="172" t="s">
        <v>614</v>
      </c>
      <c r="R2" s="168" t="s">
        <v>615</v>
      </c>
      <c r="S2" s="170" t="s">
        <v>616</v>
      </c>
    </row>
    <row r="3" spans="1:19">
      <c r="A3">
        <v>222625001</v>
      </c>
      <c r="B3">
        <v>222625001</v>
      </c>
      <c r="C3" t="e">
        <f>VLOOKUP(A3,'DS Tenanted units'!A:A,1,FALSE)</f>
        <v>#N/A</v>
      </c>
      <c r="D3" t="s">
        <v>89</v>
      </c>
      <c r="E3" t="s">
        <v>617</v>
      </c>
      <c r="F3">
        <v>373713</v>
      </c>
      <c r="G3" t="s">
        <v>88</v>
      </c>
      <c r="H3" t="s">
        <v>618</v>
      </c>
      <c r="I3" t="s">
        <v>619</v>
      </c>
      <c r="J3" t="s">
        <v>620</v>
      </c>
      <c r="K3" s="139">
        <v>38050</v>
      </c>
      <c r="L3" s="140">
        <v>45565</v>
      </c>
      <c r="M3" s="29" t="s">
        <v>518</v>
      </c>
      <c r="N3" s="185" t="s">
        <v>621</v>
      </c>
      <c r="O3">
        <v>138</v>
      </c>
      <c r="P3">
        <v>71</v>
      </c>
      <c r="Q3" s="183">
        <f>O3-P3</f>
        <v>67</v>
      </c>
      <c r="R3" s="185">
        <v>40</v>
      </c>
      <c r="S3" s="183">
        <f>O3-R3</f>
        <v>98</v>
      </c>
    </row>
    <row r="4" spans="1:19">
      <c r="A4">
        <v>222625003</v>
      </c>
      <c r="B4">
        <v>222625003</v>
      </c>
      <c r="C4" t="e">
        <f>VLOOKUP(A4,'DS Tenanted units'!A:A,1,FALSE)</f>
        <v>#N/A</v>
      </c>
      <c r="D4" t="s">
        <v>100</v>
      </c>
      <c r="E4" t="s">
        <v>617</v>
      </c>
      <c r="F4">
        <v>373715</v>
      </c>
      <c r="G4" t="s">
        <v>99</v>
      </c>
      <c r="H4" t="s">
        <v>618</v>
      </c>
      <c r="I4" t="s">
        <v>619</v>
      </c>
      <c r="J4" t="s">
        <v>620</v>
      </c>
      <c r="K4" s="139">
        <v>28500</v>
      </c>
      <c r="L4" s="140">
        <v>45565</v>
      </c>
      <c r="M4" s="29" t="s">
        <v>518</v>
      </c>
      <c r="N4" s="185" t="s">
        <v>622</v>
      </c>
      <c r="O4">
        <v>161</v>
      </c>
      <c r="P4">
        <v>11</v>
      </c>
      <c r="Q4" s="183">
        <f t="shared" ref="Q4:Q7" si="0">O4-P4</f>
        <v>150</v>
      </c>
      <c r="R4" s="185">
        <v>36</v>
      </c>
      <c r="S4" s="183">
        <f t="shared" ref="S4:S7" si="1">O4-R4</f>
        <v>125</v>
      </c>
    </row>
    <row r="5" spans="1:19">
      <c r="A5">
        <v>222646001</v>
      </c>
      <c r="B5">
        <v>222646001</v>
      </c>
      <c r="C5" t="e">
        <f>VLOOKUP(A5,'DS Tenanted units'!A:A,1,FALSE)</f>
        <v>#N/A</v>
      </c>
      <c r="D5" t="s">
        <v>219</v>
      </c>
      <c r="E5" t="s">
        <v>617</v>
      </c>
      <c r="F5">
        <v>10095637138</v>
      </c>
      <c r="G5" t="s">
        <v>218</v>
      </c>
      <c r="H5" t="s">
        <v>618</v>
      </c>
      <c r="I5" t="s">
        <v>619</v>
      </c>
      <c r="J5" t="s">
        <v>620</v>
      </c>
      <c r="K5" s="139">
        <v>44500</v>
      </c>
      <c r="L5" s="140">
        <v>45565</v>
      </c>
      <c r="M5" s="29" t="s">
        <v>518</v>
      </c>
      <c r="N5" s="185" t="s">
        <v>623</v>
      </c>
      <c r="O5">
        <v>294</v>
      </c>
      <c r="P5">
        <v>0</v>
      </c>
      <c r="Q5" s="183">
        <f t="shared" si="0"/>
        <v>294</v>
      </c>
      <c r="R5" s="185">
        <v>0</v>
      </c>
      <c r="S5" s="183">
        <f t="shared" si="1"/>
        <v>294</v>
      </c>
    </row>
    <row r="6" spans="1:19">
      <c r="A6">
        <v>222653001</v>
      </c>
      <c r="B6">
        <v>222653001</v>
      </c>
      <c r="C6" t="e">
        <f>VLOOKUP(A6,'DS Tenanted units'!A:A,1,FALSE)</f>
        <v>#N/A</v>
      </c>
      <c r="D6" t="s">
        <v>185</v>
      </c>
      <c r="E6" t="s">
        <v>624</v>
      </c>
      <c r="G6" t="s">
        <v>184</v>
      </c>
      <c r="H6" t="s">
        <v>625</v>
      </c>
      <c r="I6" t="s">
        <v>619</v>
      </c>
      <c r="J6" t="s">
        <v>620</v>
      </c>
      <c r="K6" s="139">
        <v>24000</v>
      </c>
      <c r="L6" s="140">
        <v>45565</v>
      </c>
      <c r="M6" s="29" t="s">
        <v>518</v>
      </c>
      <c r="N6" s="185" t="s">
        <v>626</v>
      </c>
      <c r="O6">
        <v>43</v>
      </c>
      <c r="P6">
        <v>3</v>
      </c>
      <c r="Q6" s="183">
        <f t="shared" si="0"/>
        <v>40</v>
      </c>
      <c r="R6" s="185">
        <v>0</v>
      </c>
      <c r="S6" s="183">
        <f t="shared" si="1"/>
        <v>43</v>
      </c>
    </row>
    <row r="7" spans="1:19">
      <c r="A7">
        <v>222680001</v>
      </c>
      <c r="B7">
        <v>222680001</v>
      </c>
      <c r="C7" t="e">
        <f>VLOOKUP(A7,'DS Tenanted units'!A:A,1,FALSE)</f>
        <v>#N/A</v>
      </c>
      <c r="D7" t="s">
        <v>269</v>
      </c>
      <c r="E7" t="s">
        <v>617</v>
      </c>
      <c r="F7">
        <v>4510747827</v>
      </c>
      <c r="G7" t="s">
        <v>268</v>
      </c>
      <c r="H7" t="s">
        <v>625</v>
      </c>
      <c r="I7" t="s">
        <v>619</v>
      </c>
      <c r="J7" t="s">
        <v>620</v>
      </c>
      <c r="K7" s="139">
        <v>29010</v>
      </c>
      <c r="L7" s="140">
        <v>45565</v>
      </c>
      <c r="M7" s="29" t="s">
        <v>518</v>
      </c>
      <c r="N7" s="185" t="s">
        <v>627</v>
      </c>
      <c r="O7">
        <v>107</v>
      </c>
      <c r="P7">
        <v>1</v>
      </c>
      <c r="Q7" s="183">
        <f t="shared" si="0"/>
        <v>106</v>
      </c>
      <c r="R7" s="185">
        <v>0</v>
      </c>
      <c r="S7" s="183">
        <f t="shared" si="1"/>
        <v>107</v>
      </c>
    </row>
    <row r="8" spans="1:19" ht="15.75" thickBot="1">
      <c r="A8">
        <v>222690003</v>
      </c>
      <c r="B8">
        <v>222690003</v>
      </c>
      <c r="C8" t="e">
        <f>VLOOKUP(A8,'DS Tenanted units'!A:A,1,FALSE)</f>
        <v>#N/A</v>
      </c>
      <c r="D8" t="s">
        <v>240</v>
      </c>
      <c r="E8" t="s">
        <v>617</v>
      </c>
      <c r="G8" t="s">
        <v>239</v>
      </c>
      <c r="H8" t="s">
        <v>625</v>
      </c>
      <c r="I8" t="s">
        <v>619</v>
      </c>
      <c r="J8" t="s">
        <v>620</v>
      </c>
      <c r="K8" s="139">
        <v>25768</v>
      </c>
      <c r="L8" s="140">
        <v>45565</v>
      </c>
      <c r="M8" s="29" t="s">
        <v>518</v>
      </c>
      <c r="N8" s="185"/>
      <c r="O8" s="188">
        <f>SUM(O3:O7)</f>
        <v>743</v>
      </c>
      <c r="P8" s="188">
        <f t="shared" ref="P8:Q8" si="2">SUM(P3:P7)</f>
        <v>86</v>
      </c>
      <c r="Q8" s="241">
        <f t="shared" si="2"/>
        <v>657</v>
      </c>
      <c r="R8" s="246">
        <f t="shared" ref="R8" si="3">SUM(R3:R7)</f>
        <v>76</v>
      </c>
      <c r="S8" s="241">
        <f t="shared" ref="S8" si="4">SUM(S3:S7)</f>
        <v>667</v>
      </c>
    </row>
    <row r="9" spans="1:19" ht="16.5" thickTop="1" thickBot="1">
      <c r="A9">
        <v>222698001</v>
      </c>
      <c r="B9">
        <v>222698001</v>
      </c>
      <c r="C9" t="e">
        <f>VLOOKUP(A9,'DS Tenanted units'!A:A,1,FALSE)</f>
        <v>#N/A</v>
      </c>
      <c r="D9" t="s">
        <v>285</v>
      </c>
      <c r="E9" t="s">
        <v>617</v>
      </c>
      <c r="F9">
        <v>10095672408</v>
      </c>
      <c r="G9" t="s">
        <v>284</v>
      </c>
      <c r="H9" t="s">
        <v>625</v>
      </c>
      <c r="I9" t="s">
        <v>619</v>
      </c>
      <c r="J9" t="s">
        <v>620</v>
      </c>
      <c r="K9" s="139">
        <v>49818</v>
      </c>
      <c r="L9" s="140">
        <v>45565</v>
      </c>
      <c r="M9" s="29" t="s">
        <v>518</v>
      </c>
      <c r="N9" s="242"/>
      <c r="O9" s="192"/>
      <c r="P9" s="192"/>
      <c r="Q9" s="199"/>
      <c r="R9" s="242"/>
      <c r="S9" s="199"/>
    </row>
    <row r="10" spans="1:19">
      <c r="A10">
        <v>222698002</v>
      </c>
      <c r="B10">
        <v>222698002</v>
      </c>
      <c r="C10" t="e">
        <f>VLOOKUP(A10,'DS Tenanted units'!A:A,1,FALSE)</f>
        <v>#N/A</v>
      </c>
      <c r="D10" t="s">
        <v>290</v>
      </c>
      <c r="E10" t="s">
        <v>617</v>
      </c>
      <c r="G10" t="s">
        <v>289</v>
      </c>
      <c r="H10" t="s">
        <v>625</v>
      </c>
      <c r="I10" t="s">
        <v>619</v>
      </c>
      <c r="J10" t="s">
        <v>620</v>
      </c>
      <c r="K10" s="139">
        <v>26130</v>
      </c>
      <c r="L10" s="140">
        <v>45565</v>
      </c>
      <c r="M10" s="29" t="s">
        <v>518</v>
      </c>
    </row>
    <row r="11" spans="1:19">
      <c r="A11">
        <v>222698003</v>
      </c>
      <c r="B11">
        <v>222698003</v>
      </c>
      <c r="C11" t="e">
        <f>VLOOKUP(A11,'DS Tenanted units'!A:A,1,FALSE)</f>
        <v>#N/A</v>
      </c>
      <c r="D11" t="s">
        <v>295</v>
      </c>
      <c r="E11" t="s">
        <v>617</v>
      </c>
      <c r="G11" t="s">
        <v>294</v>
      </c>
      <c r="H11" t="s">
        <v>625</v>
      </c>
      <c r="I11" t="s">
        <v>619</v>
      </c>
      <c r="J11" t="s">
        <v>620</v>
      </c>
      <c r="K11" s="139">
        <v>41970</v>
      </c>
      <c r="L11" s="140">
        <v>45565</v>
      </c>
      <c r="M11" s="29" t="s">
        <v>518</v>
      </c>
    </row>
    <row r="12" spans="1:19">
      <c r="A12">
        <v>222698004</v>
      </c>
      <c r="B12">
        <v>222698004</v>
      </c>
      <c r="C12" t="e">
        <f>VLOOKUP(A12,'DS Tenanted units'!A:A,1,FALSE)</f>
        <v>#N/A</v>
      </c>
      <c r="D12" t="s">
        <v>300</v>
      </c>
      <c r="E12" t="s">
        <v>617</v>
      </c>
      <c r="F12">
        <v>10095672457</v>
      </c>
      <c r="G12" t="s">
        <v>299</v>
      </c>
      <c r="H12" t="s">
        <v>625</v>
      </c>
      <c r="I12" t="s">
        <v>619</v>
      </c>
      <c r="J12" t="s">
        <v>620</v>
      </c>
      <c r="K12" s="139">
        <v>24390</v>
      </c>
      <c r="L12" s="140">
        <v>45565</v>
      </c>
      <c r="M12" s="29" t="s">
        <v>518</v>
      </c>
    </row>
    <row r="13" spans="1:19">
      <c r="A13">
        <v>222698005</v>
      </c>
      <c r="B13">
        <v>222698005</v>
      </c>
      <c r="C13" t="e">
        <f>VLOOKUP(A13,'DS Tenanted units'!A:A,1,FALSE)</f>
        <v>#N/A</v>
      </c>
      <c r="D13" t="s">
        <v>304</v>
      </c>
      <c r="E13" t="s">
        <v>617</v>
      </c>
      <c r="G13" t="s">
        <v>303</v>
      </c>
      <c r="H13" t="s">
        <v>625</v>
      </c>
      <c r="I13" t="s">
        <v>619</v>
      </c>
      <c r="J13" t="s">
        <v>620</v>
      </c>
      <c r="K13" s="139">
        <v>29260</v>
      </c>
      <c r="L13" s="140">
        <v>45565</v>
      </c>
      <c r="M13" s="29" t="s">
        <v>518</v>
      </c>
    </row>
    <row r="14" spans="1:19">
      <c r="A14">
        <v>222698006</v>
      </c>
      <c r="B14">
        <v>222698006</v>
      </c>
      <c r="C14" t="e">
        <f>VLOOKUP(A14,'DS Tenanted units'!A:A,1,FALSE)</f>
        <v>#N/A</v>
      </c>
      <c r="D14" t="s">
        <v>309</v>
      </c>
      <c r="E14" t="s">
        <v>617</v>
      </c>
      <c r="G14" t="s">
        <v>308</v>
      </c>
      <c r="H14" t="s">
        <v>625</v>
      </c>
      <c r="I14" t="s">
        <v>619</v>
      </c>
      <c r="J14" t="s">
        <v>620</v>
      </c>
      <c r="K14" s="139">
        <v>10010</v>
      </c>
      <c r="L14" s="140">
        <v>45565</v>
      </c>
      <c r="M14" s="29" t="s">
        <v>518</v>
      </c>
    </row>
    <row r="15" spans="1:19">
      <c r="A15">
        <v>222698007</v>
      </c>
      <c r="B15">
        <v>222698007</v>
      </c>
      <c r="C15" t="e">
        <f>VLOOKUP(A15,'DS Tenanted units'!A:A,1,FALSE)</f>
        <v>#N/A</v>
      </c>
      <c r="D15" t="s">
        <v>314</v>
      </c>
      <c r="E15" t="s">
        <v>617</v>
      </c>
      <c r="G15" t="s">
        <v>313</v>
      </c>
      <c r="H15" t="s">
        <v>625</v>
      </c>
      <c r="I15" t="s">
        <v>619</v>
      </c>
      <c r="J15" t="s">
        <v>620</v>
      </c>
      <c r="K15" s="139">
        <v>9928</v>
      </c>
      <c r="L15" s="140">
        <v>45565</v>
      </c>
      <c r="M15" s="29" t="s">
        <v>518</v>
      </c>
    </row>
    <row r="16" spans="1:19">
      <c r="A16">
        <v>222698008</v>
      </c>
      <c r="B16">
        <v>222698008</v>
      </c>
      <c r="C16" t="e">
        <f>VLOOKUP(A16,'DS Tenanted units'!A:A,1,FALSE)</f>
        <v>#N/A</v>
      </c>
      <c r="D16" t="s">
        <v>319</v>
      </c>
      <c r="E16" t="s">
        <v>617</v>
      </c>
      <c r="G16" t="s">
        <v>318</v>
      </c>
      <c r="H16" t="s">
        <v>625</v>
      </c>
      <c r="I16" t="s">
        <v>619</v>
      </c>
      <c r="J16" t="s">
        <v>620</v>
      </c>
      <c r="K16" s="139">
        <v>12274</v>
      </c>
      <c r="L16" s="140">
        <v>45565</v>
      </c>
      <c r="M16" s="29" t="s">
        <v>518</v>
      </c>
    </row>
    <row r="17" spans="1:13">
      <c r="A17">
        <v>222698009</v>
      </c>
      <c r="B17">
        <v>222698009</v>
      </c>
      <c r="C17" t="e">
        <f>VLOOKUP(A17,'DS Tenanted units'!A:A,1,FALSE)</f>
        <v>#N/A</v>
      </c>
      <c r="D17" t="s">
        <v>324</v>
      </c>
      <c r="E17" t="s">
        <v>617</v>
      </c>
      <c r="G17" t="s">
        <v>323</v>
      </c>
      <c r="H17" t="s">
        <v>625</v>
      </c>
      <c r="I17" t="s">
        <v>619</v>
      </c>
      <c r="J17" t="s">
        <v>620</v>
      </c>
      <c r="K17" s="139">
        <v>12000</v>
      </c>
      <c r="L17" s="140">
        <v>45565</v>
      </c>
      <c r="M17" s="29" t="s">
        <v>518</v>
      </c>
    </row>
    <row r="18" spans="1:13">
      <c r="A18">
        <v>222707001</v>
      </c>
      <c r="B18">
        <v>222707001</v>
      </c>
      <c r="C18" t="e">
        <f>VLOOKUP(A18,'DS Tenanted units'!A:A,1,FALSE)</f>
        <v>#N/A</v>
      </c>
      <c r="D18" t="s">
        <v>107</v>
      </c>
      <c r="E18" t="s">
        <v>617</v>
      </c>
      <c r="G18" t="s">
        <v>106</v>
      </c>
      <c r="H18" t="s">
        <v>625</v>
      </c>
      <c r="I18" t="s">
        <v>619</v>
      </c>
      <c r="J18" t="s">
        <v>620</v>
      </c>
      <c r="K18" s="139">
        <v>33733</v>
      </c>
      <c r="L18" s="140">
        <v>45565</v>
      </c>
      <c r="M18" s="29" t="s">
        <v>518</v>
      </c>
    </row>
    <row r="19" spans="1:13">
      <c r="A19">
        <v>222707004</v>
      </c>
      <c r="B19">
        <v>222707004</v>
      </c>
      <c r="C19" t="e">
        <f>VLOOKUP(A19,'DS Tenanted units'!A:A,1,FALSE)</f>
        <v>#N/A</v>
      </c>
      <c r="D19" t="s">
        <v>119</v>
      </c>
      <c r="E19" t="s">
        <v>617</v>
      </c>
      <c r="F19">
        <v>365551</v>
      </c>
      <c r="G19" t="s">
        <v>118</v>
      </c>
      <c r="H19" t="s">
        <v>625</v>
      </c>
      <c r="I19" t="s">
        <v>619</v>
      </c>
      <c r="J19" t="s">
        <v>620</v>
      </c>
      <c r="K19" s="139">
        <v>99858</v>
      </c>
      <c r="L19" s="140">
        <v>45565</v>
      </c>
      <c r="M19" s="29" t="s">
        <v>518</v>
      </c>
    </row>
    <row r="20" spans="1:13">
      <c r="A20">
        <v>222711002</v>
      </c>
      <c r="B20">
        <v>222711002</v>
      </c>
      <c r="C20" t="e">
        <f>VLOOKUP(A20,'DS Tenanted units'!A:A,1,FALSE)</f>
        <v>#N/A</v>
      </c>
      <c r="D20" t="s">
        <v>353</v>
      </c>
      <c r="E20" t="s">
        <v>617</v>
      </c>
      <c r="G20" t="s">
        <v>352</v>
      </c>
      <c r="H20" t="s">
        <v>625</v>
      </c>
      <c r="I20" t="s">
        <v>619</v>
      </c>
      <c r="J20" t="s">
        <v>620</v>
      </c>
      <c r="K20" s="139">
        <v>26573</v>
      </c>
      <c r="L20" s="140">
        <v>45565</v>
      </c>
      <c r="M20" s="29" t="s">
        <v>518</v>
      </c>
    </row>
    <row r="21" spans="1:13">
      <c r="A21">
        <v>222711003</v>
      </c>
      <c r="B21">
        <v>222711003</v>
      </c>
      <c r="C21" t="e">
        <f>VLOOKUP(A21,'DS Tenanted units'!A:A,1,FALSE)</f>
        <v>#N/A</v>
      </c>
      <c r="D21" t="s">
        <v>356</v>
      </c>
      <c r="E21" t="s">
        <v>617</v>
      </c>
      <c r="G21" t="s">
        <v>355</v>
      </c>
      <c r="H21" t="s">
        <v>625</v>
      </c>
      <c r="I21" t="s">
        <v>619</v>
      </c>
      <c r="J21" t="s">
        <v>620</v>
      </c>
      <c r="K21" s="139">
        <v>26573</v>
      </c>
      <c r="L21" s="140">
        <v>45565</v>
      </c>
      <c r="M21" s="29" t="s">
        <v>518</v>
      </c>
    </row>
    <row r="22" spans="1:13">
      <c r="A22">
        <v>222736001</v>
      </c>
      <c r="B22">
        <v>222736001</v>
      </c>
      <c r="C22" t="e">
        <f>VLOOKUP(A22,'DS Tenanted units'!A:A,1,FALSE)</f>
        <v>#N/A</v>
      </c>
      <c r="D22" t="s">
        <v>343</v>
      </c>
      <c r="E22" t="s">
        <v>617</v>
      </c>
      <c r="G22" t="s">
        <v>342</v>
      </c>
      <c r="H22" t="s">
        <v>625</v>
      </c>
      <c r="I22" t="s">
        <v>619</v>
      </c>
      <c r="J22" t="s">
        <v>620</v>
      </c>
      <c r="K22" s="139">
        <v>35000</v>
      </c>
      <c r="L22" s="140">
        <v>45565</v>
      </c>
      <c r="M22" s="29" t="s">
        <v>518</v>
      </c>
    </row>
    <row r="23" spans="1:13">
      <c r="A23">
        <v>222746001</v>
      </c>
      <c r="B23">
        <v>222746001</v>
      </c>
      <c r="C23" t="e">
        <f>VLOOKUP(A23,'DS Tenanted units'!A:A,1,FALSE)</f>
        <v>#N/A</v>
      </c>
      <c r="D23" t="s">
        <v>363</v>
      </c>
      <c r="E23" t="s">
        <v>617</v>
      </c>
      <c r="G23" t="s">
        <v>362</v>
      </c>
      <c r="H23" t="s">
        <v>625</v>
      </c>
      <c r="I23" t="s">
        <v>619</v>
      </c>
      <c r="J23" t="s">
        <v>620</v>
      </c>
      <c r="K23" s="139">
        <v>61533</v>
      </c>
      <c r="L23" s="140">
        <v>45565</v>
      </c>
      <c r="M23" s="29" t="s">
        <v>518</v>
      </c>
    </row>
    <row r="24" spans="1:13">
      <c r="A24">
        <v>222746002</v>
      </c>
      <c r="B24">
        <v>222746002</v>
      </c>
      <c r="C24" t="e">
        <f>VLOOKUP(A24,'DS Tenanted units'!A:A,1,FALSE)</f>
        <v>#N/A</v>
      </c>
      <c r="D24" t="s">
        <v>369</v>
      </c>
      <c r="E24" t="s">
        <v>617</v>
      </c>
      <c r="G24" t="s">
        <v>368</v>
      </c>
      <c r="H24" t="s">
        <v>625</v>
      </c>
      <c r="I24" t="s">
        <v>619</v>
      </c>
      <c r="J24" t="s">
        <v>620</v>
      </c>
      <c r="K24" s="139">
        <v>45020</v>
      </c>
      <c r="L24" s="140">
        <v>45565</v>
      </c>
      <c r="M24" s="29" t="s">
        <v>518</v>
      </c>
    </row>
    <row r="25" spans="1:13">
      <c r="A25">
        <v>222746003</v>
      </c>
      <c r="B25">
        <v>222746003</v>
      </c>
      <c r="C25" t="e">
        <f>VLOOKUP(A25,'DS Tenanted units'!A:A,1,FALSE)</f>
        <v>#N/A</v>
      </c>
      <c r="D25" t="s">
        <v>373</v>
      </c>
      <c r="E25" t="s">
        <v>617</v>
      </c>
      <c r="G25" t="s">
        <v>372</v>
      </c>
      <c r="H25" t="s">
        <v>625</v>
      </c>
      <c r="I25" t="s">
        <v>619</v>
      </c>
      <c r="J25" t="s">
        <v>620</v>
      </c>
      <c r="K25" s="139">
        <v>31050</v>
      </c>
      <c r="L25" s="140">
        <v>45565</v>
      </c>
      <c r="M25" s="29" t="s">
        <v>518</v>
      </c>
    </row>
    <row r="26" spans="1:13">
      <c r="A26">
        <v>222746004</v>
      </c>
      <c r="B26">
        <v>222746004</v>
      </c>
      <c r="C26" t="e">
        <f>VLOOKUP(A26,'DS Tenanted units'!A:A,1,FALSE)</f>
        <v>#N/A</v>
      </c>
      <c r="D26" t="s">
        <v>378</v>
      </c>
      <c r="E26" t="s">
        <v>617</v>
      </c>
      <c r="G26" t="s">
        <v>377</v>
      </c>
      <c r="H26" t="s">
        <v>625</v>
      </c>
      <c r="I26" t="s">
        <v>619</v>
      </c>
      <c r="J26" t="s">
        <v>620</v>
      </c>
      <c r="K26" s="139">
        <v>61533</v>
      </c>
      <c r="L26" s="140">
        <v>45565</v>
      </c>
      <c r="M26" s="29" t="s">
        <v>518</v>
      </c>
    </row>
    <row r="27" spans="1:13">
      <c r="A27">
        <v>222746005</v>
      </c>
      <c r="B27">
        <v>222746005</v>
      </c>
      <c r="C27" t="e">
        <f>VLOOKUP(A27,'DS Tenanted units'!A:A,1,FALSE)</f>
        <v>#N/A</v>
      </c>
      <c r="D27" t="s">
        <v>383</v>
      </c>
      <c r="E27" t="s">
        <v>617</v>
      </c>
      <c r="G27" t="s">
        <v>382</v>
      </c>
      <c r="H27" t="s">
        <v>625</v>
      </c>
      <c r="I27" t="s">
        <v>619</v>
      </c>
      <c r="J27" t="s">
        <v>620</v>
      </c>
      <c r="K27" s="139">
        <v>103650</v>
      </c>
      <c r="L27" s="140">
        <v>45565</v>
      </c>
      <c r="M27" s="29" t="s">
        <v>518</v>
      </c>
    </row>
    <row r="28" spans="1:13">
      <c r="A28">
        <v>222757001</v>
      </c>
      <c r="B28">
        <v>222757001</v>
      </c>
      <c r="C28" t="e">
        <f>VLOOKUP(A28,'DS Tenanted units'!A:A,1,FALSE)</f>
        <v>#N/A</v>
      </c>
      <c r="D28" t="s">
        <v>407</v>
      </c>
      <c r="E28" t="s">
        <v>617</v>
      </c>
      <c r="F28">
        <v>10095947501</v>
      </c>
      <c r="G28" t="s">
        <v>406</v>
      </c>
      <c r="H28" t="s">
        <v>625</v>
      </c>
      <c r="I28" t="s">
        <v>619</v>
      </c>
      <c r="J28" t="s">
        <v>620</v>
      </c>
      <c r="K28" s="139">
        <v>9384</v>
      </c>
      <c r="L28" s="140">
        <v>45565</v>
      </c>
      <c r="M28" s="29" t="s">
        <v>518</v>
      </c>
    </row>
    <row r="29" spans="1:13">
      <c r="A29">
        <v>222761001</v>
      </c>
      <c r="B29">
        <v>222761001</v>
      </c>
      <c r="C29" t="e">
        <f>VLOOKUP(A29,'DS Tenanted units'!A:A,1,FALSE)</f>
        <v>#N/A</v>
      </c>
      <c r="D29" t="s">
        <v>403</v>
      </c>
      <c r="E29" t="s">
        <v>617</v>
      </c>
      <c r="G29" t="s">
        <v>402</v>
      </c>
      <c r="H29" t="s">
        <v>625</v>
      </c>
      <c r="I29" t="s">
        <v>619</v>
      </c>
      <c r="J29" t="s">
        <v>620</v>
      </c>
      <c r="K29" s="139">
        <v>22500</v>
      </c>
      <c r="L29" s="140">
        <v>45565</v>
      </c>
      <c r="M29" s="29" t="s">
        <v>518</v>
      </c>
    </row>
    <row r="30" spans="1:13">
      <c r="A30">
        <v>222795001</v>
      </c>
      <c r="B30">
        <v>222795001</v>
      </c>
      <c r="C30" t="e">
        <f>VLOOKUP(A30,'DS Tenanted units'!A:A,1,FALSE)</f>
        <v>#N/A</v>
      </c>
      <c r="D30" t="s">
        <v>330</v>
      </c>
      <c r="E30" t="s">
        <v>617</v>
      </c>
      <c r="G30" t="s">
        <v>329</v>
      </c>
      <c r="H30" t="s">
        <v>625</v>
      </c>
      <c r="I30" t="s">
        <v>619</v>
      </c>
      <c r="J30" t="s">
        <v>620</v>
      </c>
      <c r="K30" s="139">
        <v>33700</v>
      </c>
      <c r="L30" s="140">
        <v>45565</v>
      </c>
      <c r="M30" s="29" t="s">
        <v>518</v>
      </c>
    </row>
    <row r="31" spans="1:13">
      <c r="A31">
        <v>222808001</v>
      </c>
      <c r="B31" t="e">
        <v>#N/A</v>
      </c>
      <c r="C31" t="e">
        <f>VLOOKUP(A31,'DS Tenanted units'!A:A,1,FALSE)</f>
        <v>#N/A</v>
      </c>
      <c r="D31" t="s">
        <v>471</v>
      </c>
      <c r="E31" t="s">
        <v>617</v>
      </c>
      <c r="F31">
        <v>10095640582</v>
      </c>
      <c r="G31" t="s">
        <v>470</v>
      </c>
      <c r="H31" t="s">
        <v>618</v>
      </c>
      <c r="I31" t="s">
        <v>619</v>
      </c>
      <c r="J31" t="s">
        <v>620</v>
      </c>
      <c r="K31" s="139">
        <v>17400</v>
      </c>
      <c r="L31" s="140">
        <v>45565</v>
      </c>
      <c r="M31" s="29" t="s">
        <v>518</v>
      </c>
    </row>
    <row r="32" spans="1:13">
      <c r="A32">
        <v>222813001</v>
      </c>
      <c r="B32">
        <v>222813001</v>
      </c>
      <c r="C32" t="e">
        <f>VLOOKUP(A32,'DS Tenanted units'!A:A,1,FALSE)</f>
        <v>#N/A</v>
      </c>
      <c r="D32" t="s">
        <v>448</v>
      </c>
      <c r="E32" t="s">
        <v>617</v>
      </c>
      <c r="G32" t="s">
        <v>447</v>
      </c>
      <c r="H32" t="s">
        <v>625</v>
      </c>
      <c r="I32" t="s">
        <v>619</v>
      </c>
      <c r="J32" t="s">
        <v>620</v>
      </c>
      <c r="K32" s="139">
        <v>80500</v>
      </c>
      <c r="L32" s="140">
        <v>45645</v>
      </c>
      <c r="M32" s="29" t="s">
        <v>518</v>
      </c>
    </row>
    <row r="33" spans="1:13">
      <c r="A33">
        <v>222813002</v>
      </c>
      <c r="B33">
        <v>222813002</v>
      </c>
      <c r="C33" t="e">
        <f>VLOOKUP(A33,'DS Tenanted units'!A:A,1,FALSE)</f>
        <v>#N/A</v>
      </c>
      <c r="D33" t="s">
        <v>451</v>
      </c>
      <c r="E33" t="s">
        <v>617</v>
      </c>
      <c r="G33" t="s">
        <v>450</v>
      </c>
      <c r="H33" t="s">
        <v>625</v>
      </c>
      <c r="I33" t="s">
        <v>619</v>
      </c>
      <c r="J33" t="s">
        <v>620</v>
      </c>
      <c r="K33" s="139">
        <v>33960</v>
      </c>
      <c r="L33" s="140">
        <v>45645</v>
      </c>
      <c r="M33" s="29" t="s">
        <v>518</v>
      </c>
    </row>
    <row r="34" spans="1:13">
      <c r="A34">
        <v>222813003</v>
      </c>
      <c r="B34">
        <v>222813003</v>
      </c>
      <c r="C34" t="e">
        <f>VLOOKUP(A34,'DS Tenanted units'!A:A,1,FALSE)</f>
        <v>#N/A</v>
      </c>
      <c r="D34" t="s">
        <v>454</v>
      </c>
      <c r="E34" t="s">
        <v>617</v>
      </c>
      <c r="G34" t="s">
        <v>453</v>
      </c>
      <c r="H34" t="s">
        <v>625</v>
      </c>
      <c r="I34" t="s">
        <v>619</v>
      </c>
      <c r="J34" t="s">
        <v>620</v>
      </c>
      <c r="K34" s="139">
        <v>33960</v>
      </c>
      <c r="L34" s="140">
        <v>45645</v>
      </c>
      <c r="M34" s="29" t="s">
        <v>518</v>
      </c>
    </row>
    <row r="35" spans="1:13">
      <c r="A35">
        <v>222813004</v>
      </c>
      <c r="B35">
        <v>222813004</v>
      </c>
      <c r="C35" t="e">
        <f>VLOOKUP(A35,'DS Tenanted units'!A:A,1,FALSE)</f>
        <v>#N/A</v>
      </c>
      <c r="D35" t="s">
        <v>457</v>
      </c>
      <c r="E35" t="s">
        <v>617</v>
      </c>
      <c r="G35" t="s">
        <v>456</v>
      </c>
      <c r="H35" t="s">
        <v>625</v>
      </c>
      <c r="I35" t="s">
        <v>619</v>
      </c>
      <c r="J35" t="s">
        <v>620</v>
      </c>
      <c r="K35" s="139">
        <v>32430</v>
      </c>
      <c r="L35" s="140">
        <v>45645</v>
      </c>
      <c r="M35" s="29" t="s">
        <v>518</v>
      </c>
    </row>
    <row r="36" spans="1:13">
      <c r="A36">
        <v>222813005</v>
      </c>
      <c r="B36">
        <v>222813005</v>
      </c>
      <c r="C36" t="e">
        <f>VLOOKUP(A36,'DS Tenanted units'!A:A,1,FALSE)</f>
        <v>#N/A</v>
      </c>
      <c r="D36" t="s">
        <v>460</v>
      </c>
      <c r="E36" t="s">
        <v>617</v>
      </c>
      <c r="G36" t="s">
        <v>459</v>
      </c>
      <c r="H36" t="s">
        <v>625</v>
      </c>
      <c r="I36" t="s">
        <v>619</v>
      </c>
      <c r="J36" t="s">
        <v>620</v>
      </c>
      <c r="K36" s="139">
        <v>62400</v>
      </c>
      <c r="L36" s="140">
        <v>45645</v>
      </c>
      <c r="M36" s="29" t="s">
        <v>518</v>
      </c>
    </row>
    <row r="37" spans="1:13">
      <c r="A37">
        <v>222813006</v>
      </c>
      <c r="B37">
        <v>222813006</v>
      </c>
      <c r="C37" t="e">
        <f>VLOOKUP(A37,'DS Tenanted units'!A:A,1,FALSE)</f>
        <v>#N/A</v>
      </c>
      <c r="D37" t="s">
        <v>463</v>
      </c>
      <c r="E37" t="s">
        <v>617</v>
      </c>
      <c r="G37" t="s">
        <v>462</v>
      </c>
      <c r="H37" t="s">
        <v>625</v>
      </c>
      <c r="I37" t="s">
        <v>619</v>
      </c>
      <c r="J37" t="s">
        <v>620</v>
      </c>
      <c r="K37" s="139">
        <v>39180</v>
      </c>
      <c r="L37" s="140">
        <v>45645</v>
      </c>
      <c r="M37" s="29" t="s">
        <v>518</v>
      </c>
    </row>
    <row r="38" spans="1:13">
      <c r="A38">
        <v>222813007</v>
      </c>
      <c r="B38">
        <v>222813007</v>
      </c>
      <c r="C38" t="e">
        <f>VLOOKUP(A38,'DS Tenanted units'!A:A,1,FALSE)</f>
        <v>#N/A</v>
      </c>
      <c r="D38" t="s">
        <v>466</v>
      </c>
      <c r="E38" t="s">
        <v>617</v>
      </c>
      <c r="G38" t="s">
        <v>465</v>
      </c>
      <c r="H38" t="s">
        <v>625</v>
      </c>
      <c r="I38" t="s">
        <v>619</v>
      </c>
      <c r="J38" t="s">
        <v>620</v>
      </c>
      <c r="K38" s="139">
        <v>29880</v>
      </c>
      <c r="L38" s="140">
        <v>45645</v>
      </c>
      <c r="M38" s="29" t="s">
        <v>518</v>
      </c>
    </row>
    <row r="39" spans="1:13">
      <c r="A39">
        <v>900005001</v>
      </c>
      <c r="B39">
        <v>900005001</v>
      </c>
      <c r="C39" t="e">
        <f>VLOOKUP(A39,'DS Tenanted units'!A:A,1,FALSE)</f>
        <v>#N/A</v>
      </c>
      <c r="D39" t="s">
        <v>168</v>
      </c>
      <c r="E39" t="s">
        <v>628</v>
      </c>
      <c r="F39">
        <v>10094370345</v>
      </c>
      <c r="G39" t="s">
        <v>167</v>
      </c>
      <c r="H39" t="s">
        <v>618</v>
      </c>
      <c r="I39" t="s">
        <v>619</v>
      </c>
      <c r="J39" t="s">
        <v>620</v>
      </c>
      <c r="K39" s="139">
        <v>51731</v>
      </c>
      <c r="L39" s="140">
        <v>45565</v>
      </c>
      <c r="M39" s="29" t="s">
        <v>518</v>
      </c>
    </row>
    <row r="40" spans="1:13">
      <c r="A40">
        <v>900005002</v>
      </c>
      <c r="B40">
        <v>900005002</v>
      </c>
      <c r="C40" t="e">
        <f>VLOOKUP(A40,'DS Tenanted units'!A:A,1,FALSE)</f>
        <v>#N/A</v>
      </c>
      <c r="D40" t="s">
        <v>171</v>
      </c>
      <c r="E40" t="s">
        <v>628</v>
      </c>
      <c r="F40">
        <v>10094370347</v>
      </c>
      <c r="G40" t="s">
        <v>170</v>
      </c>
      <c r="H40" t="s">
        <v>618</v>
      </c>
      <c r="I40" t="s">
        <v>619</v>
      </c>
      <c r="J40" t="s">
        <v>620</v>
      </c>
      <c r="K40" s="139">
        <v>60000</v>
      </c>
      <c r="L40" s="140">
        <v>45565</v>
      </c>
      <c r="M40" s="29" t="s">
        <v>518</v>
      </c>
    </row>
    <row r="41" spans="1:13">
      <c r="A41">
        <v>900005003</v>
      </c>
      <c r="B41">
        <v>900005003</v>
      </c>
      <c r="C41" t="e">
        <f>VLOOKUP(A41,'DS Tenanted units'!A:A,1,FALSE)</f>
        <v>#N/A</v>
      </c>
      <c r="D41" t="s">
        <v>176</v>
      </c>
      <c r="E41" t="s">
        <v>628</v>
      </c>
      <c r="F41">
        <v>10094370348</v>
      </c>
      <c r="G41" t="s">
        <v>175</v>
      </c>
      <c r="H41" t="s">
        <v>618</v>
      </c>
      <c r="I41" t="s">
        <v>619</v>
      </c>
      <c r="J41" t="s">
        <v>620</v>
      </c>
      <c r="K41" s="139">
        <v>20340</v>
      </c>
      <c r="L41" s="140">
        <v>45565</v>
      </c>
      <c r="M41" s="29" t="s">
        <v>518</v>
      </c>
    </row>
    <row r="42" spans="1:13">
      <c r="A42">
        <v>900005004</v>
      </c>
      <c r="B42">
        <v>900005004</v>
      </c>
      <c r="C42" t="e">
        <f>VLOOKUP(A42,'DS Tenanted units'!A:A,1,FALSE)</f>
        <v>#N/A</v>
      </c>
      <c r="D42" t="s">
        <v>179</v>
      </c>
      <c r="E42" t="s">
        <v>628</v>
      </c>
      <c r="F42">
        <v>10094370349</v>
      </c>
      <c r="G42" t="s">
        <v>178</v>
      </c>
      <c r="H42" t="s">
        <v>618</v>
      </c>
      <c r="I42" t="s">
        <v>619</v>
      </c>
      <c r="J42" t="s">
        <v>620</v>
      </c>
      <c r="K42" s="139">
        <v>24055</v>
      </c>
      <c r="L42" s="140">
        <v>45565</v>
      </c>
      <c r="M42" s="29" t="s">
        <v>518</v>
      </c>
    </row>
    <row r="43" spans="1:13" s="141" customFormat="1">
      <c r="A43" s="141">
        <v>106535002</v>
      </c>
      <c r="B43" s="141" t="e">
        <v>#N/A</v>
      </c>
      <c r="C43" s="141" t="e">
        <f>VLOOKUP(A43,'DS Tenanted units'!A:A,1,FALSE)</f>
        <v>#N/A</v>
      </c>
      <c r="D43" s="141" t="s">
        <v>629</v>
      </c>
      <c r="E43" s="141" t="s">
        <v>617</v>
      </c>
      <c r="F43" s="141">
        <v>100071533871</v>
      </c>
      <c r="G43" s="141" t="s">
        <v>630</v>
      </c>
      <c r="H43" s="141" t="s">
        <v>618</v>
      </c>
      <c r="I43" s="141" t="s">
        <v>631</v>
      </c>
      <c r="J43" s="141" t="s">
        <v>620</v>
      </c>
      <c r="K43" s="142">
        <v>2520</v>
      </c>
      <c r="L43" s="143">
        <v>45565</v>
      </c>
      <c r="M43" s="245" t="s">
        <v>632</v>
      </c>
    </row>
    <row r="44" spans="1:13" s="141" customFormat="1">
      <c r="A44" s="141">
        <v>109643009</v>
      </c>
      <c r="B44" s="141" t="e">
        <v>#N/A</v>
      </c>
      <c r="C44" s="141" t="e">
        <f>VLOOKUP(A44,'DS Tenanted units'!A:A,1,FALSE)</f>
        <v>#N/A</v>
      </c>
      <c r="D44" s="141" t="s">
        <v>633</v>
      </c>
      <c r="E44" s="141" t="s">
        <v>617</v>
      </c>
      <c r="G44" s="141" t="s">
        <v>634</v>
      </c>
      <c r="H44" s="141" t="s">
        <v>635</v>
      </c>
      <c r="I44" s="141" t="s">
        <v>636</v>
      </c>
      <c r="J44" s="141" t="s">
        <v>620</v>
      </c>
      <c r="K44" s="141">
        <v>0</v>
      </c>
      <c r="L44" s="143">
        <v>45565</v>
      </c>
      <c r="M44" s="245" t="s">
        <v>632</v>
      </c>
    </row>
    <row r="45" spans="1:13" s="141" customFormat="1">
      <c r="A45" s="141">
        <v>109691002</v>
      </c>
      <c r="B45" s="141" t="e">
        <v>#N/A</v>
      </c>
      <c r="C45" s="141" t="e">
        <f>VLOOKUP(A45,'DS Tenanted units'!A:A,1,FALSE)</f>
        <v>#N/A</v>
      </c>
      <c r="D45" s="141" t="s">
        <v>637</v>
      </c>
      <c r="E45" s="141" t="s">
        <v>617</v>
      </c>
      <c r="G45" s="141" t="s">
        <v>638</v>
      </c>
      <c r="H45" s="141" t="s">
        <v>639</v>
      </c>
      <c r="I45" s="141" t="s">
        <v>636</v>
      </c>
      <c r="J45" s="141" t="s">
        <v>620</v>
      </c>
      <c r="K45" s="141">
        <v>1</v>
      </c>
      <c r="L45" s="143">
        <v>45565</v>
      </c>
      <c r="M45" s="245" t="s">
        <v>632</v>
      </c>
    </row>
    <row r="46" spans="1:13" s="141" customFormat="1">
      <c r="A46" s="141">
        <v>112180004</v>
      </c>
      <c r="B46" s="141" t="e">
        <v>#N/A</v>
      </c>
      <c r="C46" s="141" t="e">
        <f>VLOOKUP(A46,'DS Tenanted units'!A:A,1,FALSE)</f>
        <v>#N/A</v>
      </c>
      <c r="D46" s="141" t="s">
        <v>640</v>
      </c>
      <c r="E46" s="141" t="s">
        <v>617</v>
      </c>
      <c r="G46" s="141" t="s">
        <v>641</v>
      </c>
      <c r="H46" s="141" t="s">
        <v>635</v>
      </c>
      <c r="I46" s="141" t="s">
        <v>619</v>
      </c>
      <c r="J46" s="141" t="s">
        <v>620</v>
      </c>
      <c r="K46" s="141">
        <v>0</v>
      </c>
      <c r="L46" s="143">
        <v>43122</v>
      </c>
      <c r="M46" s="245" t="s">
        <v>632</v>
      </c>
    </row>
    <row r="47" spans="1:13" s="141" customFormat="1">
      <c r="A47" s="141">
        <v>112180005</v>
      </c>
      <c r="B47" s="141" t="e">
        <v>#N/A</v>
      </c>
      <c r="C47" s="141" t="e">
        <f>VLOOKUP(A47,'DS Tenanted units'!A:A,1,FALSE)</f>
        <v>#N/A</v>
      </c>
      <c r="D47" s="141" t="s">
        <v>642</v>
      </c>
      <c r="E47" s="141" t="s">
        <v>617</v>
      </c>
      <c r="G47" s="141" t="s">
        <v>643</v>
      </c>
      <c r="H47" s="141" t="s">
        <v>635</v>
      </c>
      <c r="I47" s="141" t="s">
        <v>619</v>
      </c>
      <c r="J47" s="141" t="s">
        <v>620</v>
      </c>
      <c r="K47" s="141">
        <v>0</v>
      </c>
      <c r="L47" s="143">
        <v>43122</v>
      </c>
      <c r="M47" s="245" t="s">
        <v>632</v>
      </c>
    </row>
    <row r="48" spans="1:13" s="141" customFormat="1">
      <c r="A48" s="141">
        <v>112180008</v>
      </c>
      <c r="B48" s="141" t="e">
        <v>#N/A</v>
      </c>
      <c r="C48" s="141" t="e">
        <f>VLOOKUP(A48,'DS Tenanted units'!A:A,1,FALSE)</f>
        <v>#N/A</v>
      </c>
      <c r="D48" s="141" t="s">
        <v>644</v>
      </c>
      <c r="E48" s="141" t="s">
        <v>617</v>
      </c>
      <c r="G48" s="141" t="s">
        <v>645</v>
      </c>
      <c r="H48" s="141" t="s">
        <v>635</v>
      </c>
      <c r="I48" s="141" t="s">
        <v>619</v>
      </c>
      <c r="J48" s="141" t="s">
        <v>620</v>
      </c>
      <c r="K48" s="141">
        <v>0</v>
      </c>
      <c r="L48" s="143">
        <v>45565</v>
      </c>
      <c r="M48" s="245" t="s">
        <v>632</v>
      </c>
    </row>
    <row r="49" spans="1:13" s="141" customFormat="1">
      <c r="A49" s="141">
        <v>112180009</v>
      </c>
      <c r="B49" s="141" t="e">
        <v>#N/A</v>
      </c>
      <c r="C49" s="141" t="e">
        <f>VLOOKUP(A49,'DS Tenanted units'!A:A,1,FALSE)</f>
        <v>#N/A</v>
      </c>
      <c r="D49" s="141" t="s">
        <v>646</v>
      </c>
      <c r="E49" s="141" t="s">
        <v>617</v>
      </c>
      <c r="G49" s="141" t="s">
        <v>647</v>
      </c>
      <c r="H49" s="141" t="s">
        <v>635</v>
      </c>
      <c r="I49" s="141" t="s">
        <v>619</v>
      </c>
      <c r="J49" s="141" t="s">
        <v>620</v>
      </c>
      <c r="K49" s="141">
        <v>0</v>
      </c>
      <c r="L49" s="143">
        <v>43122</v>
      </c>
      <c r="M49" s="245" t="s">
        <v>632</v>
      </c>
    </row>
    <row r="50" spans="1:13" s="141" customFormat="1">
      <c r="A50" s="141">
        <v>122489002</v>
      </c>
      <c r="B50" s="141" t="e">
        <v>#N/A</v>
      </c>
      <c r="C50" s="141" t="e">
        <f>VLOOKUP(A50,'DS Tenanted units'!A:A,1,FALSE)</f>
        <v>#N/A</v>
      </c>
      <c r="D50" s="141" t="s">
        <v>648</v>
      </c>
      <c r="E50" s="141" t="s">
        <v>617</v>
      </c>
      <c r="G50" s="141" t="s">
        <v>649</v>
      </c>
      <c r="H50" s="141" t="s">
        <v>618</v>
      </c>
      <c r="I50" s="141" t="s">
        <v>636</v>
      </c>
      <c r="J50" s="141" t="s">
        <v>620</v>
      </c>
      <c r="K50" s="141">
        <v>0</v>
      </c>
      <c r="L50" s="143">
        <v>43122</v>
      </c>
      <c r="M50" s="245" t="s">
        <v>632</v>
      </c>
    </row>
    <row r="51" spans="1:13" s="141" customFormat="1">
      <c r="A51" s="141">
        <v>122489003</v>
      </c>
      <c r="B51" s="141" t="e">
        <v>#N/A</v>
      </c>
      <c r="C51" s="141" t="e">
        <f>VLOOKUP(A51,'DS Tenanted units'!A:A,1,FALSE)</f>
        <v>#N/A</v>
      </c>
      <c r="D51" s="141" t="s">
        <v>650</v>
      </c>
      <c r="E51" s="141" t="s">
        <v>617</v>
      </c>
      <c r="G51" s="141" t="s">
        <v>651</v>
      </c>
      <c r="H51" s="141" t="s">
        <v>618</v>
      </c>
      <c r="I51" s="141" t="s">
        <v>636</v>
      </c>
      <c r="J51" s="141" t="s">
        <v>620</v>
      </c>
      <c r="K51" s="141">
        <v>0</v>
      </c>
      <c r="L51" s="143">
        <v>43122</v>
      </c>
      <c r="M51" s="245" t="s">
        <v>632</v>
      </c>
    </row>
    <row r="52" spans="1:13" s="141" customFormat="1">
      <c r="A52" s="141">
        <v>122489004</v>
      </c>
      <c r="B52" s="141" t="e">
        <v>#N/A</v>
      </c>
      <c r="C52" s="141" t="e">
        <f>VLOOKUP(A52,'DS Tenanted units'!A:A,1,FALSE)</f>
        <v>#N/A</v>
      </c>
      <c r="D52" s="141" t="s">
        <v>650</v>
      </c>
      <c r="E52" s="141" t="s">
        <v>617</v>
      </c>
      <c r="G52" s="141" t="s">
        <v>652</v>
      </c>
      <c r="H52" s="141" t="s">
        <v>618</v>
      </c>
      <c r="I52" s="141" t="s">
        <v>636</v>
      </c>
      <c r="J52" s="141" t="s">
        <v>620</v>
      </c>
      <c r="K52" s="141">
        <v>0</v>
      </c>
      <c r="L52" s="143">
        <v>43122</v>
      </c>
      <c r="M52" s="245" t="s">
        <v>632</v>
      </c>
    </row>
    <row r="53" spans="1:13" s="141" customFormat="1">
      <c r="A53" s="141">
        <v>122489005</v>
      </c>
      <c r="B53" s="141" t="e">
        <v>#N/A</v>
      </c>
      <c r="C53" s="141" t="e">
        <f>VLOOKUP(A53,'DS Tenanted units'!A:A,1,FALSE)</f>
        <v>#N/A</v>
      </c>
      <c r="D53" s="141" t="s">
        <v>650</v>
      </c>
      <c r="E53" s="141" t="s">
        <v>617</v>
      </c>
      <c r="G53" s="141" t="s">
        <v>653</v>
      </c>
      <c r="H53" s="141" t="s">
        <v>618</v>
      </c>
      <c r="I53" s="141" t="s">
        <v>636</v>
      </c>
      <c r="J53" s="141" t="s">
        <v>620</v>
      </c>
      <c r="K53" s="141">
        <v>0</v>
      </c>
      <c r="L53" s="143">
        <v>43122</v>
      </c>
      <c r="M53" s="245" t="s">
        <v>632</v>
      </c>
    </row>
    <row r="54" spans="1:13" s="141" customFormat="1">
      <c r="A54" s="141">
        <v>122489006</v>
      </c>
      <c r="B54" s="141" t="e">
        <v>#N/A</v>
      </c>
      <c r="C54" s="141" t="e">
        <f>VLOOKUP(A54,'DS Tenanted units'!A:A,1,FALSE)</f>
        <v>#N/A</v>
      </c>
      <c r="D54" s="141" t="s">
        <v>650</v>
      </c>
      <c r="E54" s="141" t="s">
        <v>617</v>
      </c>
      <c r="G54" s="141" t="s">
        <v>654</v>
      </c>
      <c r="H54" s="141" t="s">
        <v>618</v>
      </c>
      <c r="I54" s="141" t="s">
        <v>636</v>
      </c>
      <c r="J54" s="141" t="s">
        <v>620</v>
      </c>
      <c r="K54" s="141">
        <v>0</v>
      </c>
      <c r="L54" s="143">
        <v>43122</v>
      </c>
      <c r="M54" s="245" t="s">
        <v>632</v>
      </c>
    </row>
    <row r="55" spans="1:13" s="141" customFormat="1">
      <c r="A55" s="141">
        <v>122489007</v>
      </c>
      <c r="B55" s="141" t="e">
        <v>#N/A</v>
      </c>
      <c r="C55" s="141" t="e">
        <f>VLOOKUP(A55,'DS Tenanted units'!A:A,1,FALSE)</f>
        <v>#N/A</v>
      </c>
      <c r="D55" s="141" t="s">
        <v>650</v>
      </c>
      <c r="E55" s="141" t="s">
        <v>617</v>
      </c>
      <c r="G55" s="141" t="s">
        <v>655</v>
      </c>
      <c r="H55" s="141" t="s">
        <v>618</v>
      </c>
      <c r="I55" s="141" t="s">
        <v>636</v>
      </c>
      <c r="J55" s="141" t="s">
        <v>620</v>
      </c>
      <c r="K55" s="141">
        <v>0</v>
      </c>
      <c r="L55" s="143">
        <v>43122</v>
      </c>
      <c r="M55" s="245" t="s">
        <v>632</v>
      </c>
    </row>
    <row r="56" spans="1:13" s="141" customFormat="1">
      <c r="A56" s="141">
        <v>122489008</v>
      </c>
      <c r="B56" s="141" t="e">
        <v>#N/A</v>
      </c>
      <c r="C56" s="141" t="e">
        <f>VLOOKUP(A56,'DS Tenanted units'!A:A,1,FALSE)</f>
        <v>#N/A</v>
      </c>
      <c r="D56" s="141" t="s">
        <v>650</v>
      </c>
      <c r="E56" s="141" t="s">
        <v>617</v>
      </c>
      <c r="G56" s="141" t="s">
        <v>656</v>
      </c>
      <c r="H56" s="141" t="s">
        <v>618</v>
      </c>
      <c r="I56" s="141" t="s">
        <v>636</v>
      </c>
      <c r="J56" s="141" t="s">
        <v>620</v>
      </c>
      <c r="K56" s="141">
        <v>0</v>
      </c>
      <c r="L56" s="143">
        <v>43122</v>
      </c>
      <c r="M56" s="245" t="s">
        <v>632</v>
      </c>
    </row>
    <row r="57" spans="1:13" s="141" customFormat="1">
      <c r="A57" s="141">
        <v>122489009</v>
      </c>
      <c r="B57" s="141" t="e">
        <v>#N/A</v>
      </c>
      <c r="C57" s="141" t="e">
        <f>VLOOKUP(A57,'DS Tenanted units'!A:A,1,FALSE)</f>
        <v>#N/A</v>
      </c>
      <c r="D57" s="141" t="s">
        <v>650</v>
      </c>
      <c r="E57" s="141" t="s">
        <v>617</v>
      </c>
      <c r="G57" s="141" t="s">
        <v>657</v>
      </c>
      <c r="H57" s="141" t="s">
        <v>618</v>
      </c>
      <c r="I57" s="141" t="s">
        <v>636</v>
      </c>
      <c r="J57" s="141" t="s">
        <v>620</v>
      </c>
      <c r="K57" s="141">
        <v>0</v>
      </c>
      <c r="L57" s="143">
        <v>43122</v>
      </c>
      <c r="M57" s="245" t="s">
        <v>632</v>
      </c>
    </row>
    <row r="58" spans="1:13" s="141" customFormat="1">
      <c r="A58" s="141">
        <v>122489010</v>
      </c>
      <c r="B58" s="141" t="e">
        <v>#N/A</v>
      </c>
      <c r="C58" s="141" t="e">
        <f>VLOOKUP(A58,'DS Tenanted units'!A:A,1,FALSE)</f>
        <v>#N/A</v>
      </c>
      <c r="D58" s="141" t="s">
        <v>650</v>
      </c>
      <c r="E58" s="141" t="s">
        <v>617</v>
      </c>
      <c r="G58" s="141" t="s">
        <v>658</v>
      </c>
      <c r="H58" s="141" t="s">
        <v>618</v>
      </c>
      <c r="I58" s="141" t="s">
        <v>636</v>
      </c>
      <c r="J58" s="141" t="s">
        <v>620</v>
      </c>
      <c r="K58" s="141">
        <v>0</v>
      </c>
      <c r="L58" s="143">
        <v>43122</v>
      </c>
      <c r="M58" s="245" t="s">
        <v>632</v>
      </c>
    </row>
    <row r="59" spans="1:13" s="141" customFormat="1">
      <c r="A59" s="141">
        <v>122489011</v>
      </c>
      <c r="B59" s="141" t="e">
        <v>#N/A</v>
      </c>
      <c r="C59" s="141" t="e">
        <f>VLOOKUP(A59,'DS Tenanted units'!A:A,1,FALSE)</f>
        <v>#N/A</v>
      </c>
      <c r="D59" s="141" t="s">
        <v>650</v>
      </c>
      <c r="E59" s="141" t="s">
        <v>617</v>
      </c>
      <c r="G59" s="141" t="s">
        <v>659</v>
      </c>
      <c r="H59" s="141" t="s">
        <v>618</v>
      </c>
      <c r="I59" s="141" t="s">
        <v>636</v>
      </c>
      <c r="J59" s="141" t="s">
        <v>620</v>
      </c>
      <c r="K59" s="141">
        <v>0</v>
      </c>
      <c r="L59" s="143">
        <v>43122</v>
      </c>
      <c r="M59" s="245" t="s">
        <v>632</v>
      </c>
    </row>
    <row r="60" spans="1:13" s="141" customFormat="1">
      <c r="A60" s="141">
        <v>122489012</v>
      </c>
      <c r="B60" s="141" t="e">
        <v>#N/A</v>
      </c>
      <c r="C60" s="141" t="e">
        <f>VLOOKUP(A60,'DS Tenanted units'!A:A,1,FALSE)</f>
        <v>#N/A</v>
      </c>
      <c r="D60" s="141" t="s">
        <v>650</v>
      </c>
      <c r="E60" s="141" t="s">
        <v>617</v>
      </c>
      <c r="G60" s="141" t="s">
        <v>660</v>
      </c>
      <c r="H60" s="141" t="s">
        <v>618</v>
      </c>
      <c r="I60" s="141" t="s">
        <v>636</v>
      </c>
      <c r="J60" s="141" t="s">
        <v>620</v>
      </c>
      <c r="K60" s="141">
        <v>0</v>
      </c>
      <c r="L60" s="143">
        <v>43122</v>
      </c>
      <c r="M60" s="245" t="s">
        <v>632</v>
      </c>
    </row>
    <row r="61" spans="1:13" s="141" customFormat="1">
      <c r="A61" s="141">
        <v>122489013</v>
      </c>
      <c r="B61" s="141" t="e">
        <v>#N/A</v>
      </c>
      <c r="C61" s="141" t="e">
        <f>VLOOKUP(A61,'DS Tenanted units'!A:A,1,FALSE)</f>
        <v>#N/A</v>
      </c>
      <c r="D61" s="141" t="s">
        <v>650</v>
      </c>
      <c r="E61" s="141" t="s">
        <v>617</v>
      </c>
      <c r="G61" s="141" t="s">
        <v>661</v>
      </c>
      <c r="H61" s="141" t="s">
        <v>618</v>
      </c>
      <c r="I61" s="141" t="s">
        <v>636</v>
      </c>
      <c r="J61" s="141" t="s">
        <v>620</v>
      </c>
      <c r="K61" s="141">
        <v>0</v>
      </c>
      <c r="L61" s="143">
        <v>43122</v>
      </c>
      <c r="M61" s="245" t="s">
        <v>632</v>
      </c>
    </row>
    <row r="62" spans="1:13" s="141" customFormat="1">
      <c r="A62" s="141">
        <v>122489014</v>
      </c>
      <c r="B62" s="141" t="e">
        <v>#N/A</v>
      </c>
      <c r="C62" s="141" t="e">
        <f>VLOOKUP(A62,'DS Tenanted units'!A:A,1,FALSE)</f>
        <v>#N/A</v>
      </c>
      <c r="D62" s="141" t="s">
        <v>650</v>
      </c>
      <c r="E62" s="141" t="s">
        <v>617</v>
      </c>
      <c r="G62" s="141" t="s">
        <v>662</v>
      </c>
      <c r="H62" s="141" t="s">
        <v>618</v>
      </c>
      <c r="I62" s="141" t="s">
        <v>619</v>
      </c>
      <c r="J62" s="141" t="s">
        <v>620</v>
      </c>
      <c r="K62" s="142">
        <v>55547</v>
      </c>
      <c r="L62" s="143">
        <v>43122</v>
      </c>
      <c r="M62" s="245" t="s">
        <v>632</v>
      </c>
    </row>
    <row r="63" spans="1:13" s="141" customFormat="1">
      <c r="A63" s="141">
        <v>122489015</v>
      </c>
      <c r="B63" s="141" t="e">
        <v>#N/A</v>
      </c>
      <c r="C63" s="141" t="e">
        <f>VLOOKUP(A63,'DS Tenanted units'!A:A,1,FALSE)</f>
        <v>#N/A</v>
      </c>
      <c r="D63" s="141" t="s">
        <v>650</v>
      </c>
      <c r="E63" s="141" t="s">
        <v>617</v>
      </c>
      <c r="G63" s="141" t="s">
        <v>663</v>
      </c>
      <c r="H63" s="141" t="s">
        <v>618</v>
      </c>
      <c r="I63" s="141" t="s">
        <v>636</v>
      </c>
      <c r="J63" s="141" t="s">
        <v>620</v>
      </c>
      <c r="K63" s="142">
        <v>3900</v>
      </c>
      <c r="L63" s="143">
        <v>43122</v>
      </c>
      <c r="M63" s="245" t="s">
        <v>632</v>
      </c>
    </row>
    <row r="64" spans="1:13" s="141" customFormat="1">
      <c r="A64" s="141">
        <v>122489027</v>
      </c>
      <c r="B64" s="141" t="e">
        <v>#N/A</v>
      </c>
      <c r="C64" s="141" t="e">
        <f>VLOOKUP(A64,'DS Tenanted units'!A:A,1,FALSE)</f>
        <v>#N/A</v>
      </c>
      <c r="D64" s="141" t="s">
        <v>650</v>
      </c>
      <c r="E64" s="141" t="s">
        <v>617</v>
      </c>
      <c r="G64" s="141" t="s">
        <v>664</v>
      </c>
      <c r="H64" s="141" t="s">
        <v>618</v>
      </c>
      <c r="I64" s="141" t="s">
        <v>636</v>
      </c>
      <c r="J64" s="141" t="s">
        <v>620</v>
      </c>
      <c r="K64" s="141">
        <v>0</v>
      </c>
      <c r="L64" s="143">
        <v>43122</v>
      </c>
      <c r="M64" s="245" t="s">
        <v>632</v>
      </c>
    </row>
    <row r="65" spans="1:13" s="141" customFormat="1">
      <c r="A65" s="141">
        <v>122489029</v>
      </c>
      <c r="B65" s="141" t="e">
        <v>#N/A</v>
      </c>
      <c r="C65" s="141" t="e">
        <f>VLOOKUP(A65,'DS Tenanted units'!A:A,1,FALSE)</f>
        <v>#N/A</v>
      </c>
      <c r="D65" s="141" t="s">
        <v>650</v>
      </c>
      <c r="E65" s="141" t="s">
        <v>617</v>
      </c>
      <c r="G65" s="141" t="s">
        <v>665</v>
      </c>
      <c r="H65" s="141" t="s">
        <v>618</v>
      </c>
      <c r="I65" s="141" t="s">
        <v>636</v>
      </c>
      <c r="J65" s="141" t="s">
        <v>620</v>
      </c>
      <c r="K65" s="141">
        <v>0</v>
      </c>
      <c r="L65" s="143">
        <v>43122</v>
      </c>
      <c r="M65" s="245" t="s">
        <v>632</v>
      </c>
    </row>
    <row r="66" spans="1:13" s="141" customFormat="1">
      <c r="A66" s="141">
        <v>122489030</v>
      </c>
      <c r="B66" s="141" t="e">
        <v>#N/A</v>
      </c>
      <c r="C66" s="141" t="e">
        <f>VLOOKUP(A66,'DS Tenanted units'!A:A,1,FALSE)</f>
        <v>#N/A</v>
      </c>
      <c r="D66" s="141" t="s">
        <v>650</v>
      </c>
      <c r="E66" s="141" t="s">
        <v>617</v>
      </c>
      <c r="G66" s="141" t="s">
        <v>666</v>
      </c>
      <c r="H66" s="141" t="s">
        <v>618</v>
      </c>
      <c r="I66" s="141" t="s">
        <v>636</v>
      </c>
      <c r="J66" s="141" t="s">
        <v>620</v>
      </c>
      <c r="K66" s="141">
        <v>0</v>
      </c>
      <c r="L66" s="143">
        <v>43122</v>
      </c>
      <c r="M66" s="245" t="s">
        <v>632</v>
      </c>
    </row>
    <row r="67" spans="1:13" s="141" customFormat="1">
      <c r="A67" s="141">
        <v>122492002</v>
      </c>
      <c r="B67" s="141" t="e">
        <v>#N/A</v>
      </c>
      <c r="C67" s="141" t="e">
        <f>VLOOKUP(A67,'DS Tenanted units'!A:A,1,FALSE)</f>
        <v>#N/A</v>
      </c>
      <c r="D67" s="141" t="s">
        <v>650</v>
      </c>
      <c r="E67" s="141" t="s">
        <v>617</v>
      </c>
      <c r="G67" s="141" t="s">
        <v>667</v>
      </c>
      <c r="H67" s="141" t="s">
        <v>618</v>
      </c>
      <c r="I67" s="141" t="s">
        <v>636</v>
      </c>
      <c r="J67" s="141" t="s">
        <v>620</v>
      </c>
      <c r="K67" s="141">
        <v>0</v>
      </c>
      <c r="L67" s="143">
        <v>43122</v>
      </c>
      <c r="M67" s="245" t="s">
        <v>632</v>
      </c>
    </row>
    <row r="68" spans="1:13" s="141" customFormat="1">
      <c r="A68" s="141">
        <v>122492003</v>
      </c>
      <c r="B68" s="141" t="e">
        <v>#N/A</v>
      </c>
      <c r="C68" s="141" t="e">
        <f>VLOOKUP(A68,'DS Tenanted units'!A:A,1,FALSE)</f>
        <v>#N/A</v>
      </c>
      <c r="D68" s="141" t="s">
        <v>650</v>
      </c>
      <c r="E68" s="141" t="s">
        <v>617</v>
      </c>
      <c r="G68" s="141" t="s">
        <v>668</v>
      </c>
      <c r="H68" s="141" t="s">
        <v>618</v>
      </c>
      <c r="I68" s="141" t="s">
        <v>636</v>
      </c>
      <c r="J68" s="141" t="s">
        <v>620</v>
      </c>
      <c r="K68" s="141">
        <v>0</v>
      </c>
      <c r="L68" s="143">
        <v>43122</v>
      </c>
      <c r="M68" s="245" t="s">
        <v>632</v>
      </c>
    </row>
    <row r="69" spans="1:13" s="141" customFormat="1">
      <c r="A69" s="141">
        <v>122492007</v>
      </c>
      <c r="B69" s="141" t="e">
        <v>#N/A</v>
      </c>
      <c r="C69" s="141" t="e">
        <f>VLOOKUP(A69,'DS Tenanted units'!A:A,1,FALSE)</f>
        <v>#N/A</v>
      </c>
      <c r="D69" s="141" t="s">
        <v>650</v>
      </c>
      <c r="E69" s="141" t="s">
        <v>617</v>
      </c>
      <c r="G69" s="141" t="s">
        <v>669</v>
      </c>
      <c r="H69" s="141" t="s">
        <v>618</v>
      </c>
      <c r="I69" s="141" t="s">
        <v>636</v>
      </c>
      <c r="J69" s="141" t="s">
        <v>620</v>
      </c>
      <c r="K69" s="141">
        <v>0</v>
      </c>
      <c r="L69" s="143">
        <v>43122</v>
      </c>
      <c r="M69" s="245" t="s">
        <v>632</v>
      </c>
    </row>
    <row r="70" spans="1:13" s="141" customFormat="1">
      <c r="A70" s="141">
        <v>122494001</v>
      </c>
      <c r="B70" s="141" t="e">
        <v>#N/A</v>
      </c>
      <c r="C70" s="141" t="e">
        <f>VLOOKUP(A70,'DS Tenanted units'!A:A,1,FALSE)</f>
        <v>#N/A</v>
      </c>
      <c r="D70" s="141" t="s">
        <v>650</v>
      </c>
      <c r="E70" s="141" t="s">
        <v>617</v>
      </c>
      <c r="G70" s="141" t="s">
        <v>670</v>
      </c>
      <c r="H70" s="141" t="s">
        <v>618</v>
      </c>
      <c r="I70" s="141" t="s">
        <v>636</v>
      </c>
      <c r="J70" s="141" t="s">
        <v>620</v>
      </c>
      <c r="K70" s="141">
        <v>0</v>
      </c>
      <c r="L70" s="143">
        <v>43122</v>
      </c>
      <c r="M70" s="245" t="s">
        <v>632</v>
      </c>
    </row>
    <row r="71" spans="1:13" s="141" customFormat="1">
      <c r="A71" s="141">
        <v>122494002</v>
      </c>
      <c r="B71" s="141" t="e">
        <v>#N/A</v>
      </c>
      <c r="C71" s="141" t="e">
        <f>VLOOKUP(A71,'DS Tenanted units'!A:A,1,FALSE)</f>
        <v>#N/A</v>
      </c>
      <c r="D71" s="141" t="s">
        <v>650</v>
      </c>
      <c r="E71" s="141" t="s">
        <v>617</v>
      </c>
      <c r="G71" s="141" t="s">
        <v>671</v>
      </c>
      <c r="H71" s="141" t="s">
        <v>618</v>
      </c>
      <c r="I71" s="141" t="s">
        <v>636</v>
      </c>
      <c r="J71" s="141" t="s">
        <v>620</v>
      </c>
      <c r="K71" s="141">
        <v>0</v>
      </c>
      <c r="L71" s="143">
        <v>43122</v>
      </c>
      <c r="M71" s="245" t="s">
        <v>632</v>
      </c>
    </row>
    <row r="72" spans="1:13" s="141" customFormat="1">
      <c r="A72" s="141">
        <v>122494003</v>
      </c>
      <c r="B72" s="141" t="e">
        <v>#N/A</v>
      </c>
      <c r="C72" s="141" t="e">
        <f>VLOOKUP(A72,'DS Tenanted units'!A:A,1,FALSE)</f>
        <v>#N/A</v>
      </c>
      <c r="D72" s="141" t="s">
        <v>650</v>
      </c>
      <c r="E72" s="141" t="s">
        <v>617</v>
      </c>
      <c r="G72" s="141" t="s">
        <v>672</v>
      </c>
      <c r="H72" s="141" t="s">
        <v>618</v>
      </c>
      <c r="I72" s="141" t="s">
        <v>636</v>
      </c>
      <c r="J72" s="141" t="s">
        <v>620</v>
      </c>
      <c r="K72" s="141">
        <v>0</v>
      </c>
      <c r="L72" s="143">
        <v>43122</v>
      </c>
      <c r="M72" s="245" t="s">
        <v>632</v>
      </c>
    </row>
    <row r="73" spans="1:13" s="141" customFormat="1">
      <c r="A73" s="141">
        <v>122494006</v>
      </c>
      <c r="B73" s="141" t="e">
        <v>#N/A</v>
      </c>
      <c r="C73" s="141" t="e">
        <f>VLOOKUP(A73,'DS Tenanted units'!A:A,1,FALSE)</f>
        <v>#N/A</v>
      </c>
      <c r="D73" s="141" t="s">
        <v>650</v>
      </c>
      <c r="E73" s="141" t="s">
        <v>617</v>
      </c>
      <c r="G73" s="141" t="s">
        <v>673</v>
      </c>
      <c r="H73" s="141" t="s">
        <v>618</v>
      </c>
      <c r="I73" s="141" t="s">
        <v>636</v>
      </c>
      <c r="J73" s="141" t="s">
        <v>620</v>
      </c>
      <c r="K73" s="141">
        <v>0</v>
      </c>
      <c r="L73" s="143">
        <v>43122</v>
      </c>
      <c r="M73" s="245" t="s">
        <v>632</v>
      </c>
    </row>
    <row r="74" spans="1:13" s="141" customFormat="1">
      <c r="A74" s="141">
        <v>122494007</v>
      </c>
      <c r="B74" s="141" t="e">
        <v>#N/A</v>
      </c>
      <c r="C74" s="141" t="e">
        <f>VLOOKUP(A74,'DS Tenanted units'!A:A,1,FALSE)</f>
        <v>#N/A</v>
      </c>
      <c r="D74" s="141" t="s">
        <v>650</v>
      </c>
      <c r="E74" s="141" t="s">
        <v>617</v>
      </c>
      <c r="G74" s="141" t="s">
        <v>674</v>
      </c>
      <c r="H74" s="141" t="s">
        <v>618</v>
      </c>
      <c r="I74" s="141" t="s">
        <v>636</v>
      </c>
      <c r="J74" s="141" t="s">
        <v>620</v>
      </c>
      <c r="K74" s="141">
        <v>0</v>
      </c>
      <c r="L74" s="143">
        <v>43122</v>
      </c>
      <c r="M74" s="245" t="s">
        <v>632</v>
      </c>
    </row>
    <row r="75" spans="1:13" s="141" customFormat="1">
      <c r="A75" s="141">
        <v>122494008</v>
      </c>
      <c r="B75" s="141" t="e">
        <v>#N/A</v>
      </c>
      <c r="C75" s="141" t="e">
        <f>VLOOKUP(A75,'DS Tenanted units'!A:A,1,FALSE)</f>
        <v>#N/A</v>
      </c>
      <c r="D75" s="141" t="s">
        <v>650</v>
      </c>
      <c r="E75" s="141" t="s">
        <v>617</v>
      </c>
      <c r="G75" s="141" t="s">
        <v>675</v>
      </c>
      <c r="H75" s="141" t="s">
        <v>618</v>
      </c>
      <c r="I75" s="141" t="s">
        <v>636</v>
      </c>
      <c r="J75" s="141" t="s">
        <v>620</v>
      </c>
      <c r="K75" s="141">
        <v>0</v>
      </c>
      <c r="L75" s="143">
        <v>43122</v>
      </c>
      <c r="M75" s="245" t="s">
        <v>632</v>
      </c>
    </row>
    <row r="76" spans="1:13" s="141" customFormat="1">
      <c r="A76" s="141">
        <v>122494009</v>
      </c>
      <c r="B76" s="141" t="e">
        <v>#N/A</v>
      </c>
      <c r="C76" s="141" t="e">
        <f>VLOOKUP(A76,'DS Tenanted units'!A:A,1,FALSE)</f>
        <v>#N/A</v>
      </c>
      <c r="D76" s="141" t="s">
        <v>650</v>
      </c>
      <c r="E76" s="141" t="s">
        <v>617</v>
      </c>
      <c r="G76" s="141" t="s">
        <v>676</v>
      </c>
      <c r="H76" s="141" t="s">
        <v>618</v>
      </c>
      <c r="I76" s="141" t="s">
        <v>636</v>
      </c>
      <c r="J76" s="141" t="s">
        <v>620</v>
      </c>
      <c r="K76" s="141">
        <v>0</v>
      </c>
      <c r="L76" s="143">
        <v>43122</v>
      </c>
      <c r="M76" s="245" t="s">
        <v>632</v>
      </c>
    </row>
    <row r="77" spans="1:13" s="141" customFormat="1">
      <c r="A77" s="141">
        <v>122494010</v>
      </c>
      <c r="B77" s="141" t="e">
        <v>#N/A</v>
      </c>
      <c r="C77" s="141" t="e">
        <f>VLOOKUP(A77,'DS Tenanted units'!A:A,1,FALSE)</f>
        <v>#N/A</v>
      </c>
      <c r="D77" s="141" t="s">
        <v>650</v>
      </c>
      <c r="E77" s="141" t="s">
        <v>617</v>
      </c>
      <c r="G77" s="141" t="s">
        <v>677</v>
      </c>
      <c r="H77" s="141" t="s">
        <v>618</v>
      </c>
      <c r="I77" s="141" t="s">
        <v>636</v>
      </c>
      <c r="J77" s="141" t="s">
        <v>620</v>
      </c>
      <c r="K77" s="141">
        <v>0</v>
      </c>
      <c r="L77" s="143">
        <v>43122</v>
      </c>
      <c r="M77" s="245" t="s">
        <v>632</v>
      </c>
    </row>
    <row r="78" spans="1:13" s="141" customFormat="1">
      <c r="A78" s="141">
        <v>122494012</v>
      </c>
      <c r="B78" s="141" t="e">
        <v>#N/A</v>
      </c>
      <c r="C78" s="141" t="e">
        <f>VLOOKUP(A78,'DS Tenanted units'!A:A,1,FALSE)</f>
        <v>#N/A</v>
      </c>
      <c r="D78" s="141" t="s">
        <v>650</v>
      </c>
      <c r="E78" s="141" t="s">
        <v>617</v>
      </c>
      <c r="G78" s="141" t="s">
        <v>678</v>
      </c>
      <c r="H78" s="141" t="s">
        <v>618</v>
      </c>
      <c r="I78" s="141" t="s">
        <v>636</v>
      </c>
      <c r="J78" s="141" t="s">
        <v>620</v>
      </c>
      <c r="K78" s="141">
        <v>0</v>
      </c>
      <c r="L78" s="143">
        <v>43122</v>
      </c>
      <c r="M78" s="245" t="s">
        <v>632</v>
      </c>
    </row>
    <row r="79" spans="1:13" s="141" customFormat="1">
      <c r="A79" s="141">
        <v>122494013</v>
      </c>
      <c r="B79" s="141" t="e">
        <v>#N/A</v>
      </c>
      <c r="C79" s="141" t="e">
        <f>VLOOKUP(A79,'DS Tenanted units'!A:A,1,FALSE)</f>
        <v>#N/A</v>
      </c>
      <c r="D79" s="141" t="s">
        <v>650</v>
      </c>
      <c r="E79" s="141" t="s">
        <v>617</v>
      </c>
      <c r="G79" s="141" t="s">
        <v>679</v>
      </c>
      <c r="H79" s="141" t="s">
        <v>618</v>
      </c>
      <c r="I79" s="141" t="s">
        <v>636</v>
      </c>
      <c r="J79" s="141" t="s">
        <v>620</v>
      </c>
      <c r="K79" s="141">
        <v>0</v>
      </c>
      <c r="L79" s="143">
        <v>43122</v>
      </c>
      <c r="M79" s="245" t="s">
        <v>632</v>
      </c>
    </row>
    <row r="80" spans="1:13" s="141" customFormat="1">
      <c r="A80" s="141">
        <v>122494015</v>
      </c>
      <c r="B80" s="141" t="e">
        <v>#N/A</v>
      </c>
      <c r="C80" s="141" t="e">
        <f>VLOOKUP(A80,'DS Tenanted units'!A:A,1,FALSE)</f>
        <v>#N/A</v>
      </c>
      <c r="D80" s="141" t="s">
        <v>650</v>
      </c>
      <c r="E80" s="141" t="s">
        <v>617</v>
      </c>
      <c r="G80" s="141" t="s">
        <v>680</v>
      </c>
      <c r="H80" s="141" t="s">
        <v>618</v>
      </c>
      <c r="I80" s="141" t="s">
        <v>636</v>
      </c>
      <c r="J80" s="141" t="s">
        <v>620</v>
      </c>
      <c r="K80" s="141">
        <v>0</v>
      </c>
      <c r="L80" s="143">
        <v>43122</v>
      </c>
      <c r="M80" s="245" t="s">
        <v>632</v>
      </c>
    </row>
    <row r="81" spans="1:13" s="141" customFormat="1">
      <c r="A81" s="141">
        <v>122494016</v>
      </c>
      <c r="B81" s="141" t="e">
        <v>#N/A</v>
      </c>
      <c r="C81" s="141" t="e">
        <f>VLOOKUP(A81,'DS Tenanted units'!A:A,1,FALSE)</f>
        <v>#N/A</v>
      </c>
      <c r="D81" s="141" t="s">
        <v>650</v>
      </c>
      <c r="E81" s="141" t="s">
        <v>617</v>
      </c>
      <c r="G81" s="141" t="s">
        <v>681</v>
      </c>
      <c r="H81" s="141" t="s">
        <v>618</v>
      </c>
      <c r="I81" s="141" t="s">
        <v>636</v>
      </c>
      <c r="J81" s="141" t="s">
        <v>620</v>
      </c>
      <c r="K81" s="141">
        <v>0</v>
      </c>
      <c r="L81" s="143">
        <v>43122</v>
      </c>
      <c r="M81" s="245" t="s">
        <v>632</v>
      </c>
    </row>
    <row r="82" spans="1:13" s="141" customFormat="1">
      <c r="A82" s="141">
        <v>122494017</v>
      </c>
      <c r="B82" s="141" t="e">
        <v>#N/A</v>
      </c>
      <c r="C82" s="141" t="e">
        <f>VLOOKUP(A82,'DS Tenanted units'!A:A,1,FALSE)</f>
        <v>#N/A</v>
      </c>
      <c r="D82" s="141" t="s">
        <v>650</v>
      </c>
      <c r="E82" s="141" t="s">
        <v>617</v>
      </c>
      <c r="G82" s="141" t="s">
        <v>682</v>
      </c>
      <c r="H82" s="141" t="s">
        <v>618</v>
      </c>
      <c r="I82" s="141" t="s">
        <v>636</v>
      </c>
      <c r="J82" s="141" t="s">
        <v>620</v>
      </c>
      <c r="K82" s="141">
        <v>0</v>
      </c>
      <c r="L82" s="143">
        <v>43122</v>
      </c>
      <c r="M82" s="245" t="s">
        <v>632</v>
      </c>
    </row>
    <row r="83" spans="1:13" s="141" customFormat="1">
      <c r="A83" s="141">
        <v>122494020</v>
      </c>
      <c r="B83" s="141" t="e">
        <v>#N/A</v>
      </c>
      <c r="C83" s="141" t="e">
        <f>VLOOKUP(A83,'DS Tenanted units'!A:A,1,FALSE)</f>
        <v>#N/A</v>
      </c>
      <c r="D83" s="141" t="s">
        <v>650</v>
      </c>
      <c r="E83" s="141" t="s">
        <v>617</v>
      </c>
      <c r="G83" s="141" t="s">
        <v>683</v>
      </c>
      <c r="H83" s="141" t="s">
        <v>618</v>
      </c>
      <c r="I83" s="141" t="s">
        <v>636</v>
      </c>
      <c r="J83" s="141" t="s">
        <v>620</v>
      </c>
      <c r="K83" s="142">
        <v>11700</v>
      </c>
      <c r="L83" s="143">
        <v>43122</v>
      </c>
      <c r="M83" s="245" t="s">
        <v>632</v>
      </c>
    </row>
    <row r="84" spans="1:13" s="141" customFormat="1">
      <c r="A84" s="141">
        <v>122494023</v>
      </c>
      <c r="B84" s="141" t="e">
        <v>#N/A</v>
      </c>
      <c r="C84" s="141" t="e">
        <f>VLOOKUP(A84,'DS Tenanted units'!A:A,1,FALSE)</f>
        <v>#N/A</v>
      </c>
      <c r="D84" s="141" t="s">
        <v>650</v>
      </c>
      <c r="E84" s="141" t="s">
        <v>617</v>
      </c>
      <c r="G84" s="141" t="s">
        <v>684</v>
      </c>
      <c r="H84" s="141" t="s">
        <v>618</v>
      </c>
      <c r="I84" s="141" t="s">
        <v>636</v>
      </c>
      <c r="J84" s="141" t="s">
        <v>620</v>
      </c>
      <c r="K84" s="142">
        <v>80000</v>
      </c>
      <c r="L84" s="143">
        <v>43122</v>
      </c>
      <c r="M84" s="245" t="s">
        <v>632</v>
      </c>
    </row>
    <row r="85" spans="1:13" s="141" customFormat="1">
      <c r="A85" s="141">
        <v>122494024</v>
      </c>
      <c r="B85" s="141" t="e">
        <v>#N/A</v>
      </c>
      <c r="C85" s="141" t="e">
        <f>VLOOKUP(A85,'DS Tenanted units'!A:A,1,FALSE)</f>
        <v>#N/A</v>
      </c>
      <c r="D85" s="141" t="s">
        <v>650</v>
      </c>
      <c r="E85" s="141" t="s">
        <v>617</v>
      </c>
      <c r="G85" s="141" t="s">
        <v>685</v>
      </c>
      <c r="H85" s="141" t="s">
        <v>618</v>
      </c>
      <c r="I85" s="141" t="s">
        <v>636</v>
      </c>
      <c r="J85" s="141" t="s">
        <v>620</v>
      </c>
      <c r="K85" s="142">
        <v>24000</v>
      </c>
      <c r="L85" s="143">
        <v>43122</v>
      </c>
      <c r="M85" s="245" t="s">
        <v>632</v>
      </c>
    </row>
    <row r="86" spans="1:13" s="141" customFormat="1">
      <c r="A86" s="141">
        <v>122494030</v>
      </c>
      <c r="B86" s="141" t="e">
        <v>#N/A</v>
      </c>
      <c r="C86" s="141" t="e">
        <f>VLOOKUP(A86,'DS Tenanted units'!A:A,1,FALSE)</f>
        <v>#N/A</v>
      </c>
      <c r="D86" s="141" t="s">
        <v>650</v>
      </c>
      <c r="E86" s="141" t="s">
        <v>617</v>
      </c>
      <c r="G86" s="141" t="s">
        <v>686</v>
      </c>
      <c r="H86" s="141" t="s">
        <v>618</v>
      </c>
      <c r="I86" s="141" t="s">
        <v>636</v>
      </c>
      <c r="J86" s="141" t="s">
        <v>620</v>
      </c>
      <c r="K86" s="141">
        <v>0</v>
      </c>
      <c r="L86" s="143">
        <v>43122</v>
      </c>
      <c r="M86" s="245" t="s">
        <v>632</v>
      </c>
    </row>
    <row r="87" spans="1:13" s="141" customFormat="1">
      <c r="A87" s="141">
        <v>122494031</v>
      </c>
      <c r="B87" s="141" t="e">
        <v>#N/A</v>
      </c>
      <c r="C87" s="141" t="e">
        <f>VLOOKUP(A87,'DS Tenanted units'!A:A,1,FALSE)</f>
        <v>#N/A</v>
      </c>
      <c r="D87" s="141" t="s">
        <v>650</v>
      </c>
      <c r="E87" s="141" t="s">
        <v>617</v>
      </c>
      <c r="G87" s="141" t="s">
        <v>687</v>
      </c>
      <c r="H87" s="141" t="s">
        <v>618</v>
      </c>
      <c r="I87" s="141" t="s">
        <v>636</v>
      </c>
      <c r="J87" s="141" t="s">
        <v>620</v>
      </c>
      <c r="K87" s="141">
        <v>0</v>
      </c>
      <c r="L87" s="143">
        <v>43122</v>
      </c>
      <c r="M87" s="245" t="s">
        <v>632</v>
      </c>
    </row>
    <row r="88" spans="1:13" s="141" customFormat="1">
      <c r="A88" s="141">
        <v>122494032</v>
      </c>
      <c r="B88" s="141" t="e">
        <v>#N/A</v>
      </c>
      <c r="C88" s="141" t="e">
        <f>VLOOKUP(A88,'DS Tenanted units'!A:A,1,FALSE)</f>
        <v>#N/A</v>
      </c>
      <c r="D88" s="141" t="s">
        <v>650</v>
      </c>
      <c r="E88" s="141" t="s">
        <v>617</v>
      </c>
      <c r="G88" s="141" t="s">
        <v>688</v>
      </c>
      <c r="H88" s="141" t="s">
        <v>618</v>
      </c>
      <c r="I88" s="141" t="s">
        <v>636</v>
      </c>
      <c r="J88" s="141" t="s">
        <v>620</v>
      </c>
      <c r="K88" s="141">
        <v>0</v>
      </c>
      <c r="L88" s="143">
        <v>43122</v>
      </c>
      <c r="M88" s="245" t="s">
        <v>632</v>
      </c>
    </row>
    <row r="89" spans="1:13" s="141" customFormat="1">
      <c r="A89" s="141">
        <v>122494033</v>
      </c>
      <c r="B89" s="141" t="e">
        <v>#N/A</v>
      </c>
      <c r="C89" s="141" t="e">
        <f>VLOOKUP(A89,'DS Tenanted units'!A:A,1,FALSE)</f>
        <v>#N/A</v>
      </c>
      <c r="D89" s="141" t="s">
        <v>650</v>
      </c>
      <c r="E89" s="141" t="s">
        <v>617</v>
      </c>
      <c r="G89" s="141" t="s">
        <v>689</v>
      </c>
      <c r="H89" s="141" t="s">
        <v>618</v>
      </c>
      <c r="I89" s="141" t="s">
        <v>636</v>
      </c>
      <c r="J89" s="141" t="s">
        <v>620</v>
      </c>
      <c r="K89" s="141">
        <v>0</v>
      </c>
      <c r="L89" s="143">
        <v>43122</v>
      </c>
      <c r="M89" s="245" t="s">
        <v>632</v>
      </c>
    </row>
    <row r="90" spans="1:13" s="141" customFormat="1">
      <c r="A90" s="141">
        <v>122494034</v>
      </c>
      <c r="B90" s="141" t="e">
        <v>#N/A</v>
      </c>
      <c r="C90" s="141" t="e">
        <f>VLOOKUP(A90,'DS Tenanted units'!A:A,1,FALSE)</f>
        <v>#N/A</v>
      </c>
      <c r="D90" s="141" t="s">
        <v>650</v>
      </c>
      <c r="E90" s="141" t="s">
        <v>617</v>
      </c>
      <c r="G90" s="141" t="s">
        <v>690</v>
      </c>
      <c r="H90" s="141" t="s">
        <v>618</v>
      </c>
      <c r="I90" s="141" t="s">
        <v>636</v>
      </c>
      <c r="J90" s="141" t="s">
        <v>620</v>
      </c>
      <c r="K90" s="141">
        <v>0</v>
      </c>
      <c r="L90" s="143">
        <v>43122</v>
      </c>
      <c r="M90" s="245" t="s">
        <v>632</v>
      </c>
    </row>
    <row r="91" spans="1:13" s="141" customFormat="1">
      <c r="A91" s="141">
        <v>122494035</v>
      </c>
      <c r="B91" s="141" t="e">
        <v>#N/A</v>
      </c>
      <c r="C91" s="141" t="e">
        <f>VLOOKUP(A91,'DS Tenanted units'!A:A,1,FALSE)</f>
        <v>#N/A</v>
      </c>
      <c r="D91" s="141" t="s">
        <v>650</v>
      </c>
      <c r="E91" s="141" t="s">
        <v>617</v>
      </c>
      <c r="G91" s="141" t="s">
        <v>691</v>
      </c>
      <c r="H91" s="141" t="s">
        <v>618</v>
      </c>
      <c r="I91" s="141" t="s">
        <v>636</v>
      </c>
      <c r="J91" s="141" t="s">
        <v>620</v>
      </c>
      <c r="K91" s="141">
        <v>0</v>
      </c>
      <c r="L91" s="143">
        <v>43122</v>
      </c>
      <c r="M91" s="245" t="s">
        <v>632</v>
      </c>
    </row>
    <row r="92" spans="1:13" s="141" customFormat="1">
      <c r="A92" s="141">
        <v>122494037</v>
      </c>
      <c r="B92" s="141" t="e">
        <v>#N/A</v>
      </c>
      <c r="C92" s="141" t="e">
        <f>VLOOKUP(A92,'DS Tenanted units'!A:A,1,FALSE)</f>
        <v>#N/A</v>
      </c>
      <c r="D92" s="141" t="s">
        <v>650</v>
      </c>
      <c r="E92" s="141" t="s">
        <v>617</v>
      </c>
      <c r="G92" s="141" t="s">
        <v>692</v>
      </c>
      <c r="H92" s="141" t="s">
        <v>618</v>
      </c>
      <c r="I92" s="141" t="s">
        <v>636</v>
      </c>
      <c r="J92" s="141" t="s">
        <v>620</v>
      </c>
      <c r="K92" s="141">
        <v>0</v>
      </c>
      <c r="L92" s="143">
        <v>43122</v>
      </c>
      <c r="M92" s="245" t="s">
        <v>632</v>
      </c>
    </row>
    <row r="93" spans="1:13" s="141" customFormat="1">
      <c r="A93" s="141">
        <v>122494038</v>
      </c>
      <c r="B93" s="141" t="e">
        <v>#N/A</v>
      </c>
      <c r="C93" s="141" t="e">
        <f>VLOOKUP(A93,'DS Tenanted units'!A:A,1,FALSE)</f>
        <v>#N/A</v>
      </c>
      <c r="D93" s="141" t="s">
        <v>650</v>
      </c>
      <c r="E93" s="141" t="s">
        <v>617</v>
      </c>
      <c r="G93" s="141" t="s">
        <v>693</v>
      </c>
      <c r="H93" s="141" t="s">
        <v>618</v>
      </c>
      <c r="I93" s="141" t="s">
        <v>636</v>
      </c>
      <c r="J93" s="141" t="s">
        <v>620</v>
      </c>
      <c r="K93" s="141">
        <v>0</v>
      </c>
      <c r="L93" s="143">
        <v>43122</v>
      </c>
      <c r="M93" s="245" t="s">
        <v>632</v>
      </c>
    </row>
    <row r="94" spans="1:13" s="141" customFormat="1">
      <c r="A94" s="141">
        <v>122494039</v>
      </c>
      <c r="B94" s="141" t="e">
        <v>#N/A</v>
      </c>
      <c r="C94" s="141" t="e">
        <f>VLOOKUP(A94,'DS Tenanted units'!A:A,1,FALSE)</f>
        <v>#N/A</v>
      </c>
      <c r="D94" s="141" t="s">
        <v>650</v>
      </c>
      <c r="E94" s="141" t="s">
        <v>617</v>
      </c>
      <c r="G94" s="141" t="s">
        <v>694</v>
      </c>
      <c r="H94" s="141" t="s">
        <v>618</v>
      </c>
      <c r="I94" s="141" t="s">
        <v>636</v>
      </c>
      <c r="J94" s="141" t="s">
        <v>620</v>
      </c>
      <c r="K94" s="142">
        <v>15000</v>
      </c>
      <c r="L94" s="143">
        <v>43122</v>
      </c>
      <c r="M94" s="245" t="s">
        <v>632</v>
      </c>
    </row>
    <row r="95" spans="1:13" s="141" customFormat="1">
      <c r="A95" s="141">
        <v>122494040</v>
      </c>
      <c r="B95" s="141" t="e">
        <v>#N/A</v>
      </c>
      <c r="C95" s="141" t="e">
        <f>VLOOKUP(A95,'DS Tenanted units'!A:A,1,FALSE)</f>
        <v>#N/A</v>
      </c>
      <c r="D95" s="141" t="s">
        <v>650</v>
      </c>
      <c r="E95" s="141" t="s">
        <v>617</v>
      </c>
      <c r="G95" s="141" t="s">
        <v>695</v>
      </c>
      <c r="H95" s="141" t="s">
        <v>618</v>
      </c>
      <c r="I95" s="141" t="s">
        <v>636</v>
      </c>
      <c r="J95" s="141" t="s">
        <v>620</v>
      </c>
      <c r="K95" s="142">
        <v>12000</v>
      </c>
      <c r="L95" s="143">
        <v>43122</v>
      </c>
      <c r="M95" s="245" t="s">
        <v>632</v>
      </c>
    </row>
    <row r="96" spans="1:13" s="141" customFormat="1">
      <c r="A96" s="141">
        <v>122494042</v>
      </c>
      <c r="B96" s="141" t="e">
        <v>#N/A</v>
      </c>
      <c r="C96" s="141" t="e">
        <f>VLOOKUP(A96,'DS Tenanted units'!A:A,1,FALSE)</f>
        <v>#N/A</v>
      </c>
      <c r="D96" s="141" t="s">
        <v>650</v>
      </c>
      <c r="E96" s="141" t="s">
        <v>617</v>
      </c>
      <c r="G96" s="141" t="s">
        <v>696</v>
      </c>
      <c r="H96" s="141" t="s">
        <v>618</v>
      </c>
      <c r="I96" s="141" t="s">
        <v>636</v>
      </c>
      <c r="J96" s="141" t="s">
        <v>620</v>
      </c>
      <c r="K96" s="141">
        <v>0</v>
      </c>
      <c r="L96" s="143">
        <v>43122</v>
      </c>
      <c r="M96" s="245" t="s">
        <v>632</v>
      </c>
    </row>
    <row r="97" spans="1:13" s="141" customFormat="1">
      <c r="A97" s="141">
        <v>122494043</v>
      </c>
      <c r="B97" s="141" t="e">
        <v>#N/A</v>
      </c>
      <c r="C97" s="141" t="e">
        <f>VLOOKUP(A97,'DS Tenanted units'!A:A,1,FALSE)</f>
        <v>#N/A</v>
      </c>
      <c r="D97" s="141" t="s">
        <v>650</v>
      </c>
      <c r="E97" s="141" t="s">
        <v>617</v>
      </c>
      <c r="G97" s="141" t="s">
        <v>697</v>
      </c>
      <c r="H97" s="141" t="s">
        <v>618</v>
      </c>
      <c r="I97" s="141" t="s">
        <v>698</v>
      </c>
      <c r="J97" s="141" t="s">
        <v>620</v>
      </c>
      <c r="K97" s="141">
        <v>0</v>
      </c>
      <c r="L97" s="143">
        <v>43122</v>
      </c>
      <c r="M97" s="245" t="s">
        <v>632</v>
      </c>
    </row>
    <row r="98" spans="1:13" s="141" customFormat="1">
      <c r="A98" s="141">
        <v>122495026</v>
      </c>
      <c r="B98" s="141" t="e">
        <v>#N/A</v>
      </c>
      <c r="C98" s="141" t="e">
        <f>VLOOKUP(A98,'DS Tenanted units'!A:A,1,FALSE)</f>
        <v>#N/A</v>
      </c>
      <c r="D98" s="141" t="s">
        <v>699</v>
      </c>
      <c r="E98" s="141" t="s">
        <v>617</v>
      </c>
      <c r="G98" s="141" t="s">
        <v>700</v>
      </c>
      <c r="H98" s="141" t="s">
        <v>618</v>
      </c>
      <c r="I98" s="141" t="s">
        <v>636</v>
      </c>
      <c r="J98" s="141" t="s">
        <v>620</v>
      </c>
      <c r="K98" s="141">
        <v>0</v>
      </c>
      <c r="L98" s="143">
        <v>43122</v>
      </c>
      <c r="M98" s="245" t="s">
        <v>632</v>
      </c>
    </row>
    <row r="99" spans="1:13" s="141" customFormat="1">
      <c r="A99" s="141">
        <v>122495027</v>
      </c>
      <c r="B99" s="141" t="e">
        <v>#N/A</v>
      </c>
      <c r="C99" s="141" t="e">
        <f>VLOOKUP(A99,'DS Tenanted units'!A:A,1,FALSE)</f>
        <v>#N/A</v>
      </c>
      <c r="D99" s="141" t="s">
        <v>701</v>
      </c>
      <c r="E99" s="141" t="s">
        <v>617</v>
      </c>
      <c r="G99" s="141" t="s">
        <v>702</v>
      </c>
      <c r="H99" s="141" t="s">
        <v>618</v>
      </c>
      <c r="I99" s="141" t="s">
        <v>636</v>
      </c>
      <c r="J99" s="141" t="s">
        <v>620</v>
      </c>
      <c r="K99" s="141">
        <v>0</v>
      </c>
      <c r="L99" s="143">
        <v>43122</v>
      </c>
      <c r="M99" s="245" t="s">
        <v>632</v>
      </c>
    </row>
    <row r="100" spans="1:13" s="141" customFormat="1">
      <c r="A100" s="141">
        <v>122495028</v>
      </c>
      <c r="B100" s="141" t="e">
        <v>#N/A</v>
      </c>
      <c r="C100" s="141" t="e">
        <f>VLOOKUP(A100,'DS Tenanted units'!A:A,1,FALSE)</f>
        <v>#N/A</v>
      </c>
      <c r="D100" s="141" t="s">
        <v>703</v>
      </c>
      <c r="E100" s="141" t="s">
        <v>617</v>
      </c>
      <c r="G100" s="141" t="s">
        <v>704</v>
      </c>
      <c r="H100" s="141" t="s">
        <v>618</v>
      </c>
      <c r="I100" s="141" t="s">
        <v>636</v>
      </c>
      <c r="J100" s="141" t="s">
        <v>620</v>
      </c>
      <c r="K100" s="141">
        <v>0</v>
      </c>
      <c r="L100" s="143">
        <v>43122</v>
      </c>
      <c r="M100" s="245" t="s">
        <v>632</v>
      </c>
    </row>
    <row r="101" spans="1:13" s="141" customFormat="1">
      <c r="A101" s="141">
        <v>122495029</v>
      </c>
      <c r="B101" s="141" t="e">
        <v>#N/A</v>
      </c>
      <c r="C101" s="141" t="e">
        <f>VLOOKUP(A101,'DS Tenanted units'!A:A,1,FALSE)</f>
        <v>#N/A</v>
      </c>
      <c r="D101" s="141" t="s">
        <v>705</v>
      </c>
      <c r="E101" s="141" t="s">
        <v>617</v>
      </c>
      <c r="G101" s="141" t="s">
        <v>706</v>
      </c>
      <c r="H101" s="141" t="s">
        <v>618</v>
      </c>
      <c r="I101" s="141" t="s">
        <v>636</v>
      </c>
      <c r="J101" s="141" t="s">
        <v>620</v>
      </c>
      <c r="K101" s="141">
        <v>0</v>
      </c>
      <c r="L101" s="143">
        <v>43122</v>
      </c>
      <c r="M101" s="245" t="s">
        <v>632</v>
      </c>
    </row>
    <row r="102" spans="1:13" s="141" customFormat="1">
      <c r="A102" s="141">
        <v>122497001</v>
      </c>
      <c r="B102" s="141" t="e">
        <v>#N/A</v>
      </c>
      <c r="C102" s="141" t="e">
        <f>VLOOKUP(A102,'DS Tenanted units'!A:A,1,FALSE)</f>
        <v>#N/A</v>
      </c>
      <c r="D102" s="141" t="s">
        <v>650</v>
      </c>
      <c r="E102" s="141" t="s">
        <v>617</v>
      </c>
      <c r="G102" s="141" t="s">
        <v>707</v>
      </c>
      <c r="H102" s="141" t="s">
        <v>618</v>
      </c>
      <c r="I102" s="141" t="s">
        <v>636</v>
      </c>
      <c r="J102" s="141" t="s">
        <v>620</v>
      </c>
      <c r="K102" s="141">
        <v>0</v>
      </c>
      <c r="L102" s="143">
        <v>43122</v>
      </c>
      <c r="M102" s="245" t="s">
        <v>632</v>
      </c>
    </row>
    <row r="103" spans="1:13" s="141" customFormat="1">
      <c r="A103" s="141">
        <v>122497004</v>
      </c>
      <c r="B103" s="141" t="e">
        <v>#N/A</v>
      </c>
      <c r="C103" s="141" t="e">
        <f>VLOOKUP(A103,'DS Tenanted units'!A:A,1,FALSE)</f>
        <v>#N/A</v>
      </c>
      <c r="D103" s="141" t="s">
        <v>650</v>
      </c>
      <c r="E103" s="141" t="s">
        <v>617</v>
      </c>
      <c r="G103" s="141" t="s">
        <v>708</v>
      </c>
      <c r="H103" s="141" t="s">
        <v>618</v>
      </c>
      <c r="I103" s="141" t="s">
        <v>636</v>
      </c>
      <c r="J103" s="141" t="s">
        <v>620</v>
      </c>
      <c r="K103" s="141">
        <v>0</v>
      </c>
      <c r="L103" s="143">
        <v>43122</v>
      </c>
      <c r="M103" s="245" t="s">
        <v>632</v>
      </c>
    </row>
    <row r="104" spans="1:13" s="141" customFormat="1">
      <c r="A104" s="141">
        <v>122497005</v>
      </c>
      <c r="B104" s="141" t="e">
        <v>#N/A</v>
      </c>
      <c r="C104" s="141" t="e">
        <f>VLOOKUP(A104,'DS Tenanted units'!A:A,1,FALSE)</f>
        <v>#N/A</v>
      </c>
      <c r="D104" s="141" t="s">
        <v>650</v>
      </c>
      <c r="E104" s="141" t="s">
        <v>617</v>
      </c>
      <c r="G104" s="141" t="s">
        <v>709</v>
      </c>
      <c r="H104" s="141" t="s">
        <v>618</v>
      </c>
      <c r="I104" s="141" t="s">
        <v>636</v>
      </c>
      <c r="J104" s="141" t="s">
        <v>620</v>
      </c>
      <c r="K104" s="141">
        <v>0</v>
      </c>
      <c r="L104" s="143">
        <v>43122</v>
      </c>
      <c r="M104" s="245" t="s">
        <v>632</v>
      </c>
    </row>
    <row r="105" spans="1:13" s="141" customFormat="1">
      <c r="A105" s="141">
        <v>122497006</v>
      </c>
      <c r="B105" s="141" t="e">
        <v>#N/A</v>
      </c>
      <c r="C105" s="141" t="e">
        <f>VLOOKUP(A105,'DS Tenanted units'!A:A,1,FALSE)</f>
        <v>#N/A</v>
      </c>
      <c r="D105" s="141" t="s">
        <v>650</v>
      </c>
      <c r="E105" s="141" t="s">
        <v>617</v>
      </c>
      <c r="G105" s="141" t="s">
        <v>710</v>
      </c>
      <c r="H105" s="141" t="s">
        <v>618</v>
      </c>
      <c r="I105" s="141" t="s">
        <v>636</v>
      </c>
      <c r="J105" s="141" t="s">
        <v>620</v>
      </c>
      <c r="K105" s="141">
        <v>0</v>
      </c>
      <c r="L105" s="143">
        <v>43122</v>
      </c>
      <c r="M105" s="245" t="s">
        <v>632</v>
      </c>
    </row>
    <row r="106" spans="1:13" s="141" customFormat="1">
      <c r="A106" s="141">
        <v>122497007</v>
      </c>
      <c r="B106" s="141" t="e">
        <v>#N/A</v>
      </c>
      <c r="C106" s="141" t="e">
        <f>VLOOKUP(A106,'DS Tenanted units'!A:A,1,FALSE)</f>
        <v>#N/A</v>
      </c>
      <c r="D106" s="141" t="s">
        <v>650</v>
      </c>
      <c r="E106" s="141" t="s">
        <v>617</v>
      </c>
      <c r="G106" s="141" t="s">
        <v>711</v>
      </c>
      <c r="H106" s="141" t="s">
        <v>618</v>
      </c>
      <c r="I106" s="141" t="s">
        <v>636</v>
      </c>
      <c r="J106" s="141" t="s">
        <v>620</v>
      </c>
      <c r="K106" s="141">
        <v>0</v>
      </c>
      <c r="L106" s="143">
        <v>43122</v>
      </c>
      <c r="M106" s="245" t="s">
        <v>632</v>
      </c>
    </row>
    <row r="107" spans="1:13" s="141" customFormat="1">
      <c r="A107" s="141">
        <v>122497008</v>
      </c>
      <c r="B107" s="141" t="e">
        <v>#N/A</v>
      </c>
      <c r="C107" s="141" t="e">
        <f>VLOOKUP(A107,'DS Tenanted units'!A:A,1,FALSE)</f>
        <v>#N/A</v>
      </c>
      <c r="D107" s="141" t="s">
        <v>650</v>
      </c>
      <c r="E107" s="141" t="s">
        <v>617</v>
      </c>
      <c r="G107" s="141" t="s">
        <v>712</v>
      </c>
      <c r="H107" s="141" t="s">
        <v>618</v>
      </c>
      <c r="I107" s="141" t="s">
        <v>636</v>
      </c>
      <c r="J107" s="141" t="s">
        <v>620</v>
      </c>
      <c r="K107" s="141">
        <v>0</v>
      </c>
      <c r="L107" s="143">
        <v>43122</v>
      </c>
      <c r="M107" s="245" t="s">
        <v>632</v>
      </c>
    </row>
    <row r="108" spans="1:13" s="141" customFormat="1">
      <c r="A108" s="141">
        <v>122497009</v>
      </c>
      <c r="B108" s="141" t="e">
        <v>#N/A</v>
      </c>
      <c r="C108" s="141" t="e">
        <f>VLOOKUP(A108,'DS Tenanted units'!A:A,1,FALSE)</f>
        <v>#N/A</v>
      </c>
      <c r="D108" s="141" t="s">
        <v>650</v>
      </c>
      <c r="E108" s="141" t="s">
        <v>617</v>
      </c>
      <c r="G108" s="141" t="s">
        <v>713</v>
      </c>
      <c r="H108" s="141" t="s">
        <v>618</v>
      </c>
      <c r="I108" s="141" t="s">
        <v>636</v>
      </c>
      <c r="J108" s="141" t="s">
        <v>620</v>
      </c>
      <c r="K108" s="141">
        <v>0</v>
      </c>
      <c r="L108" s="143">
        <v>43122</v>
      </c>
      <c r="M108" s="245" t="s">
        <v>632</v>
      </c>
    </row>
    <row r="109" spans="1:13" s="141" customFormat="1">
      <c r="A109" s="141">
        <v>122497010</v>
      </c>
      <c r="B109" s="141" t="e">
        <v>#N/A</v>
      </c>
      <c r="C109" s="141" t="e">
        <f>VLOOKUP(A109,'DS Tenanted units'!A:A,1,FALSE)</f>
        <v>#N/A</v>
      </c>
      <c r="D109" s="141" t="s">
        <v>650</v>
      </c>
      <c r="E109" s="141" t="s">
        <v>617</v>
      </c>
      <c r="G109" s="141" t="s">
        <v>714</v>
      </c>
      <c r="H109" s="141" t="s">
        <v>618</v>
      </c>
      <c r="I109" s="141" t="s">
        <v>636</v>
      </c>
      <c r="J109" s="141" t="s">
        <v>620</v>
      </c>
      <c r="K109" s="141">
        <v>0</v>
      </c>
      <c r="L109" s="143">
        <v>43122</v>
      </c>
      <c r="M109" s="245" t="s">
        <v>632</v>
      </c>
    </row>
    <row r="110" spans="1:13" s="141" customFormat="1">
      <c r="A110" s="141">
        <v>122497012</v>
      </c>
      <c r="B110" s="141" t="e">
        <v>#N/A</v>
      </c>
      <c r="C110" s="141" t="e">
        <f>VLOOKUP(A110,'DS Tenanted units'!A:A,1,FALSE)</f>
        <v>#N/A</v>
      </c>
      <c r="D110" s="141" t="s">
        <v>650</v>
      </c>
      <c r="E110" s="141" t="s">
        <v>617</v>
      </c>
      <c r="G110" s="141" t="s">
        <v>715</v>
      </c>
      <c r="H110" s="141" t="s">
        <v>618</v>
      </c>
      <c r="I110" s="141" t="s">
        <v>636</v>
      </c>
      <c r="J110" s="141" t="s">
        <v>620</v>
      </c>
      <c r="K110" s="141">
        <v>0</v>
      </c>
      <c r="L110" s="143">
        <v>43122</v>
      </c>
      <c r="M110" s="245" t="s">
        <v>632</v>
      </c>
    </row>
    <row r="111" spans="1:13" s="141" customFormat="1">
      <c r="A111" s="141">
        <v>122497013</v>
      </c>
      <c r="B111" s="141" t="e">
        <v>#N/A</v>
      </c>
      <c r="C111" s="141" t="e">
        <f>VLOOKUP(A111,'DS Tenanted units'!A:A,1,FALSE)</f>
        <v>#N/A</v>
      </c>
      <c r="D111" s="141" t="s">
        <v>650</v>
      </c>
      <c r="E111" s="141" t="s">
        <v>617</v>
      </c>
      <c r="G111" s="141" t="s">
        <v>716</v>
      </c>
      <c r="H111" s="141" t="s">
        <v>618</v>
      </c>
      <c r="I111" s="141" t="s">
        <v>636</v>
      </c>
      <c r="J111" s="141" t="s">
        <v>620</v>
      </c>
      <c r="K111" s="141">
        <v>0</v>
      </c>
      <c r="L111" s="143">
        <v>43122</v>
      </c>
      <c r="M111" s="245" t="s">
        <v>632</v>
      </c>
    </row>
    <row r="112" spans="1:13" s="141" customFormat="1">
      <c r="A112" s="141">
        <v>122497014</v>
      </c>
      <c r="B112" s="141" t="e">
        <v>#N/A</v>
      </c>
      <c r="C112" s="141" t="e">
        <f>VLOOKUP(A112,'DS Tenanted units'!A:A,1,FALSE)</f>
        <v>#N/A</v>
      </c>
      <c r="D112" s="141" t="s">
        <v>650</v>
      </c>
      <c r="E112" s="141" t="s">
        <v>617</v>
      </c>
      <c r="G112" s="141" t="s">
        <v>717</v>
      </c>
      <c r="H112" s="141" t="s">
        <v>618</v>
      </c>
      <c r="I112" s="141" t="s">
        <v>636</v>
      </c>
      <c r="J112" s="141" t="s">
        <v>620</v>
      </c>
      <c r="K112" s="141">
        <v>0</v>
      </c>
      <c r="L112" s="143">
        <v>43122</v>
      </c>
      <c r="M112" s="245" t="s">
        <v>632</v>
      </c>
    </row>
    <row r="113" spans="1:13" s="141" customFormat="1">
      <c r="A113" s="141">
        <v>122499002</v>
      </c>
      <c r="B113" s="141" t="e">
        <v>#N/A</v>
      </c>
      <c r="C113" s="141" t="e">
        <f>VLOOKUP(A113,'DS Tenanted units'!A:A,1,FALSE)</f>
        <v>#N/A</v>
      </c>
      <c r="D113" s="141" t="s">
        <v>650</v>
      </c>
      <c r="E113" s="141" t="s">
        <v>617</v>
      </c>
      <c r="G113" s="141" t="s">
        <v>718</v>
      </c>
      <c r="H113" s="141" t="s">
        <v>618</v>
      </c>
      <c r="I113" s="141" t="s">
        <v>636</v>
      </c>
      <c r="J113" s="141" t="s">
        <v>620</v>
      </c>
      <c r="K113" s="141">
        <v>0</v>
      </c>
      <c r="L113" s="143">
        <v>43122</v>
      </c>
      <c r="M113" s="245" t="s">
        <v>632</v>
      </c>
    </row>
    <row r="114" spans="1:13" s="141" customFormat="1">
      <c r="A114" s="141">
        <v>122499003</v>
      </c>
      <c r="B114" s="141" t="e">
        <v>#N/A</v>
      </c>
      <c r="C114" s="141" t="e">
        <f>VLOOKUP(A114,'DS Tenanted units'!A:A,1,FALSE)</f>
        <v>#N/A</v>
      </c>
      <c r="D114" s="141" t="s">
        <v>650</v>
      </c>
      <c r="E114" s="141" t="s">
        <v>617</v>
      </c>
      <c r="G114" s="141" t="s">
        <v>719</v>
      </c>
      <c r="H114" s="141" t="s">
        <v>618</v>
      </c>
      <c r="I114" s="141" t="s">
        <v>636</v>
      </c>
      <c r="J114" s="141" t="s">
        <v>620</v>
      </c>
      <c r="K114" s="141">
        <v>0</v>
      </c>
      <c r="L114" s="143">
        <v>43122</v>
      </c>
      <c r="M114" s="245" t="s">
        <v>632</v>
      </c>
    </row>
    <row r="115" spans="1:13" s="141" customFormat="1">
      <c r="A115" s="141">
        <v>122499004</v>
      </c>
      <c r="B115" s="141" t="e">
        <v>#N/A</v>
      </c>
      <c r="C115" s="141" t="e">
        <f>VLOOKUP(A115,'DS Tenanted units'!A:A,1,FALSE)</f>
        <v>#N/A</v>
      </c>
      <c r="D115" s="141" t="s">
        <v>650</v>
      </c>
      <c r="E115" s="141" t="s">
        <v>617</v>
      </c>
      <c r="G115" s="141" t="s">
        <v>720</v>
      </c>
      <c r="H115" s="141" t="s">
        <v>618</v>
      </c>
      <c r="I115" s="141" t="s">
        <v>636</v>
      </c>
      <c r="J115" s="141" t="s">
        <v>620</v>
      </c>
      <c r="K115" s="141">
        <v>0</v>
      </c>
      <c r="L115" s="143">
        <v>43122</v>
      </c>
      <c r="M115" s="245" t="s">
        <v>632</v>
      </c>
    </row>
    <row r="116" spans="1:13" s="141" customFormat="1">
      <c r="A116" s="141">
        <v>122499006</v>
      </c>
      <c r="B116" s="141" t="e">
        <v>#N/A</v>
      </c>
      <c r="C116" s="141" t="e">
        <f>VLOOKUP(A116,'DS Tenanted units'!A:A,1,FALSE)</f>
        <v>#N/A</v>
      </c>
      <c r="D116" s="141" t="s">
        <v>650</v>
      </c>
      <c r="E116" s="141" t="s">
        <v>617</v>
      </c>
      <c r="G116" s="141" t="s">
        <v>721</v>
      </c>
      <c r="H116" s="141" t="s">
        <v>618</v>
      </c>
      <c r="I116" s="141" t="s">
        <v>636</v>
      </c>
      <c r="J116" s="141" t="s">
        <v>620</v>
      </c>
      <c r="K116" s="141">
        <v>0</v>
      </c>
      <c r="L116" s="143">
        <v>43122</v>
      </c>
      <c r="M116" s="245" t="s">
        <v>632</v>
      </c>
    </row>
    <row r="117" spans="1:13" s="141" customFormat="1">
      <c r="A117" s="141">
        <v>122499008</v>
      </c>
      <c r="B117" s="141" t="e">
        <v>#N/A</v>
      </c>
      <c r="C117" s="141" t="e">
        <f>VLOOKUP(A117,'DS Tenanted units'!A:A,1,FALSE)</f>
        <v>#N/A</v>
      </c>
      <c r="D117" s="141" t="s">
        <v>650</v>
      </c>
      <c r="E117" s="141" t="s">
        <v>617</v>
      </c>
      <c r="G117" s="141" t="s">
        <v>722</v>
      </c>
      <c r="H117" s="141" t="s">
        <v>618</v>
      </c>
      <c r="I117" s="141" t="s">
        <v>636</v>
      </c>
      <c r="J117" s="141" t="s">
        <v>620</v>
      </c>
      <c r="K117" s="141">
        <v>0</v>
      </c>
      <c r="L117" s="143">
        <v>43122</v>
      </c>
      <c r="M117" s="245" t="s">
        <v>632</v>
      </c>
    </row>
    <row r="118" spans="1:13" s="141" customFormat="1">
      <c r="A118" s="141">
        <v>122499009</v>
      </c>
      <c r="B118" s="141" t="e">
        <v>#N/A</v>
      </c>
      <c r="C118" s="141" t="e">
        <f>VLOOKUP(A118,'DS Tenanted units'!A:A,1,FALSE)</f>
        <v>#N/A</v>
      </c>
      <c r="D118" s="141" t="s">
        <v>650</v>
      </c>
      <c r="E118" s="141" t="s">
        <v>617</v>
      </c>
      <c r="G118" s="141" t="s">
        <v>723</v>
      </c>
      <c r="H118" s="141" t="s">
        <v>618</v>
      </c>
      <c r="I118" s="141" t="s">
        <v>636</v>
      </c>
      <c r="J118" s="141" t="s">
        <v>620</v>
      </c>
      <c r="K118" s="141">
        <v>0</v>
      </c>
      <c r="L118" s="143">
        <v>43122</v>
      </c>
      <c r="M118" s="245" t="s">
        <v>632</v>
      </c>
    </row>
    <row r="119" spans="1:13" s="141" customFormat="1">
      <c r="A119" s="141">
        <v>122499010</v>
      </c>
      <c r="B119" s="141" t="e">
        <v>#N/A</v>
      </c>
      <c r="C119" s="141" t="e">
        <f>VLOOKUP(A119,'DS Tenanted units'!A:A,1,FALSE)</f>
        <v>#N/A</v>
      </c>
      <c r="D119" s="141" t="s">
        <v>650</v>
      </c>
      <c r="E119" s="141" t="s">
        <v>617</v>
      </c>
      <c r="G119" s="141" t="s">
        <v>724</v>
      </c>
      <c r="H119" s="141" t="s">
        <v>618</v>
      </c>
      <c r="I119" s="141" t="s">
        <v>636</v>
      </c>
      <c r="J119" s="141" t="s">
        <v>620</v>
      </c>
      <c r="K119" s="141">
        <v>0</v>
      </c>
      <c r="L119" s="143">
        <v>43122</v>
      </c>
      <c r="M119" s="245" t="s">
        <v>632</v>
      </c>
    </row>
    <row r="120" spans="1:13" s="141" customFormat="1">
      <c r="A120" s="141">
        <v>122501001</v>
      </c>
      <c r="B120" s="141" t="e">
        <v>#N/A</v>
      </c>
      <c r="C120" s="141" t="e">
        <f>VLOOKUP(A120,'DS Tenanted units'!A:A,1,FALSE)</f>
        <v>#N/A</v>
      </c>
      <c r="D120" s="141" t="s">
        <v>650</v>
      </c>
      <c r="E120" s="141" t="s">
        <v>617</v>
      </c>
      <c r="G120" s="141" t="s">
        <v>725</v>
      </c>
      <c r="H120" s="141" t="s">
        <v>618</v>
      </c>
      <c r="I120" s="141" t="s">
        <v>636</v>
      </c>
      <c r="J120" s="141" t="s">
        <v>620</v>
      </c>
      <c r="K120" s="141">
        <v>0</v>
      </c>
      <c r="L120" s="143">
        <v>43122</v>
      </c>
      <c r="M120" s="245" t="s">
        <v>632</v>
      </c>
    </row>
    <row r="121" spans="1:13" s="141" customFormat="1">
      <c r="A121" s="141">
        <v>122501003</v>
      </c>
      <c r="B121" s="141" t="e">
        <v>#N/A</v>
      </c>
      <c r="C121" s="141" t="e">
        <f>VLOOKUP(A121,'DS Tenanted units'!A:A,1,FALSE)</f>
        <v>#N/A</v>
      </c>
      <c r="D121" s="141" t="s">
        <v>650</v>
      </c>
      <c r="E121" s="141" t="s">
        <v>617</v>
      </c>
      <c r="G121" s="141" t="s">
        <v>726</v>
      </c>
      <c r="H121" s="141" t="s">
        <v>618</v>
      </c>
      <c r="I121" s="141" t="s">
        <v>636</v>
      </c>
      <c r="J121" s="141" t="s">
        <v>620</v>
      </c>
      <c r="K121" s="141">
        <v>0</v>
      </c>
      <c r="L121" s="143">
        <v>43122</v>
      </c>
      <c r="M121" s="245" t="s">
        <v>632</v>
      </c>
    </row>
    <row r="122" spans="1:13" s="141" customFormat="1">
      <c r="A122" s="141">
        <v>122501004</v>
      </c>
      <c r="B122" s="141" t="e">
        <v>#N/A</v>
      </c>
      <c r="C122" s="141" t="e">
        <f>VLOOKUP(A122,'DS Tenanted units'!A:A,1,FALSE)</f>
        <v>#N/A</v>
      </c>
      <c r="D122" s="141" t="s">
        <v>650</v>
      </c>
      <c r="E122" s="141" t="s">
        <v>617</v>
      </c>
      <c r="G122" s="141" t="s">
        <v>727</v>
      </c>
      <c r="H122" s="141" t="s">
        <v>618</v>
      </c>
      <c r="I122" s="141" t="s">
        <v>636</v>
      </c>
      <c r="J122" s="141" t="s">
        <v>620</v>
      </c>
      <c r="K122" s="141">
        <v>0</v>
      </c>
      <c r="L122" s="143">
        <v>43122</v>
      </c>
      <c r="M122" s="245" t="s">
        <v>632</v>
      </c>
    </row>
    <row r="123" spans="1:13" s="141" customFormat="1">
      <c r="A123" s="141">
        <v>122501005</v>
      </c>
      <c r="B123" s="141" t="e">
        <v>#N/A</v>
      </c>
      <c r="C123" s="141" t="e">
        <f>VLOOKUP(A123,'DS Tenanted units'!A:A,1,FALSE)</f>
        <v>#N/A</v>
      </c>
      <c r="D123" s="141" t="s">
        <v>650</v>
      </c>
      <c r="E123" s="141" t="s">
        <v>617</v>
      </c>
      <c r="G123" s="141" t="s">
        <v>728</v>
      </c>
      <c r="H123" s="141" t="s">
        <v>618</v>
      </c>
      <c r="I123" s="141" t="s">
        <v>636</v>
      </c>
      <c r="J123" s="141" t="s">
        <v>620</v>
      </c>
      <c r="K123" s="141">
        <v>0</v>
      </c>
      <c r="L123" s="143">
        <v>43122</v>
      </c>
      <c r="M123" s="245" t="s">
        <v>632</v>
      </c>
    </row>
    <row r="124" spans="1:13" s="141" customFormat="1">
      <c r="A124" s="141">
        <v>127272001</v>
      </c>
      <c r="B124" s="141" t="e">
        <v>#N/A</v>
      </c>
      <c r="C124" s="141" t="e">
        <f>VLOOKUP(A124,'DS Tenanted units'!A:A,1,FALSE)</f>
        <v>#N/A</v>
      </c>
      <c r="D124" s="141" t="s">
        <v>650</v>
      </c>
      <c r="E124" s="141" t="s">
        <v>617</v>
      </c>
      <c r="G124" s="141" t="s">
        <v>729</v>
      </c>
      <c r="H124" s="141" t="s">
        <v>618</v>
      </c>
      <c r="I124" s="141" t="s">
        <v>619</v>
      </c>
      <c r="J124" s="141" t="s">
        <v>620</v>
      </c>
      <c r="K124" s="141">
        <v>0</v>
      </c>
      <c r="L124" s="141" t="s">
        <v>730</v>
      </c>
      <c r="M124" s="245" t="s">
        <v>632</v>
      </c>
    </row>
    <row r="125" spans="1:13" s="141" customFormat="1">
      <c r="A125" s="141">
        <v>127272002</v>
      </c>
      <c r="B125" s="141" t="e">
        <v>#N/A</v>
      </c>
      <c r="C125" s="141" t="e">
        <f>VLOOKUP(A125,'DS Tenanted units'!A:A,1,FALSE)</f>
        <v>#N/A</v>
      </c>
      <c r="D125" s="141" t="s">
        <v>650</v>
      </c>
      <c r="E125" s="141" t="s">
        <v>617</v>
      </c>
      <c r="G125" s="141" t="s">
        <v>731</v>
      </c>
      <c r="H125" s="141" t="s">
        <v>618</v>
      </c>
      <c r="I125" s="141" t="s">
        <v>636</v>
      </c>
      <c r="J125" s="141" t="s">
        <v>620</v>
      </c>
      <c r="K125" s="141">
        <v>0</v>
      </c>
      <c r="L125" s="141" t="s">
        <v>730</v>
      </c>
      <c r="M125" s="245" t="s">
        <v>632</v>
      </c>
    </row>
    <row r="126" spans="1:13" s="141" customFormat="1">
      <c r="A126" s="141">
        <v>222803001</v>
      </c>
      <c r="B126" s="141" t="e">
        <v>#N/A</v>
      </c>
      <c r="C126" s="141" t="e">
        <f>VLOOKUP(A126,'DS Tenanted units'!A:A,1,FALSE)</f>
        <v>#N/A</v>
      </c>
      <c r="D126" s="141" t="s">
        <v>732</v>
      </c>
      <c r="E126" s="141" t="s">
        <v>617</v>
      </c>
      <c r="G126" s="141" t="s">
        <v>733</v>
      </c>
      <c r="H126" s="141" t="s">
        <v>618</v>
      </c>
      <c r="I126" s="141" t="s">
        <v>619</v>
      </c>
      <c r="J126" s="141" t="s">
        <v>620</v>
      </c>
      <c r="K126" s="141">
        <v>0</v>
      </c>
      <c r="L126" s="143">
        <v>45565</v>
      </c>
      <c r="M126" s="245" t="s">
        <v>632</v>
      </c>
    </row>
    <row r="127" spans="1:13" s="141" customFormat="1">
      <c r="A127" s="141">
        <v>222803002</v>
      </c>
      <c r="B127" s="141" t="e">
        <v>#N/A</v>
      </c>
      <c r="C127" s="141" t="e">
        <f>VLOOKUP(A127,'DS Tenanted units'!A:A,1,FALSE)</f>
        <v>#N/A</v>
      </c>
      <c r="D127" s="141" t="s">
        <v>734</v>
      </c>
      <c r="E127" s="141" t="s">
        <v>617</v>
      </c>
      <c r="G127" s="141" t="s">
        <v>735</v>
      </c>
      <c r="H127" s="141" t="s">
        <v>618</v>
      </c>
      <c r="I127" s="141" t="s">
        <v>619</v>
      </c>
      <c r="J127" s="141" t="s">
        <v>620</v>
      </c>
      <c r="K127" s="141">
        <v>0</v>
      </c>
      <c r="L127" s="143">
        <v>45565</v>
      </c>
      <c r="M127" s="245" t="s">
        <v>632</v>
      </c>
    </row>
    <row r="128" spans="1:13" s="141" customFormat="1">
      <c r="A128" s="141">
        <v>222803003</v>
      </c>
      <c r="B128" s="141" t="e">
        <v>#N/A</v>
      </c>
      <c r="C128" s="141" t="e">
        <f>VLOOKUP(A128,'DS Tenanted units'!A:A,1,FALSE)</f>
        <v>#N/A</v>
      </c>
      <c r="D128" s="141" t="s">
        <v>736</v>
      </c>
      <c r="E128" s="141" t="s">
        <v>617</v>
      </c>
      <c r="G128" s="141" t="s">
        <v>737</v>
      </c>
      <c r="H128" s="141" t="s">
        <v>618</v>
      </c>
      <c r="I128" s="141" t="s">
        <v>619</v>
      </c>
      <c r="J128" s="141" t="s">
        <v>620</v>
      </c>
      <c r="K128" s="141">
        <v>0</v>
      </c>
      <c r="L128" s="143">
        <v>45565</v>
      </c>
      <c r="M128" s="245" t="s">
        <v>632</v>
      </c>
    </row>
    <row r="129" spans="1:13" s="141" customFormat="1">
      <c r="A129" s="141">
        <v>222803004</v>
      </c>
      <c r="B129" s="141" t="e">
        <v>#N/A</v>
      </c>
      <c r="C129" s="141" t="e">
        <f>VLOOKUP(A129,'DS Tenanted units'!A:A,1,FALSE)</f>
        <v>#N/A</v>
      </c>
      <c r="D129" s="141" t="s">
        <v>738</v>
      </c>
      <c r="E129" s="141" t="s">
        <v>617</v>
      </c>
      <c r="G129" s="141" t="s">
        <v>739</v>
      </c>
      <c r="H129" s="141" t="s">
        <v>618</v>
      </c>
      <c r="I129" s="141" t="s">
        <v>619</v>
      </c>
      <c r="J129" s="141" t="s">
        <v>620</v>
      </c>
      <c r="K129" s="141">
        <v>0</v>
      </c>
      <c r="L129" s="143">
        <v>45565</v>
      </c>
      <c r="M129" s="245" t="s">
        <v>632</v>
      </c>
    </row>
    <row r="130" spans="1:13" s="141" customFormat="1">
      <c r="A130" s="141">
        <v>222803005</v>
      </c>
      <c r="B130" s="141" t="e">
        <v>#N/A</v>
      </c>
      <c r="C130" s="141" t="e">
        <f>VLOOKUP(A130,'DS Tenanted units'!A:A,1,FALSE)</f>
        <v>#N/A</v>
      </c>
      <c r="D130" s="141" t="s">
        <v>740</v>
      </c>
      <c r="E130" s="141" t="s">
        <v>617</v>
      </c>
      <c r="G130" s="141" t="s">
        <v>741</v>
      </c>
      <c r="H130" s="141" t="s">
        <v>618</v>
      </c>
      <c r="I130" s="141" t="s">
        <v>619</v>
      </c>
      <c r="J130" s="141" t="s">
        <v>620</v>
      </c>
      <c r="K130" s="141">
        <v>0</v>
      </c>
      <c r="L130" s="143">
        <v>45565</v>
      </c>
      <c r="M130" s="245" t="s">
        <v>632</v>
      </c>
    </row>
    <row r="131" spans="1:13" s="141" customFormat="1">
      <c r="A131" s="141">
        <v>317669001</v>
      </c>
      <c r="B131" s="141" t="e">
        <v>#N/A</v>
      </c>
      <c r="C131" s="141" t="e">
        <f>VLOOKUP(A131,'DS Tenanted units'!A:A,1,FALSE)</f>
        <v>#N/A</v>
      </c>
      <c r="D131" s="141" t="s">
        <v>742</v>
      </c>
      <c r="E131" s="141" t="s">
        <v>617</v>
      </c>
      <c r="G131" s="141" t="s">
        <v>743</v>
      </c>
      <c r="H131" s="141" t="s">
        <v>618</v>
      </c>
      <c r="I131" s="141" t="s">
        <v>619</v>
      </c>
      <c r="J131" s="141" t="s">
        <v>620</v>
      </c>
      <c r="K131" s="141">
        <v>0</v>
      </c>
      <c r="L131" s="143">
        <v>44834</v>
      </c>
      <c r="M131" s="245" t="s">
        <v>632</v>
      </c>
    </row>
    <row r="132" spans="1:13" s="141" customFormat="1">
      <c r="A132" s="141">
        <v>317670001</v>
      </c>
      <c r="B132" s="141" t="e">
        <v>#N/A</v>
      </c>
      <c r="C132" s="141" t="e">
        <f>VLOOKUP(A132,'DS Tenanted units'!A:A,1,FALSE)</f>
        <v>#N/A</v>
      </c>
      <c r="D132" s="141" t="s">
        <v>501</v>
      </c>
      <c r="E132" s="141" t="s">
        <v>617</v>
      </c>
      <c r="G132" s="141" t="s">
        <v>500</v>
      </c>
      <c r="H132" s="141" t="s">
        <v>618</v>
      </c>
      <c r="I132" s="141" t="s">
        <v>619</v>
      </c>
      <c r="J132" s="141" t="s">
        <v>620</v>
      </c>
      <c r="K132" s="141">
        <v>0</v>
      </c>
      <c r="L132" s="143">
        <v>44834</v>
      </c>
      <c r="M132" s="245" t="s">
        <v>632</v>
      </c>
    </row>
    <row r="133" spans="1:13" s="141" customFormat="1">
      <c r="A133" s="141">
        <v>317671001</v>
      </c>
      <c r="B133" s="141" t="e">
        <v>#N/A</v>
      </c>
      <c r="C133" s="141" t="e">
        <f>VLOOKUP(A133,'DS Tenanted units'!A:A,1,FALSE)</f>
        <v>#N/A</v>
      </c>
      <c r="D133" s="141" t="s">
        <v>744</v>
      </c>
      <c r="E133" s="141" t="s">
        <v>617</v>
      </c>
      <c r="F133" s="141">
        <v>200000460443</v>
      </c>
      <c r="G133" s="141" t="s">
        <v>745</v>
      </c>
      <c r="H133" s="141" t="s">
        <v>618</v>
      </c>
      <c r="I133" s="141" t="s">
        <v>636</v>
      </c>
      <c r="J133" s="141" t="s">
        <v>620</v>
      </c>
      <c r="K133" s="141">
        <v>0</v>
      </c>
      <c r="L133" s="143">
        <v>44834</v>
      </c>
      <c r="M133" s="245" t="s">
        <v>632</v>
      </c>
    </row>
    <row r="134" spans="1:13" s="141" customFormat="1">
      <c r="A134" s="141">
        <v>418572003</v>
      </c>
      <c r="B134" s="141" t="e">
        <v>#N/A</v>
      </c>
      <c r="C134" s="141" t="e">
        <f>VLOOKUP(A134,'DS Tenanted units'!A:A,1,FALSE)</f>
        <v>#N/A</v>
      </c>
      <c r="D134" s="141" t="s">
        <v>746</v>
      </c>
      <c r="E134" s="141" t="s">
        <v>624</v>
      </c>
      <c r="F134" s="141">
        <v>10091005857</v>
      </c>
      <c r="G134" s="141" t="s">
        <v>747</v>
      </c>
      <c r="H134" s="141" t="s">
        <v>618</v>
      </c>
      <c r="I134" s="141" t="s">
        <v>619</v>
      </c>
      <c r="J134" s="141" t="s">
        <v>620</v>
      </c>
      <c r="K134" s="142">
        <v>89200</v>
      </c>
      <c r="L134" s="143">
        <v>45565</v>
      </c>
      <c r="M134" s="245" t="s">
        <v>632</v>
      </c>
    </row>
    <row r="135" spans="1:13" s="141" customFormat="1">
      <c r="A135" s="141">
        <v>418576001</v>
      </c>
      <c r="B135" s="141" t="e">
        <v>#N/A</v>
      </c>
      <c r="C135" s="141" t="e">
        <f>VLOOKUP(A135,'DS Tenanted units'!A:A,1,FALSE)</f>
        <v>#N/A</v>
      </c>
      <c r="D135" s="141" t="s">
        <v>525</v>
      </c>
      <c r="E135" s="141" t="s">
        <v>624</v>
      </c>
      <c r="G135" s="141" t="s">
        <v>524</v>
      </c>
      <c r="H135" s="141" t="s">
        <v>618</v>
      </c>
      <c r="I135" s="141" t="s">
        <v>619</v>
      </c>
      <c r="J135" s="141" t="s">
        <v>620</v>
      </c>
      <c r="K135" s="142">
        <v>22300</v>
      </c>
      <c r="L135" s="143">
        <v>45565</v>
      </c>
      <c r="M135" s="245" t="s">
        <v>632</v>
      </c>
    </row>
    <row r="136" spans="1:13" s="141" customFormat="1">
      <c r="A136" s="141">
        <v>418576002</v>
      </c>
      <c r="B136" s="141" t="e">
        <v>#N/A</v>
      </c>
      <c r="C136" s="141" t="e">
        <f>VLOOKUP(A136,'DS Tenanted units'!A:A,1,FALSE)</f>
        <v>#N/A</v>
      </c>
      <c r="D136" s="141" t="s">
        <v>535</v>
      </c>
      <c r="E136" s="141" t="s">
        <v>624</v>
      </c>
      <c r="G136" s="141" t="s">
        <v>534</v>
      </c>
      <c r="H136" s="141" t="s">
        <v>618</v>
      </c>
      <c r="I136" s="141" t="s">
        <v>619</v>
      </c>
      <c r="J136" s="141" t="s">
        <v>620</v>
      </c>
      <c r="K136" s="142">
        <v>59800</v>
      </c>
      <c r="L136" s="143">
        <v>45565</v>
      </c>
      <c r="M136" s="245" t="s">
        <v>632</v>
      </c>
    </row>
    <row r="137" spans="1:13" s="141" customFormat="1">
      <c r="A137" s="141">
        <v>418576003</v>
      </c>
      <c r="B137" s="141" t="e">
        <v>#N/A</v>
      </c>
      <c r="C137" s="141" t="e">
        <f>VLOOKUP(A137,'DS Tenanted units'!A:A,1,FALSE)</f>
        <v>#N/A</v>
      </c>
      <c r="D137" s="141" t="s">
        <v>546</v>
      </c>
      <c r="E137" s="141" t="s">
        <v>624</v>
      </c>
      <c r="G137" s="141" t="s">
        <v>545</v>
      </c>
      <c r="H137" s="141" t="s">
        <v>618</v>
      </c>
      <c r="I137" s="141" t="s">
        <v>619</v>
      </c>
      <c r="J137" s="141" t="s">
        <v>620</v>
      </c>
      <c r="K137" s="142">
        <v>17200</v>
      </c>
      <c r="L137" s="143">
        <v>45565</v>
      </c>
      <c r="M137" s="245" t="s">
        <v>632</v>
      </c>
    </row>
    <row r="138" spans="1:13" s="141" customFormat="1">
      <c r="A138" s="141">
        <v>418576004</v>
      </c>
      <c r="B138" s="141" t="e">
        <v>#N/A</v>
      </c>
      <c r="C138" s="141" t="e">
        <f>VLOOKUP(A138,'DS Tenanted units'!A:A,1,FALSE)</f>
        <v>#N/A</v>
      </c>
      <c r="D138" s="141" t="s">
        <v>551</v>
      </c>
      <c r="E138" s="141" t="s">
        <v>624</v>
      </c>
      <c r="G138" s="141" t="s">
        <v>550</v>
      </c>
      <c r="H138" s="141" t="s">
        <v>618</v>
      </c>
      <c r="I138" s="141" t="s">
        <v>619</v>
      </c>
      <c r="J138" s="141" t="s">
        <v>620</v>
      </c>
      <c r="K138" s="142">
        <v>17180</v>
      </c>
      <c r="L138" s="143">
        <v>45565</v>
      </c>
      <c r="M138" s="245" t="s">
        <v>632</v>
      </c>
    </row>
    <row r="139" spans="1:13" s="141" customFormat="1">
      <c r="A139" s="141">
        <v>418576122</v>
      </c>
      <c r="B139" s="141" t="e">
        <v>#N/A</v>
      </c>
      <c r="C139" s="141" t="e">
        <f>VLOOKUP(A139,'DS Tenanted units'!A:A,1,FALSE)</f>
        <v>#N/A</v>
      </c>
      <c r="D139" s="141" t="s">
        <v>748</v>
      </c>
      <c r="E139" s="141" t="s">
        <v>624</v>
      </c>
      <c r="G139" s="141" t="s">
        <v>749</v>
      </c>
      <c r="H139" s="141" t="s">
        <v>750</v>
      </c>
      <c r="I139" s="141" t="s">
        <v>619</v>
      </c>
      <c r="J139" s="141" t="s">
        <v>620</v>
      </c>
      <c r="K139" s="141">
        <v>0</v>
      </c>
      <c r="L139" s="143">
        <v>45565</v>
      </c>
      <c r="M139" s="245" t="s">
        <v>632</v>
      </c>
    </row>
    <row r="140" spans="1:13" s="141" customFormat="1">
      <c r="A140" s="141">
        <v>418578022</v>
      </c>
      <c r="B140" s="141" t="e">
        <v>#N/A</v>
      </c>
      <c r="C140" s="141" t="e">
        <f>VLOOKUP(A140,'DS Tenanted units'!A:A,1,FALSE)</f>
        <v>#N/A</v>
      </c>
      <c r="D140" s="141" t="s">
        <v>593</v>
      </c>
      <c r="E140" s="141" t="s">
        <v>624</v>
      </c>
      <c r="F140" s="141">
        <v>10008240142</v>
      </c>
      <c r="G140" s="141" t="s">
        <v>592</v>
      </c>
      <c r="H140" s="141" t="s">
        <v>618</v>
      </c>
      <c r="I140" s="141" t="s">
        <v>619</v>
      </c>
      <c r="J140" s="141" t="s">
        <v>620</v>
      </c>
      <c r="K140" s="142">
        <v>45000</v>
      </c>
      <c r="L140" s="143">
        <v>45565</v>
      </c>
      <c r="M140" s="245" t="s">
        <v>632</v>
      </c>
    </row>
    <row r="141" spans="1:13" s="150" customFormat="1">
      <c r="A141" s="200" t="s">
        <v>751</v>
      </c>
      <c r="D141"/>
      <c r="M141" s="200"/>
    </row>
    <row r="142" spans="1:13" s="150" customFormat="1">
      <c r="A142" s="150" t="s">
        <v>752</v>
      </c>
      <c r="B142" s="150" t="s">
        <v>601</v>
      </c>
      <c r="C142" s="150" t="s">
        <v>602</v>
      </c>
      <c r="D142"/>
      <c r="E142" s="150" t="s">
        <v>604</v>
      </c>
      <c r="F142" s="150" t="s">
        <v>605</v>
      </c>
      <c r="G142" s="150" t="s">
        <v>481</v>
      </c>
      <c r="H142" s="150" t="s">
        <v>607</v>
      </c>
      <c r="I142" s="150" t="s">
        <v>14</v>
      </c>
      <c r="J142" s="150" t="s">
        <v>608</v>
      </c>
      <c r="K142" s="150" t="s">
        <v>609</v>
      </c>
      <c r="L142" s="150" t="s">
        <v>610</v>
      </c>
      <c r="M142" s="200" t="s">
        <v>611</v>
      </c>
    </row>
    <row r="143" spans="1:13">
      <c r="A143">
        <v>222577001</v>
      </c>
      <c r="B143">
        <v>222577001</v>
      </c>
      <c r="C143">
        <f>VLOOKUP(A143,'DS Tenanted units'!A:A,1,FALSE)</f>
        <v>222577001</v>
      </c>
      <c r="D143" t="s">
        <v>70</v>
      </c>
      <c r="E143" t="s">
        <v>617</v>
      </c>
      <c r="F143">
        <v>10094190555</v>
      </c>
      <c r="G143" t="s">
        <v>69</v>
      </c>
      <c r="H143" t="s">
        <v>618</v>
      </c>
      <c r="I143" t="s">
        <v>698</v>
      </c>
      <c r="J143" t="s">
        <v>753</v>
      </c>
      <c r="K143" s="139">
        <v>54800</v>
      </c>
      <c r="L143" s="140">
        <v>45565</v>
      </c>
      <c r="M143" s="29" t="s">
        <v>518</v>
      </c>
    </row>
    <row r="144" spans="1:13">
      <c r="A144">
        <v>222577002</v>
      </c>
      <c r="B144">
        <v>222577002</v>
      </c>
      <c r="C144">
        <f>VLOOKUP(A144,'DS Tenanted units'!A:A,1,FALSE)</f>
        <v>222577002</v>
      </c>
      <c r="D144" t="s">
        <v>56</v>
      </c>
      <c r="E144" t="s">
        <v>617</v>
      </c>
      <c r="F144">
        <v>10094190852</v>
      </c>
      <c r="G144" t="s">
        <v>55</v>
      </c>
      <c r="H144" t="s">
        <v>618</v>
      </c>
      <c r="I144" t="s">
        <v>698</v>
      </c>
      <c r="J144" t="s">
        <v>753</v>
      </c>
      <c r="K144" s="139">
        <v>20000</v>
      </c>
      <c r="L144" s="140">
        <v>45565</v>
      </c>
      <c r="M144" s="29" t="s">
        <v>518</v>
      </c>
    </row>
    <row r="145" spans="1:14">
      <c r="A145">
        <v>222577003</v>
      </c>
      <c r="B145">
        <v>222577003</v>
      </c>
      <c r="C145">
        <f>VLOOKUP(A145,'DS Tenanted units'!A:A,1,FALSE)</f>
        <v>222577003</v>
      </c>
      <c r="D145" t="s">
        <v>65</v>
      </c>
      <c r="E145" t="s">
        <v>617</v>
      </c>
      <c r="F145">
        <v>10094190853</v>
      </c>
      <c r="G145" t="s">
        <v>64</v>
      </c>
      <c r="H145" t="s">
        <v>618</v>
      </c>
      <c r="I145" t="s">
        <v>698</v>
      </c>
      <c r="J145" t="s">
        <v>753</v>
      </c>
      <c r="K145" s="139">
        <v>21900</v>
      </c>
      <c r="L145" s="140">
        <v>45565</v>
      </c>
      <c r="M145" s="29" t="s">
        <v>518</v>
      </c>
    </row>
    <row r="146" spans="1:14">
      <c r="A146">
        <v>222577004</v>
      </c>
      <c r="B146">
        <v>222577004</v>
      </c>
      <c r="C146">
        <f>VLOOKUP(A146,'DS Tenanted units'!A:A,1,FALSE)</f>
        <v>222577004</v>
      </c>
      <c r="D146" t="s">
        <v>78</v>
      </c>
      <c r="E146" t="s">
        <v>617</v>
      </c>
      <c r="F146">
        <v>10094190849</v>
      </c>
      <c r="G146" t="s">
        <v>77</v>
      </c>
      <c r="H146" t="s">
        <v>618</v>
      </c>
      <c r="I146" t="s">
        <v>698</v>
      </c>
      <c r="J146" t="s">
        <v>753</v>
      </c>
      <c r="K146" s="139">
        <v>20900</v>
      </c>
      <c r="L146" s="140">
        <v>45565</v>
      </c>
      <c r="M146" s="29" t="s">
        <v>518</v>
      </c>
    </row>
    <row r="147" spans="1:14">
      <c r="A147">
        <v>222577005</v>
      </c>
      <c r="B147">
        <v>222577005</v>
      </c>
      <c r="C147">
        <f>VLOOKUP(A147,'DS Tenanted units'!A:A,1,FALSE)</f>
        <v>222577005</v>
      </c>
      <c r="D147" t="s">
        <v>75</v>
      </c>
      <c r="E147" t="s">
        <v>617</v>
      </c>
      <c r="F147">
        <v>10094190848</v>
      </c>
      <c r="G147" t="s">
        <v>74</v>
      </c>
      <c r="H147" t="s">
        <v>618</v>
      </c>
      <c r="I147" t="s">
        <v>698</v>
      </c>
      <c r="J147" t="s">
        <v>753</v>
      </c>
      <c r="K147" s="139">
        <v>20900</v>
      </c>
      <c r="L147" s="140">
        <v>45565</v>
      </c>
      <c r="M147" s="29" t="s">
        <v>518</v>
      </c>
    </row>
    <row r="148" spans="1:14">
      <c r="A148">
        <v>222577006</v>
      </c>
      <c r="B148">
        <v>222577006</v>
      </c>
      <c r="C148">
        <f>VLOOKUP(A148,'DS Tenanted units'!A:A,1,FALSE)</f>
        <v>222577006</v>
      </c>
      <c r="D148" t="s">
        <v>82</v>
      </c>
      <c r="E148" t="s">
        <v>617</v>
      </c>
      <c r="F148">
        <v>10095312460</v>
      </c>
      <c r="G148" t="s">
        <v>81</v>
      </c>
      <c r="H148" t="s">
        <v>618</v>
      </c>
      <c r="I148" t="s">
        <v>698</v>
      </c>
      <c r="J148" t="s">
        <v>753</v>
      </c>
      <c r="K148" s="139">
        <v>20000</v>
      </c>
      <c r="L148" s="140">
        <v>45565</v>
      </c>
      <c r="M148" s="29" t="s">
        <v>518</v>
      </c>
    </row>
    <row r="149" spans="1:14">
      <c r="A149">
        <v>222625002</v>
      </c>
      <c r="B149">
        <v>222625002</v>
      </c>
      <c r="C149">
        <f>VLOOKUP(A149,'DS Tenanted units'!A:A,1,FALSE)</f>
        <v>222625002</v>
      </c>
      <c r="D149" t="s">
        <v>95</v>
      </c>
      <c r="E149" t="s">
        <v>617</v>
      </c>
      <c r="F149">
        <v>373714</v>
      </c>
      <c r="G149" t="s">
        <v>94</v>
      </c>
      <c r="H149" t="s">
        <v>618</v>
      </c>
      <c r="I149" t="s">
        <v>698</v>
      </c>
      <c r="J149" t="s">
        <v>753</v>
      </c>
      <c r="K149" s="139">
        <v>10975</v>
      </c>
      <c r="L149" s="140">
        <v>45565</v>
      </c>
      <c r="M149" s="29" t="s">
        <v>518</v>
      </c>
    </row>
    <row r="150" spans="1:14">
      <c r="A150">
        <v>222632001</v>
      </c>
      <c r="B150">
        <v>222632001</v>
      </c>
      <c r="C150">
        <f>VLOOKUP(A150,'DS Tenanted units'!A:A,1,FALSE)</f>
        <v>222632001</v>
      </c>
      <c r="D150" t="s">
        <v>145</v>
      </c>
      <c r="E150" t="s">
        <v>617</v>
      </c>
      <c r="G150" t="s">
        <v>144</v>
      </c>
      <c r="H150" t="s">
        <v>618</v>
      </c>
      <c r="I150" t="s">
        <v>698</v>
      </c>
      <c r="J150" t="s">
        <v>753</v>
      </c>
      <c r="K150" s="139">
        <v>31600</v>
      </c>
      <c r="L150" s="140">
        <v>45565</v>
      </c>
      <c r="M150" s="29" t="s">
        <v>518</v>
      </c>
    </row>
    <row r="151" spans="1:14">
      <c r="A151">
        <v>222632002</v>
      </c>
      <c r="B151">
        <v>222632002</v>
      </c>
      <c r="C151">
        <f>VLOOKUP(A151,'DS Tenanted units'!A:A,1,FALSE)</f>
        <v>222632002</v>
      </c>
      <c r="D151" t="s">
        <v>150</v>
      </c>
      <c r="E151" t="s">
        <v>617</v>
      </c>
      <c r="G151" t="s">
        <v>149</v>
      </c>
      <c r="H151" t="s">
        <v>618</v>
      </c>
      <c r="I151" t="s">
        <v>698</v>
      </c>
      <c r="J151" t="s">
        <v>753</v>
      </c>
      <c r="K151">
        <v>0</v>
      </c>
      <c r="L151" s="140">
        <v>45565</v>
      </c>
      <c r="M151" s="29" t="s">
        <v>518</v>
      </c>
    </row>
    <row r="152" spans="1:14">
      <c r="A152">
        <v>222632003</v>
      </c>
      <c r="B152">
        <v>222632003</v>
      </c>
      <c r="C152">
        <f>VLOOKUP(A152,'DS Tenanted units'!A:A,1,FALSE)</f>
        <v>222632003</v>
      </c>
      <c r="D152" t="s">
        <v>153</v>
      </c>
      <c r="E152" t="s">
        <v>617</v>
      </c>
      <c r="G152" t="s">
        <v>152</v>
      </c>
      <c r="H152" t="s">
        <v>618</v>
      </c>
      <c r="I152" t="s">
        <v>698</v>
      </c>
      <c r="J152" t="s">
        <v>753</v>
      </c>
      <c r="K152" s="139">
        <v>24800</v>
      </c>
      <c r="L152" s="140">
        <v>45565</v>
      </c>
      <c r="M152" s="29" t="s">
        <v>518</v>
      </c>
    </row>
    <row r="153" spans="1:14">
      <c r="A153">
        <v>222641001</v>
      </c>
      <c r="B153">
        <v>222641001</v>
      </c>
      <c r="C153">
        <f>VLOOKUP(A153,'DS Tenanted units'!A:A,1,FALSE)</f>
        <v>222641001</v>
      </c>
      <c r="D153" t="s">
        <v>159</v>
      </c>
      <c r="E153" t="s">
        <v>617</v>
      </c>
      <c r="F153">
        <v>10093919740</v>
      </c>
      <c r="G153" t="s">
        <v>158</v>
      </c>
      <c r="H153" t="s">
        <v>618</v>
      </c>
      <c r="I153" t="s">
        <v>698</v>
      </c>
      <c r="J153" t="s">
        <v>753</v>
      </c>
      <c r="K153" s="139">
        <v>75340</v>
      </c>
      <c r="L153" s="140">
        <v>45565</v>
      </c>
      <c r="M153" s="29" t="s">
        <v>518</v>
      </c>
    </row>
    <row r="154" spans="1:14">
      <c r="A154">
        <v>222641002</v>
      </c>
      <c r="B154">
        <v>222641002</v>
      </c>
      <c r="C154">
        <f>VLOOKUP(A154,'DS Tenanted units'!A:A,1,FALSE)</f>
        <v>222641002</v>
      </c>
      <c r="D154" t="s">
        <v>162</v>
      </c>
      <c r="E154" t="s">
        <v>617</v>
      </c>
      <c r="F154">
        <v>10093919741</v>
      </c>
      <c r="G154" t="s">
        <v>161</v>
      </c>
      <c r="H154" t="s">
        <v>618</v>
      </c>
      <c r="I154" t="s">
        <v>698</v>
      </c>
      <c r="J154" t="s">
        <v>753</v>
      </c>
      <c r="K154">
        <v>0</v>
      </c>
      <c r="L154" s="140">
        <v>45565</v>
      </c>
      <c r="M154" s="29" t="s">
        <v>518</v>
      </c>
    </row>
    <row r="155" spans="1:14">
      <c r="A155">
        <v>222644002</v>
      </c>
      <c r="B155">
        <v>222644002</v>
      </c>
      <c r="C155">
        <f>VLOOKUP(A155,'DS Tenanted units'!A:A,1,FALSE)</f>
        <v>222644002</v>
      </c>
      <c r="D155" t="s">
        <v>224</v>
      </c>
      <c r="E155" t="s">
        <v>617</v>
      </c>
      <c r="F155">
        <v>10095637005</v>
      </c>
      <c r="G155" t="s">
        <v>223</v>
      </c>
      <c r="H155" t="s">
        <v>618</v>
      </c>
      <c r="I155" t="s">
        <v>698</v>
      </c>
      <c r="J155" t="s">
        <v>753</v>
      </c>
      <c r="K155">
        <v>0</v>
      </c>
      <c r="L155" s="140">
        <v>45565</v>
      </c>
      <c r="M155" s="29" t="s">
        <v>518</v>
      </c>
      <c r="N155" t="s">
        <v>224</v>
      </c>
    </row>
    <row r="156" spans="1:14">
      <c r="A156">
        <v>222644003</v>
      </c>
      <c r="B156">
        <v>222644003</v>
      </c>
      <c r="C156">
        <f>VLOOKUP(A156,'DS Tenanted units'!A:A,1,FALSE)</f>
        <v>222644003</v>
      </c>
      <c r="D156" t="s">
        <v>228</v>
      </c>
      <c r="E156" t="s">
        <v>617</v>
      </c>
      <c r="F156">
        <v>10095637006</v>
      </c>
      <c r="G156" t="s">
        <v>227</v>
      </c>
      <c r="H156" t="s">
        <v>618</v>
      </c>
      <c r="I156" t="s">
        <v>698</v>
      </c>
      <c r="J156" t="s">
        <v>753</v>
      </c>
      <c r="K156">
        <v>0</v>
      </c>
      <c r="L156" s="140">
        <v>45565</v>
      </c>
      <c r="M156" s="29" t="s">
        <v>518</v>
      </c>
    </row>
    <row r="157" spans="1:14">
      <c r="A157">
        <v>222644004</v>
      </c>
      <c r="B157">
        <v>222644004</v>
      </c>
      <c r="C157">
        <f>VLOOKUP(A157,'DS Tenanted units'!A:A,1,FALSE)</f>
        <v>222644004</v>
      </c>
      <c r="D157" t="s">
        <v>230</v>
      </c>
      <c r="E157" t="s">
        <v>617</v>
      </c>
      <c r="F157">
        <v>10095637007</v>
      </c>
      <c r="G157" t="s">
        <v>229</v>
      </c>
      <c r="H157" t="s">
        <v>618</v>
      </c>
      <c r="I157" t="s">
        <v>698</v>
      </c>
      <c r="J157" t="s">
        <v>753</v>
      </c>
      <c r="K157" s="139">
        <v>195000</v>
      </c>
      <c r="L157" s="140">
        <v>45565</v>
      </c>
      <c r="M157" s="29" t="s">
        <v>518</v>
      </c>
    </row>
    <row r="158" spans="1:14">
      <c r="A158">
        <v>222644005</v>
      </c>
      <c r="B158">
        <v>222644005</v>
      </c>
      <c r="C158">
        <f>VLOOKUP(A158,'DS Tenanted units'!A:A,1,FALSE)</f>
        <v>222644005</v>
      </c>
      <c r="D158" t="s">
        <v>232</v>
      </c>
      <c r="E158" t="s">
        <v>617</v>
      </c>
      <c r="F158">
        <v>10095637008</v>
      </c>
      <c r="G158" t="s">
        <v>231</v>
      </c>
      <c r="H158" t="s">
        <v>618</v>
      </c>
      <c r="I158" t="s">
        <v>698</v>
      </c>
      <c r="J158" t="s">
        <v>753</v>
      </c>
      <c r="K158">
        <v>0</v>
      </c>
      <c r="L158" s="140">
        <v>45565</v>
      </c>
      <c r="M158" s="29" t="s">
        <v>518</v>
      </c>
    </row>
    <row r="159" spans="1:14">
      <c r="A159">
        <v>222644006</v>
      </c>
      <c r="B159">
        <v>222644006</v>
      </c>
      <c r="C159">
        <f>VLOOKUP(A159,'DS Tenanted units'!A:A,1,FALSE)</f>
        <v>222644006</v>
      </c>
      <c r="D159" t="s">
        <v>234</v>
      </c>
      <c r="E159" t="s">
        <v>617</v>
      </c>
      <c r="G159" t="s">
        <v>233</v>
      </c>
      <c r="H159" t="s">
        <v>618</v>
      </c>
      <c r="I159" t="s">
        <v>698</v>
      </c>
      <c r="J159" t="s">
        <v>753</v>
      </c>
      <c r="K159">
        <v>0</v>
      </c>
      <c r="L159" s="140">
        <v>45565</v>
      </c>
      <c r="M159" s="29" t="s">
        <v>518</v>
      </c>
    </row>
    <row r="160" spans="1:14">
      <c r="A160">
        <v>222653002</v>
      </c>
      <c r="B160">
        <v>222653002</v>
      </c>
      <c r="C160">
        <f>VLOOKUP(A160,'DS Tenanted units'!A:A,1,FALSE)</f>
        <v>222653002</v>
      </c>
      <c r="D160" t="s">
        <v>191</v>
      </c>
      <c r="E160" t="s">
        <v>624</v>
      </c>
      <c r="G160" t="s">
        <v>190</v>
      </c>
      <c r="H160" t="s">
        <v>625</v>
      </c>
      <c r="I160" t="s">
        <v>698</v>
      </c>
      <c r="J160" t="s">
        <v>753</v>
      </c>
      <c r="K160" s="139">
        <v>20000</v>
      </c>
      <c r="L160" s="140">
        <v>45565</v>
      </c>
      <c r="M160" s="29" t="s">
        <v>518</v>
      </c>
    </row>
    <row r="161" spans="1:13">
      <c r="A161">
        <v>222653003</v>
      </c>
      <c r="B161">
        <v>222653003</v>
      </c>
      <c r="C161">
        <f>VLOOKUP(A161,'DS Tenanted units'!A:A,1,FALSE)</f>
        <v>222653003</v>
      </c>
      <c r="D161" t="s">
        <v>197</v>
      </c>
      <c r="E161" t="s">
        <v>624</v>
      </c>
      <c r="G161" t="s">
        <v>196</v>
      </c>
      <c r="H161" t="s">
        <v>618</v>
      </c>
      <c r="I161" t="s">
        <v>698</v>
      </c>
      <c r="J161" t="s">
        <v>753</v>
      </c>
      <c r="K161" s="139">
        <v>12800</v>
      </c>
      <c r="L161" s="140">
        <v>45565</v>
      </c>
      <c r="M161" s="29" t="s">
        <v>518</v>
      </c>
    </row>
    <row r="162" spans="1:13">
      <c r="A162">
        <v>222653004</v>
      </c>
      <c r="B162">
        <v>222653004</v>
      </c>
      <c r="C162">
        <f>VLOOKUP(A162,'DS Tenanted units'!A:A,1,FALSE)</f>
        <v>222653004</v>
      </c>
      <c r="D162" t="s">
        <v>202</v>
      </c>
      <c r="E162" t="s">
        <v>624</v>
      </c>
      <c r="G162" t="s">
        <v>201</v>
      </c>
      <c r="H162" t="s">
        <v>625</v>
      </c>
      <c r="I162" t="s">
        <v>698</v>
      </c>
      <c r="J162" t="s">
        <v>753</v>
      </c>
      <c r="K162" s="139">
        <v>25500</v>
      </c>
      <c r="L162" s="140">
        <v>45565</v>
      </c>
      <c r="M162" s="29" t="s">
        <v>518</v>
      </c>
    </row>
    <row r="163" spans="1:13">
      <c r="A163">
        <v>222653005</v>
      </c>
      <c r="B163">
        <v>222653005</v>
      </c>
      <c r="C163">
        <f>VLOOKUP(A163,'DS Tenanted units'!A:A,1,FALSE)</f>
        <v>222653005</v>
      </c>
      <c r="D163" t="s">
        <v>208</v>
      </c>
      <c r="E163" t="s">
        <v>624</v>
      </c>
      <c r="G163" t="s">
        <v>207</v>
      </c>
      <c r="H163" t="s">
        <v>625</v>
      </c>
      <c r="I163" t="s">
        <v>698</v>
      </c>
      <c r="J163" t="s">
        <v>753</v>
      </c>
      <c r="K163" s="139">
        <v>29250</v>
      </c>
      <c r="L163" s="140">
        <v>45565</v>
      </c>
      <c r="M163" s="29" t="s">
        <v>518</v>
      </c>
    </row>
    <row r="164" spans="1:13">
      <c r="A164">
        <v>222653006</v>
      </c>
      <c r="B164">
        <v>222653006</v>
      </c>
      <c r="C164">
        <f>VLOOKUP(A164,'DS Tenanted units'!A:A,1,FALSE)</f>
        <v>222653006</v>
      </c>
      <c r="D164" t="s">
        <v>213</v>
      </c>
      <c r="E164" t="s">
        <v>624</v>
      </c>
      <c r="G164" t="s">
        <v>212</v>
      </c>
      <c r="H164" t="s">
        <v>625</v>
      </c>
      <c r="I164" t="s">
        <v>698</v>
      </c>
      <c r="J164" t="s">
        <v>753</v>
      </c>
      <c r="K164" s="139">
        <v>45000</v>
      </c>
      <c r="L164" s="140">
        <v>45565</v>
      </c>
      <c r="M164" s="29" t="s">
        <v>518</v>
      </c>
    </row>
    <row r="165" spans="1:13">
      <c r="A165">
        <v>222662001</v>
      </c>
      <c r="B165">
        <v>222662001</v>
      </c>
      <c r="C165">
        <f>VLOOKUP(A165,'DS Tenanted units'!A:A,1,FALSE)</f>
        <v>222662001</v>
      </c>
      <c r="D165" t="s">
        <v>263</v>
      </c>
      <c r="E165" t="s">
        <v>617</v>
      </c>
      <c r="G165" t="s">
        <v>262</v>
      </c>
      <c r="H165" t="s">
        <v>625</v>
      </c>
      <c r="I165" t="s">
        <v>698</v>
      </c>
      <c r="J165" t="s">
        <v>753</v>
      </c>
      <c r="K165" s="139">
        <v>27250</v>
      </c>
      <c r="L165" s="140">
        <v>45565</v>
      </c>
      <c r="M165" s="29" t="s">
        <v>518</v>
      </c>
    </row>
    <row r="166" spans="1:13">
      <c r="A166">
        <v>222669001</v>
      </c>
      <c r="B166">
        <v>222669001</v>
      </c>
      <c r="C166">
        <f>VLOOKUP(A166,'DS Tenanted units'!A:A,1,FALSE)</f>
        <v>222669001</v>
      </c>
      <c r="D166" t="s">
        <v>276</v>
      </c>
      <c r="E166" t="s">
        <v>617</v>
      </c>
      <c r="G166" t="s">
        <v>275</v>
      </c>
      <c r="H166" t="s">
        <v>625</v>
      </c>
      <c r="I166" t="s">
        <v>698</v>
      </c>
      <c r="J166" t="s">
        <v>753</v>
      </c>
      <c r="K166" s="139">
        <v>30000</v>
      </c>
      <c r="L166" s="140">
        <v>45565</v>
      </c>
      <c r="M166" s="29" t="s">
        <v>518</v>
      </c>
    </row>
    <row r="167" spans="1:13">
      <c r="A167">
        <v>222690001</v>
      </c>
      <c r="B167">
        <v>222690001</v>
      </c>
      <c r="C167">
        <f>VLOOKUP(A167,'DS Tenanted units'!A:A,1,FALSE)</f>
        <v>222690001</v>
      </c>
      <c r="D167" t="s">
        <v>251</v>
      </c>
      <c r="E167" t="s">
        <v>617</v>
      </c>
      <c r="G167" t="s">
        <v>250</v>
      </c>
      <c r="H167" t="s">
        <v>625</v>
      </c>
      <c r="I167" t="s">
        <v>698</v>
      </c>
      <c r="J167" t="s">
        <v>753</v>
      </c>
      <c r="K167" s="139">
        <v>96012</v>
      </c>
      <c r="L167" s="140">
        <v>45565</v>
      </c>
      <c r="M167" s="29" t="s">
        <v>518</v>
      </c>
    </row>
    <row r="168" spans="1:13">
      <c r="A168">
        <v>222690002</v>
      </c>
      <c r="B168">
        <v>222690002</v>
      </c>
      <c r="C168">
        <f>VLOOKUP(A168,'DS Tenanted units'!A:A,1,FALSE)</f>
        <v>222690002</v>
      </c>
      <c r="D168" t="s">
        <v>245</v>
      </c>
      <c r="E168" t="s">
        <v>617</v>
      </c>
      <c r="G168" t="s">
        <v>244</v>
      </c>
      <c r="H168" t="s">
        <v>625</v>
      </c>
      <c r="I168" t="s">
        <v>698</v>
      </c>
      <c r="J168" t="s">
        <v>753</v>
      </c>
      <c r="K168" s="139">
        <v>21443</v>
      </c>
      <c r="L168" s="140">
        <v>45565</v>
      </c>
      <c r="M168" s="29" t="s">
        <v>518</v>
      </c>
    </row>
    <row r="169" spans="1:13">
      <c r="A169">
        <v>222690004</v>
      </c>
      <c r="B169">
        <v>222690004</v>
      </c>
      <c r="C169">
        <f>VLOOKUP(A169,'DS Tenanted units'!A:A,1,FALSE)</f>
        <v>222690004</v>
      </c>
      <c r="D169" t="s">
        <v>257</v>
      </c>
      <c r="E169" t="s">
        <v>617</v>
      </c>
      <c r="G169" t="s">
        <v>256</v>
      </c>
      <c r="H169" t="s">
        <v>625</v>
      </c>
      <c r="I169" t="s">
        <v>698</v>
      </c>
      <c r="J169" t="s">
        <v>753</v>
      </c>
      <c r="K169" s="139">
        <v>20000</v>
      </c>
      <c r="L169" s="140">
        <v>45565</v>
      </c>
      <c r="M169" s="29" t="s">
        <v>518</v>
      </c>
    </row>
    <row r="170" spans="1:13">
      <c r="A170">
        <v>222707002</v>
      </c>
      <c r="B170">
        <v>222707002</v>
      </c>
      <c r="C170">
        <f>VLOOKUP(A170,'DS Tenanted units'!A:A,1,FALSE)</f>
        <v>222707002</v>
      </c>
      <c r="D170" t="s">
        <v>111</v>
      </c>
      <c r="E170" t="s">
        <v>617</v>
      </c>
      <c r="G170" t="s">
        <v>110</v>
      </c>
      <c r="H170" t="s">
        <v>625</v>
      </c>
      <c r="I170" t="s">
        <v>698</v>
      </c>
      <c r="J170" t="s">
        <v>753</v>
      </c>
      <c r="K170" s="139">
        <v>21853</v>
      </c>
      <c r="L170" s="140">
        <v>45565</v>
      </c>
      <c r="M170" s="29" t="s">
        <v>518</v>
      </c>
    </row>
    <row r="171" spans="1:13">
      <c r="A171">
        <v>222707003</v>
      </c>
      <c r="B171">
        <v>222707003</v>
      </c>
      <c r="C171">
        <f>VLOOKUP(A171,'DS Tenanted units'!A:A,1,FALSE)</f>
        <v>222707003</v>
      </c>
      <c r="D171" t="s">
        <v>115</v>
      </c>
      <c r="E171" t="s">
        <v>617</v>
      </c>
      <c r="G171" t="s">
        <v>114</v>
      </c>
      <c r="H171" t="s">
        <v>625</v>
      </c>
      <c r="I171" t="s">
        <v>698</v>
      </c>
      <c r="J171" t="s">
        <v>753</v>
      </c>
      <c r="K171" s="139">
        <v>26650</v>
      </c>
      <c r="L171" s="140">
        <v>45565</v>
      </c>
      <c r="M171" s="29" t="s">
        <v>518</v>
      </c>
    </row>
    <row r="172" spans="1:13">
      <c r="A172">
        <v>222711001</v>
      </c>
      <c r="B172">
        <v>222711001</v>
      </c>
      <c r="C172">
        <f>VLOOKUP(A172,'DS Tenanted units'!A:A,1,FALSE)</f>
        <v>222711001</v>
      </c>
      <c r="D172" t="s">
        <v>348</v>
      </c>
      <c r="E172" t="s">
        <v>617</v>
      </c>
      <c r="G172" t="s">
        <v>347</v>
      </c>
      <c r="H172" t="s">
        <v>625</v>
      </c>
      <c r="I172" t="s">
        <v>698</v>
      </c>
      <c r="J172" t="s">
        <v>753</v>
      </c>
      <c r="K172" s="139">
        <v>27923</v>
      </c>
      <c r="L172" s="140">
        <v>45565</v>
      </c>
      <c r="M172" s="29" t="s">
        <v>518</v>
      </c>
    </row>
    <row r="173" spans="1:13">
      <c r="A173">
        <v>222740001</v>
      </c>
      <c r="B173">
        <v>222740001</v>
      </c>
      <c r="C173">
        <f>VLOOKUP(A173,'DS Tenanted units'!A:A,1,FALSE)</f>
        <v>222740001</v>
      </c>
      <c r="D173" t="s">
        <v>413</v>
      </c>
      <c r="E173" t="s">
        <v>617</v>
      </c>
      <c r="F173" t="s">
        <v>754</v>
      </c>
      <c r="G173" t="s">
        <v>412</v>
      </c>
      <c r="H173" t="s">
        <v>625</v>
      </c>
      <c r="I173" t="s">
        <v>698</v>
      </c>
      <c r="J173" t="s">
        <v>753</v>
      </c>
      <c r="K173" s="139">
        <v>45000</v>
      </c>
      <c r="L173" s="140">
        <v>45565</v>
      </c>
      <c r="M173" s="29" t="s">
        <v>518</v>
      </c>
    </row>
    <row r="174" spans="1:13">
      <c r="A174">
        <v>222740002</v>
      </c>
      <c r="B174">
        <v>222740002</v>
      </c>
      <c r="C174">
        <f>VLOOKUP(A174,'DS Tenanted units'!A:A,1,FALSE)</f>
        <v>222740002</v>
      </c>
      <c r="D174" t="s">
        <v>419</v>
      </c>
      <c r="E174" t="s">
        <v>617</v>
      </c>
      <c r="F174">
        <v>1009561913</v>
      </c>
      <c r="G174" t="s">
        <v>418</v>
      </c>
      <c r="H174" t="s">
        <v>625</v>
      </c>
      <c r="I174" t="s">
        <v>698</v>
      </c>
      <c r="J174" t="s">
        <v>753</v>
      </c>
      <c r="K174" s="139">
        <v>26000</v>
      </c>
      <c r="L174" s="140">
        <v>45565</v>
      </c>
      <c r="M174" s="29" t="s">
        <v>518</v>
      </c>
    </row>
    <row r="175" spans="1:13">
      <c r="A175">
        <v>222798001</v>
      </c>
      <c r="B175">
        <v>222798001</v>
      </c>
      <c r="C175">
        <f>VLOOKUP(A175,'DS Tenanted units'!A:A,1,FALSE)</f>
        <v>222798001</v>
      </c>
      <c r="D175" t="s">
        <v>338</v>
      </c>
      <c r="E175" t="s">
        <v>617</v>
      </c>
      <c r="G175" t="s">
        <v>337</v>
      </c>
      <c r="H175" t="s">
        <v>625</v>
      </c>
      <c r="I175" t="s">
        <v>698</v>
      </c>
      <c r="J175" t="s">
        <v>753</v>
      </c>
      <c r="K175" s="139">
        <v>16000</v>
      </c>
      <c r="L175" s="140">
        <v>45565</v>
      </c>
      <c r="M175" s="29" t="s">
        <v>518</v>
      </c>
    </row>
    <row r="176" spans="1:13">
      <c r="A176">
        <v>222801001</v>
      </c>
      <c r="B176">
        <v>222801001</v>
      </c>
      <c r="C176">
        <f>VLOOKUP(A176,'DS Tenanted units'!A:A,1,FALSE)</f>
        <v>222801001</v>
      </c>
      <c r="D176" t="s">
        <v>424</v>
      </c>
      <c r="E176" t="s">
        <v>617</v>
      </c>
      <c r="G176" t="s">
        <v>423</v>
      </c>
      <c r="H176" t="s">
        <v>625</v>
      </c>
      <c r="I176" t="s">
        <v>698</v>
      </c>
      <c r="J176" t="s">
        <v>753</v>
      </c>
      <c r="K176" s="139">
        <v>41750</v>
      </c>
      <c r="L176" s="140">
        <v>45565</v>
      </c>
      <c r="M176" s="29" t="s">
        <v>518</v>
      </c>
    </row>
    <row r="177" spans="1:13">
      <c r="A177">
        <v>222801002</v>
      </c>
      <c r="B177">
        <v>222801002</v>
      </c>
      <c r="C177">
        <f>VLOOKUP(A177,'DS Tenanted units'!A:A,1,FALSE)</f>
        <v>222801002</v>
      </c>
      <c r="D177" t="s">
        <v>429</v>
      </c>
      <c r="E177" t="s">
        <v>617</v>
      </c>
      <c r="G177" t="s">
        <v>428</v>
      </c>
      <c r="H177" t="s">
        <v>625</v>
      </c>
      <c r="I177" t="s">
        <v>698</v>
      </c>
      <c r="J177" t="s">
        <v>753</v>
      </c>
      <c r="K177" s="139">
        <v>16500</v>
      </c>
      <c r="L177" s="140">
        <v>45565</v>
      </c>
      <c r="M177" s="29" t="s">
        <v>518</v>
      </c>
    </row>
    <row r="178" spans="1:13">
      <c r="A178">
        <v>222801003</v>
      </c>
      <c r="B178">
        <v>222801003</v>
      </c>
      <c r="C178">
        <f>VLOOKUP(A178,'DS Tenanted units'!A:A,1,FALSE)</f>
        <v>222801003</v>
      </c>
      <c r="D178" t="s">
        <v>433</v>
      </c>
      <c r="E178" t="s">
        <v>617</v>
      </c>
      <c r="G178" t="s">
        <v>432</v>
      </c>
      <c r="H178" t="s">
        <v>625</v>
      </c>
      <c r="I178" t="s">
        <v>698</v>
      </c>
      <c r="J178" t="s">
        <v>753</v>
      </c>
      <c r="K178" s="139">
        <v>8500</v>
      </c>
      <c r="L178" s="140">
        <v>45565</v>
      </c>
      <c r="M178" s="29" t="s">
        <v>518</v>
      </c>
    </row>
    <row r="179" spans="1:13" s="141" customFormat="1">
      <c r="A179" s="141">
        <v>109866001</v>
      </c>
      <c r="B179" s="141" t="e">
        <v>#N/A</v>
      </c>
      <c r="C179" s="141">
        <f>VLOOKUP(A179,'DS Tenanted units'!A:A,1,FALSE)</f>
        <v>109866001</v>
      </c>
      <c r="D179" s="141" t="s">
        <v>755</v>
      </c>
      <c r="E179" s="141" t="s">
        <v>617</v>
      </c>
      <c r="F179" s="141">
        <v>217045336</v>
      </c>
      <c r="G179" s="141" t="s">
        <v>756</v>
      </c>
      <c r="H179" s="141" t="s">
        <v>618</v>
      </c>
      <c r="I179" s="141" t="s">
        <v>698</v>
      </c>
      <c r="J179" s="141" t="s">
        <v>753</v>
      </c>
      <c r="K179" s="141">
        <v>0</v>
      </c>
      <c r="L179" s="143">
        <v>45565</v>
      </c>
      <c r="M179" s="245" t="s">
        <v>632</v>
      </c>
    </row>
    <row r="180" spans="1:13" s="141" customFormat="1">
      <c r="A180" s="141">
        <v>109918015</v>
      </c>
      <c r="B180" s="141" t="e">
        <v>#N/A</v>
      </c>
      <c r="C180" s="141">
        <f>VLOOKUP(A180,'DS Tenanted units'!A:A,1,FALSE)</f>
        <v>109918015</v>
      </c>
      <c r="D180" s="141" t="s">
        <v>757</v>
      </c>
      <c r="E180" s="141" t="s">
        <v>617</v>
      </c>
      <c r="G180" s="141" t="s">
        <v>758</v>
      </c>
      <c r="H180" s="141" t="s">
        <v>618</v>
      </c>
      <c r="I180" s="141" t="s">
        <v>698</v>
      </c>
      <c r="J180" s="141" t="s">
        <v>753</v>
      </c>
      <c r="K180" s="141">
        <v>0</v>
      </c>
      <c r="L180" s="143">
        <v>43122</v>
      </c>
      <c r="M180" s="245" t="s">
        <v>632</v>
      </c>
    </row>
    <row r="181" spans="1:13" s="141" customFormat="1">
      <c r="A181" s="141">
        <v>109918017</v>
      </c>
      <c r="B181" s="141" t="e">
        <v>#N/A</v>
      </c>
      <c r="C181" s="141">
        <f>VLOOKUP(A181,'DS Tenanted units'!A:A,1,FALSE)</f>
        <v>109918017</v>
      </c>
      <c r="D181" s="141" t="s">
        <v>650</v>
      </c>
      <c r="E181" s="141" t="s">
        <v>617</v>
      </c>
      <c r="G181" s="141" t="s">
        <v>759</v>
      </c>
      <c r="H181" s="141" t="s">
        <v>618</v>
      </c>
      <c r="I181" s="141" t="s">
        <v>698</v>
      </c>
      <c r="J181" s="141" t="s">
        <v>753</v>
      </c>
      <c r="K181" s="141">
        <v>0</v>
      </c>
      <c r="L181" s="143">
        <v>45565</v>
      </c>
      <c r="M181" s="245" t="s">
        <v>632</v>
      </c>
    </row>
    <row r="182" spans="1:13" s="141" customFormat="1">
      <c r="A182" s="141">
        <v>109956007</v>
      </c>
      <c r="B182" s="141" t="e">
        <v>#N/A</v>
      </c>
      <c r="C182" s="141">
        <f>VLOOKUP(A182,'DS Tenanted units'!A:A,1,FALSE)</f>
        <v>109956007</v>
      </c>
      <c r="D182" s="141" t="s">
        <v>760</v>
      </c>
      <c r="E182" s="141" t="s">
        <v>617</v>
      </c>
      <c r="G182" s="141" t="s">
        <v>761</v>
      </c>
      <c r="H182" s="141" t="s">
        <v>618</v>
      </c>
      <c r="I182" s="141" t="s">
        <v>698</v>
      </c>
      <c r="J182" s="141" t="s">
        <v>753</v>
      </c>
      <c r="K182" s="141">
        <v>0</v>
      </c>
      <c r="L182" s="143">
        <v>45565</v>
      </c>
      <c r="M182" s="245" t="s">
        <v>632</v>
      </c>
    </row>
    <row r="183" spans="1:13" s="141" customFormat="1">
      <c r="A183" s="141">
        <v>109961004</v>
      </c>
      <c r="B183" s="141" t="e">
        <v>#N/A</v>
      </c>
      <c r="C183" s="141">
        <f>VLOOKUP(A183,'DS Tenanted units'!A:A,1,FALSE)</f>
        <v>109961004</v>
      </c>
      <c r="D183" s="141" t="s">
        <v>762</v>
      </c>
      <c r="E183" s="141" t="s">
        <v>617</v>
      </c>
      <c r="G183" s="141" t="s">
        <v>763</v>
      </c>
      <c r="H183" s="141" t="s">
        <v>635</v>
      </c>
      <c r="I183" s="141" t="s">
        <v>698</v>
      </c>
      <c r="J183" s="141" t="s">
        <v>753</v>
      </c>
      <c r="K183" s="141">
        <v>0</v>
      </c>
      <c r="L183" s="143">
        <v>43122</v>
      </c>
      <c r="M183" s="245" t="s">
        <v>632</v>
      </c>
    </row>
    <row r="184" spans="1:13" s="141" customFormat="1">
      <c r="A184" s="141">
        <v>109961005</v>
      </c>
      <c r="B184" s="141" t="e">
        <v>#N/A</v>
      </c>
      <c r="C184" s="141">
        <f>VLOOKUP(A184,'DS Tenanted units'!A:A,1,FALSE)</f>
        <v>109961005</v>
      </c>
      <c r="D184" s="141" t="s">
        <v>764</v>
      </c>
      <c r="E184" s="141" t="s">
        <v>617</v>
      </c>
      <c r="G184" s="141" t="s">
        <v>765</v>
      </c>
      <c r="H184" s="141" t="s">
        <v>635</v>
      </c>
      <c r="I184" s="141" t="s">
        <v>698</v>
      </c>
      <c r="J184" s="141" t="s">
        <v>753</v>
      </c>
      <c r="K184" s="141">
        <v>0</v>
      </c>
      <c r="L184" s="143">
        <v>43122</v>
      </c>
      <c r="M184" s="245" t="s">
        <v>632</v>
      </c>
    </row>
    <row r="185" spans="1:13" s="141" customFormat="1">
      <c r="A185" s="141">
        <v>112179001</v>
      </c>
      <c r="B185" s="141" t="e">
        <v>#N/A</v>
      </c>
      <c r="C185" s="141">
        <f>VLOOKUP(A185,'DS Tenanted units'!A:A,1,FALSE)</f>
        <v>112179001</v>
      </c>
      <c r="D185" s="141" t="s">
        <v>766</v>
      </c>
      <c r="E185" s="141" t="s">
        <v>617</v>
      </c>
      <c r="G185" s="141" t="s">
        <v>767</v>
      </c>
      <c r="H185" s="141" t="s">
        <v>618</v>
      </c>
      <c r="I185" s="141" t="s">
        <v>698</v>
      </c>
      <c r="J185" s="141" t="s">
        <v>753</v>
      </c>
      <c r="K185" s="141">
        <v>0</v>
      </c>
      <c r="L185" s="143">
        <v>45565</v>
      </c>
      <c r="M185" s="245" t="s">
        <v>632</v>
      </c>
    </row>
    <row r="186" spans="1:13" s="141" customFormat="1">
      <c r="A186" s="141">
        <v>112179002</v>
      </c>
      <c r="B186" s="141" t="e">
        <v>#N/A</v>
      </c>
      <c r="C186" s="141">
        <f>VLOOKUP(A186,'DS Tenanted units'!A:A,1,FALSE)</f>
        <v>112179002</v>
      </c>
      <c r="D186" s="141" t="s">
        <v>768</v>
      </c>
      <c r="E186" s="141" t="s">
        <v>617</v>
      </c>
      <c r="G186" s="141" t="s">
        <v>769</v>
      </c>
      <c r="H186" s="141" t="s">
        <v>618</v>
      </c>
      <c r="I186" s="141" t="s">
        <v>698</v>
      </c>
      <c r="J186" s="141" t="s">
        <v>753</v>
      </c>
      <c r="K186" s="141">
        <v>0</v>
      </c>
      <c r="L186" s="143">
        <v>45565</v>
      </c>
      <c r="M186" s="245" t="s">
        <v>632</v>
      </c>
    </row>
    <row r="187" spans="1:13" s="141" customFormat="1">
      <c r="A187" s="141">
        <v>113352001</v>
      </c>
      <c r="B187" s="141" t="e">
        <v>#N/A</v>
      </c>
      <c r="C187" s="141">
        <f>VLOOKUP(A187,'DS Tenanted units'!A:A,1,FALSE)</f>
        <v>113352001</v>
      </c>
      <c r="D187" s="141" t="s">
        <v>770</v>
      </c>
      <c r="E187" s="141" t="s">
        <v>617</v>
      </c>
      <c r="G187" s="141" t="s">
        <v>771</v>
      </c>
      <c r="H187" s="141" t="s">
        <v>618</v>
      </c>
      <c r="I187" s="141" t="s">
        <v>698</v>
      </c>
      <c r="J187" s="141" t="s">
        <v>753</v>
      </c>
      <c r="K187" s="141">
        <v>50</v>
      </c>
      <c r="L187" s="143">
        <v>45565</v>
      </c>
      <c r="M187" s="245" t="s">
        <v>632</v>
      </c>
    </row>
    <row r="188" spans="1:13" s="141" customFormat="1">
      <c r="A188" s="141">
        <v>113352002</v>
      </c>
      <c r="B188" s="141" t="e">
        <v>#N/A</v>
      </c>
      <c r="C188" s="141">
        <f>VLOOKUP(A188,'DS Tenanted units'!A:A,1,FALSE)</f>
        <v>113352002</v>
      </c>
      <c r="D188" s="141" t="s">
        <v>772</v>
      </c>
      <c r="E188" s="141" t="s">
        <v>617</v>
      </c>
      <c r="G188" s="141" t="s">
        <v>773</v>
      </c>
      <c r="H188" s="141" t="s">
        <v>635</v>
      </c>
      <c r="I188" s="141" t="s">
        <v>698</v>
      </c>
      <c r="J188" s="141" t="s">
        <v>753</v>
      </c>
      <c r="K188" s="142">
        <v>1200</v>
      </c>
      <c r="L188" s="143">
        <v>45565</v>
      </c>
      <c r="M188" s="245" t="s">
        <v>632</v>
      </c>
    </row>
    <row r="189" spans="1:13" s="141" customFormat="1">
      <c r="A189" s="141">
        <v>122489021</v>
      </c>
      <c r="B189" s="141" t="e">
        <v>#N/A</v>
      </c>
      <c r="C189" s="141">
        <f>VLOOKUP(A189,'DS Tenanted units'!A:A,1,FALSE)</f>
        <v>122489021</v>
      </c>
      <c r="D189" s="141" t="s">
        <v>774</v>
      </c>
      <c r="E189" s="141" t="s">
        <v>617</v>
      </c>
      <c r="G189" s="141" t="s">
        <v>775</v>
      </c>
      <c r="H189" s="141" t="s">
        <v>618</v>
      </c>
      <c r="I189" s="141" t="s">
        <v>698</v>
      </c>
      <c r="J189" s="141" t="s">
        <v>753</v>
      </c>
      <c r="K189" s="142">
        <v>15569</v>
      </c>
      <c r="L189" s="143">
        <v>43122</v>
      </c>
      <c r="M189" s="245" t="s">
        <v>632</v>
      </c>
    </row>
    <row r="190" spans="1:13" s="141" customFormat="1">
      <c r="A190" s="141">
        <v>122489022</v>
      </c>
      <c r="B190" s="141" t="e">
        <v>#N/A</v>
      </c>
      <c r="C190" s="141">
        <f>VLOOKUP(A190,'DS Tenanted units'!A:A,1,FALSE)</f>
        <v>122489022</v>
      </c>
      <c r="D190" s="141" t="s">
        <v>776</v>
      </c>
      <c r="E190" s="141" t="s">
        <v>617</v>
      </c>
      <c r="G190" s="141" t="s">
        <v>777</v>
      </c>
      <c r="H190" s="141" t="s">
        <v>618</v>
      </c>
      <c r="I190" s="141" t="s">
        <v>698</v>
      </c>
      <c r="J190" s="141" t="s">
        <v>753</v>
      </c>
      <c r="K190" s="142">
        <v>6745</v>
      </c>
      <c r="L190" s="143">
        <v>43122</v>
      </c>
      <c r="M190" s="245" t="s">
        <v>632</v>
      </c>
    </row>
    <row r="191" spans="1:13" s="141" customFormat="1">
      <c r="A191" s="141">
        <v>122489023</v>
      </c>
      <c r="B191" s="141" t="e">
        <v>#N/A</v>
      </c>
      <c r="C191" s="141">
        <f>VLOOKUP(A191,'DS Tenanted units'!A:A,1,FALSE)</f>
        <v>122489023</v>
      </c>
      <c r="D191" s="141" t="s">
        <v>650</v>
      </c>
      <c r="E191" s="141" t="s">
        <v>617</v>
      </c>
      <c r="G191" s="141" t="s">
        <v>778</v>
      </c>
      <c r="H191" s="141" t="s">
        <v>618</v>
      </c>
      <c r="I191" s="141" t="s">
        <v>698</v>
      </c>
      <c r="J191" s="141" t="s">
        <v>753</v>
      </c>
      <c r="K191" s="142">
        <v>9000</v>
      </c>
      <c r="L191" s="143">
        <v>43122</v>
      </c>
      <c r="M191" s="245" t="s">
        <v>632</v>
      </c>
    </row>
    <row r="192" spans="1:13" s="141" customFormat="1">
      <c r="A192" s="141">
        <v>122489024</v>
      </c>
      <c r="B192" s="141" t="e">
        <v>#N/A</v>
      </c>
      <c r="C192" s="141">
        <f>VLOOKUP(A192,'DS Tenanted units'!A:A,1,FALSE)</f>
        <v>122489024</v>
      </c>
      <c r="D192" s="141" t="s">
        <v>650</v>
      </c>
      <c r="E192" s="141" t="s">
        <v>617</v>
      </c>
      <c r="G192" s="141" t="s">
        <v>779</v>
      </c>
      <c r="H192" s="141" t="s">
        <v>618</v>
      </c>
      <c r="I192" s="141" t="s">
        <v>698</v>
      </c>
      <c r="J192" s="141" t="s">
        <v>753</v>
      </c>
      <c r="K192" s="142">
        <v>19000</v>
      </c>
      <c r="L192" s="143">
        <v>43122</v>
      </c>
      <c r="M192" s="245" t="s">
        <v>632</v>
      </c>
    </row>
    <row r="193" spans="1:13" s="141" customFormat="1">
      <c r="A193" s="141">
        <v>122489025</v>
      </c>
      <c r="B193" s="141" t="e">
        <v>#N/A</v>
      </c>
      <c r="C193" s="141">
        <f>VLOOKUP(A193,'DS Tenanted units'!A:A,1,FALSE)</f>
        <v>122489025</v>
      </c>
      <c r="D193" s="141" t="s">
        <v>780</v>
      </c>
      <c r="E193" s="141" t="s">
        <v>617</v>
      </c>
      <c r="G193" s="141" t="s">
        <v>781</v>
      </c>
      <c r="H193" s="141" t="s">
        <v>618</v>
      </c>
      <c r="I193" s="141" t="s">
        <v>698</v>
      </c>
      <c r="J193" s="141" t="s">
        <v>753</v>
      </c>
      <c r="K193" s="141">
        <v>0</v>
      </c>
      <c r="L193" s="143">
        <v>43122</v>
      </c>
      <c r="M193" s="245" t="s">
        <v>632</v>
      </c>
    </row>
    <row r="194" spans="1:13" s="141" customFormat="1">
      <c r="A194" s="141">
        <v>122489028</v>
      </c>
      <c r="B194" s="141" t="e">
        <v>#N/A</v>
      </c>
      <c r="C194" s="141">
        <f>VLOOKUP(A194,'DS Tenanted units'!A:A,1,FALSE)</f>
        <v>122489028</v>
      </c>
      <c r="D194" s="141" t="s">
        <v>782</v>
      </c>
      <c r="E194" s="141" t="s">
        <v>617</v>
      </c>
      <c r="G194" s="141" t="s">
        <v>783</v>
      </c>
      <c r="H194" s="141" t="s">
        <v>618</v>
      </c>
      <c r="I194" s="141" t="s">
        <v>698</v>
      </c>
      <c r="J194" s="141" t="s">
        <v>753</v>
      </c>
      <c r="K194" s="141">
        <v>0</v>
      </c>
      <c r="L194" s="143">
        <v>43122</v>
      </c>
      <c r="M194" s="245" t="s">
        <v>632</v>
      </c>
    </row>
    <row r="195" spans="1:13" s="141" customFormat="1">
      <c r="A195" s="141">
        <v>122489032</v>
      </c>
      <c r="B195" s="141" t="e">
        <v>#N/A</v>
      </c>
      <c r="C195" s="141">
        <f>VLOOKUP(A195,'DS Tenanted units'!A:A,1,FALSE)</f>
        <v>122489032</v>
      </c>
      <c r="D195" s="141" t="s">
        <v>784</v>
      </c>
      <c r="E195" s="141" t="s">
        <v>617</v>
      </c>
      <c r="G195" s="141" t="s">
        <v>785</v>
      </c>
      <c r="H195" s="141" t="s">
        <v>618</v>
      </c>
      <c r="I195" s="141" t="s">
        <v>698</v>
      </c>
      <c r="J195" s="141" t="s">
        <v>753</v>
      </c>
      <c r="K195" s="141">
        <v>0</v>
      </c>
      <c r="L195" s="141" t="s">
        <v>730</v>
      </c>
      <c r="M195" s="245" t="s">
        <v>632</v>
      </c>
    </row>
    <row r="196" spans="1:13" s="141" customFormat="1">
      <c r="A196" s="141">
        <v>122494014</v>
      </c>
      <c r="B196" s="141" t="e">
        <v>#N/A</v>
      </c>
      <c r="C196" s="141">
        <f>VLOOKUP(A196,'DS Tenanted units'!A:A,1,FALSE)</f>
        <v>122494014</v>
      </c>
      <c r="D196" s="141" t="s">
        <v>786</v>
      </c>
      <c r="E196" s="141" t="s">
        <v>617</v>
      </c>
      <c r="G196" s="141" t="s">
        <v>787</v>
      </c>
      <c r="H196" s="141" t="s">
        <v>618</v>
      </c>
      <c r="I196" s="141" t="s">
        <v>698</v>
      </c>
      <c r="J196" s="141" t="s">
        <v>753</v>
      </c>
      <c r="K196" s="142">
        <v>16000</v>
      </c>
      <c r="L196" s="143">
        <v>43122</v>
      </c>
      <c r="M196" s="245" t="s">
        <v>632</v>
      </c>
    </row>
    <row r="197" spans="1:13" s="141" customFormat="1">
      <c r="A197" s="141">
        <v>122494018</v>
      </c>
      <c r="B197" s="141" t="e">
        <v>#N/A</v>
      </c>
      <c r="C197" s="141">
        <f>VLOOKUP(A197,'DS Tenanted units'!A:A,1,FALSE)</f>
        <v>122494018</v>
      </c>
      <c r="D197" s="141" t="s">
        <v>788</v>
      </c>
      <c r="E197" s="141" t="s">
        <v>617</v>
      </c>
      <c r="G197" s="141" t="s">
        <v>789</v>
      </c>
      <c r="H197" s="141" t="s">
        <v>618</v>
      </c>
      <c r="I197" s="141" t="s">
        <v>698</v>
      </c>
      <c r="J197" s="141" t="s">
        <v>753</v>
      </c>
      <c r="K197" s="142">
        <v>138000</v>
      </c>
      <c r="L197" s="143">
        <v>43122</v>
      </c>
      <c r="M197" s="245" t="s">
        <v>632</v>
      </c>
    </row>
    <row r="198" spans="1:13" s="141" customFormat="1">
      <c r="A198" s="141">
        <v>122494019</v>
      </c>
      <c r="B198" s="141" t="e">
        <v>#N/A</v>
      </c>
      <c r="C198" s="141">
        <f>VLOOKUP(A198,'DS Tenanted units'!A:A,1,FALSE)</f>
        <v>122494019</v>
      </c>
      <c r="D198" s="141" t="s">
        <v>790</v>
      </c>
      <c r="E198" s="141" t="s">
        <v>617</v>
      </c>
      <c r="G198" s="141" t="s">
        <v>791</v>
      </c>
      <c r="H198" s="141" t="s">
        <v>618</v>
      </c>
      <c r="I198" s="141" t="s">
        <v>698</v>
      </c>
      <c r="J198" s="141" t="s">
        <v>753</v>
      </c>
      <c r="K198" s="142">
        <v>1500</v>
      </c>
      <c r="L198" s="143">
        <v>43122</v>
      </c>
      <c r="M198" s="245" t="s">
        <v>632</v>
      </c>
    </row>
    <row r="199" spans="1:13" s="141" customFormat="1">
      <c r="A199" s="141">
        <v>122494021</v>
      </c>
      <c r="B199" s="141" t="e">
        <v>#N/A</v>
      </c>
      <c r="C199" s="141">
        <f>VLOOKUP(A199,'DS Tenanted units'!A:A,1,FALSE)</f>
        <v>122494021</v>
      </c>
      <c r="D199" s="141" t="s">
        <v>650</v>
      </c>
      <c r="E199" s="141" t="s">
        <v>617</v>
      </c>
      <c r="G199" s="141" t="s">
        <v>792</v>
      </c>
      <c r="H199" s="141" t="s">
        <v>618</v>
      </c>
      <c r="I199" s="141" t="s">
        <v>698</v>
      </c>
      <c r="J199" s="141" t="s">
        <v>753</v>
      </c>
      <c r="K199" s="142">
        <v>191667</v>
      </c>
      <c r="L199" s="143">
        <v>43122</v>
      </c>
      <c r="M199" s="245" t="s">
        <v>632</v>
      </c>
    </row>
    <row r="200" spans="1:13" s="141" customFormat="1">
      <c r="A200" s="141">
        <v>122494022</v>
      </c>
      <c r="B200" s="141" t="e">
        <v>#N/A</v>
      </c>
      <c r="C200" s="141">
        <f>VLOOKUP(A200,'DS Tenanted units'!A:A,1,FALSE)</f>
        <v>122494022</v>
      </c>
      <c r="D200" s="141" t="s">
        <v>650</v>
      </c>
      <c r="E200" s="141" t="s">
        <v>617</v>
      </c>
      <c r="G200" s="141" t="s">
        <v>793</v>
      </c>
      <c r="H200" s="141" t="s">
        <v>618</v>
      </c>
      <c r="I200" s="141" t="s">
        <v>698</v>
      </c>
      <c r="J200" s="141" t="s">
        <v>753</v>
      </c>
      <c r="K200" s="142">
        <v>5004</v>
      </c>
      <c r="L200" s="143">
        <v>43122</v>
      </c>
      <c r="M200" s="245" t="s">
        <v>632</v>
      </c>
    </row>
    <row r="201" spans="1:13" s="141" customFormat="1">
      <c r="A201" s="141">
        <v>122494025</v>
      </c>
      <c r="B201" s="141" t="e">
        <v>#N/A</v>
      </c>
      <c r="C201" s="141">
        <f>VLOOKUP(A201,'DS Tenanted units'!A:A,1,FALSE)</f>
        <v>122494025</v>
      </c>
      <c r="D201" s="141" t="s">
        <v>794</v>
      </c>
      <c r="E201" s="141" t="s">
        <v>617</v>
      </c>
      <c r="G201" s="141" t="s">
        <v>795</v>
      </c>
      <c r="H201" s="141" t="s">
        <v>618</v>
      </c>
      <c r="I201" s="141" t="s">
        <v>698</v>
      </c>
      <c r="J201" s="141" t="s">
        <v>753</v>
      </c>
      <c r="K201" s="142">
        <v>40400</v>
      </c>
      <c r="L201" s="143">
        <v>43122</v>
      </c>
      <c r="M201" s="245" t="s">
        <v>632</v>
      </c>
    </row>
    <row r="202" spans="1:13" s="141" customFormat="1">
      <c r="A202" s="141">
        <v>122494026</v>
      </c>
      <c r="B202" s="141" t="e">
        <v>#N/A</v>
      </c>
      <c r="C202" s="141">
        <f>VLOOKUP(A202,'DS Tenanted units'!A:A,1,FALSE)</f>
        <v>122494026</v>
      </c>
      <c r="D202" s="141" t="s">
        <v>650</v>
      </c>
      <c r="E202" s="141" t="s">
        <v>617</v>
      </c>
      <c r="G202" s="141" t="s">
        <v>796</v>
      </c>
      <c r="H202" s="141" t="s">
        <v>618</v>
      </c>
      <c r="I202" s="141" t="s">
        <v>698</v>
      </c>
      <c r="J202" s="141" t="s">
        <v>753</v>
      </c>
      <c r="K202" s="141">
        <v>0</v>
      </c>
      <c r="L202" s="143">
        <v>43122</v>
      </c>
      <c r="M202" s="245" t="s">
        <v>632</v>
      </c>
    </row>
    <row r="203" spans="1:13" s="141" customFormat="1">
      <c r="A203" s="141">
        <v>122494027</v>
      </c>
      <c r="B203" s="141" t="e">
        <v>#N/A</v>
      </c>
      <c r="C203" s="141">
        <f>VLOOKUP(A203,'DS Tenanted units'!A:A,1,FALSE)</f>
        <v>122494027</v>
      </c>
      <c r="D203" s="141" t="s">
        <v>797</v>
      </c>
      <c r="E203" s="141" t="s">
        <v>617</v>
      </c>
      <c r="G203" s="141" t="s">
        <v>798</v>
      </c>
      <c r="H203" s="141" t="s">
        <v>618</v>
      </c>
      <c r="I203" s="141" t="s">
        <v>698</v>
      </c>
      <c r="J203" s="141" t="s">
        <v>753</v>
      </c>
      <c r="K203" s="142">
        <v>25000</v>
      </c>
      <c r="L203" s="143">
        <v>43122</v>
      </c>
      <c r="M203" s="245" t="s">
        <v>632</v>
      </c>
    </row>
    <row r="204" spans="1:13" s="141" customFormat="1">
      <c r="A204" s="141">
        <v>122494028</v>
      </c>
      <c r="B204" s="141" t="e">
        <v>#N/A</v>
      </c>
      <c r="C204" s="141">
        <f>VLOOKUP(A204,'DS Tenanted units'!A:A,1,FALSE)</f>
        <v>122494028</v>
      </c>
      <c r="D204" s="141" t="s">
        <v>650</v>
      </c>
      <c r="E204" s="141" t="s">
        <v>617</v>
      </c>
      <c r="G204" s="141" t="s">
        <v>799</v>
      </c>
      <c r="H204" s="141" t="s">
        <v>618</v>
      </c>
      <c r="I204" s="141" t="s">
        <v>698</v>
      </c>
      <c r="J204" s="141" t="s">
        <v>753</v>
      </c>
      <c r="K204" s="141">
        <v>0</v>
      </c>
      <c r="L204" s="143">
        <v>43122</v>
      </c>
      <c r="M204" s="245" t="s">
        <v>632</v>
      </c>
    </row>
    <row r="205" spans="1:13" s="141" customFormat="1">
      <c r="A205" s="141">
        <v>122494029</v>
      </c>
      <c r="B205" s="141" t="e">
        <v>#N/A</v>
      </c>
      <c r="C205" s="141">
        <f>VLOOKUP(A205,'DS Tenanted units'!A:A,1,FALSE)</f>
        <v>122494029</v>
      </c>
      <c r="D205" s="141" t="s">
        <v>800</v>
      </c>
      <c r="E205" s="141" t="s">
        <v>617</v>
      </c>
      <c r="G205" s="141" t="s">
        <v>801</v>
      </c>
      <c r="H205" s="141" t="s">
        <v>618</v>
      </c>
      <c r="I205" s="141" t="s">
        <v>698</v>
      </c>
      <c r="J205" s="141" t="s">
        <v>753</v>
      </c>
      <c r="K205" s="142">
        <v>1500</v>
      </c>
      <c r="L205" s="143">
        <v>43122</v>
      </c>
      <c r="M205" s="245" t="s">
        <v>632</v>
      </c>
    </row>
    <row r="206" spans="1:13" s="141" customFormat="1">
      <c r="A206" s="141">
        <v>122494036</v>
      </c>
      <c r="B206" s="141" t="e">
        <v>#N/A</v>
      </c>
      <c r="C206" s="141">
        <f>VLOOKUP(A206,'DS Tenanted units'!A:A,1,FALSE)</f>
        <v>122494036</v>
      </c>
      <c r="D206" s="141" t="s">
        <v>650</v>
      </c>
      <c r="E206" s="141" t="s">
        <v>617</v>
      </c>
      <c r="G206" s="141" t="s">
        <v>802</v>
      </c>
      <c r="H206" s="141" t="s">
        <v>618</v>
      </c>
      <c r="I206" s="141" t="s">
        <v>698</v>
      </c>
      <c r="J206" s="141" t="s">
        <v>753</v>
      </c>
      <c r="K206" s="142">
        <v>9000</v>
      </c>
      <c r="L206" s="143">
        <v>43122</v>
      </c>
      <c r="M206" s="245" t="s">
        <v>632</v>
      </c>
    </row>
    <row r="207" spans="1:13" s="141" customFormat="1">
      <c r="A207" s="141">
        <v>122494041</v>
      </c>
      <c r="B207" s="141" t="e">
        <v>#N/A</v>
      </c>
      <c r="C207" s="141">
        <f>VLOOKUP(A207,'DS Tenanted units'!A:A,1,FALSE)</f>
        <v>122494041</v>
      </c>
      <c r="D207" s="141" t="s">
        <v>803</v>
      </c>
      <c r="E207" s="141" t="s">
        <v>617</v>
      </c>
      <c r="G207" s="141" t="s">
        <v>804</v>
      </c>
      <c r="H207" s="141" t="s">
        <v>618</v>
      </c>
      <c r="I207" s="141" t="s">
        <v>698</v>
      </c>
      <c r="J207" s="141" t="s">
        <v>753</v>
      </c>
      <c r="K207" s="141">
        <v>0</v>
      </c>
      <c r="L207" s="143">
        <v>43122</v>
      </c>
      <c r="M207" s="245" t="s">
        <v>632</v>
      </c>
    </row>
    <row r="208" spans="1:13" s="141" customFormat="1">
      <c r="A208" s="141">
        <v>122494044</v>
      </c>
      <c r="B208" s="141" t="e">
        <v>#N/A</v>
      </c>
      <c r="C208" s="141">
        <f>VLOOKUP(A208,'DS Tenanted units'!A:A,1,FALSE)</f>
        <v>122494044</v>
      </c>
      <c r="D208" s="141" t="s">
        <v>650</v>
      </c>
      <c r="E208" s="141" t="s">
        <v>617</v>
      </c>
      <c r="G208" s="141" t="s">
        <v>795</v>
      </c>
      <c r="H208" s="141" t="s">
        <v>618</v>
      </c>
      <c r="I208" s="141" t="s">
        <v>698</v>
      </c>
      <c r="J208" s="141" t="s">
        <v>753</v>
      </c>
      <c r="K208" s="141">
        <v>0</v>
      </c>
      <c r="L208" s="143">
        <v>43122</v>
      </c>
      <c r="M208" s="245" t="s">
        <v>632</v>
      </c>
    </row>
    <row r="209" spans="1:13" s="141" customFormat="1">
      <c r="A209" s="141">
        <v>122495021</v>
      </c>
      <c r="B209" s="141" t="e">
        <v>#N/A</v>
      </c>
      <c r="C209" s="141">
        <f>VLOOKUP(A209,'DS Tenanted units'!A:A,1,FALSE)</f>
        <v>122495021</v>
      </c>
      <c r="D209" s="141" t="s">
        <v>805</v>
      </c>
      <c r="E209" s="141" t="s">
        <v>617</v>
      </c>
      <c r="G209" s="141" t="s">
        <v>806</v>
      </c>
      <c r="H209" s="141" t="s">
        <v>618</v>
      </c>
      <c r="I209" s="141" t="s">
        <v>698</v>
      </c>
      <c r="J209" s="141" t="s">
        <v>753</v>
      </c>
      <c r="K209" s="141">
        <v>0</v>
      </c>
      <c r="L209" s="143">
        <v>43122</v>
      </c>
      <c r="M209" s="245" t="s">
        <v>632</v>
      </c>
    </row>
    <row r="210" spans="1:13" s="141" customFormat="1">
      <c r="A210" s="141">
        <v>122495023</v>
      </c>
      <c r="B210" s="141" t="e">
        <v>#N/A</v>
      </c>
      <c r="C210" s="141">
        <f>VLOOKUP(A210,'DS Tenanted units'!A:A,1,FALSE)</f>
        <v>122495023</v>
      </c>
      <c r="D210" s="141" t="s">
        <v>807</v>
      </c>
      <c r="E210" s="141" t="s">
        <v>617</v>
      </c>
      <c r="G210" s="141" t="s">
        <v>808</v>
      </c>
      <c r="H210" s="141" t="s">
        <v>618</v>
      </c>
      <c r="I210" s="141" t="s">
        <v>698</v>
      </c>
      <c r="J210" s="141" t="s">
        <v>753</v>
      </c>
      <c r="K210" s="141">
        <v>0</v>
      </c>
      <c r="L210" s="143">
        <v>43122</v>
      </c>
      <c r="M210" s="245" t="s">
        <v>632</v>
      </c>
    </row>
    <row r="211" spans="1:13" s="141" customFormat="1">
      <c r="A211" s="141">
        <v>122495025</v>
      </c>
      <c r="B211" s="141" t="e">
        <v>#N/A</v>
      </c>
      <c r="C211" s="141">
        <f>VLOOKUP(A211,'DS Tenanted units'!A:A,1,FALSE)</f>
        <v>122495025</v>
      </c>
      <c r="D211" s="141" t="s">
        <v>809</v>
      </c>
      <c r="E211" s="141" t="s">
        <v>617</v>
      </c>
      <c r="G211" s="141" t="s">
        <v>810</v>
      </c>
      <c r="H211" s="141" t="s">
        <v>618</v>
      </c>
      <c r="I211" s="141" t="s">
        <v>698</v>
      </c>
      <c r="J211" s="141" t="s">
        <v>753</v>
      </c>
      <c r="K211" s="141">
        <v>0</v>
      </c>
      <c r="L211" s="143">
        <v>43122</v>
      </c>
      <c r="M211" s="245" t="s">
        <v>632</v>
      </c>
    </row>
    <row r="212" spans="1:13" s="141" customFormat="1">
      <c r="A212" s="141">
        <v>122497011</v>
      </c>
      <c r="B212" s="141" t="e">
        <v>#N/A</v>
      </c>
      <c r="C212" s="141">
        <f>VLOOKUP(A212,'DS Tenanted units'!A:A,1,FALSE)</f>
        <v>122497011</v>
      </c>
      <c r="D212" s="141" t="s">
        <v>811</v>
      </c>
      <c r="E212" s="141" t="s">
        <v>617</v>
      </c>
      <c r="G212" s="141" t="s">
        <v>812</v>
      </c>
      <c r="H212" s="141" t="s">
        <v>618</v>
      </c>
      <c r="I212" s="141" t="s">
        <v>698</v>
      </c>
      <c r="J212" s="141" t="s">
        <v>753</v>
      </c>
      <c r="K212" s="141">
        <v>0</v>
      </c>
      <c r="L212" s="143">
        <v>43122</v>
      </c>
      <c r="M212" s="245" t="s">
        <v>632</v>
      </c>
    </row>
    <row r="213" spans="1:13" s="141" customFormat="1">
      <c r="A213" s="141">
        <v>122498004</v>
      </c>
      <c r="B213" s="141" t="e">
        <v>#N/A</v>
      </c>
      <c r="C213" s="141">
        <f>VLOOKUP(A213,'DS Tenanted units'!A:A,1,FALSE)</f>
        <v>122498004</v>
      </c>
      <c r="D213" s="141" t="s">
        <v>813</v>
      </c>
      <c r="E213" s="141" t="s">
        <v>617</v>
      </c>
      <c r="G213" s="141" t="s">
        <v>814</v>
      </c>
      <c r="H213" s="141" t="s">
        <v>618</v>
      </c>
      <c r="I213" s="141" t="s">
        <v>698</v>
      </c>
      <c r="J213" s="141" t="s">
        <v>753</v>
      </c>
      <c r="K213" s="142">
        <v>35000</v>
      </c>
      <c r="L213" s="143">
        <v>43122</v>
      </c>
      <c r="M213" s="245" t="s">
        <v>632</v>
      </c>
    </row>
    <row r="214" spans="1:13" s="141" customFormat="1">
      <c r="A214" s="141">
        <v>122501007</v>
      </c>
      <c r="B214" s="141" t="e">
        <v>#N/A</v>
      </c>
      <c r="C214" s="141">
        <f>VLOOKUP(A214,'DS Tenanted units'!A:A,1,FALSE)</f>
        <v>122501007</v>
      </c>
      <c r="D214" s="141" t="s">
        <v>650</v>
      </c>
      <c r="E214" s="141" t="s">
        <v>617</v>
      </c>
      <c r="G214" s="141" t="s">
        <v>815</v>
      </c>
      <c r="H214" s="141" t="s">
        <v>618</v>
      </c>
      <c r="I214" s="141" t="s">
        <v>698</v>
      </c>
      <c r="J214" s="141" t="s">
        <v>753</v>
      </c>
      <c r="K214" s="142">
        <v>13500</v>
      </c>
      <c r="L214" s="143">
        <v>43122</v>
      </c>
      <c r="M214" s="245" t="s">
        <v>632</v>
      </c>
    </row>
    <row r="215" spans="1:13" s="141" customFormat="1">
      <c r="A215" s="141">
        <v>122503001</v>
      </c>
      <c r="B215" s="141" t="e">
        <v>#N/A</v>
      </c>
      <c r="C215" s="141">
        <f>VLOOKUP(A215,'DS Tenanted units'!A:A,1,FALSE)</f>
        <v>122503001</v>
      </c>
      <c r="D215" s="141" t="s">
        <v>816</v>
      </c>
      <c r="E215" s="141" t="s">
        <v>617</v>
      </c>
      <c r="G215" s="141" t="s">
        <v>817</v>
      </c>
      <c r="H215" s="141" t="s">
        <v>618</v>
      </c>
      <c r="I215" s="141" t="s">
        <v>698</v>
      </c>
      <c r="J215" s="141" t="s">
        <v>753</v>
      </c>
      <c r="K215" s="142">
        <v>31000</v>
      </c>
      <c r="L215" s="143">
        <v>43122</v>
      </c>
      <c r="M215" s="245" t="s">
        <v>632</v>
      </c>
    </row>
    <row r="216" spans="1:13" s="141" customFormat="1">
      <c r="A216" s="141">
        <v>122503002</v>
      </c>
      <c r="B216" s="141" t="e">
        <v>#N/A</v>
      </c>
      <c r="C216" s="141">
        <f>VLOOKUP(A216,'DS Tenanted units'!A:A,1,FALSE)</f>
        <v>122503002</v>
      </c>
      <c r="D216" s="141" t="s">
        <v>818</v>
      </c>
      <c r="E216" s="141" t="s">
        <v>617</v>
      </c>
      <c r="G216" s="141" t="s">
        <v>819</v>
      </c>
      <c r="H216" s="141" t="s">
        <v>618</v>
      </c>
      <c r="I216" s="141" t="s">
        <v>698</v>
      </c>
      <c r="J216" s="141" t="s">
        <v>753</v>
      </c>
      <c r="K216" s="142">
        <v>5397</v>
      </c>
      <c r="L216" s="143">
        <v>43122</v>
      </c>
      <c r="M216" s="245" t="s">
        <v>632</v>
      </c>
    </row>
    <row r="217" spans="1:13" s="141" customFormat="1">
      <c r="A217" s="141">
        <v>122505001</v>
      </c>
      <c r="B217" s="141" t="e">
        <v>#N/A</v>
      </c>
      <c r="C217" s="141">
        <f>VLOOKUP(A217,'DS Tenanted units'!A:A,1,FALSE)</f>
        <v>122505001</v>
      </c>
      <c r="D217" s="141" t="s">
        <v>650</v>
      </c>
      <c r="E217" s="141" t="s">
        <v>617</v>
      </c>
      <c r="G217" s="141" t="s">
        <v>820</v>
      </c>
      <c r="H217" s="141" t="s">
        <v>618</v>
      </c>
      <c r="I217" s="141" t="s">
        <v>698</v>
      </c>
      <c r="J217" s="141" t="s">
        <v>753</v>
      </c>
      <c r="K217" s="141">
        <v>0</v>
      </c>
      <c r="L217" s="141" t="s">
        <v>730</v>
      </c>
      <c r="M217" s="245" t="s">
        <v>632</v>
      </c>
    </row>
    <row r="218" spans="1:13" s="141" customFormat="1">
      <c r="A218" s="141">
        <v>127057246</v>
      </c>
      <c r="B218" s="141" t="e">
        <v>#N/A</v>
      </c>
      <c r="C218" s="141">
        <f>VLOOKUP(A218,'DS Tenanted units'!A:A,1,FALSE)</f>
        <v>127057246</v>
      </c>
      <c r="D218" s="141" t="s">
        <v>821</v>
      </c>
      <c r="E218" s="141" t="s">
        <v>617</v>
      </c>
      <c r="G218" s="141" t="s">
        <v>822</v>
      </c>
      <c r="H218" s="141" t="s">
        <v>618</v>
      </c>
      <c r="I218" s="141" t="s">
        <v>698</v>
      </c>
      <c r="J218" s="141" t="s">
        <v>753</v>
      </c>
      <c r="K218" s="141">
        <v>1</v>
      </c>
      <c r="L218" s="143">
        <v>45565</v>
      </c>
      <c r="M218" s="245" t="s">
        <v>632</v>
      </c>
    </row>
    <row r="219" spans="1:13" s="141" customFormat="1">
      <c r="A219" s="141">
        <v>127771003</v>
      </c>
      <c r="B219" s="141" t="e">
        <v>#N/A</v>
      </c>
      <c r="C219" s="141">
        <f>VLOOKUP(A219,'DS Tenanted units'!A:A,1,FALSE)</f>
        <v>127771003</v>
      </c>
      <c r="D219" s="141" t="s">
        <v>823</v>
      </c>
      <c r="E219" s="141" t="s">
        <v>617</v>
      </c>
      <c r="G219" s="141" t="s">
        <v>824</v>
      </c>
      <c r="H219" s="141" t="s">
        <v>635</v>
      </c>
      <c r="I219" s="141" t="s">
        <v>698</v>
      </c>
      <c r="J219" s="141" t="s">
        <v>753</v>
      </c>
      <c r="K219" s="141">
        <v>0</v>
      </c>
      <c r="L219" s="141" t="s">
        <v>730</v>
      </c>
      <c r="M219" s="245" t="s">
        <v>632</v>
      </c>
    </row>
    <row r="220" spans="1:13" s="141" customFormat="1">
      <c r="A220" s="141">
        <v>127771004</v>
      </c>
      <c r="B220" s="141" t="e">
        <v>#N/A</v>
      </c>
      <c r="C220" s="141">
        <f>VLOOKUP(A220,'DS Tenanted units'!A:A,1,FALSE)</f>
        <v>127771004</v>
      </c>
      <c r="D220" s="141" t="s">
        <v>825</v>
      </c>
      <c r="E220" s="141" t="s">
        <v>617</v>
      </c>
      <c r="G220" s="141" t="s">
        <v>826</v>
      </c>
      <c r="H220" s="141" t="s">
        <v>635</v>
      </c>
      <c r="I220" s="141" t="s">
        <v>698</v>
      </c>
      <c r="J220" s="141" t="s">
        <v>753</v>
      </c>
      <c r="K220" s="141">
        <v>0</v>
      </c>
      <c r="L220" s="141" t="s">
        <v>730</v>
      </c>
      <c r="M220" s="245" t="s">
        <v>632</v>
      </c>
    </row>
    <row r="221" spans="1:13" s="141" customFormat="1">
      <c r="A221" s="141">
        <v>222710019</v>
      </c>
      <c r="B221" s="141" t="e">
        <v>#N/A</v>
      </c>
      <c r="C221" s="141">
        <f>VLOOKUP(A221,'DS Tenanted units'!A:A,1,FALSE)</f>
        <v>222710019</v>
      </c>
      <c r="D221" s="141" t="s">
        <v>827</v>
      </c>
      <c r="E221" s="141" t="s">
        <v>617</v>
      </c>
      <c r="G221" s="141" t="s">
        <v>828</v>
      </c>
      <c r="H221" s="141" t="s">
        <v>750</v>
      </c>
      <c r="I221" s="141" t="s">
        <v>698</v>
      </c>
      <c r="J221" s="141" t="s">
        <v>753</v>
      </c>
      <c r="K221" s="141">
        <v>0</v>
      </c>
      <c r="L221" s="143">
        <v>45565</v>
      </c>
      <c r="M221" s="245" t="s">
        <v>632</v>
      </c>
    </row>
    <row r="222" spans="1:13" s="141" customFormat="1">
      <c r="A222" s="141">
        <v>222710030</v>
      </c>
      <c r="B222" s="141" t="e">
        <v>#N/A</v>
      </c>
      <c r="C222" s="141">
        <f>VLOOKUP(A222,'DS Tenanted units'!A:A,1,FALSE)</f>
        <v>222710030</v>
      </c>
      <c r="D222" s="141" t="s">
        <v>829</v>
      </c>
      <c r="E222" s="141" t="s">
        <v>617</v>
      </c>
      <c r="G222" s="141" t="s">
        <v>830</v>
      </c>
      <c r="H222" s="141" t="s">
        <v>750</v>
      </c>
      <c r="I222" s="141" t="s">
        <v>698</v>
      </c>
      <c r="J222" s="141" t="s">
        <v>753</v>
      </c>
      <c r="K222" s="141">
        <v>0</v>
      </c>
      <c r="L222" s="143">
        <v>45565</v>
      </c>
      <c r="M222" s="245" t="s">
        <v>632</v>
      </c>
    </row>
    <row r="223" spans="1:13" s="141" customFormat="1">
      <c r="A223" s="141">
        <v>222710037</v>
      </c>
      <c r="B223" s="141" t="e">
        <v>#N/A</v>
      </c>
      <c r="C223" s="141">
        <f>VLOOKUP(A223,'DS Tenanted units'!A:A,1,FALSE)</f>
        <v>222710037</v>
      </c>
      <c r="D223" s="141" t="s">
        <v>831</v>
      </c>
      <c r="E223" s="141" t="s">
        <v>617</v>
      </c>
      <c r="G223" s="141" t="s">
        <v>832</v>
      </c>
      <c r="H223" s="141" t="s">
        <v>750</v>
      </c>
      <c r="I223" s="141" t="s">
        <v>698</v>
      </c>
      <c r="J223" s="141" t="s">
        <v>753</v>
      </c>
      <c r="K223" s="141">
        <v>0</v>
      </c>
      <c r="L223" s="143">
        <v>45565</v>
      </c>
      <c r="M223" s="245" t="s">
        <v>632</v>
      </c>
    </row>
    <row r="224" spans="1:13" s="141" customFormat="1">
      <c r="A224" s="141">
        <v>222710102</v>
      </c>
      <c r="B224" s="141" t="e">
        <v>#N/A</v>
      </c>
      <c r="C224" s="141">
        <f>VLOOKUP(A224,'DS Tenanted units'!A:A,1,FALSE)</f>
        <v>222710102</v>
      </c>
      <c r="D224" s="141" t="s">
        <v>833</v>
      </c>
      <c r="E224" s="141" t="s">
        <v>617</v>
      </c>
      <c r="G224" s="141" t="s">
        <v>834</v>
      </c>
      <c r="H224" s="141" t="s">
        <v>750</v>
      </c>
      <c r="I224" s="141" t="s">
        <v>698</v>
      </c>
      <c r="J224" s="141" t="s">
        <v>753</v>
      </c>
      <c r="K224" s="141">
        <v>0</v>
      </c>
      <c r="L224" s="143">
        <v>45565</v>
      </c>
      <c r="M224" s="245" t="s">
        <v>632</v>
      </c>
    </row>
    <row r="225" spans="1:13" s="141" customFormat="1">
      <c r="A225" s="141">
        <v>222710107</v>
      </c>
      <c r="B225" s="141" t="e">
        <v>#N/A</v>
      </c>
      <c r="C225" s="141">
        <f>VLOOKUP(A225,'DS Tenanted units'!A:A,1,FALSE)</f>
        <v>222710107</v>
      </c>
      <c r="D225" s="141" t="s">
        <v>835</v>
      </c>
      <c r="E225" s="141" t="s">
        <v>617</v>
      </c>
      <c r="G225" s="141" t="s">
        <v>836</v>
      </c>
      <c r="H225" s="141" t="s">
        <v>750</v>
      </c>
      <c r="I225" s="141" t="s">
        <v>698</v>
      </c>
      <c r="J225" s="141" t="s">
        <v>753</v>
      </c>
      <c r="K225" s="141">
        <v>0</v>
      </c>
      <c r="L225" s="143">
        <v>45565</v>
      </c>
      <c r="M225" s="245" t="s">
        <v>632</v>
      </c>
    </row>
    <row r="226" spans="1:13" s="141" customFormat="1">
      <c r="A226" s="141">
        <v>222710108</v>
      </c>
      <c r="B226" s="141" t="e">
        <v>#N/A</v>
      </c>
      <c r="C226" s="141">
        <f>VLOOKUP(A226,'DS Tenanted units'!A:A,1,FALSE)</f>
        <v>222710108</v>
      </c>
      <c r="D226" s="141" t="s">
        <v>837</v>
      </c>
      <c r="E226" s="141" t="s">
        <v>617</v>
      </c>
      <c r="G226" s="141" t="s">
        <v>838</v>
      </c>
      <c r="H226" s="141" t="s">
        <v>750</v>
      </c>
      <c r="I226" s="141" t="s">
        <v>698</v>
      </c>
      <c r="J226" s="141" t="s">
        <v>753</v>
      </c>
      <c r="K226" s="141">
        <v>0</v>
      </c>
      <c r="L226" s="143">
        <v>45565</v>
      </c>
      <c r="M226" s="245" t="s">
        <v>632</v>
      </c>
    </row>
    <row r="227" spans="1:13" s="141" customFormat="1">
      <c r="A227" s="141">
        <v>222710112</v>
      </c>
      <c r="B227" s="141" t="e">
        <v>#N/A</v>
      </c>
      <c r="C227" s="141">
        <f>VLOOKUP(A227,'DS Tenanted units'!A:A,1,FALSE)</f>
        <v>222710112</v>
      </c>
      <c r="D227" s="141" t="s">
        <v>839</v>
      </c>
      <c r="E227" s="141" t="s">
        <v>617</v>
      </c>
      <c r="G227" s="141" t="s">
        <v>840</v>
      </c>
      <c r="H227" s="141" t="s">
        <v>750</v>
      </c>
      <c r="I227" s="141" t="s">
        <v>698</v>
      </c>
      <c r="J227" s="141" t="s">
        <v>753</v>
      </c>
      <c r="K227" s="141">
        <v>0</v>
      </c>
      <c r="L227" s="143">
        <v>45565</v>
      </c>
      <c r="M227" s="245" t="s">
        <v>632</v>
      </c>
    </row>
    <row r="228" spans="1:13" s="141" customFormat="1">
      <c r="A228" s="141">
        <v>222710153</v>
      </c>
      <c r="B228" s="141" t="e">
        <v>#N/A</v>
      </c>
      <c r="C228" s="141">
        <f>VLOOKUP(A228,'DS Tenanted units'!A:A,1,FALSE)</f>
        <v>222710153</v>
      </c>
      <c r="D228" s="141" t="s">
        <v>841</v>
      </c>
      <c r="E228" s="141" t="s">
        <v>617</v>
      </c>
      <c r="G228" s="141" t="s">
        <v>842</v>
      </c>
      <c r="H228" s="141" t="s">
        <v>750</v>
      </c>
      <c r="I228" s="141" t="s">
        <v>698</v>
      </c>
      <c r="J228" s="141" t="s">
        <v>753</v>
      </c>
      <c r="K228" s="141">
        <v>0</v>
      </c>
      <c r="L228" s="143">
        <v>45565</v>
      </c>
      <c r="M228" s="245" t="s">
        <v>632</v>
      </c>
    </row>
    <row r="229" spans="1:13" s="141" customFormat="1">
      <c r="A229" s="141">
        <v>222710154</v>
      </c>
      <c r="B229" s="141" t="e">
        <v>#N/A</v>
      </c>
      <c r="C229" s="141">
        <f>VLOOKUP(A229,'DS Tenanted units'!A:A,1,FALSE)</f>
        <v>222710154</v>
      </c>
      <c r="D229" s="141" t="s">
        <v>843</v>
      </c>
      <c r="E229" s="141" t="s">
        <v>617</v>
      </c>
      <c r="G229" s="141" t="s">
        <v>844</v>
      </c>
      <c r="H229" s="141" t="s">
        <v>750</v>
      </c>
      <c r="I229" s="141" t="s">
        <v>698</v>
      </c>
      <c r="J229" s="141" t="s">
        <v>753</v>
      </c>
      <c r="K229" s="141">
        <v>0</v>
      </c>
      <c r="L229" s="143">
        <v>45565</v>
      </c>
      <c r="M229" s="245" t="s">
        <v>632</v>
      </c>
    </row>
    <row r="230" spans="1:13" s="141" customFormat="1">
      <c r="A230" s="141">
        <v>222710162</v>
      </c>
      <c r="B230" s="141" t="e">
        <v>#N/A</v>
      </c>
      <c r="C230" s="141">
        <f>VLOOKUP(A230,'DS Tenanted units'!A:A,1,FALSE)</f>
        <v>222710162</v>
      </c>
      <c r="D230" s="141" t="s">
        <v>845</v>
      </c>
      <c r="E230" s="141" t="s">
        <v>617</v>
      </c>
      <c r="G230" s="141" t="s">
        <v>846</v>
      </c>
      <c r="H230" s="141" t="s">
        <v>750</v>
      </c>
      <c r="I230" s="141" t="s">
        <v>698</v>
      </c>
      <c r="J230" s="141" t="s">
        <v>753</v>
      </c>
      <c r="K230" s="141">
        <v>0</v>
      </c>
      <c r="L230" s="143">
        <v>45565</v>
      </c>
      <c r="M230" s="245" t="s">
        <v>632</v>
      </c>
    </row>
    <row r="231" spans="1:13" s="141" customFormat="1">
      <c r="A231" s="141">
        <v>317359001</v>
      </c>
      <c r="B231" s="141" t="e">
        <v>#N/A</v>
      </c>
      <c r="C231" s="141">
        <f>VLOOKUP(A231,'DS Tenanted units'!A:A,1,FALSE)</f>
        <v>317359001</v>
      </c>
      <c r="D231" s="141" t="s">
        <v>847</v>
      </c>
      <c r="E231" s="141" t="s">
        <v>848</v>
      </c>
      <c r="F231" s="141">
        <v>100023509405</v>
      </c>
      <c r="G231" s="141" t="s">
        <v>849</v>
      </c>
      <c r="H231" s="141" t="s">
        <v>618</v>
      </c>
      <c r="I231" s="141" t="s">
        <v>698</v>
      </c>
      <c r="J231" s="141" t="s">
        <v>753</v>
      </c>
      <c r="K231" s="142">
        <v>23000</v>
      </c>
      <c r="L231" s="143">
        <v>45565</v>
      </c>
      <c r="M231" s="245" t="s">
        <v>632</v>
      </c>
    </row>
    <row r="232" spans="1:13" s="141" customFormat="1">
      <c r="A232" s="141">
        <v>317359002</v>
      </c>
      <c r="B232" s="141" t="e">
        <v>#N/A</v>
      </c>
      <c r="C232" s="141">
        <f>VLOOKUP(A232,'DS Tenanted units'!A:A,1,FALSE)</f>
        <v>317359002</v>
      </c>
      <c r="D232" s="141" t="s">
        <v>850</v>
      </c>
      <c r="E232" s="141" t="s">
        <v>848</v>
      </c>
      <c r="F232" s="141">
        <v>100023509406</v>
      </c>
      <c r="G232" s="141" t="s">
        <v>851</v>
      </c>
      <c r="H232" s="141" t="s">
        <v>618</v>
      </c>
      <c r="I232" s="141" t="s">
        <v>698</v>
      </c>
      <c r="J232" s="141" t="s">
        <v>753</v>
      </c>
      <c r="K232" s="142">
        <v>22000</v>
      </c>
      <c r="L232" s="143">
        <v>45565</v>
      </c>
      <c r="M232" s="245" t="s">
        <v>632</v>
      </c>
    </row>
    <row r="233" spans="1:13" s="141" customFormat="1">
      <c r="A233" s="141">
        <v>317359003</v>
      </c>
      <c r="B233" s="141" t="e">
        <v>#N/A</v>
      </c>
      <c r="C233" s="141">
        <f>VLOOKUP(A233,'DS Tenanted units'!A:A,1,FALSE)</f>
        <v>317359003</v>
      </c>
      <c r="D233" s="141" t="s">
        <v>852</v>
      </c>
      <c r="E233" s="141" t="s">
        <v>848</v>
      </c>
      <c r="F233" s="141">
        <v>100023511197</v>
      </c>
      <c r="G233" s="141" t="s">
        <v>853</v>
      </c>
      <c r="H233" s="141" t="s">
        <v>618</v>
      </c>
      <c r="I233" s="141" t="s">
        <v>698</v>
      </c>
      <c r="J233" s="141" t="s">
        <v>753</v>
      </c>
      <c r="K233" s="142">
        <v>25000</v>
      </c>
      <c r="L233" s="143">
        <v>45565</v>
      </c>
      <c r="M233" s="245" t="s">
        <v>632</v>
      </c>
    </row>
    <row r="234" spans="1:13" s="141" customFormat="1">
      <c r="A234" s="141">
        <v>317359004</v>
      </c>
      <c r="B234" s="141" t="e">
        <v>#N/A</v>
      </c>
      <c r="C234" s="141">
        <f>VLOOKUP(A234,'DS Tenanted units'!A:A,1,FALSE)</f>
        <v>317359004</v>
      </c>
      <c r="D234" s="141" t="s">
        <v>854</v>
      </c>
      <c r="E234" s="141" t="s">
        <v>848</v>
      </c>
      <c r="F234" s="141">
        <v>100023511198</v>
      </c>
      <c r="G234" s="141" t="s">
        <v>855</v>
      </c>
      <c r="H234" s="141" t="s">
        <v>618</v>
      </c>
      <c r="I234" s="141" t="s">
        <v>698</v>
      </c>
      <c r="J234" s="141" t="s">
        <v>753</v>
      </c>
      <c r="K234" s="142">
        <v>20200</v>
      </c>
      <c r="L234" s="143">
        <v>45565</v>
      </c>
      <c r="M234" s="245" t="s">
        <v>632</v>
      </c>
    </row>
    <row r="235" spans="1:13" s="141" customFormat="1">
      <c r="A235" s="141">
        <v>317359005</v>
      </c>
      <c r="B235" s="141" t="e">
        <v>#N/A</v>
      </c>
      <c r="C235" s="141">
        <f>VLOOKUP(A235,'DS Tenanted units'!A:A,1,FALSE)</f>
        <v>317359005</v>
      </c>
      <c r="D235" s="141" t="s">
        <v>856</v>
      </c>
      <c r="E235" s="141" t="s">
        <v>848</v>
      </c>
      <c r="F235" s="141">
        <v>100023509407</v>
      </c>
      <c r="G235" s="141" t="s">
        <v>857</v>
      </c>
      <c r="H235" s="141" t="s">
        <v>618</v>
      </c>
      <c r="I235" s="141" t="s">
        <v>698</v>
      </c>
      <c r="J235" s="141" t="s">
        <v>753</v>
      </c>
      <c r="K235" s="142">
        <v>22000</v>
      </c>
      <c r="L235" s="143">
        <v>45565</v>
      </c>
      <c r="M235" s="245" t="s">
        <v>632</v>
      </c>
    </row>
    <row r="236" spans="1:13" s="141" customFormat="1">
      <c r="A236" s="141">
        <v>317359006</v>
      </c>
      <c r="B236" s="141" t="e">
        <v>#N/A</v>
      </c>
      <c r="C236" s="141">
        <f>VLOOKUP(A236,'DS Tenanted units'!A:A,1,FALSE)</f>
        <v>317359006</v>
      </c>
      <c r="D236" s="141" t="s">
        <v>858</v>
      </c>
      <c r="E236" s="141" t="s">
        <v>848</v>
      </c>
      <c r="F236" s="141">
        <v>10033546834</v>
      </c>
      <c r="G236" s="141" t="s">
        <v>859</v>
      </c>
      <c r="H236" s="141" t="s">
        <v>618</v>
      </c>
      <c r="I236" s="141" t="s">
        <v>698</v>
      </c>
      <c r="J236" s="141" t="s">
        <v>753</v>
      </c>
      <c r="K236" s="142">
        <v>40000</v>
      </c>
      <c r="L236" s="143">
        <v>45565</v>
      </c>
      <c r="M236" s="245" t="s">
        <v>632</v>
      </c>
    </row>
    <row r="237" spans="1:13" s="141" customFormat="1">
      <c r="A237" s="141">
        <v>317359007</v>
      </c>
      <c r="B237" s="141" t="e">
        <v>#N/A</v>
      </c>
      <c r="C237" s="141">
        <f>VLOOKUP(A237,'DS Tenanted units'!A:A,1,FALSE)</f>
        <v>317359007</v>
      </c>
      <c r="D237" s="141" t="s">
        <v>860</v>
      </c>
      <c r="E237" s="141" t="s">
        <v>848</v>
      </c>
      <c r="G237" s="141" t="s">
        <v>861</v>
      </c>
      <c r="H237" s="141" t="s">
        <v>618</v>
      </c>
      <c r="I237" s="141" t="s">
        <v>698</v>
      </c>
      <c r="J237" s="141" t="s">
        <v>753</v>
      </c>
      <c r="K237" s="141">
        <v>264</v>
      </c>
      <c r="L237" s="143">
        <v>45565</v>
      </c>
      <c r="M237" s="245" t="s">
        <v>632</v>
      </c>
    </row>
    <row r="238" spans="1:13" s="141" customFormat="1">
      <c r="A238" s="141">
        <v>317359008</v>
      </c>
      <c r="B238" s="141" t="e">
        <v>#N/A</v>
      </c>
      <c r="C238" s="141">
        <f>VLOOKUP(A238,'DS Tenanted units'!A:A,1,FALSE)</f>
        <v>317359008</v>
      </c>
      <c r="D238" s="141" t="s">
        <v>862</v>
      </c>
      <c r="E238" s="141" t="s">
        <v>848</v>
      </c>
      <c r="G238" s="141" t="s">
        <v>863</v>
      </c>
      <c r="H238" s="141" t="s">
        <v>618</v>
      </c>
      <c r="I238" s="141" t="s">
        <v>698</v>
      </c>
      <c r="J238" s="141" t="s">
        <v>753</v>
      </c>
      <c r="K238" s="142">
        <v>18700</v>
      </c>
      <c r="L238" s="143">
        <v>45565</v>
      </c>
      <c r="M238" s="245" t="s">
        <v>632</v>
      </c>
    </row>
    <row r="239" spans="1:13" s="141" customFormat="1">
      <c r="A239" s="141">
        <v>317359009</v>
      </c>
      <c r="B239" s="141" t="e">
        <v>#N/A</v>
      </c>
      <c r="C239" s="141">
        <f>VLOOKUP(A239,'DS Tenanted units'!A:A,1,FALSE)</f>
        <v>317359009</v>
      </c>
      <c r="D239" s="141" t="s">
        <v>864</v>
      </c>
      <c r="E239" s="141" t="s">
        <v>848</v>
      </c>
      <c r="F239" s="141">
        <v>100023510467</v>
      </c>
      <c r="G239" s="141" t="s">
        <v>865</v>
      </c>
      <c r="H239" s="141" t="s">
        <v>618</v>
      </c>
      <c r="I239" s="141" t="s">
        <v>698</v>
      </c>
      <c r="J239" s="141" t="s">
        <v>753</v>
      </c>
      <c r="K239" s="142">
        <v>21000</v>
      </c>
      <c r="L239" s="143">
        <v>45565</v>
      </c>
      <c r="M239" s="245" t="s">
        <v>632</v>
      </c>
    </row>
    <row r="240" spans="1:13" s="141" customFormat="1">
      <c r="A240" s="141">
        <v>317359010</v>
      </c>
      <c r="B240" s="141" t="e">
        <v>#N/A</v>
      </c>
      <c r="C240" s="141">
        <f>VLOOKUP(A240,'DS Tenanted units'!A:A,1,FALSE)</f>
        <v>317359010</v>
      </c>
      <c r="D240" s="141" t="s">
        <v>866</v>
      </c>
      <c r="E240" s="141" t="s">
        <v>848</v>
      </c>
      <c r="F240" s="141">
        <v>100023510011</v>
      </c>
      <c r="G240" s="141" t="s">
        <v>867</v>
      </c>
      <c r="H240" s="141" t="s">
        <v>618</v>
      </c>
      <c r="I240" s="141" t="s">
        <v>698</v>
      </c>
      <c r="J240" s="141" t="s">
        <v>753</v>
      </c>
      <c r="K240" s="142">
        <v>21000</v>
      </c>
      <c r="L240" s="143">
        <v>45565</v>
      </c>
      <c r="M240" s="245" t="s">
        <v>632</v>
      </c>
    </row>
    <row r="241" spans="1:13" s="141" customFormat="1">
      <c r="A241" s="141">
        <v>317360001</v>
      </c>
      <c r="B241" s="141" t="e">
        <v>#N/A</v>
      </c>
      <c r="C241" s="141">
        <f>VLOOKUP(A241,'DS Tenanted units'!A:A,1,FALSE)</f>
        <v>317360001</v>
      </c>
      <c r="D241" s="141" t="s">
        <v>868</v>
      </c>
      <c r="E241" s="141" t="s">
        <v>848</v>
      </c>
      <c r="G241" s="141" t="s">
        <v>869</v>
      </c>
      <c r="H241" s="141" t="s">
        <v>618</v>
      </c>
      <c r="I241" s="141" t="s">
        <v>698</v>
      </c>
      <c r="J241" s="141" t="s">
        <v>753</v>
      </c>
      <c r="K241" s="142">
        <v>8500</v>
      </c>
      <c r="L241" s="143">
        <v>45565</v>
      </c>
      <c r="M241" s="245" t="s">
        <v>632</v>
      </c>
    </row>
    <row r="242" spans="1:13" s="141" customFormat="1">
      <c r="A242" s="141">
        <v>317360002</v>
      </c>
      <c r="B242" s="141" t="e">
        <v>#N/A</v>
      </c>
      <c r="C242" s="141">
        <f>VLOOKUP(A242,'DS Tenanted units'!A:A,1,FALSE)</f>
        <v>317360002</v>
      </c>
      <c r="D242" s="141" t="s">
        <v>870</v>
      </c>
      <c r="E242" s="141" t="s">
        <v>848</v>
      </c>
      <c r="F242" s="141">
        <v>10090196720</v>
      </c>
      <c r="G242" s="141" t="s">
        <v>871</v>
      </c>
      <c r="H242" s="141" t="s">
        <v>618</v>
      </c>
      <c r="I242" s="141" t="s">
        <v>698</v>
      </c>
      <c r="J242" s="141" t="s">
        <v>753</v>
      </c>
      <c r="K242" s="142">
        <v>16000</v>
      </c>
      <c r="L242" s="143">
        <v>45565</v>
      </c>
      <c r="M242" s="245" t="s">
        <v>632</v>
      </c>
    </row>
    <row r="243" spans="1:13" s="141" customFormat="1">
      <c r="A243" s="141">
        <v>317360003</v>
      </c>
      <c r="B243" s="141" t="e">
        <v>#N/A</v>
      </c>
      <c r="C243" s="141">
        <f>VLOOKUP(A243,'DS Tenanted units'!A:A,1,FALSE)</f>
        <v>317360003</v>
      </c>
      <c r="D243" s="141" t="s">
        <v>872</v>
      </c>
      <c r="E243" s="141" t="s">
        <v>848</v>
      </c>
      <c r="G243" s="141" t="s">
        <v>873</v>
      </c>
      <c r="H243" s="141" t="s">
        <v>618</v>
      </c>
      <c r="I243" s="141" t="s">
        <v>698</v>
      </c>
      <c r="J243" s="141" t="s">
        <v>753</v>
      </c>
      <c r="K243" s="141">
        <v>0</v>
      </c>
      <c r="L243" s="143">
        <v>45565</v>
      </c>
      <c r="M243" s="245" t="s">
        <v>632</v>
      </c>
    </row>
    <row r="244" spans="1:13" s="141" customFormat="1">
      <c r="A244" s="141">
        <v>317360004</v>
      </c>
      <c r="B244" s="141" t="e">
        <v>#N/A</v>
      </c>
      <c r="C244" s="141">
        <f>VLOOKUP(A244,'DS Tenanted units'!A:A,1,FALSE)</f>
        <v>317360004</v>
      </c>
      <c r="D244" s="141" t="s">
        <v>874</v>
      </c>
      <c r="E244" s="141" t="s">
        <v>848</v>
      </c>
      <c r="F244" s="141">
        <v>200000465766</v>
      </c>
      <c r="G244" s="141" t="s">
        <v>875</v>
      </c>
      <c r="H244" s="141" t="s">
        <v>618</v>
      </c>
      <c r="I244" s="141" t="s">
        <v>698</v>
      </c>
      <c r="J244" s="141" t="s">
        <v>753</v>
      </c>
      <c r="K244" s="142">
        <v>16000</v>
      </c>
      <c r="L244" s="143">
        <v>45565</v>
      </c>
      <c r="M244" s="245" t="s">
        <v>632</v>
      </c>
    </row>
    <row r="245" spans="1:13" s="141" customFormat="1">
      <c r="A245" s="141">
        <v>317360005</v>
      </c>
      <c r="B245" s="141" t="e">
        <v>#N/A</v>
      </c>
      <c r="C245" s="141">
        <f>VLOOKUP(A245,'DS Tenanted units'!A:A,1,FALSE)</f>
        <v>317360005</v>
      </c>
      <c r="D245" s="141" t="s">
        <v>876</v>
      </c>
      <c r="E245" s="141" t="s">
        <v>848</v>
      </c>
      <c r="F245" s="141">
        <v>10091836369</v>
      </c>
      <c r="G245" s="141" t="s">
        <v>877</v>
      </c>
      <c r="H245" s="141" t="s">
        <v>618</v>
      </c>
      <c r="I245" s="141" t="s">
        <v>698</v>
      </c>
      <c r="J245" s="141" t="s">
        <v>753</v>
      </c>
      <c r="K245" s="142">
        <v>8000</v>
      </c>
      <c r="L245" s="143">
        <v>45565</v>
      </c>
      <c r="M245" s="245" t="s">
        <v>632</v>
      </c>
    </row>
    <row r="246" spans="1:13" s="141" customFormat="1">
      <c r="A246" s="141">
        <v>317360011</v>
      </c>
      <c r="B246" s="141" t="e">
        <v>#N/A</v>
      </c>
      <c r="C246" s="141">
        <f>VLOOKUP(A246,'DS Tenanted units'!A:A,1,FALSE)</f>
        <v>317360011</v>
      </c>
      <c r="D246" s="141" t="s">
        <v>878</v>
      </c>
      <c r="E246" s="141" t="s">
        <v>848</v>
      </c>
      <c r="G246" s="141" t="s">
        <v>879</v>
      </c>
      <c r="H246" s="141" t="s">
        <v>618</v>
      </c>
      <c r="I246" s="141" t="s">
        <v>698</v>
      </c>
      <c r="J246" s="141" t="s">
        <v>753</v>
      </c>
      <c r="K246" s="141">
        <v>0</v>
      </c>
      <c r="L246" s="143">
        <v>45565</v>
      </c>
      <c r="M246" s="245" t="s">
        <v>632</v>
      </c>
    </row>
    <row r="247" spans="1:13" s="141" customFormat="1">
      <c r="A247" s="141">
        <v>317652001</v>
      </c>
      <c r="B247" s="141" t="e">
        <v>#N/A</v>
      </c>
      <c r="C247" s="141">
        <f>VLOOKUP(A247,'DS Tenanted units'!A:A,1,FALSE)</f>
        <v>317652001</v>
      </c>
      <c r="D247" s="141" t="s">
        <v>880</v>
      </c>
      <c r="E247" s="141" t="s">
        <v>617</v>
      </c>
      <c r="F247" s="141">
        <v>200000486740</v>
      </c>
      <c r="G247" s="141" t="s">
        <v>881</v>
      </c>
      <c r="H247" s="141" t="s">
        <v>618</v>
      </c>
      <c r="I247" s="141" t="s">
        <v>698</v>
      </c>
      <c r="J247" s="141" t="s">
        <v>753</v>
      </c>
      <c r="K247" s="142">
        <v>23000</v>
      </c>
      <c r="L247" s="143">
        <v>45565</v>
      </c>
      <c r="M247" s="245" t="s">
        <v>632</v>
      </c>
    </row>
    <row r="248" spans="1:13" s="141" customFormat="1">
      <c r="A248" s="141">
        <v>317652002</v>
      </c>
      <c r="B248" s="141" t="e">
        <v>#N/A</v>
      </c>
      <c r="C248" s="141">
        <f>VLOOKUP(A248,'DS Tenanted units'!A:A,1,FALSE)</f>
        <v>317652002</v>
      </c>
      <c r="D248" s="141" t="s">
        <v>882</v>
      </c>
      <c r="E248" s="141" t="s">
        <v>617</v>
      </c>
      <c r="F248" s="141">
        <v>10091846112</v>
      </c>
      <c r="G248" s="141" t="s">
        <v>883</v>
      </c>
      <c r="H248" s="141" t="s">
        <v>618</v>
      </c>
      <c r="I248" s="141" t="s">
        <v>698</v>
      </c>
      <c r="J248" s="141" t="s">
        <v>753</v>
      </c>
      <c r="K248" s="142">
        <v>14000</v>
      </c>
      <c r="L248" s="143">
        <v>45565</v>
      </c>
      <c r="M248" s="245" t="s">
        <v>632</v>
      </c>
    </row>
    <row r="249" spans="1:13" s="141" customFormat="1">
      <c r="A249" s="141">
        <v>317652003</v>
      </c>
      <c r="B249" s="141" t="e">
        <v>#N/A</v>
      </c>
      <c r="C249" s="141">
        <f>VLOOKUP(A249,'DS Tenanted units'!A:A,1,FALSE)</f>
        <v>317652003</v>
      </c>
      <c r="D249" s="141" t="s">
        <v>884</v>
      </c>
      <c r="E249" s="141" t="s">
        <v>617</v>
      </c>
      <c r="F249" s="141">
        <v>200000486743</v>
      </c>
      <c r="G249" s="141" t="s">
        <v>885</v>
      </c>
      <c r="H249" s="141" t="s">
        <v>618</v>
      </c>
      <c r="I249" s="141" t="s">
        <v>698</v>
      </c>
      <c r="J249" s="141" t="s">
        <v>753</v>
      </c>
      <c r="K249" s="142">
        <v>15000</v>
      </c>
      <c r="L249" s="143">
        <v>45565</v>
      </c>
      <c r="M249" s="245" t="s">
        <v>632</v>
      </c>
    </row>
    <row r="250" spans="1:13" s="141" customFormat="1">
      <c r="A250" s="141">
        <v>317652004</v>
      </c>
      <c r="B250" s="141" t="e">
        <v>#N/A</v>
      </c>
      <c r="C250" s="141">
        <f>VLOOKUP(A250,'DS Tenanted units'!A:A,1,FALSE)</f>
        <v>317652004</v>
      </c>
      <c r="D250" s="141" t="s">
        <v>886</v>
      </c>
      <c r="E250" s="141" t="s">
        <v>617</v>
      </c>
      <c r="F250" s="141">
        <v>200000486745</v>
      </c>
      <c r="G250" s="141" t="s">
        <v>887</v>
      </c>
      <c r="H250" s="141" t="s">
        <v>618</v>
      </c>
      <c r="I250" s="141" t="s">
        <v>698</v>
      </c>
      <c r="J250" s="141" t="s">
        <v>753</v>
      </c>
      <c r="K250" s="142">
        <v>16000</v>
      </c>
      <c r="L250" s="143">
        <v>45565</v>
      </c>
      <c r="M250" s="245" t="s">
        <v>632</v>
      </c>
    </row>
    <row r="251" spans="1:13" s="141" customFormat="1">
      <c r="A251" s="141">
        <v>317652005</v>
      </c>
      <c r="B251" s="141" t="e">
        <v>#N/A</v>
      </c>
      <c r="C251" s="141">
        <f>VLOOKUP(A251,'DS Tenanted units'!A:A,1,FALSE)</f>
        <v>317652005</v>
      </c>
      <c r="D251" s="141" t="s">
        <v>888</v>
      </c>
      <c r="E251" s="141" t="s">
        <v>617</v>
      </c>
      <c r="F251" s="141">
        <v>200000486747</v>
      </c>
      <c r="G251" s="141" t="s">
        <v>889</v>
      </c>
      <c r="H251" s="141" t="s">
        <v>618</v>
      </c>
      <c r="I251" s="141" t="s">
        <v>698</v>
      </c>
      <c r="J251" s="141" t="s">
        <v>753</v>
      </c>
      <c r="K251" s="142">
        <v>14000</v>
      </c>
      <c r="L251" s="143">
        <v>45565</v>
      </c>
      <c r="M251" s="245" t="s">
        <v>632</v>
      </c>
    </row>
    <row r="252" spans="1:13" s="141" customFormat="1">
      <c r="A252" s="141">
        <v>317652006</v>
      </c>
      <c r="B252" s="141" t="e">
        <v>#N/A</v>
      </c>
      <c r="C252" s="141">
        <f>VLOOKUP(A252,'DS Tenanted units'!A:A,1,FALSE)</f>
        <v>317652006</v>
      </c>
      <c r="D252" s="141" t="s">
        <v>890</v>
      </c>
      <c r="E252" s="141" t="s">
        <v>617</v>
      </c>
      <c r="F252" s="141">
        <v>200000486749</v>
      </c>
      <c r="G252" s="141" t="s">
        <v>891</v>
      </c>
      <c r="H252" s="141" t="s">
        <v>618</v>
      </c>
      <c r="I252" s="141" t="s">
        <v>698</v>
      </c>
      <c r="J252" s="141" t="s">
        <v>753</v>
      </c>
      <c r="K252" s="142">
        <v>16000</v>
      </c>
      <c r="L252" s="143">
        <v>45565</v>
      </c>
      <c r="M252" s="245" t="s">
        <v>632</v>
      </c>
    </row>
    <row r="253" spans="1:13" s="141" customFormat="1">
      <c r="A253" s="141">
        <v>317652007</v>
      </c>
      <c r="B253" s="141" t="e">
        <v>#N/A</v>
      </c>
      <c r="C253" s="141">
        <f>VLOOKUP(A253,'DS Tenanted units'!A:A,1,FALSE)</f>
        <v>317652007</v>
      </c>
      <c r="D253" s="141" t="s">
        <v>892</v>
      </c>
      <c r="E253" s="141" t="s">
        <v>617</v>
      </c>
      <c r="F253" s="141">
        <v>200000486751</v>
      </c>
      <c r="G253" s="141" t="s">
        <v>893</v>
      </c>
      <c r="H253" s="141" t="s">
        <v>618</v>
      </c>
      <c r="I253" s="141" t="s">
        <v>698</v>
      </c>
      <c r="J253" s="141" t="s">
        <v>753</v>
      </c>
      <c r="K253" s="142">
        <v>13800</v>
      </c>
      <c r="L253" s="143">
        <v>45565</v>
      </c>
      <c r="M253" s="245" t="s">
        <v>632</v>
      </c>
    </row>
    <row r="254" spans="1:13" s="141" customFormat="1">
      <c r="A254" s="141">
        <v>317652008</v>
      </c>
      <c r="B254" s="141" t="e">
        <v>#N/A</v>
      </c>
      <c r="C254" s="141">
        <f>VLOOKUP(A254,'DS Tenanted units'!A:A,1,FALSE)</f>
        <v>317652008</v>
      </c>
      <c r="D254" s="141" t="s">
        <v>894</v>
      </c>
      <c r="E254" s="141" t="s">
        <v>617</v>
      </c>
      <c r="F254" s="141">
        <v>200000486752</v>
      </c>
      <c r="G254" s="141" t="s">
        <v>895</v>
      </c>
      <c r="H254" s="141" t="s">
        <v>618</v>
      </c>
      <c r="I254" s="141" t="s">
        <v>698</v>
      </c>
      <c r="J254" s="141" t="s">
        <v>753</v>
      </c>
      <c r="K254" s="142">
        <v>16000</v>
      </c>
      <c r="L254" s="143">
        <v>45565</v>
      </c>
      <c r="M254" s="245" t="s">
        <v>632</v>
      </c>
    </row>
    <row r="255" spans="1:13" s="141" customFormat="1">
      <c r="A255" s="141">
        <v>317652009</v>
      </c>
      <c r="B255" s="141" t="e">
        <v>#N/A</v>
      </c>
      <c r="C255" s="141">
        <f>VLOOKUP(A255,'DS Tenanted units'!A:A,1,FALSE)</f>
        <v>317652009</v>
      </c>
      <c r="D255" s="141" t="s">
        <v>510</v>
      </c>
      <c r="E255" s="141" t="s">
        <v>617</v>
      </c>
      <c r="F255" s="141">
        <v>100023384030</v>
      </c>
      <c r="G255" s="141" t="s">
        <v>509</v>
      </c>
      <c r="H255" s="141" t="s">
        <v>618</v>
      </c>
      <c r="I255" s="141" t="s">
        <v>698</v>
      </c>
      <c r="J255" s="141" t="s">
        <v>753</v>
      </c>
      <c r="K255" s="142">
        <v>28000</v>
      </c>
      <c r="L255" s="143">
        <v>45565</v>
      </c>
      <c r="M255" s="245" t="s">
        <v>632</v>
      </c>
    </row>
    <row r="256" spans="1:13" s="141" customFormat="1">
      <c r="A256" s="141">
        <v>317652010</v>
      </c>
      <c r="B256" s="141" t="e">
        <v>#N/A</v>
      </c>
      <c r="C256" s="141">
        <f>VLOOKUP(A256,'DS Tenanted units'!A:A,1,FALSE)</f>
        <v>317652010</v>
      </c>
      <c r="D256" s="141" t="s">
        <v>896</v>
      </c>
      <c r="E256" s="141" t="s">
        <v>617</v>
      </c>
      <c r="F256" s="141">
        <v>200000486757</v>
      </c>
      <c r="G256" s="141" t="s">
        <v>897</v>
      </c>
      <c r="H256" s="141" t="s">
        <v>618</v>
      </c>
      <c r="I256" s="141" t="s">
        <v>698</v>
      </c>
      <c r="J256" s="141" t="s">
        <v>753</v>
      </c>
      <c r="K256" s="142">
        <v>15500</v>
      </c>
      <c r="L256" s="143">
        <v>45565</v>
      </c>
      <c r="M256" s="245" t="s">
        <v>632</v>
      </c>
    </row>
    <row r="257" spans="1:13" s="141" customFormat="1">
      <c r="A257" s="141">
        <v>317652011</v>
      </c>
      <c r="B257" s="141" t="e">
        <v>#N/A</v>
      </c>
      <c r="C257" s="141">
        <f>VLOOKUP(A257,'DS Tenanted units'!A:A,1,FALSE)</f>
        <v>317652011</v>
      </c>
      <c r="D257" s="141" t="s">
        <v>898</v>
      </c>
      <c r="E257" s="141" t="s">
        <v>617</v>
      </c>
      <c r="F257" s="141">
        <v>200000486759</v>
      </c>
      <c r="G257" s="141" t="s">
        <v>899</v>
      </c>
      <c r="H257" s="141" t="s">
        <v>618</v>
      </c>
      <c r="I257" s="141" t="s">
        <v>698</v>
      </c>
      <c r="J257" s="141" t="s">
        <v>753</v>
      </c>
      <c r="K257" s="142">
        <v>15500</v>
      </c>
      <c r="L257" s="143">
        <v>45565</v>
      </c>
      <c r="M257" s="245" t="s">
        <v>632</v>
      </c>
    </row>
    <row r="258" spans="1:13" s="141" customFormat="1">
      <c r="A258" s="141">
        <v>317652012</v>
      </c>
      <c r="B258" s="141" t="e">
        <v>#N/A</v>
      </c>
      <c r="C258" s="141">
        <f>VLOOKUP(A258,'DS Tenanted units'!A:A,1,FALSE)</f>
        <v>317652012</v>
      </c>
      <c r="D258" s="141" t="s">
        <v>900</v>
      </c>
      <c r="E258" s="141" t="s">
        <v>617</v>
      </c>
      <c r="F258" s="141">
        <v>200000486761</v>
      </c>
      <c r="G258" s="141" t="s">
        <v>901</v>
      </c>
      <c r="H258" s="141" t="s">
        <v>618</v>
      </c>
      <c r="I258" s="141" t="s">
        <v>698</v>
      </c>
      <c r="J258" s="141" t="s">
        <v>753</v>
      </c>
      <c r="K258" s="142">
        <v>14500</v>
      </c>
      <c r="L258" s="143">
        <v>45565</v>
      </c>
      <c r="M258" s="245" t="s">
        <v>632</v>
      </c>
    </row>
    <row r="259" spans="1:13" s="141" customFormat="1">
      <c r="A259" s="141">
        <v>317652013</v>
      </c>
      <c r="B259" s="141" t="e">
        <v>#N/A</v>
      </c>
      <c r="C259" s="141">
        <f>VLOOKUP(A259,'DS Tenanted units'!A:A,1,FALSE)</f>
        <v>317652013</v>
      </c>
      <c r="D259" s="141" t="s">
        <v>902</v>
      </c>
      <c r="E259" s="141" t="s">
        <v>617</v>
      </c>
      <c r="F259" s="141">
        <v>200000486763</v>
      </c>
      <c r="G259" s="141" t="s">
        <v>903</v>
      </c>
      <c r="H259" s="141" t="s">
        <v>618</v>
      </c>
      <c r="I259" s="141" t="s">
        <v>698</v>
      </c>
      <c r="J259" s="141" t="s">
        <v>753</v>
      </c>
      <c r="K259" s="142">
        <v>16500</v>
      </c>
      <c r="L259" s="143">
        <v>45565</v>
      </c>
      <c r="M259" s="245" t="s">
        <v>632</v>
      </c>
    </row>
    <row r="260" spans="1:13" s="141" customFormat="1">
      <c r="A260" s="141">
        <v>317652014</v>
      </c>
      <c r="B260" s="141" t="e">
        <v>#N/A</v>
      </c>
      <c r="C260" s="141">
        <f>VLOOKUP(A260,'DS Tenanted units'!A:A,1,FALSE)</f>
        <v>317652014</v>
      </c>
      <c r="D260" s="141" t="s">
        <v>904</v>
      </c>
      <c r="E260" s="141" t="s">
        <v>617</v>
      </c>
      <c r="F260" s="141">
        <v>200000486766</v>
      </c>
      <c r="G260" s="141" t="s">
        <v>905</v>
      </c>
      <c r="H260" s="141" t="s">
        <v>618</v>
      </c>
      <c r="I260" s="141" t="s">
        <v>698</v>
      </c>
      <c r="J260" s="141" t="s">
        <v>753</v>
      </c>
      <c r="K260" s="142">
        <v>14500</v>
      </c>
      <c r="L260" s="143">
        <v>45565</v>
      </c>
      <c r="M260" s="245" t="s">
        <v>632</v>
      </c>
    </row>
    <row r="261" spans="1:13" s="141" customFormat="1">
      <c r="A261" s="141">
        <v>317652015</v>
      </c>
      <c r="B261" s="141" t="e">
        <v>#N/A</v>
      </c>
      <c r="C261" s="141">
        <f>VLOOKUP(A261,'DS Tenanted units'!A:A,1,FALSE)</f>
        <v>317652015</v>
      </c>
      <c r="D261" s="141" t="s">
        <v>906</v>
      </c>
      <c r="E261" s="141" t="s">
        <v>617</v>
      </c>
      <c r="F261" s="141">
        <v>100023383647</v>
      </c>
      <c r="G261" s="141" t="s">
        <v>907</v>
      </c>
      <c r="H261" s="141" t="s">
        <v>618</v>
      </c>
      <c r="I261" s="141" t="s">
        <v>698</v>
      </c>
      <c r="J261" s="141" t="s">
        <v>753</v>
      </c>
      <c r="K261" s="142">
        <v>30000</v>
      </c>
      <c r="L261" s="143">
        <v>45565</v>
      </c>
      <c r="M261" s="245" t="s">
        <v>632</v>
      </c>
    </row>
    <row r="262" spans="1:13" s="141" customFormat="1">
      <c r="A262" s="141">
        <v>317652016</v>
      </c>
      <c r="B262" s="141" t="e">
        <v>#N/A</v>
      </c>
      <c r="C262" s="141">
        <f>VLOOKUP(A262,'DS Tenanted units'!A:A,1,FALSE)</f>
        <v>317652016</v>
      </c>
      <c r="D262" s="141" t="s">
        <v>908</v>
      </c>
      <c r="E262" s="141" t="s">
        <v>617</v>
      </c>
      <c r="F262" s="141">
        <v>200000486768</v>
      </c>
      <c r="G262" s="141" t="s">
        <v>909</v>
      </c>
      <c r="H262" s="141" t="s">
        <v>618</v>
      </c>
      <c r="I262" s="141" t="s">
        <v>698</v>
      </c>
      <c r="J262" s="141" t="s">
        <v>753</v>
      </c>
      <c r="K262" s="142">
        <v>15500</v>
      </c>
      <c r="L262" s="143">
        <v>45565</v>
      </c>
      <c r="M262" s="245" t="s">
        <v>632</v>
      </c>
    </row>
    <row r="263" spans="1:13" s="141" customFormat="1">
      <c r="A263" s="141">
        <v>317652017</v>
      </c>
      <c r="B263" s="141" t="e">
        <v>#N/A</v>
      </c>
      <c r="C263" s="141">
        <f>VLOOKUP(A263,'DS Tenanted units'!A:A,1,FALSE)</f>
        <v>317652017</v>
      </c>
      <c r="D263" s="141" t="s">
        <v>910</v>
      </c>
      <c r="E263" s="141" t="s">
        <v>617</v>
      </c>
      <c r="F263" s="141">
        <v>200000486769</v>
      </c>
      <c r="G263" s="141" t="s">
        <v>911</v>
      </c>
      <c r="H263" s="141" t="s">
        <v>618</v>
      </c>
      <c r="I263" s="141" t="s">
        <v>698</v>
      </c>
      <c r="J263" s="141" t="s">
        <v>753</v>
      </c>
      <c r="K263" s="142">
        <v>14750</v>
      </c>
      <c r="L263" s="143">
        <v>45565</v>
      </c>
      <c r="M263" s="245" t="s">
        <v>632</v>
      </c>
    </row>
    <row r="264" spans="1:13" s="141" customFormat="1">
      <c r="A264" s="141">
        <v>317652018</v>
      </c>
      <c r="B264" s="141" t="e">
        <v>#N/A</v>
      </c>
      <c r="C264" s="141">
        <f>VLOOKUP(A264,'DS Tenanted units'!A:A,1,FALSE)</f>
        <v>317652018</v>
      </c>
      <c r="D264" s="141" t="s">
        <v>912</v>
      </c>
      <c r="E264" s="141" t="s">
        <v>617</v>
      </c>
      <c r="F264" s="141">
        <v>200000486770</v>
      </c>
      <c r="G264" s="141" t="s">
        <v>913</v>
      </c>
      <c r="H264" s="141" t="s">
        <v>618</v>
      </c>
      <c r="I264" s="141" t="s">
        <v>698</v>
      </c>
      <c r="J264" s="141" t="s">
        <v>753</v>
      </c>
      <c r="K264" s="142">
        <v>14500</v>
      </c>
      <c r="L264" s="143">
        <v>45565</v>
      </c>
      <c r="M264" s="245" t="s">
        <v>632</v>
      </c>
    </row>
    <row r="265" spans="1:13" s="141" customFormat="1">
      <c r="A265" s="141">
        <v>317652019</v>
      </c>
      <c r="B265" s="141" t="e">
        <v>#N/A</v>
      </c>
      <c r="C265" s="141">
        <f>VLOOKUP(A265,'DS Tenanted units'!A:A,1,FALSE)</f>
        <v>317652019</v>
      </c>
      <c r="D265" s="141" t="s">
        <v>914</v>
      </c>
      <c r="E265" s="141" t="s">
        <v>617</v>
      </c>
      <c r="F265" s="141">
        <v>200000486771</v>
      </c>
      <c r="G265" s="141" t="s">
        <v>915</v>
      </c>
      <c r="H265" s="141" t="s">
        <v>618</v>
      </c>
      <c r="I265" s="141" t="s">
        <v>698</v>
      </c>
      <c r="J265" s="141" t="s">
        <v>753</v>
      </c>
      <c r="K265" s="142">
        <v>15000</v>
      </c>
      <c r="L265" s="143">
        <v>45565</v>
      </c>
      <c r="M265" s="245" t="s">
        <v>632</v>
      </c>
    </row>
    <row r="266" spans="1:13" s="141" customFormat="1">
      <c r="A266" s="141">
        <v>317652020</v>
      </c>
      <c r="B266" s="141" t="e">
        <v>#N/A</v>
      </c>
      <c r="C266" s="141">
        <f>VLOOKUP(A266,'DS Tenanted units'!A:A,1,FALSE)</f>
        <v>317652020</v>
      </c>
      <c r="D266" s="141" t="s">
        <v>916</v>
      </c>
      <c r="E266" s="141" t="s">
        <v>617</v>
      </c>
      <c r="F266" s="141">
        <v>200000486772</v>
      </c>
      <c r="G266" s="141" t="s">
        <v>917</v>
      </c>
      <c r="H266" s="141" t="s">
        <v>618</v>
      </c>
      <c r="I266" s="141" t="s">
        <v>698</v>
      </c>
      <c r="J266" s="141" t="s">
        <v>753</v>
      </c>
      <c r="K266" s="142">
        <v>27500</v>
      </c>
      <c r="L266" s="143">
        <v>45565</v>
      </c>
      <c r="M266" s="245" t="s">
        <v>632</v>
      </c>
    </row>
    <row r="267" spans="1:13" s="141" customFormat="1">
      <c r="A267" s="141">
        <v>317652021</v>
      </c>
      <c r="B267" s="141" t="e">
        <v>#N/A</v>
      </c>
      <c r="C267" s="141">
        <f>VLOOKUP(A267,'DS Tenanted units'!A:A,1,FALSE)</f>
        <v>317652021</v>
      </c>
      <c r="D267" s="141" t="s">
        <v>918</v>
      </c>
      <c r="E267" s="141" t="s">
        <v>617</v>
      </c>
      <c r="F267" s="141">
        <v>200000486774</v>
      </c>
      <c r="G267" s="141" t="s">
        <v>919</v>
      </c>
      <c r="H267" s="141" t="s">
        <v>618</v>
      </c>
      <c r="I267" s="141" t="s">
        <v>698</v>
      </c>
      <c r="J267" s="141" t="s">
        <v>753</v>
      </c>
      <c r="K267" s="142">
        <v>14500</v>
      </c>
      <c r="L267" s="143">
        <v>45565</v>
      </c>
      <c r="M267" s="245" t="s">
        <v>632</v>
      </c>
    </row>
    <row r="268" spans="1:13" s="141" customFormat="1">
      <c r="A268" s="141">
        <v>317652022</v>
      </c>
      <c r="B268" s="141" t="e">
        <v>#N/A</v>
      </c>
      <c r="C268" s="141">
        <f>VLOOKUP(A268,'DS Tenanted units'!A:A,1,FALSE)</f>
        <v>317652022</v>
      </c>
      <c r="D268" s="141" t="s">
        <v>920</v>
      </c>
      <c r="E268" s="141" t="s">
        <v>617</v>
      </c>
      <c r="F268" s="141">
        <v>200000486775</v>
      </c>
      <c r="G268" s="141" t="s">
        <v>921</v>
      </c>
      <c r="H268" s="141" t="s">
        <v>618</v>
      </c>
      <c r="I268" s="141" t="s">
        <v>698</v>
      </c>
      <c r="J268" s="141" t="s">
        <v>753</v>
      </c>
      <c r="K268" s="142">
        <v>14500</v>
      </c>
      <c r="L268" s="143">
        <v>45565</v>
      </c>
      <c r="M268" s="245" t="s">
        <v>632</v>
      </c>
    </row>
    <row r="269" spans="1:13" s="141" customFormat="1">
      <c r="A269" s="141">
        <v>317652023</v>
      </c>
      <c r="B269" s="141" t="e">
        <v>#N/A</v>
      </c>
      <c r="C269" s="141">
        <f>VLOOKUP(A269,'DS Tenanted units'!A:A,1,FALSE)</f>
        <v>317652023</v>
      </c>
      <c r="D269" s="141" t="s">
        <v>922</v>
      </c>
      <c r="E269" s="141" t="s">
        <v>617</v>
      </c>
      <c r="F269" s="141">
        <v>200000486776</v>
      </c>
      <c r="G269" s="141" t="s">
        <v>923</v>
      </c>
      <c r="H269" s="141" t="s">
        <v>618</v>
      </c>
      <c r="I269" s="141" t="s">
        <v>698</v>
      </c>
      <c r="J269" s="141" t="s">
        <v>753</v>
      </c>
      <c r="K269" s="142">
        <v>35000</v>
      </c>
      <c r="L269" s="143">
        <v>45565</v>
      </c>
      <c r="M269" s="245" t="s">
        <v>632</v>
      </c>
    </row>
    <row r="270" spans="1:13" s="141" customFormat="1">
      <c r="A270" s="141">
        <v>317652024</v>
      </c>
      <c r="B270" s="141" t="e">
        <v>#N/A</v>
      </c>
      <c r="C270" s="141">
        <f>VLOOKUP(A270,'DS Tenanted units'!A:A,1,FALSE)</f>
        <v>317652024</v>
      </c>
      <c r="D270" s="141" t="s">
        <v>924</v>
      </c>
      <c r="E270" s="141" t="s">
        <v>617</v>
      </c>
      <c r="F270" s="141">
        <v>200000486765</v>
      </c>
      <c r="G270" s="141" t="s">
        <v>925</v>
      </c>
      <c r="H270" s="141" t="s">
        <v>618</v>
      </c>
      <c r="I270" s="141" t="s">
        <v>698</v>
      </c>
      <c r="J270" s="141" t="s">
        <v>753</v>
      </c>
      <c r="K270" s="142">
        <v>15500</v>
      </c>
      <c r="L270" s="143">
        <v>45565</v>
      </c>
      <c r="M270" s="245" t="s">
        <v>632</v>
      </c>
    </row>
    <row r="271" spans="1:13" s="141" customFormat="1">
      <c r="A271" s="141">
        <v>418550003</v>
      </c>
      <c r="B271" s="141" t="e">
        <v>#N/A</v>
      </c>
      <c r="C271" s="141">
        <f>VLOOKUP(A271,'DS Tenanted units'!A:A,1,FALSE)</f>
        <v>418550003</v>
      </c>
      <c r="D271" s="141" t="s">
        <v>926</v>
      </c>
      <c r="E271" s="141" t="s">
        <v>624</v>
      </c>
      <c r="F271" s="141">
        <v>100022933344</v>
      </c>
      <c r="G271" s="141" t="s">
        <v>927</v>
      </c>
      <c r="H271" s="141" t="s">
        <v>618</v>
      </c>
      <c r="I271" s="141" t="s">
        <v>698</v>
      </c>
      <c r="J271" s="141" t="s">
        <v>753</v>
      </c>
      <c r="K271" s="142">
        <v>85026</v>
      </c>
      <c r="L271" s="143">
        <v>45565</v>
      </c>
      <c r="M271" s="245" t="s">
        <v>632</v>
      </c>
    </row>
    <row r="272" spans="1:13" s="141" customFormat="1">
      <c r="A272" s="141">
        <v>418571002</v>
      </c>
      <c r="B272" s="141" t="e">
        <v>#N/A</v>
      </c>
      <c r="C272" s="141">
        <f>VLOOKUP(A272,'DS Tenanted units'!A:A,1,FALSE)</f>
        <v>418571002</v>
      </c>
      <c r="D272" s="141" t="s">
        <v>928</v>
      </c>
      <c r="E272" s="141" t="s">
        <v>624</v>
      </c>
      <c r="F272" s="141">
        <v>5300007251</v>
      </c>
      <c r="G272" s="141" t="s">
        <v>929</v>
      </c>
      <c r="H272" s="141" t="s">
        <v>618</v>
      </c>
      <c r="I272" s="141" t="s">
        <v>698</v>
      </c>
      <c r="J272" s="141" t="s">
        <v>753</v>
      </c>
      <c r="K272" s="142">
        <v>60808</v>
      </c>
      <c r="L272" s="143">
        <v>45565</v>
      </c>
      <c r="M272" s="245" t="s">
        <v>632</v>
      </c>
    </row>
    <row r="273" spans="1:13" s="141" customFormat="1">
      <c r="A273" s="141">
        <v>418572001</v>
      </c>
      <c r="B273" s="141" t="e">
        <v>#N/A</v>
      </c>
      <c r="C273" s="141">
        <f>VLOOKUP(A273,'DS Tenanted units'!A:A,1,FALSE)</f>
        <v>418572001</v>
      </c>
      <c r="D273" s="141" t="s">
        <v>930</v>
      </c>
      <c r="E273" s="141" t="s">
        <v>624</v>
      </c>
      <c r="F273" s="141">
        <v>10001298839</v>
      </c>
      <c r="G273" s="141" t="s">
        <v>931</v>
      </c>
      <c r="H273" s="141" t="s">
        <v>618</v>
      </c>
      <c r="I273" s="141" t="s">
        <v>698</v>
      </c>
      <c r="J273" s="141" t="s">
        <v>753</v>
      </c>
      <c r="K273" s="142">
        <v>65000</v>
      </c>
      <c r="L273" s="143">
        <v>45565</v>
      </c>
      <c r="M273" s="245" t="s">
        <v>632</v>
      </c>
    </row>
    <row r="274" spans="1:13" s="141" customFormat="1">
      <c r="A274" s="141">
        <v>418572002</v>
      </c>
      <c r="B274" s="141" t="e">
        <v>#N/A</v>
      </c>
      <c r="C274" s="141">
        <f>VLOOKUP(A274,'DS Tenanted units'!A:A,1,FALSE)</f>
        <v>418572002</v>
      </c>
      <c r="D274" s="141" t="s">
        <v>932</v>
      </c>
      <c r="E274" s="141" t="s">
        <v>624</v>
      </c>
      <c r="G274" s="141" t="s">
        <v>933</v>
      </c>
      <c r="H274" s="141" t="s">
        <v>618</v>
      </c>
      <c r="I274" s="141" t="s">
        <v>698</v>
      </c>
      <c r="J274" s="141" t="s">
        <v>753</v>
      </c>
      <c r="K274" s="142">
        <v>54500</v>
      </c>
      <c r="L274" s="143">
        <v>45565</v>
      </c>
      <c r="M274" s="245" t="s">
        <v>632</v>
      </c>
    </row>
    <row r="275" spans="1:13" s="141" customFormat="1">
      <c r="A275" s="141">
        <v>418576005</v>
      </c>
      <c r="B275" s="141" t="e">
        <v>#N/A</v>
      </c>
      <c r="C275" s="141">
        <f>VLOOKUP(A275,'DS Tenanted units'!A:A,1,FALSE)</f>
        <v>418576005</v>
      </c>
      <c r="D275" s="141" t="s">
        <v>556</v>
      </c>
      <c r="E275" s="141" t="s">
        <v>624</v>
      </c>
      <c r="F275" s="141">
        <v>10008346175</v>
      </c>
      <c r="G275" s="141" t="s">
        <v>555</v>
      </c>
      <c r="H275" s="141" t="s">
        <v>618</v>
      </c>
      <c r="I275" s="141" t="s">
        <v>698</v>
      </c>
      <c r="J275" s="141" t="s">
        <v>753</v>
      </c>
      <c r="K275" s="142">
        <v>25400</v>
      </c>
      <c r="L275" s="143">
        <v>45565</v>
      </c>
      <c r="M275" s="245" t="s">
        <v>632</v>
      </c>
    </row>
    <row r="276" spans="1:13" s="141" customFormat="1">
      <c r="A276" s="141">
        <v>418576006</v>
      </c>
      <c r="B276" s="141" t="e">
        <v>#N/A</v>
      </c>
      <c r="C276" s="141">
        <f>VLOOKUP(A276,'DS Tenanted units'!A:A,1,FALSE)</f>
        <v>418576006</v>
      </c>
      <c r="D276" s="141" t="s">
        <v>934</v>
      </c>
      <c r="E276" s="141" t="s">
        <v>624</v>
      </c>
      <c r="F276" s="141">
        <v>10008295162</v>
      </c>
      <c r="G276" s="141" t="s">
        <v>935</v>
      </c>
      <c r="H276" s="141" t="s">
        <v>618</v>
      </c>
      <c r="I276" s="141" t="s">
        <v>698</v>
      </c>
      <c r="J276" s="141" t="s">
        <v>753</v>
      </c>
      <c r="K276" s="142">
        <v>22308</v>
      </c>
      <c r="L276" s="143">
        <v>45565</v>
      </c>
      <c r="M276" s="245" t="s">
        <v>632</v>
      </c>
    </row>
    <row r="277" spans="1:13" s="141" customFormat="1">
      <c r="A277" s="141">
        <v>418576007</v>
      </c>
      <c r="B277" s="141" t="e">
        <v>#N/A</v>
      </c>
      <c r="C277" s="141">
        <f>VLOOKUP(A277,'DS Tenanted units'!A:A,1,FALSE)</f>
        <v>418576007</v>
      </c>
      <c r="D277" s="141" t="s">
        <v>936</v>
      </c>
      <c r="E277" s="141" t="s">
        <v>624</v>
      </c>
      <c r="F277" s="141">
        <v>10008346177</v>
      </c>
      <c r="G277" s="141" t="s">
        <v>937</v>
      </c>
      <c r="H277" s="141" t="s">
        <v>618</v>
      </c>
      <c r="I277" s="141" t="s">
        <v>698</v>
      </c>
      <c r="J277" s="141" t="s">
        <v>753</v>
      </c>
      <c r="K277" s="142">
        <v>25700</v>
      </c>
      <c r="L277" s="143">
        <v>45565</v>
      </c>
      <c r="M277" s="245" t="s">
        <v>632</v>
      </c>
    </row>
    <row r="278" spans="1:13" s="141" customFormat="1">
      <c r="A278" s="141">
        <v>418576008</v>
      </c>
      <c r="B278" s="141" t="e">
        <v>#N/A</v>
      </c>
      <c r="C278" s="141">
        <f>VLOOKUP(A278,'DS Tenanted units'!A:A,1,FALSE)</f>
        <v>418576008</v>
      </c>
      <c r="D278" s="141" t="s">
        <v>938</v>
      </c>
      <c r="E278" s="141" t="s">
        <v>624</v>
      </c>
      <c r="F278" s="141">
        <v>10008295182</v>
      </c>
      <c r="G278" s="141" t="s">
        <v>939</v>
      </c>
      <c r="H278" s="141" t="s">
        <v>618</v>
      </c>
      <c r="I278" s="141" t="s">
        <v>698</v>
      </c>
      <c r="J278" s="141" t="s">
        <v>753</v>
      </c>
      <c r="K278" s="142">
        <v>21756</v>
      </c>
      <c r="L278" s="143">
        <v>45565</v>
      </c>
      <c r="M278" s="245" t="s">
        <v>632</v>
      </c>
    </row>
    <row r="279" spans="1:13" s="141" customFormat="1">
      <c r="A279" s="141">
        <v>418576009</v>
      </c>
      <c r="B279" s="141" t="e">
        <v>#N/A</v>
      </c>
      <c r="C279" s="141">
        <f>VLOOKUP(A279,'DS Tenanted units'!A:A,1,FALSE)</f>
        <v>418576009</v>
      </c>
      <c r="D279" s="141" t="s">
        <v>940</v>
      </c>
      <c r="E279" s="141" t="s">
        <v>624</v>
      </c>
      <c r="G279" s="141" t="s">
        <v>941</v>
      </c>
      <c r="H279" s="141" t="s">
        <v>618</v>
      </c>
      <c r="I279" s="141" t="s">
        <v>698</v>
      </c>
      <c r="J279" s="141" t="s">
        <v>753</v>
      </c>
      <c r="K279" s="142">
        <v>68300</v>
      </c>
      <c r="L279" s="143">
        <v>45565</v>
      </c>
      <c r="M279" s="245" t="s">
        <v>632</v>
      </c>
    </row>
    <row r="280" spans="1:13" s="141" customFormat="1">
      <c r="A280" s="141">
        <v>418576119</v>
      </c>
      <c r="B280" s="141" t="e">
        <v>#N/A</v>
      </c>
      <c r="C280" s="141">
        <f>VLOOKUP(A280,'DS Tenanted units'!A:A,1,FALSE)</f>
        <v>418576119</v>
      </c>
      <c r="D280" s="141" t="s">
        <v>942</v>
      </c>
      <c r="E280" s="141" t="s">
        <v>624</v>
      </c>
      <c r="G280" s="141" t="s">
        <v>943</v>
      </c>
      <c r="H280" s="141" t="s">
        <v>750</v>
      </c>
      <c r="I280" s="141" t="s">
        <v>698</v>
      </c>
      <c r="J280" s="141" t="s">
        <v>753</v>
      </c>
      <c r="K280" s="141">
        <v>0</v>
      </c>
      <c r="L280" s="143">
        <v>45565</v>
      </c>
      <c r="M280" s="245" t="s">
        <v>632</v>
      </c>
    </row>
    <row r="281" spans="1:13" s="141" customFormat="1">
      <c r="A281" s="141">
        <v>418576123</v>
      </c>
      <c r="B281" s="141" t="e">
        <v>#N/A</v>
      </c>
      <c r="C281" s="141">
        <f>VLOOKUP(A281,'DS Tenanted units'!A:A,1,FALSE)</f>
        <v>418576123</v>
      </c>
      <c r="D281" s="141" t="s">
        <v>944</v>
      </c>
      <c r="E281" s="141" t="s">
        <v>624</v>
      </c>
      <c r="F281" s="141">
        <v>10008293982</v>
      </c>
      <c r="G281" s="141" t="s">
        <v>945</v>
      </c>
      <c r="H281" s="141" t="s">
        <v>618</v>
      </c>
      <c r="I281" s="141" t="s">
        <v>698</v>
      </c>
      <c r="J281" s="141" t="s">
        <v>753</v>
      </c>
      <c r="K281" s="142">
        <v>24600</v>
      </c>
      <c r="L281" s="143">
        <v>45565</v>
      </c>
      <c r="M281" s="245" t="s">
        <v>632</v>
      </c>
    </row>
    <row r="282" spans="1:13" s="141" customFormat="1">
      <c r="A282" s="141">
        <v>418576124</v>
      </c>
      <c r="B282" s="141" t="e">
        <v>#N/A</v>
      </c>
      <c r="C282" s="141">
        <f>VLOOKUP(A282,'DS Tenanted units'!A:A,1,FALSE)</f>
        <v>418576124</v>
      </c>
      <c r="D282" s="141" t="s">
        <v>946</v>
      </c>
      <c r="E282" s="141" t="s">
        <v>624</v>
      </c>
      <c r="G282" s="141" t="s">
        <v>947</v>
      </c>
      <c r="H282" s="141" t="s">
        <v>618</v>
      </c>
      <c r="I282" s="141" t="s">
        <v>698</v>
      </c>
      <c r="J282" s="141" t="s">
        <v>753</v>
      </c>
      <c r="K282" s="142">
        <v>4000</v>
      </c>
      <c r="L282" s="143">
        <v>45565</v>
      </c>
      <c r="M282" s="245" t="s">
        <v>632</v>
      </c>
    </row>
    <row r="283" spans="1:13" s="141" customFormat="1">
      <c r="A283" s="141">
        <v>418576125</v>
      </c>
      <c r="B283" s="141" t="e">
        <v>#N/A</v>
      </c>
      <c r="C283" s="141">
        <f>VLOOKUP(A283,'DS Tenanted units'!A:A,1,FALSE)</f>
        <v>418576125</v>
      </c>
      <c r="D283" s="141" t="s">
        <v>948</v>
      </c>
      <c r="E283" s="141" t="s">
        <v>624</v>
      </c>
      <c r="G283" s="141" t="s">
        <v>949</v>
      </c>
      <c r="H283" s="141" t="s">
        <v>950</v>
      </c>
      <c r="I283" s="141" t="s">
        <v>698</v>
      </c>
      <c r="J283" s="141" t="s">
        <v>753</v>
      </c>
      <c r="K283" s="141">
        <v>0</v>
      </c>
      <c r="L283" s="143">
        <v>45565</v>
      </c>
      <c r="M283" s="245" t="s">
        <v>632</v>
      </c>
    </row>
    <row r="284" spans="1:13" s="141" customFormat="1">
      <c r="A284" s="141">
        <v>418577012</v>
      </c>
      <c r="B284" s="141" t="e">
        <v>#N/A</v>
      </c>
      <c r="C284" s="141">
        <f>VLOOKUP(A284,'DS Tenanted units'!A:A,1,FALSE)</f>
        <v>418577012</v>
      </c>
      <c r="D284" s="141" t="s">
        <v>568</v>
      </c>
      <c r="E284" s="141" t="s">
        <v>624</v>
      </c>
      <c r="G284" s="141" t="s">
        <v>567</v>
      </c>
      <c r="H284" s="141" t="s">
        <v>618</v>
      </c>
      <c r="I284" s="141" t="s">
        <v>698</v>
      </c>
      <c r="J284" s="141" t="s">
        <v>753</v>
      </c>
      <c r="K284" s="142">
        <v>30700</v>
      </c>
      <c r="L284" s="143">
        <v>45565</v>
      </c>
      <c r="M284" s="245" t="s">
        <v>632</v>
      </c>
    </row>
    <row r="285" spans="1:13" s="141" customFormat="1">
      <c r="A285" s="141">
        <v>418577013</v>
      </c>
      <c r="B285" s="141" t="e">
        <v>#N/A</v>
      </c>
      <c r="C285" s="141">
        <f>VLOOKUP(A285,'DS Tenanted units'!A:A,1,FALSE)</f>
        <v>418577013</v>
      </c>
      <c r="D285" s="141" t="s">
        <v>579</v>
      </c>
      <c r="E285" s="141" t="s">
        <v>624</v>
      </c>
      <c r="G285" s="141" t="s">
        <v>578</v>
      </c>
      <c r="H285" s="141" t="s">
        <v>618</v>
      </c>
      <c r="I285" s="141" t="s">
        <v>698</v>
      </c>
      <c r="J285" s="141" t="s">
        <v>753</v>
      </c>
      <c r="K285" s="142">
        <v>25800</v>
      </c>
      <c r="L285" s="143">
        <v>45565</v>
      </c>
      <c r="M285" s="245" t="s">
        <v>632</v>
      </c>
    </row>
    <row r="286" spans="1:13" s="141" customFormat="1">
      <c r="A286" s="141">
        <v>418577015</v>
      </c>
      <c r="B286" s="141" t="e">
        <v>#N/A</v>
      </c>
      <c r="C286" s="141">
        <f>VLOOKUP(A286,'DS Tenanted units'!A:A,1,FALSE)</f>
        <v>418577015</v>
      </c>
      <c r="D286" s="141" t="s">
        <v>951</v>
      </c>
      <c r="E286" s="141" t="s">
        <v>624</v>
      </c>
      <c r="G286" s="141" t="s">
        <v>952</v>
      </c>
      <c r="H286" s="141" t="s">
        <v>618</v>
      </c>
      <c r="I286" s="141" t="s">
        <v>698</v>
      </c>
      <c r="J286" s="141" t="s">
        <v>753</v>
      </c>
      <c r="K286" s="142">
        <v>21000</v>
      </c>
      <c r="L286" s="143">
        <v>45565</v>
      </c>
      <c r="M286" s="245" t="s">
        <v>632</v>
      </c>
    </row>
    <row r="287" spans="1:13" s="141" customFormat="1">
      <c r="A287" s="141">
        <v>418577016</v>
      </c>
      <c r="B287" s="141" t="e">
        <v>#N/A</v>
      </c>
      <c r="C287" s="141">
        <f>VLOOKUP(A287,'DS Tenanted units'!A:A,1,FALSE)</f>
        <v>418577016</v>
      </c>
      <c r="D287" s="141" t="s">
        <v>953</v>
      </c>
      <c r="E287" s="141" t="s">
        <v>624</v>
      </c>
      <c r="G287" s="141" t="s">
        <v>954</v>
      </c>
      <c r="H287" s="141" t="s">
        <v>618</v>
      </c>
      <c r="I287" s="141" t="s">
        <v>698</v>
      </c>
      <c r="J287" s="141" t="s">
        <v>753</v>
      </c>
      <c r="K287" s="142">
        <v>27200</v>
      </c>
      <c r="L287" s="143">
        <v>45565</v>
      </c>
      <c r="M287" s="245" t="s">
        <v>632</v>
      </c>
    </row>
    <row r="288" spans="1:13" s="141" customFormat="1">
      <c r="A288" s="141">
        <v>418577037</v>
      </c>
      <c r="B288" s="141" t="e">
        <v>#N/A</v>
      </c>
      <c r="C288" s="141">
        <f>VLOOKUP(A288,'DS Tenanted units'!A:A,1,FALSE)</f>
        <v>418577037</v>
      </c>
      <c r="D288" s="141" t="s">
        <v>955</v>
      </c>
      <c r="E288" s="141" t="s">
        <v>624</v>
      </c>
      <c r="G288" s="141" t="s">
        <v>956</v>
      </c>
      <c r="H288" s="141" t="s">
        <v>950</v>
      </c>
      <c r="I288" s="141" t="s">
        <v>698</v>
      </c>
      <c r="J288" s="141" t="s">
        <v>753</v>
      </c>
      <c r="K288" s="141">
        <v>0</v>
      </c>
      <c r="L288" s="143">
        <v>45565</v>
      </c>
      <c r="M288" s="245" t="s">
        <v>632</v>
      </c>
    </row>
    <row r="289" spans="1:13" s="141" customFormat="1">
      <c r="A289" s="141">
        <v>418578012</v>
      </c>
      <c r="B289" s="141" t="e">
        <v>#N/A</v>
      </c>
      <c r="C289" s="141">
        <f>VLOOKUP(A289,'DS Tenanted units'!A:A,1,FALSE)</f>
        <v>418578012</v>
      </c>
      <c r="D289" s="141" t="s">
        <v>957</v>
      </c>
      <c r="E289" s="141" t="s">
        <v>624</v>
      </c>
      <c r="F289" s="141">
        <v>10008305101</v>
      </c>
      <c r="G289" s="141" t="s">
        <v>958</v>
      </c>
      <c r="H289" s="141" t="s">
        <v>618</v>
      </c>
      <c r="I289" s="141" t="s">
        <v>698</v>
      </c>
      <c r="J289" s="141" t="s">
        <v>753</v>
      </c>
      <c r="K289" s="142">
        <v>33000</v>
      </c>
      <c r="L289" s="143">
        <v>45565</v>
      </c>
      <c r="M289" s="245" t="s">
        <v>632</v>
      </c>
    </row>
    <row r="290" spans="1:13" s="141" customFormat="1">
      <c r="A290" s="141">
        <v>418578013</v>
      </c>
      <c r="B290" s="141" t="e">
        <v>#N/A</v>
      </c>
      <c r="C290" s="141">
        <f>VLOOKUP(A290,'DS Tenanted units'!A:A,1,FALSE)</f>
        <v>418578013</v>
      </c>
      <c r="D290" s="141" t="s">
        <v>959</v>
      </c>
      <c r="E290" s="141" t="s">
        <v>624</v>
      </c>
      <c r="G290" s="141" t="s">
        <v>960</v>
      </c>
      <c r="H290" s="141" t="s">
        <v>618</v>
      </c>
      <c r="I290" s="141" t="s">
        <v>698</v>
      </c>
      <c r="J290" s="141" t="s">
        <v>753</v>
      </c>
      <c r="K290" s="141">
        <v>0</v>
      </c>
      <c r="L290" s="143">
        <v>45565</v>
      </c>
      <c r="M290" s="245" t="s">
        <v>632</v>
      </c>
    </row>
    <row r="291" spans="1:13" s="141" customFormat="1">
      <c r="A291" s="141">
        <v>418578018</v>
      </c>
      <c r="B291" s="141" t="e">
        <v>#N/A</v>
      </c>
      <c r="C291" s="141">
        <f>VLOOKUP(A291,'DS Tenanted units'!A:A,1,FALSE)</f>
        <v>418578018</v>
      </c>
      <c r="D291" s="141" t="s">
        <v>961</v>
      </c>
      <c r="E291" s="141" t="s">
        <v>624</v>
      </c>
      <c r="F291" s="141">
        <v>10008240076</v>
      </c>
      <c r="G291" s="141" t="s">
        <v>962</v>
      </c>
      <c r="H291" s="141" t="s">
        <v>618</v>
      </c>
      <c r="I291" s="141" t="s">
        <v>698</v>
      </c>
      <c r="J291" s="141" t="s">
        <v>753</v>
      </c>
      <c r="K291" s="142">
        <v>23500</v>
      </c>
      <c r="L291" s="143">
        <v>45565</v>
      </c>
      <c r="M291" s="245" t="s">
        <v>632</v>
      </c>
    </row>
    <row r="292" spans="1:13" s="141" customFormat="1">
      <c r="A292" s="141">
        <v>418578019</v>
      </c>
      <c r="B292" s="141" t="e">
        <v>#N/A</v>
      </c>
      <c r="C292" s="141">
        <f>VLOOKUP(A292,'DS Tenanted units'!A:A,1,FALSE)</f>
        <v>418578019</v>
      </c>
      <c r="D292" s="141" t="s">
        <v>963</v>
      </c>
      <c r="E292" s="141" t="s">
        <v>624</v>
      </c>
      <c r="F292" s="141">
        <v>10008240077</v>
      </c>
      <c r="G292" s="141" t="s">
        <v>964</v>
      </c>
      <c r="H292" s="141" t="s">
        <v>618</v>
      </c>
      <c r="I292" s="141" t="s">
        <v>698</v>
      </c>
      <c r="J292" s="141" t="s">
        <v>753</v>
      </c>
      <c r="K292" s="142">
        <v>19500</v>
      </c>
      <c r="L292" s="143">
        <v>45565</v>
      </c>
      <c r="M292" s="245" t="s">
        <v>632</v>
      </c>
    </row>
    <row r="293" spans="1:13" s="141" customFormat="1">
      <c r="A293" s="141">
        <v>418578021</v>
      </c>
      <c r="B293" s="141" t="e">
        <v>#N/A</v>
      </c>
      <c r="C293" s="141">
        <f>VLOOKUP(A293,'DS Tenanted units'!A:A,1,FALSE)</f>
        <v>418578021</v>
      </c>
      <c r="D293" s="141" t="s">
        <v>965</v>
      </c>
      <c r="E293" s="141" t="s">
        <v>624</v>
      </c>
      <c r="F293" s="141">
        <v>10008240079</v>
      </c>
      <c r="G293" s="141" t="s">
        <v>966</v>
      </c>
      <c r="H293" s="141" t="s">
        <v>618</v>
      </c>
      <c r="I293" s="141" t="s">
        <v>698</v>
      </c>
      <c r="J293" s="141" t="s">
        <v>753</v>
      </c>
      <c r="K293" s="142">
        <v>21750</v>
      </c>
      <c r="L293" s="143">
        <v>45565</v>
      </c>
      <c r="M293" s="245" t="s">
        <v>632</v>
      </c>
    </row>
    <row r="294" spans="1:13" s="141" customFormat="1">
      <c r="A294" s="141">
        <v>418578024</v>
      </c>
      <c r="B294" s="141" t="e">
        <v>#N/A</v>
      </c>
      <c r="C294" s="141">
        <f>VLOOKUP(A294,'DS Tenanted units'!A:A,1,FALSE)</f>
        <v>418578024</v>
      </c>
      <c r="D294" s="141" t="s">
        <v>967</v>
      </c>
      <c r="E294" s="141" t="s">
        <v>624</v>
      </c>
      <c r="G294" s="141" t="s">
        <v>968</v>
      </c>
      <c r="H294" s="141" t="s">
        <v>618</v>
      </c>
      <c r="I294" s="141" t="s">
        <v>698</v>
      </c>
      <c r="J294" s="141" t="s">
        <v>753</v>
      </c>
      <c r="K294" s="142">
        <v>55000</v>
      </c>
      <c r="L294" s="143">
        <v>45565</v>
      </c>
      <c r="M294" s="245" t="s">
        <v>632</v>
      </c>
    </row>
    <row r="295" spans="1:13" s="141" customFormat="1">
      <c r="A295" s="141">
        <v>418578096</v>
      </c>
      <c r="B295" s="141" t="e">
        <v>#N/A</v>
      </c>
      <c r="C295" s="141">
        <f>VLOOKUP(A295,'DS Tenanted units'!A:A,1,FALSE)</f>
        <v>418578096</v>
      </c>
      <c r="D295" s="141" t="s">
        <v>969</v>
      </c>
      <c r="E295" s="141" t="s">
        <v>624</v>
      </c>
      <c r="G295" s="141" t="s">
        <v>970</v>
      </c>
      <c r="H295" s="141" t="s">
        <v>618</v>
      </c>
      <c r="I295" s="141" t="s">
        <v>698</v>
      </c>
      <c r="J295" s="141" t="s">
        <v>753</v>
      </c>
      <c r="K295" s="142">
        <v>115900</v>
      </c>
      <c r="L295" s="143">
        <v>45565</v>
      </c>
      <c r="M295" s="245" t="s">
        <v>632</v>
      </c>
    </row>
    <row r="296" spans="1:13" s="141" customFormat="1">
      <c r="A296" s="141">
        <v>418578104</v>
      </c>
      <c r="B296" s="141" t="e">
        <v>#N/A</v>
      </c>
      <c r="C296" s="141">
        <f>VLOOKUP(A296,'DS Tenanted units'!A:A,1,FALSE)</f>
        <v>418578104</v>
      </c>
      <c r="D296" s="141" t="s">
        <v>971</v>
      </c>
      <c r="E296" s="141" t="s">
        <v>624</v>
      </c>
      <c r="G296" s="141" t="s">
        <v>972</v>
      </c>
      <c r="H296" s="141" t="s">
        <v>750</v>
      </c>
      <c r="I296" s="141" t="s">
        <v>698</v>
      </c>
      <c r="J296" s="141" t="s">
        <v>753</v>
      </c>
      <c r="K296" s="141">
        <v>792</v>
      </c>
      <c r="L296" s="143">
        <v>45565</v>
      </c>
      <c r="M296" s="245" t="s">
        <v>632</v>
      </c>
    </row>
    <row r="297" spans="1:13" s="141" customFormat="1">
      <c r="A297" s="141">
        <v>418579001</v>
      </c>
      <c r="B297" s="141" t="e">
        <v>#N/A</v>
      </c>
      <c r="C297" s="141">
        <f>VLOOKUP(A297,'DS Tenanted units'!A:A,1,FALSE)</f>
        <v>418579001</v>
      </c>
      <c r="D297" s="141" t="s">
        <v>973</v>
      </c>
      <c r="E297" s="141" t="s">
        <v>624</v>
      </c>
      <c r="G297" s="141" t="s">
        <v>974</v>
      </c>
      <c r="H297" s="141" t="s">
        <v>618</v>
      </c>
      <c r="I297" s="141" t="s">
        <v>698</v>
      </c>
      <c r="J297" s="141" t="s">
        <v>753</v>
      </c>
      <c r="K297" s="142">
        <v>128200</v>
      </c>
      <c r="L297" s="143">
        <v>45565</v>
      </c>
      <c r="M297" s="245" t="s">
        <v>632</v>
      </c>
    </row>
    <row r="298" spans="1:13" s="141" customFormat="1">
      <c r="A298" s="141">
        <v>418579004</v>
      </c>
      <c r="B298" s="141" t="e">
        <v>#N/A</v>
      </c>
      <c r="C298" s="141">
        <f>VLOOKUP(A298,'DS Tenanted units'!A:A,1,FALSE)</f>
        <v>418579004</v>
      </c>
      <c r="D298" s="141" t="s">
        <v>975</v>
      </c>
      <c r="E298" s="141" t="s">
        <v>624</v>
      </c>
      <c r="G298" s="141" t="s">
        <v>976</v>
      </c>
      <c r="H298" s="141" t="s">
        <v>618</v>
      </c>
      <c r="I298" s="141" t="s">
        <v>698</v>
      </c>
      <c r="J298" s="141" t="s">
        <v>753</v>
      </c>
      <c r="K298" s="142">
        <v>121500</v>
      </c>
      <c r="L298" s="143">
        <v>45565</v>
      </c>
      <c r="M298" s="245" t="s">
        <v>632</v>
      </c>
    </row>
    <row r="299" spans="1:13" s="141" customFormat="1">
      <c r="A299" s="141">
        <v>418579044</v>
      </c>
      <c r="B299" s="141" t="e">
        <v>#N/A</v>
      </c>
      <c r="C299" s="141">
        <f>VLOOKUP(A299,'DS Tenanted units'!A:A,1,FALSE)</f>
        <v>418579044</v>
      </c>
      <c r="D299" s="141" t="s">
        <v>977</v>
      </c>
      <c r="E299" s="141" t="s">
        <v>624</v>
      </c>
      <c r="G299" s="141" t="s">
        <v>978</v>
      </c>
      <c r="H299" s="141" t="s">
        <v>750</v>
      </c>
      <c r="I299" s="141" t="s">
        <v>698</v>
      </c>
      <c r="J299" s="141" t="s">
        <v>753</v>
      </c>
      <c r="K299" s="141">
        <v>540</v>
      </c>
      <c r="L299" s="143">
        <v>45565</v>
      </c>
      <c r="M299" s="245" t="s">
        <v>632</v>
      </c>
    </row>
    <row r="300" spans="1:13" s="141" customFormat="1">
      <c r="A300" s="141">
        <v>418579045</v>
      </c>
      <c r="B300" s="141" t="e">
        <v>#N/A</v>
      </c>
      <c r="C300" s="141">
        <f>VLOOKUP(A300,'DS Tenanted units'!A:A,1,FALSE)</f>
        <v>418579045</v>
      </c>
      <c r="D300" s="141" t="s">
        <v>979</v>
      </c>
      <c r="E300" s="141" t="s">
        <v>624</v>
      </c>
      <c r="G300" s="141" t="s">
        <v>980</v>
      </c>
      <c r="H300" s="141" t="s">
        <v>750</v>
      </c>
      <c r="I300" s="141" t="s">
        <v>698</v>
      </c>
      <c r="J300" s="141" t="s">
        <v>753</v>
      </c>
      <c r="K300" s="141">
        <v>540</v>
      </c>
      <c r="L300" s="143">
        <v>45565</v>
      </c>
      <c r="M300" s="245" t="s">
        <v>632</v>
      </c>
    </row>
    <row r="301" spans="1:13" s="141" customFormat="1">
      <c r="A301" s="141">
        <v>418579046</v>
      </c>
      <c r="B301" s="141" t="e">
        <v>#N/A</v>
      </c>
      <c r="C301" s="141">
        <f>VLOOKUP(A301,'DS Tenanted units'!A:A,1,FALSE)</f>
        <v>418579046</v>
      </c>
      <c r="D301" s="141" t="s">
        <v>981</v>
      </c>
      <c r="E301" s="141" t="s">
        <v>624</v>
      </c>
      <c r="G301" s="141" t="s">
        <v>982</v>
      </c>
      <c r="H301" s="141" t="s">
        <v>750</v>
      </c>
      <c r="I301" s="141" t="s">
        <v>698</v>
      </c>
      <c r="J301" s="141" t="s">
        <v>753</v>
      </c>
      <c r="K301" s="141">
        <v>540</v>
      </c>
      <c r="L301" s="143">
        <v>45565</v>
      </c>
      <c r="M301" s="245" t="s">
        <v>632</v>
      </c>
    </row>
    <row r="302" spans="1:13" s="141" customFormat="1">
      <c r="A302" s="141">
        <v>418579047</v>
      </c>
      <c r="B302" s="141" t="e">
        <v>#N/A</v>
      </c>
      <c r="C302" s="141">
        <f>VLOOKUP(A302,'DS Tenanted units'!A:A,1,FALSE)</f>
        <v>418579047</v>
      </c>
      <c r="D302" s="141" t="s">
        <v>983</v>
      </c>
      <c r="E302" s="141" t="s">
        <v>624</v>
      </c>
      <c r="G302" s="141" t="s">
        <v>984</v>
      </c>
      <c r="H302" s="141" t="s">
        <v>750</v>
      </c>
      <c r="I302" s="141" t="s">
        <v>698</v>
      </c>
      <c r="J302" s="141" t="s">
        <v>753</v>
      </c>
      <c r="K302" s="141">
        <v>540</v>
      </c>
      <c r="L302" s="143">
        <v>45565</v>
      </c>
      <c r="M302" s="245" t="s">
        <v>632</v>
      </c>
    </row>
    <row r="303" spans="1:13" s="141" customFormat="1">
      <c r="A303" s="141">
        <v>418588001</v>
      </c>
      <c r="B303" s="141" t="e">
        <v>#N/A</v>
      </c>
      <c r="C303" s="141">
        <f>VLOOKUP(A303,'DS Tenanted units'!A:A,1,FALSE)</f>
        <v>418588001</v>
      </c>
      <c r="D303" s="141" t="s">
        <v>985</v>
      </c>
      <c r="E303" s="141" t="s">
        <v>624</v>
      </c>
      <c r="G303" s="141" t="s">
        <v>986</v>
      </c>
      <c r="H303" s="141" t="s">
        <v>618</v>
      </c>
      <c r="I303" s="141" t="s">
        <v>698</v>
      </c>
      <c r="J303" s="141" t="s">
        <v>753</v>
      </c>
      <c r="K303" s="142">
        <v>46800</v>
      </c>
      <c r="L303" s="143">
        <v>45565</v>
      </c>
      <c r="M303" s="245" t="s">
        <v>632</v>
      </c>
    </row>
    <row r="304" spans="1:13" s="141" customFormat="1">
      <c r="A304" s="141">
        <v>122495033</v>
      </c>
      <c r="B304" s="141" t="e">
        <v>#N/A</v>
      </c>
      <c r="C304" s="141">
        <f>VLOOKUP(A304,'DS Tenanted units'!A:A,1,FALSE)</f>
        <v>122495033</v>
      </c>
      <c r="D304" s="141" t="s">
        <v>987</v>
      </c>
      <c r="E304" s="141" t="s">
        <v>617</v>
      </c>
      <c r="G304" s="141" t="s">
        <v>988</v>
      </c>
      <c r="H304" s="141" t="s">
        <v>618</v>
      </c>
      <c r="I304" s="141" t="s">
        <v>698</v>
      </c>
      <c r="J304" s="141" t="s">
        <v>989</v>
      </c>
      <c r="K304" s="142">
        <v>3250</v>
      </c>
      <c r="L304" s="143">
        <v>43122</v>
      </c>
      <c r="M304" s="245" t="s">
        <v>632</v>
      </c>
    </row>
    <row r="305" spans="1:13" s="141" customFormat="1">
      <c r="A305" s="141">
        <v>222797001</v>
      </c>
      <c r="B305" s="141" t="e">
        <v>#N/A</v>
      </c>
      <c r="C305" s="141">
        <f>VLOOKUP(A305,'DS Tenanted units'!A:A,1,FALSE)</f>
        <v>222797001</v>
      </c>
      <c r="D305" s="141" t="s">
        <v>990</v>
      </c>
      <c r="E305" s="141" t="s">
        <v>617</v>
      </c>
      <c r="G305" s="141" t="s">
        <v>991</v>
      </c>
      <c r="H305" s="141" t="s">
        <v>750</v>
      </c>
      <c r="I305" s="141" t="s">
        <v>698</v>
      </c>
      <c r="J305" s="141" t="s">
        <v>989</v>
      </c>
      <c r="K305" s="142">
        <v>1250</v>
      </c>
      <c r="L305" s="143">
        <v>45565</v>
      </c>
      <c r="M305" s="245" t="s">
        <v>632</v>
      </c>
    </row>
    <row r="306" spans="1:13" s="141" customFormat="1">
      <c r="A306" s="141">
        <v>222797002</v>
      </c>
      <c r="B306" s="141" t="e">
        <v>#N/A</v>
      </c>
      <c r="C306" s="141">
        <f>VLOOKUP(A306,'DS Tenanted units'!A:A,1,FALSE)</f>
        <v>222797002</v>
      </c>
      <c r="D306" s="141" t="s">
        <v>992</v>
      </c>
      <c r="E306" s="141" t="s">
        <v>617</v>
      </c>
      <c r="G306" s="141" t="s">
        <v>993</v>
      </c>
      <c r="H306" s="141" t="s">
        <v>750</v>
      </c>
      <c r="I306" s="141" t="s">
        <v>698</v>
      </c>
      <c r="J306" s="141" t="s">
        <v>989</v>
      </c>
      <c r="K306" s="142">
        <v>1250</v>
      </c>
      <c r="L306" s="143">
        <v>45565</v>
      </c>
      <c r="M306" s="245" t="s">
        <v>632</v>
      </c>
    </row>
    <row r="307" spans="1:13" s="141" customFormat="1">
      <c r="A307" s="141">
        <v>222797003</v>
      </c>
      <c r="B307" s="141" t="e">
        <v>#N/A</v>
      </c>
      <c r="C307" s="141">
        <f>VLOOKUP(A307,'DS Tenanted units'!A:A,1,FALSE)</f>
        <v>222797003</v>
      </c>
      <c r="D307" s="141" t="s">
        <v>994</v>
      </c>
      <c r="E307" s="141" t="s">
        <v>617</v>
      </c>
      <c r="G307" s="141" t="s">
        <v>995</v>
      </c>
      <c r="H307" s="141" t="s">
        <v>750</v>
      </c>
      <c r="I307" s="141" t="s">
        <v>698</v>
      </c>
      <c r="J307" s="141" t="s">
        <v>989</v>
      </c>
      <c r="K307" s="142">
        <v>1250</v>
      </c>
      <c r="L307" s="143">
        <v>45565</v>
      </c>
      <c r="M307" s="245" t="s">
        <v>632</v>
      </c>
    </row>
    <row r="308" spans="1:13" s="141" customFormat="1">
      <c r="A308" s="141">
        <v>222797005</v>
      </c>
      <c r="B308" s="141" t="e">
        <v>#N/A</v>
      </c>
      <c r="C308" s="141">
        <f>VLOOKUP(A308,'DS Tenanted units'!A:A,1,FALSE)</f>
        <v>222797005</v>
      </c>
      <c r="D308" s="141" t="s">
        <v>996</v>
      </c>
      <c r="E308" s="141" t="s">
        <v>617</v>
      </c>
      <c r="G308" s="141" t="s">
        <v>997</v>
      </c>
      <c r="H308" s="141" t="s">
        <v>750</v>
      </c>
      <c r="I308" s="141" t="s">
        <v>698</v>
      </c>
      <c r="J308" s="141" t="s">
        <v>989</v>
      </c>
      <c r="K308" s="141">
        <v>0</v>
      </c>
      <c r="L308" s="143">
        <v>45565</v>
      </c>
      <c r="M308" s="245" t="s">
        <v>632</v>
      </c>
    </row>
    <row r="309" spans="1:13" s="141" customFormat="1">
      <c r="A309" s="141">
        <v>222797006</v>
      </c>
      <c r="B309" s="141" t="e">
        <v>#N/A</v>
      </c>
      <c r="C309" s="141">
        <f>VLOOKUP(A309,'DS Tenanted units'!A:A,1,FALSE)</f>
        <v>222797006</v>
      </c>
      <c r="D309" s="141" t="s">
        <v>998</v>
      </c>
      <c r="E309" s="141" t="s">
        <v>617</v>
      </c>
      <c r="G309" s="141" t="s">
        <v>999</v>
      </c>
      <c r="H309" s="141" t="s">
        <v>750</v>
      </c>
      <c r="I309" s="141" t="s">
        <v>698</v>
      </c>
      <c r="J309" s="141" t="s">
        <v>989</v>
      </c>
      <c r="K309" s="141">
        <v>0</v>
      </c>
      <c r="L309" s="143">
        <v>45565</v>
      </c>
      <c r="M309" s="245" t="s">
        <v>632</v>
      </c>
    </row>
    <row r="310" spans="1:13" s="141" customFormat="1">
      <c r="A310" s="141">
        <v>222797007</v>
      </c>
      <c r="B310" s="141" t="e">
        <v>#N/A</v>
      </c>
      <c r="C310" s="141">
        <f>VLOOKUP(A310,'DS Tenanted units'!A:A,1,FALSE)</f>
        <v>222797007</v>
      </c>
      <c r="D310" s="141" t="s">
        <v>1000</v>
      </c>
      <c r="E310" s="141" t="s">
        <v>617</v>
      </c>
      <c r="G310" s="141" t="s">
        <v>1001</v>
      </c>
      <c r="H310" s="141" t="s">
        <v>750</v>
      </c>
      <c r="I310" s="141" t="s">
        <v>698</v>
      </c>
      <c r="J310" s="141" t="s">
        <v>989</v>
      </c>
      <c r="K310" s="142">
        <v>23750</v>
      </c>
      <c r="L310" s="143">
        <v>45565</v>
      </c>
      <c r="M310" s="245" t="s">
        <v>632</v>
      </c>
    </row>
    <row r="311" spans="1:13" s="141" customFormat="1">
      <c r="A311" s="141">
        <v>222797008</v>
      </c>
      <c r="B311" s="141" t="e">
        <v>#N/A</v>
      </c>
      <c r="C311" s="141">
        <f>VLOOKUP(A311,'DS Tenanted units'!A:A,1,FALSE)</f>
        <v>222797008</v>
      </c>
      <c r="D311" s="141" t="s">
        <v>1002</v>
      </c>
      <c r="E311" s="141" t="s">
        <v>617</v>
      </c>
      <c r="G311" s="141" t="s">
        <v>1003</v>
      </c>
      <c r="H311" s="141" t="s">
        <v>750</v>
      </c>
      <c r="I311" s="141" t="s">
        <v>698</v>
      </c>
      <c r="J311" s="141" t="s">
        <v>989</v>
      </c>
      <c r="K311" s="141">
        <v>0</v>
      </c>
      <c r="L311" s="143">
        <v>45565</v>
      </c>
      <c r="M311" s="245" t="s">
        <v>632</v>
      </c>
    </row>
    <row r="312" spans="1:13" s="141" customFormat="1">
      <c r="A312" s="141">
        <v>222797009</v>
      </c>
      <c r="B312" s="141" t="e">
        <v>#N/A</v>
      </c>
      <c r="C312" s="141">
        <f>VLOOKUP(A312,'DS Tenanted units'!A:A,1,FALSE)</f>
        <v>222797009</v>
      </c>
      <c r="D312" s="141" t="s">
        <v>1004</v>
      </c>
      <c r="E312" s="141" t="s">
        <v>617</v>
      </c>
      <c r="G312" s="141" t="s">
        <v>1005</v>
      </c>
      <c r="H312" s="141" t="s">
        <v>750</v>
      </c>
      <c r="I312" s="141" t="s">
        <v>698</v>
      </c>
      <c r="J312" s="141" t="s">
        <v>989</v>
      </c>
      <c r="K312" s="141">
        <v>0</v>
      </c>
      <c r="L312" s="143">
        <v>45565</v>
      </c>
      <c r="M312" s="245" t="s">
        <v>632</v>
      </c>
    </row>
    <row r="313" spans="1:13" s="141" customFormat="1">
      <c r="A313" s="141">
        <v>222797010</v>
      </c>
      <c r="B313" s="141" t="e">
        <v>#N/A</v>
      </c>
      <c r="C313" s="141">
        <f>VLOOKUP(A313,'DS Tenanted units'!A:A,1,FALSE)</f>
        <v>222797010</v>
      </c>
      <c r="D313" s="141" t="s">
        <v>1006</v>
      </c>
      <c r="E313" s="141" t="s">
        <v>617</v>
      </c>
      <c r="G313" s="141" t="s">
        <v>1007</v>
      </c>
      <c r="H313" s="141" t="s">
        <v>750</v>
      </c>
      <c r="I313" s="141" t="s">
        <v>698</v>
      </c>
      <c r="J313" s="141" t="s">
        <v>989</v>
      </c>
      <c r="K313" s="141">
        <v>0</v>
      </c>
      <c r="L313" s="143">
        <v>45565</v>
      </c>
      <c r="M313" s="245" t="s">
        <v>632</v>
      </c>
    </row>
    <row r="314" spans="1:13" s="141" customFormat="1">
      <c r="A314" s="141">
        <v>222797011</v>
      </c>
      <c r="B314" s="141" t="e">
        <v>#N/A</v>
      </c>
      <c r="C314" s="141">
        <f>VLOOKUP(A314,'DS Tenanted units'!A:A,1,FALSE)</f>
        <v>222797011</v>
      </c>
      <c r="D314" s="141" t="s">
        <v>1008</v>
      </c>
      <c r="E314" s="141" t="s">
        <v>617</v>
      </c>
      <c r="G314" s="141" t="s">
        <v>1009</v>
      </c>
      <c r="H314" s="141" t="s">
        <v>750</v>
      </c>
      <c r="I314" s="141" t="s">
        <v>698</v>
      </c>
      <c r="J314" s="141" t="s">
        <v>989</v>
      </c>
      <c r="K314" s="141">
        <v>0</v>
      </c>
      <c r="L314" s="143">
        <v>45565</v>
      </c>
      <c r="M314" s="245" t="s">
        <v>632</v>
      </c>
    </row>
    <row r="315" spans="1:13" s="141" customFormat="1">
      <c r="A315" s="141">
        <v>222797012</v>
      </c>
      <c r="B315" s="141" t="e">
        <v>#N/A</v>
      </c>
      <c r="C315" s="141">
        <f>VLOOKUP(A315,'DS Tenanted units'!A:A,1,FALSE)</f>
        <v>222797012</v>
      </c>
      <c r="D315" s="141" t="s">
        <v>1010</v>
      </c>
      <c r="E315" s="141" t="s">
        <v>617</v>
      </c>
      <c r="G315" s="141" t="s">
        <v>1011</v>
      </c>
      <c r="H315" s="141" t="s">
        <v>750</v>
      </c>
      <c r="I315" s="141" t="s">
        <v>698</v>
      </c>
      <c r="J315" s="141" t="s">
        <v>989</v>
      </c>
      <c r="K315" s="141">
        <v>0</v>
      </c>
      <c r="L315" s="143">
        <v>45565</v>
      </c>
      <c r="M315" s="245" t="s">
        <v>632</v>
      </c>
    </row>
    <row r="316" spans="1:13" s="141" customFormat="1">
      <c r="A316" s="141">
        <v>222797013</v>
      </c>
      <c r="B316" s="141" t="e">
        <v>#N/A</v>
      </c>
      <c r="C316" s="141">
        <f>VLOOKUP(A316,'DS Tenanted units'!A:A,1,FALSE)</f>
        <v>222797013</v>
      </c>
      <c r="D316" s="141" t="s">
        <v>1012</v>
      </c>
      <c r="E316" s="141" t="s">
        <v>617</v>
      </c>
      <c r="G316" s="141" t="s">
        <v>1013</v>
      </c>
      <c r="H316" s="141" t="s">
        <v>750</v>
      </c>
      <c r="I316" s="141" t="s">
        <v>698</v>
      </c>
      <c r="J316" s="141" t="s">
        <v>989</v>
      </c>
      <c r="K316" s="141">
        <v>0</v>
      </c>
      <c r="L316" s="143">
        <v>45565</v>
      </c>
      <c r="M316" s="245" t="s">
        <v>632</v>
      </c>
    </row>
    <row r="317" spans="1:13" s="141" customFormat="1">
      <c r="A317" s="141">
        <v>222797014</v>
      </c>
      <c r="B317" s="141" t="e">
        <v>#N/A</v>
      </c>
      <c r="C317" s="141">
        <f>VLOOKUP(A317,'DS Tenanted units'!A:A,1,FALSE)</f>
        <v>222797014</v>
      </c>
      <c r="D317" s="141" t="s">
        <v>1014</v>
      </c>
      <c r="E317" s="141" t="s">
        <v>617</v>
      </c>
      <c r="G317" s="141" t="s">
        <v>1015</v>
      </c>
      <c r="H317" s="141" t="s">
        <v>750</v>
      </c>
      <c r="I317" s="141" t="s">
        <v>698</v>
      </c>
      <c r="J317" s="141" t="s">
        <v>989</v>
      </c>
      <c r="K317" s="142">
        <v>6250</v>
      </c>
      <c r="L317" s="143">
        <v>45565</v>
      </c>
      <c r="M317" s="245" t="s">
        <v>632</v>
      </c>
    </row>
    <row r="318" spans="1:13" s="141" customFormat="1">
      <c r="A318" s="141">
        <v>222797015</v>
      </c>
      <c r="B318" s="141" t="e">
        <v>#N/A</v>
      </c>
      <c r="C318" s="141">
        <f>VLOOKUP(A318,'DS Tenanted units'!A:A,1,FALSE)</f>
        <v>222797015</v>
      </c>
      <c r="D318" s="141" t="s">
        <v>1016</v>
      </c>
      <c r="E318" s="141" t="s">
        <v>617</v>
      </c>
      <c r="G318" s="141" t="s">
        <v>1017</v>
      </c>
      <c r="H318" s="141" t="s">
        <v>750</v>
      </c>
      <c r="I318" s="141" t="s">
        <v>698</v>
      </c>
      <c r="J318" s="141" t="s">
        <v>989</v>
      </c>
      <c r="K318" s="141">
        <v>0</v>
      </c>
      <c r="L318" s="143">
        <v>45565</v>
      </c>
      <c r="M318" s="245" t="s">
        <v>632</v>
      </c>
    </row>
    <row r="319" spans="1:13" s="141" customFormat="1">
      <c r="A319" s="141">
        <v>222797016</v>
      </c>
      <c r="B319" s="141" t="e">
        <v>#N/A</v>
      </c>
      <c r="C319" s="141">
        <f>VLOOKUP(A319,'DS Tenanted units'!A:A,1,FALSE)</f>
        <v>222797016</v>
      </c>
      <c r="D319" s="141" t="s">
        <v>1018</v>
      </c>
      <c r="E319" s="141" t="s">
        <v>617</v>
      </c>
      <c r="G319" s="141" t="s">
        <v>1019</v>
      </c>
      <c r="H319" s="141" t="s">
        <v>750</v>
      </c>
      <c r="I319" s="141" t="s">
        <v>698</v>
      </c>
      <c r="J319" s="141" t="s">
        <v>989</v>
      </c>
      <c r="K319" s="142">
        <v>1250</v>
      </c>
      <c r="L319" s="143">
        <v>45565</v>
      </c>
      <c r="M319" s="245" t="s">
        <v>632</v>
      </c>
    </row>
    <row r="320" spans="1:13" s="141" customFormat="1">
      <c r="A320" s="141">
        <v>222797017</v>
      </c>
      <c r="B320" s="141" t="e">
        <v>#N/A</v>
      </c>
      <c r="C320" s="141">
        <f>VLOOKUP(A320,'DS Tenanted units'!A:A,1,FALSE)</f>
        <v>222797017</v>
      </c>
      <c r="D320" s="141" t="s">
        <v>1020</v>
      </c>
      <c r="E320" s="141" t="s">
        <v>617</v>
      </c>
      <c r="G320" s="141" t="s">
        <v>1021</v>
      </c>
      <c r="H320" s="141" t="s">
        <v>750</v>
      </c>
      <c r="I320" s="141" t="s">
        <v>698</v>
      </c>
      <c r="J320" s="141" t="s">
        <v>989</v>
      </c>
      <c r="K320" s="141">
        <v>0</v>
      </c>
      <c r="L320" s="143">
        <v>45565</v>
      </c>
      <c r="M320" s="245" t="s">
        <v>632</v>
      </c>
    </row>
    <row r="321" spans="1:13" s="141" customFormat="1">
      <c r="A321" s="141">
        <v>222797018</v>
      </c>
      <c r="B321" s="141" t="e">
        <v>#N/A</v>
      </c>
      <c r="C321" s="141">
        <f>VLOOKUP(A321,'DS Tenanted units'!A:A,1,FALSE)</f>
        <v>222797018</v>
      </c>
      <c r="D321" s="141" t="s">
        <v>1022</v>
      </c>
      <c r="E321" s="141" t="s">
        <v>617</v>
      </c>
      <c r="G321" s="141" t="s">
        <v>1023</v>
      </c>
      <c r="H321" s="141" t="s">
        <v>750</v>
      </c>
      <c r="I321" s="141" t="s">
        <v>698</v>
      </c>
      <c r="J321" s="141" t="s">
        <v>989</v>
      </c>
      <c r="K321" s="141">
        <v>0</v>
      </c>
      <c r="L321" s="143">
        <v>45565</v>
      </c>
      <c r="M321" s="245" t="s">
        <v>632</v>
      </c>
    </row>
    <row r="322" spans="1:13" s="141" customFormat="1">
      <c r="A322" s="141">
        <v>222797019</v>
      </c>
      <c r="B322" s="141" t="e">
        <v>#N/A</v>
      </c>
      <c r="C322" s="141">
        <f>VLOOKUP(A322,'DS Tenanted units'!A:A,1,FALSE)</f>
        <v>222797019</v>
      </c>
      <c r="D322" s="141" t="s">
        <v>1024</v>
      </c>
      <c r="E322" s="141" t="s">
        <v>617</v>
      </c>
      <c r="G322" s="141" t="s">
        <v>1025</v>
      </c>
      <c r="H322" s="141" t="s">
        <v>750</v>
      </c>
      <c r="I322" s="141" t="s">
        <v>698</v>
      </c>
      <c r="J322" s="141" t="s">
        <v>989</v>
      </c>
      <c r="K322" s="142">
        <v>1250</v>
      </c>
      <c r="L322" s="143">
        <v>45565</v>
      </c>
      <c r="M322" s="245" t="s">
        <v>632</v>
      </c>
    </row>
    <row r="323" spans="1:13" s="141" customFormat="1">
      <c r="A323" s="141">
        <v>222797020</v>
      </c>
      <c r="B323" s="141" t="e">
        <v>#N/A</v>
      </c>
      <c r="C323" s="141">
        <f>VLOOKUP(A323,'DS Tenanted units'!A:A,1,FALSE)</f>
        <v>222797020</v>
      </c>
      <c r="D323" s="141" t="s">
        <v>1026</v>
      </c>
      <c r="E323" s="141" t="s">
        <v>617</v>
      </c>
      <c r="G323" s="141" t="s">
        <v>1027</v>
      </c>
      <c r="H323" s="141" t="s">
        <v>750</v>
      </c>
      <c r="I323" s="141" t="s">
        <v>698</v>
      </c>
      <c r="J323" s="141" t="s">
        <v>989</v>
      </c>
      <c r="K323" s="142">
        <v>1250</v>
      </c>
      <c r="L323" s="143">
        <v>45565</v>
      </c>
      <c r="M323" s="245" t="s">
        <v>632</v>
      </c>
    </row>
    <row r="324" spans="1:13" s="141" customFormat="1">
      <c r="A324" s="141">
        <v>222797021</v>
      </c>
      <c r="B324" s="141" t="e">
        <v>#N/A</v>
      </c>
      <c r="C324" s="141">
        <f>VLOOKUP(A324,'DS Tenanted units'!A:A,1,FALSE)</f>
        <v>222797021</v>
      </c>
      <c r="D324" s="141" t="s">
        <v>1028</v>
      </c>
      <c r="E324" s="141" t="s">
        <v>617</v>
      </c>
      <c r="G324" s="141" t="s">
        <v>1029</v>
      </c>
      <c r="H324" s="141" t="s">
        <v>750</v>
      </c>
      <c r="I324" s="141" t="s">
        <v>698</v>
      </c>
      <c r="J324" s="141" t="s">
        <v>989</v>
      </c>
      <c r="K324" s="142">
        <v>1250</v>
      </c>
      <c r="L324" s="143">
        <v>45565</v>
      </c>
      <c r="M324" s="245" t="s">
        <v>632</v>
      </c>
    </row>
    <row r="325" spans="1:13" s="141" customFormat="1">
      <c r="A325" s="141">
        <v>222797022</v>
      </c>
      <c r="B325" s="141" t="e">
        <v>#N/A</v>
      </c>
      <c r="C325" s="141">
        <f>VLOOKUP(A325,'DS Tenanted units'!A:A,1,FALSE)</f>
        <v>222797022</v>
      </c>
      <c r="D325" s="141" t="s">
        <v>1030</v>
      </c>
      <c r="E325" s="141" t="s">
        <v>617</v>
      </c>
      <c r="G325" s="141" t="s">
        <v>1031</v>
      </c>
      <c r="H325" s="141" t="s">
        <v>750</v>
      </c>
      <c r="I325" s="141" t="s">
        <v>698</v>
      </c>
      <c r="J325" s="141" t="s">
        <v>989</v>
      </c>
      <c r="K325" s="142">
        <v>1250</v>
      </c>
      <c r="L325" s="143">
        <v>45565</v>
      </c>
      <c r="M325" s="245" t="s">
        <v>632</v>
      </c>
    </row>
    <row r="326" spans="1:13" s="141" customFormat="1">
      <c r="A326" s="141">
        <v>222797023</v>
      </c>
      <c r="B326" s="141" t="e">
        <v>#N/A</v>
      </c>
      <c r="C326" s="141">
        <f>VLOOKUP(A326,'DS Tenanted units'!A:A,1,FALSE)</f>
        <v>222797023</v>
      </c>
      <c r="D326" s="141" t="s">
        <v>1032</v>
      </c>
      <c r="E326" s="141" t="s">
        <v>617</v>
      </c>
      <c r="G326" s="141" t="s">
        <v>1033</v>
      </c>
      <c r="H326" s="141" t="s">
        <v>750</v>
      </c>
      <c r="I326" s="141" t="s">
        <v>698</v>
      </c>
      <c r="J326" s="141" t="s">
        <v>989</v>
      </c>
      <c r="K326" s="142">
        <v>23750</v>
      </c>
      <c r="L326" s="143">
        <v>45565</v>
      </c>
      <c r="M326" s="245" t="s">
        <v>632</v>
      </c>
    </row>
    <row r="327" spans="1:13" s="141" customFormat="1">
      <c r="A327" s="141">
        <v>222797024</v>
      </c>
      <c r="B327" s="141" t="e">
        <v>#N/A</v>
      </c>
      <c r="C327" s="141">
        <f>VLOOKUP(A327,'DS Tenanted units'!A:A,1,FALSE)</f>
        <v>222797024</v>
      </c>
      <c r="D327" s="141" t="s">
        <v>1034</v>
      </c>
      <c r="E327" s="141" t="s">
        <v>617</v>
      </c>
      <c r="G327" s="141" t="s">
        <v>1035</v>
      </c>
      <c r="H327" s="141" t="s">
        <v>750</v>
      </c>
      <c r="I327" s="141" t="s">
        <v>698</v>
      </c>
      <c r="J327" s="141" t="s">
        <v>989</v>
      </c>
      <c r="K327" s="141">
        <v>0</v>
      </c>
      <c r="L327" s="143">
        <v>45565</v>
      </c>
      <c r="M327" s="245" t="s">
        <v>632</v>
      </c>
    </row>
    <row r="328" spans="1:13" s="141" customFormat="1">
      <c r="A328" s="141">
        <v>222797025</v>
      </c>
      <c r="B328" s="141" t="e">
        <v>#N/A</v>
      </c>
      <c r="C328" s="141">
        <f>VLOOKUP(A328,'DS Tenanted units'!A:A,1,FALSE)</f>
        <v>222797025</v>
      </c>
      <c r="D328" s="141" t="s">
        <v>1036</v>
      </c>
      <c r="E328" s="141" t="s">
        <v>617</v>
      </c>
      <c r="G328" s="141" t="s">
        <v>1037</v>
      </c>
      <c r="H328" s="141" t="s">
        <v>750</v>
      </c>
      <c r="I328" s="141" t="s">
        <v>698</v>
      </c>
      <c r="J328" s="141" t="s">
        <v>989</v>
      </c>
      <c r="K328" s="141">
        <v>0</v>
      </c>
      <c r="L328" s="143">
        <v>45565</v>
      </c>
      <c r="M328" s="245" t="s">
        <v>632</v>
      </c>
    </row>
    <row r="329" spans="1:13" s="141" customFormat="1">
      <c r="A329" s="141">
        <v>222797026</v>
      </c>
      <c r="B329" s="141" t="e">
        <v>#N/A</v>
      </c>
      <c r="C329" s="141">
        <f>VLOOKUP(A329,'DS Tenanted units'!A:A,1,FALSE)</f>
        <v>222797026</v>
      </c>
      <c r="D329" s="141" t="s">
        <v>1038</v>
      </c>
      <c r="E329" s="141" t="s">
        <v>617</v>
      </c>
      <c r="G329" s="141" t="s">
        <v>1039</v>
      </c>
      <c r="H329" s="141" t="s">
        <v>750</v>
      </c>
      <c r="I329" s="141" t="s">
        <v>698</v>
      </c>
      <c r="J329" s="141" t="s">
        <v>989</v>
      </c>
      <c r="K329" s="141">
        <v>0</v>
      </c>
      <c r="L329" s="143">
        <v>45565</v>
      </c>
      <c r="M329" s="245" t="s">
        <v>632</v>
      </c>
    </row>
    <row r="330" spans="1:13" s="141" customFormat="1">
      <c r="A330" s="141">
        <v>222797027</v>
      </c>
      <c r="B330" s="141" t="e">
        <v>#N/A</v>
      </c>
      <c r="C330" s="141">
        <f>VLOOKUP(A330,'DS Tenanted units'!A:A,1,FALSE)</f>
        <v>222797027</v>
      </c>
      <c r="D330" s="141" t="s">
        <v>1040</v>
      </c>
      <c r="E330" s="141" t="s">
        <v>617</v>
      </c>
      <c r="G330" s="141" t="s">
        <v>1041</v>
      </c>
      <c r="H330" s="141" t="s">
        <v>750</v>
      </c>
      <c r="I330" s="141" t="s">
        <v>698</v>
      </c>
      <c r="J330" s="141" t="s">
        <v>989</v>
      </c>
      <c r="K330" s="142">
        <v>1250</v>
      </c>
      <c r="L330" s="143">
        <v>45565</v>
      </c>
      <c r="M330" s="245" t="s">
        <v>632</v>
      </c>
    </row>
    <row r="331" spans="1:13" s="141" customFormat="1">
      <c r="A331" s="141">
        <v>222797028</v>
      </c>
      <c r="B331" s="141" t="e">
        <v>#N/A</v>
      </c>
      <c r="C331" s="141">
        <f>VLOOKUP(A331,'DS Tenanted units'!A:A,1,FALSE)</f>
        <v>222797028</v>
      </c>
      <c r="D331" s="141" t="s">
        <v>1042</v>
      </c>
      <c r="E331" s="141" t="s">
        <v>617</v>
      </c>
      <c r="G331" s="141" t="s">
        <v>1043</v>
      </c>
      <c r="H331" s="141" t="s">
        <v>750</v>
      </c>
      <c r="I331" s="141" t="s">
        <v>698</v>
      </c>
      <c r="J331" s="141" t="s">
        <v>989</v>
      </c>
      <c r="K331" s="141">
        <v>0</v>
      </c>
      <c r="L331" s="143">
        <v>45565</v>
      </c>
      <c r="M331" s="245" t="s">
        <v>632</v>
      </c>
    </row>
    <row r="332" spans="1:13" s="141" customFormat="1">
      <c r="A332" s="141">
        <v>222797029</v>
      </c>
      <c r="B332" s="141" t="e">
        <v>#N/A</v>
      </c>
      <c r="C332" s="141">
        <f>VLOOKUP(A332,'DS Tenanted units'!A:A,1,FALSE)</f>
        <v>222797029</v>
      </c>
      <c r="D332" s="141" t="s">
        <v>1044</v>
      </c>
      <c r="E332" s="141" t="s">
        <v>617</v>
      </c>
      <c r="G332" s="141" t="s">
        <v>1045</v>
      </c>
      <c r="H332" s="141" t="s">
        <v>750</v>
      </c>
      <c r="I332" s="141" t="s">
        <v>698</v>
      </c>
      <c r="J332" s="141" t="s">
        <v>989</v>
      </c>
      <c r="K332" s="141">
        <v>0</v>
      </c>
      <c r="L332" s="143">
        <v>45565</v>
      </c>
      <c r="M332" s="245" t="s">
        <v>632</v>
      </c>
    </row>
    <row r="333" spans="1:13" s="141" customFormat="1">
      <c r="A333" s="141">
        <v>222797030</v>
      </c>
      <c r="B333" s="141" t="e">
        <v>#N/A</v>
      </c>
      <c r="C333" s="141">
        <f>VLOOKUP(A333,'DS Tenanted units'!A:A,1,FALSE)</f>
        <v>222797030</v>
      </c>
      <c r="D333" s="141" t="s">
        <v>1046</v>
      </c>
      <c r="E333" s="141" t="s">
        <v>617</v>
      </c>
      <c r="G333" s="141" t="s">
        <v>1047</v>
      </c>
      <c r="H333" s="141" t="s">
        <v>750</v>
      </c>
      <c r="I333" s="141" t="s">
        <v>698</v>
      </c>
      <c r="J333" s="141" t="s">
        <v>989</v>
      </c>
      <c r="K333" s="142">
        <v>67500</v>
      </c>
      <c r="L333" s="143">
        <v>45565</v>
      </c>
      <c r="M333" s="245" t="s">
        <v>632</v>
      </c>
    </row>
    <row r="334" spans="1:13" s="141" customFormat="1">
      <c r="A334" s="141">
        <v>222797031</v>
      </c>
      <c r="B334" s="141" t="e">
        <v>#N/A</v>
      </c>
      <c r="C334" s="141">
        <f>VLOOKUP(A334,'DS Tenanted units'!A:A,1,FALSE)</f>
        <v>222797031</v>
      </c>
      <c r="D334" s="141" t="s">
        <v>1048</v>
      </c>
      <c r="E334" s="141" t="s">
        <v>617</v>
      </c>
      <c r="G334" s="141" t="s">
        <v>1049</v>
      </c>
      <c r="H334" s="141" t="s">
        <v>750</v>
      </c>
      <c r="I334" s="141" t="s">
        <v>698</v>
      </c>
      <c r="J334" s="141" t="s">
        <v>989</v>
      </c>
      <c r="K334" s="141">
        <v>0</v>
      </c>
      <c r="L334" s="143">
        <v>45565</v>
      </c>
      <c r="M334" s="245" t="s">
        <v>632</v>
      </c>
    </row>
    <row r="335" spans="1:13" s="141" customFormat="1">
      <c r="A335" s="141">
        <v>222797032</v>
      </c>
      <c r="B335" s="141" t="e">
        <v>#N/A</v>
      </c>
      <c r="C335" s="141">
        <f>VLOOKUP(A335,'DS Tenanted units'!A:A,1,FALSE)</f>
        <v>222797032</v>
      </c>
      <c r="D335" s="141" t="s">
        <v>1050</v>
      </c>
      <c r="E335" s="141" t="s">
        <v>617</v>
      </c>
      <c r="G335" s="141" t="s">
        <v>1051</v>
      </c>
      <c r="H335" s="141" t="s">
        <v>750</v>
      </c>
      <c r="I335" s="141" t="s">
        <v>698</v>
      </c>
      <c r="J335" s="141" t="s">
        <v>989</v>
      </c>
      <c r="K335" s="141">
        <v>0</v>
      </c>
      <c r="L335" s="143">
        <v>45565</v>
      </c>
      <c r="M335" s="245" t="s">
        <v>632</v>
      </c>
    </row>
    <row r="336" spans="1:13" s="141" customFormat="1">
      <c r="A336" s="141">
        <v>222797033</v>
      </c>
      <c r="B336" s="141" t="e">
        <v>#N/A</v>
      </c>
      <c r="C336" s="141">
        <f>VLOOKUP(A336,'DS Tenanted units'!A:A,1,FALSE)</f>
        <v>222797033</v>
      </c>
      <c r="D336" s="141" t="s">
        <v>1052</v>
      </c>
      <c r="E336" s="141" t="s">
        <v>617</v>
      </c>
      <c r="G336" s="141" t="s">
        <v>1053</v>
      </c>
      <c r="H336" s="141" t="s">
        <v>750</v>
      </c>
      <c r="I336" s="141" t="s">
        <v>698</v>
      </c>
      <c r="J336" s="141" t="s">
        <v>989</v>
      </c>
      <c r="K336" s="141">
        <v>0</v>
      </c>
      <c r="L336" s="143">
        <v>45565</v>
      </c>
      <c r="M336" s="245" t="s">
        <v>632</v>
      </c>
    </row>
    <row r="337" spans="1:13" s="141" customFormat="1">
      <c r="A337" s="141">
        <v>222797034</v>
      </c>
      <c r="B337" s="141" t="e">
        <v>#N/A</v>
      </c>
      <c r="C337" s="141">
        <f>VLOOKUP(A337,'DS Tenanted units'!A:A,1,FALSE)</f>
        <v>222797034</v>
      </c>
      <c r="D337" s="141" t="s">
        <v>1054</v>
      </c>
      <c r="E337" s="141" t="s">
        <v>617</v>
      </c>
      <c r="G337" s="141" t="s">
        <v>1055</v>
      </c>
      <c r="H337" s="141" t="s">
        <v>750</v>
      </c>
      <c r="I337" s="141" t="s">
        <v>698</v>
      </c>
      <c r="J337" s="141" t="s">
        <v>989</v>
      </c>
      <c r="K337" s="141">
        <v>0</v>
      </c>
      <c r="L337" s="143">
        <v>45565</v>
      </c>
      <c r="M337" s="245" t="s">
        <v>632</v>
      </c>
    </row>
    <row r="338" spans="1:13" s="141" customFormat="1">
      <c r="A338" s="141">
        <v>222797035</v>
      </c>
      <c r="B338" s="141" t="e">
        <v>#N/A</v>
      </c>
      <c r="C338" s="141">
        <f>VLOOKUP(A338,'DS Tenanted units'!A:A,1,FALSE)</f>
        <v>222797035</v>
      </c>
      <c r="D338" s="141" t="s">
        <v>1056</v>
      </c>
      <c r="E338" s="141" t="s">
        <v>617</v>
      </c>
      <c r="G338" s="141" t="s">
        <v>1057</v>
      </c>
      <c r="H338" s="141" t="s">
        <v>750</v>
      </c>
      <c r="I338" s="141" t="s">
        <v>698</v>
      </c>
      <c r="J338" s="141" t="s">
        <v>989</v>
      </c>
      <c r="K338" s="142">
        <v>1250</v>
      </c>
      <c r="L338" s="143">
        <v>45565</v>
      </c>
      <c r="M338" s="245" t="s">
        <v>632</v>
      </c>
    </row>
    <row r="339" spans="1:13" s="141" customFormat="1">
      <c r="A339" s="141">
        <v>222797036</v>
      </c>
      <c r="B339" s="141" t="e">
        <v>#N/A</v>
      </c>
      <c r="C339" s="141">
        <f>VLOOKUP(A339,'DS Tenanted units'!A:A,1,FALSE)</f>
        <v>222797036</v>
      </c>
      <c r="D339" s="141" t="s">
        <v>1058</v>
      </c>
      <c r="E339" s="141" t="s">
        <v>617</v>
      </c>
      <c r="G339" s="141" t="s">
        <v>1059</v>
      </c>
      <c r="H339" s="141" t="s">
        <v>750</v>
      </c>
      <c r="I339" s="141" t="s">
        <v>698</v>
      </c>
      <c r="J339" s="141" t="s">
        <v>989</v>
      </c>
      <c r="K339" s="142">
        <v>1250</v>
      </c>
      <c r="L339" s="143">
        <v>45565</v>
      </c>
      <c r="M339" s="245" t="s">
        <v>632</v>
      </c>
    </row>
    <row r="340" spans="1:13" s="141" customFormat="1">
      <c r="A340" s="141">
        <v>222797037</v>
      </c>
      <c r="B340" s="141" t="e">
        <v>#N/A</v>
      </c>
      <c r="C340" s="141">
        <f>VLOOKUP(A340,'DS Tenanted units'!A:A,1,FALSE)</f>
        <v>222797037</v>
      </c>
      <c r="D340" s="141" t="s">
        <v>1060</v>
      </c>
      <c r="E340" s="141" t="s">
        <v>617</v>
      </c>
      <c r="G340" s="141" t="s">
        <v>1061</v>
      </c>
      <c r="H340" s="141" t="s">
        <v>750</v>
      </c>
      <c r="I340" s="141" t="s">
        <v>698</v>
      </c>
      <c r="J340" s="141" t="s">
        <v>989</v>
      </c>
      <c r="K340" s="142">
        <v>1250</v>
      </c>
      <c r="L340" s="143">
        <v>45565</v>
      </c>
      <c r="M340" s="245" t="s">
        <v>632</v>
      </c>
    </row>
    <row r="341" spans="1:13" s="141" customFormat="1">
      <c r="A341" s="141">
        <v>222797038</v>
      </c>
      <c r="B341" s="141" t="e">
        <v>#N/A</v>
      </c>
      <c r="C341" s="141">
        <f>VLOOKUP(A341,'DS Tenanted units'!A:A,1,FALSE)</f>
        <v>222797038</v>
      </c>
      <c r="D341" s="141" t="s">
        <v>1062</v>
      </c>
      <c r="E341" s="141" t="s">
        <v>617</v>
      </c>
      <c r="G341" s="141" t="s">
        <v>1063</v>
      </c>
      <c r="H341" s="141" t="s">
        <v>750</v>
      </c>
      <c r="I341" s="141" t="s">
        <v>698</v>
      </c>
      <c r="J341" s="141" t="s">
        <v>989</v>
      </c>
      <c r="K341" s="142">
        <v>1250</v>
      </c>
      <c r="L341" s="143">
        <v>45565</v>
      </c>
      <c r="M341" s="245" t="s">
        <v>632</v>
      </c>
    </row>
    <row r="342" spans="1:13" s="141" customFormat="1">
      <c r="A342" s="141">
        <v>222797039</v>
      </c>
      <c r="B342" s="141" t="e">
        <v>#N/A</v>
      </c>
      <c r="C342" s="141">
        <f>VLOOKUP(A342,'DS Tenanted units'!A:A,1,FALSE)</f>
        <v>222797039</v>
      </c>
      <c r="D342" s="141" t="s">
        <v>1064</v>
      </c>
      <c r="E342" s="141" t="s">
        <v>617</v>
      </c>
      <c r="G342" s="141" t="s">
        <v>1065</v>
      </c>
      <c r="H342" s="141" t="s">
        <v>750</v>
      </c>
      <c r="I342" s="141" t="s">
        <v>698</v>
      </c>
      <c r="J342" s="141" t="s">
        <v>989</v>
      </c>
      <c r="K342" s="141">
        <v>0</v>
      </c>
      <c r="L342" s="143">
        <v>45565</v>
      </c>
      <c r="M342" s="245" t="s">
        <v>632</v>
      </c>
    </row>
    <row r="343" spans="1:13" s="141" customFormat="1">
      <c r="A343" s="141">
        <v>222797040</v>
      </c>
      <c r="B343" s="141" t="e">
        <v>#N/A</v>
      </c>
      <c r="C343" s="141">
        <f>VLOOKUP(A343,'DS Tenanted units'!A:A,1,FALSE)</f>
        <v>222797040</v>
      </c>
      <c r="D343" s="141" t="s">
        <v>1066</v>
      </c>
      <c r="E343" s="141" t="s">
        <v>617</v>
      </c>
      <c r="G343" s="141" t="s">
        <v>1067</v>
      </c>
      <c r="H343" s="141" t="s">
        <v>750</v>
      </c>
      <c r="I343" s="141" t="s">
        <v>698</v>
      </c>
      <c r="J343" s="141" t="s">
        <v>989</v>
      </c>
      <c r="K343" s="141">
        <v>0</v>
      </c>
      <c r="L343" s="143">
        <v>45565</v>
      </c>
      <c r="M343" s="245" t="s">
        <v>632</v>
      </c>
    </row>
    <row r="344" spans="1:13" s="141" customFormat="1">
      <c r="A344" s="141">
        <v>222797041</v>
      </c>
      <c r="B344" s="141" t="e">
        <v>#N/A</v>
      </c>
      <c r="C344" s="141">
        <f>VLOOKUP(A344,'DS Tenanted units'!A:A,1,FALSE)</f>
        <v>222797041</v>
      </c>
      <c r="D344" s="141" t="s">
        <v>1068</v>
      </c>
      <c r="E344" s="141" t="s">
        <v>617</v>
      </c>
      <c r="G344" s="141" t="s">
        <v>1069</v>
      </c>
      <c r="H344" s="141" t="s">
        <v>750</v>
      </c>
      <c r="I344" s="141" t="s">
        <v>698</v>
      </c>
      <c r="J344" s="141" t="s">
        <v>989</v>
      </c>
      <c r="K344" s="141">
        <v>0</v>
      </c>
      <c r="L344" s="143">
        <v>45565</v>
      </c>
      <c r="M344" s="245" t="s">
        <v>632</v>
      </c>
    </row>
    <row r="345" spans="1:13" s="141" customFormat="1">
      <c r="A345" s="141">
        <v>222797042</v>
      </c>
      <c r="B345" s="141" t="e">
        <v>#N/A</v>
      </c>
      <c r="C345" s="141">
        <f>VLOOKUP(A345,'DS Tenanted units'!A:A,1,FALSE)</f>
        <v>222797042</v>
      </c>
      <c r="D345" s="141" t="s">
        <v>1070</v>
      </c>
      <c r="E345" s="141" t="s">
        <v>617</v>
      </c>
      <c r="G345" s="141" t="s">
        <v>1071</v>
      </c>
      <c r="H345" s="141" t="s">
        <v>750</v>
      </c>
      <c r="I345" s="141" t="s">
        <v>698</v>
      </c>
      <c r="J345" s="141" t="s">
        <v>989</v>
      </c>
      <c r="K345" s="141">
        <v>0</v>
      </c>
      <c r="L345" s="143">
        <v>45565</v>
      </c>
      <c r="M345" s="245" t="s">
        <v>632</v>
      </c>
    </row>
    <row r="346" spans="1:13" s="141" customFormat="1">
      <c r="A346" s="141">
        <v>222797043</v>
      </c>
      <c r="B346" s="141" t="e">
        <v>#N/A</v>
      </c>
      <c r="C346" s="141">
        <f>VLOOKUP(A346,'DS Tenanted units'!A:A,1,FALSE)</f>
        <v>222797043</v>
      </c>
      <c r="D346" s="141" t="s">
        <v>1072</v>
      </c>
      <c r="E346" s="141" t="s">
        <v>617</v>
      </c>
      <c r="G346" s="141" t="s">
        <v>1073</v>
      </c>
      <c r="H346" s="141" t="s">
        <v>750</v>
      </c>
      <c r="I346" s="141" t="s">
        <v>698</v>
      </c>
      <c r="J346" s="141" t="s">
        <v>989</v>
      </c>
      <c r="K346" s="141">
        <v>0</v>
      </c>
      <c r="L346" s="143">
        <v>45565</v>
      </c>
      <c r="M346" s="245" t="s">
        <v>632</v>
      </c>
    </row>
    <row r="347" spans="1:13" s="141" customFormat="1">
      <c r="A347" s="141">
        <v>222797044</v>
      </c>
      <c r="B347" s="141" t="e">
        <v>#N/A</v>
      </c>
      <c r="C347" s="141">
        <f>VLOOKUP(A347,'DS Tenanted units'!A:A,1,FALSE)</f>
        <v>222797044</v>
      </c>
      <c r="D347" s="141" t="s">
        <v>1074</v>
      </c>
      <c r="E347" s="141" t="s">
        <v>617</v>
      </c>
      <c r="G347" s="141" t="s">
        <v>1075</v>
      </c>
      <c r="H347" s="141" t="s">
        <v>750</v>
      </c>
      <c r="I347" s="141" t="s">
        <v>698</v>
      </c>
      <c r="J347" s="141" t="s">
        <v>989</v>
      </c>
      <c r="K347" s="141">
        <v>0</v>
      </c>
      <c r="L347" s="143">
        <v>45565</v>
      </c>
      <c r="M347" s="245" t="s">
        <v>632</v>
      </c>
    </row>
    <row r="348" spans="1:13" s="141" customFormat="1">
      <c r="A348" s="141">
        <v>222797045</v>
      </c>
      <c r="B348" s="141" t="e">
        <v>#N/A</v>
      </c>
      <c r="C348" s="141">
        <f>VLOOKUP(A348,'DS Tenanted units'!A:A,1,FALSE)</f>
        <v>222797045</v>
      </c>
      <c r="D348" s="141" t="s">
        <v>1076</v>
      </c>
      <c r="E348" s="141" t="s">
        <v>617</v>
      </c>
      <c r="G348" s="141" t="s">
        <v>1077</v>
      </c>
      <c r="H348" s="141" t="s">
        <v>750</v>
      </c>
      <c r="I348" s="141" t="s">
        <v>698</v>
      </c>
      <c r="J348" s="141" t="s">
        <v>989</v>
      </c>
      <c r="K348" s="141">
        <v>0</v>
      </c>
      <c r="L348" s="143">
        <v>45565</v>
      </c>
      <c r="M348" s="245" t="s">
        <v>632</v>
      </c>
    </row>
    <row r="349" spans="1:13" s="141" customFormat="1">
      <c r="A349" s="141">
        <v>222797046</v>
      </c>
      <c r="B349" s="141" t="e">
        <v>#N/A</v>
      </c>
      <c r="C349" s="141">
        <f>VLOOKUP(A349,'DS Tenanted units'!A:A,1,FALSE)</f>
        <v>222797046</v>
      </c>
      <c r="D349" s="141" t="s">
        <v>1078</v>
      </c>
      <c r="E349" s="141" t="s">
        <v>617</v>
      </c>
      <c r="G349" s="141" t="s">
        <v>1079</v>
      </c>
      <c r="H349" s="141" t="s">
        <v>750</v>
      </c>
      <c r="I349" s="141" t="s">
        <v>698</v>
      </c>
      <c r="J349" s="141" t="s">
        <v>989</v>
      </c>
      <c r="K349" s="141">
        <v>0</v>
      </c>
      <c r="L349" s="143">
        <v>45565</v>
      </c>
      <c r="M349" s="245" t="s">
        <v>632</v>
      </c>
    </row>
    <row r="350" spans="1:13" s="141" customFormat="1">
      <c r="A350" s="141">
        <v>222797047</v>
      </c>
      <c r="B350" s="141" t="e">
        <v>#N/A</v>
      </c>
      <c r="C350" s="141">
        <f>VLOOKUP(A350,'DS Tenanted units'!A:A,1,FALSE)</f>
        <v>222797047</v>
      </c>
      <c r="D350" s="141" t="s">
        <v>1080</v>
      </c>
      <c r="E350" s="141" t="s">
        <v>617</v>
      </c>
      <c r="G350" s="141" t="s">
        <v>1081</v>
      </c>
      <c r="H350" s="141" t="s">
        <v>750</v>
      </c>
      <c r="I350" s="141" t="s">
        <v>698</v>
      </c>
      <c r="J350" s="141" t="s">
        <v>989</v>
      </c>
      <c r="K350" s="141">
        <v>0</v>
      </c>
      <c r="L350" s="143">
        <v>45565</v>
      </c>
      <c r="M350" s="245" t="s">
        <v>632</v>
      </c>
    </row>
    <row r="351" spans="1:13" s="141" customFormat="1">
      <c r="A351" s="141">
        <v>222797048</v>
      </c>
      <c r="B351" s="141" t="e">
        <v>#N/A</v>
      </c>
      <c r="C351" s="141">
        <f>VLOOKUP(A351,'DS Tenanted units'!A:A,1,FALSE)</f>
        <v>222797048</v>
      </c>
      <c r="D351" s="141" t="s">
        <v>1082</v>
      </c>
      <c r="E351" s="141" t="s">
        <v>617</v>
      </c>
      <c r="G351" s="141" t="s">
        <v>1083</v>
      </c>
      <c r="H351" s="141" t="s">
        <v>750</v>
      </c>
      <c r="I351" s="141" t="s">
        <v>698</v>
      </c>
      <c r="J351" s="141" t="s">
        <v>989</v>
      </c>
      <c r="K351" s="141">
        <v>0</v>
      </c>
      <c r="L351" s="143">
        <v>45565</v>
      </c>
      <c r="M351" s="245" t="s">
        <v>632</v>
      </c>
    </row>
    <row r="352" spans="1:13" s="141" customFormat="1">
      <c r="A352" s="141">
        <v>222797049</v>
      </c>
      <c r="B352" s="141" t="e">
        <v>#N/A</v>
      </c>
      <c r="C352" s="141">
        <f>VLOOKUP(A352,'DS Tenanted units'!A:A,1,FALSE)</f>
        <v>222797049</v>
      </c>
      <c r="D352" s="141" t="s">
        <v>1084</v>
      </c>
      <c r="E352" s="141" t="s">
        <v>617</v>
      </c>
      <c r="G352" s="141" t="s">
        <v>1085</v>
      </c>
      <c r="H352" s="141" t="s">
        <v>750</v>
      </c>
      <c r="I352" s="141" t="s">
        <v>698</v>
      </c>
      <c r="J352" s="141" t="s">
        <v>989</v>
      </c>
      <c r="K352" s="141">
        <v>0</v>
      </c>
      <c r="L352" s="143">
        <v>45565</v>
      </c>
      <c r="M352" s="245" t="s">
        <v>632</v>
      </c>
    </row>
    <row r="353" spans="1:13" s="141" customFormat="1">
      <c r="A353" s="141">
        <v>222797050</v>
      </c>
      <c r="B353" s="141" t="e">
        <v>#N/A</v>
      </c>
      <c r="C353" s="141">
        <f>VLOOKUP(A353,'DS Tenanted units'!A:A,1,FALSE)</f>
        <v>222797050</v>
      </c>
      <c r="D353" s="141" t="s">
        <v>1086</v>
      </c>
      <c r="E353" s="141" t="s">
        <v>617</v>
      </c>
      <c r="G353" s="141" t="s">
        <v>1087</v>
      </c>
      <c r="H353" s="141" t="s">
        <v>750</v>
      </c>
      <c r="I353" s="141" t="s">
        <v>698</v>
      </c>
      <c r="J353" s="141" t="s">
        <v>989</v>
      </c>
      <c r="K353" s="141">
        <v>0</v>
      </c>
      <c r="L353" s="143">
        <v>45565</v>
      </c>
      <c r="M353" s="245" t="s">
        <v>632</v>
      </c>
    </row>
    <row r="354" spans="1:13" s="141" customFormat="1">
      <c r="A354" s="141">
        <v>222797051</v>
      </c>
      <c r="B354" s="141" t="e">
        <v>#N/A</v>
      </c>
      <c r="C354" s="141">
        <f>VLOOKUP(A354,'DS Tenanted units'!A:A,1,FALSE)</f>
        <v>222797051</v>
      </c>
      <c r="D354" s="141" t="s">
        <v>1088</v>
      </c>
      <c r="E354" s="141" t="s">
        <v>617</v>
      </c>
      <c r="G354" s="141" t="s">
        <v>1089</v>
      </c>
      <c r="H354" s="141" t="s">
        <v>750</v>
      </c>
      <c r="I354" s="141" t="s">
        <v>698</v>
      </c>
      <c r="J354" s="141" t="s">
        <v>989</v>
      </c>
      <c r="K354" s="141">
        <v>0</v>
      </c>
      <c r="L354" s="143">
        <v>45565</v>
      </c>
      <c r="M354" s="245" t="s">
        <v>632</v>
      </c>
    </row>
    <row r="355" spans="1:13" s="141" customFormat="1">
      <c r="A355" s="141">
        <v>222797052</v>
      </c>
      <c r="B355" s="141" t="e">
        <v>#N/A</v>
      </c>
      <c r="C355" s="141">
        <f>VLOOKUP(A355,'DS Tenanted units'!A:A,1,FALSE)</f>
        <v>222797052</v>
      </c>
      <c r="D355" s="141" t="s">
        <v>1090</v>
      </c>
      <c r="E355" s="141" t="s">
        <v>617</v>
      </c>
      <c r="G355" s="141" t="s">
        <v>1091</v>
      </c>
      <c r="H355" s="141" t="s">
        <v>750</v>
      </c>
      <c r="I355" s="141" t="s">
        <v>698</v>
      </c>
      <c r="J355" s="141" t="s">
        <v>989</v>
      </c>
      <c r="K355" s="141">
        <v>0</v>
      </c>
      <c r="L355" s="143">
        <v>45565</v>
      </c>
      <c r="M355" s="245" t="s">
        <v>632</v>
      </c>
    </row>
    <row r="356" spans="1:13" s="141" customFormat="1">
      <c r="A356" s="141">
        <v>222797053</v>
      </c>
      <c r="B356" s="141" t="e">
        <v>#N/A</v>
      </c>
      <c r="C356" s="141">
        <f>VLOOKUP(A356,'DS Tenanted units'!A:A,1,FALSE)</f>
        <v>222797053</v>
      </c>
      <c r="D356" s="141" t="s">
        <v>1092</v>
      </c>
      <c r="E356" s="141" t="s">
        <v>617</v>
      </c>
      <c r="G356" s="141" t="s">
        <v>1093</v>
      </c>
      <c r="H356" s="141" t="s">
        <v>750</v>
      </c>
      <c r="I356" s="141" t="s">
        <v>698</v>
      </c>
      <c r="J356" s="141" t="s">
        <v>989</v>
      </c>
      <c r="K356" s="141">
        <v>0</v>
      </c>
      <c r="L356" s="143">
        <v>45565</v>
      </c>
      <c r="M356" s="245" t="s">
        <v>632</v>
      </c>
    </row>
    <row r="357" spans="1:13" s="141" customFormat="1">
      <c r="A357" s="141">
        <v>222797054</v>
      </c>
      <c r="B357" s="141" t="e">
        <v>#N/A</v>
      </c>
      <c r="C357" s="141">
        <f>VLOOKUP(A357,'DS Tenanted units'!A:A,1,FALSE)</f>
        <v>222797054</v>
      </c>
      <c r="D357" s="141" t="s">
        <v>1094</v>
      </c>
      <c r="E357" s="141" t="s">
        <v>617</v>
      </c>
      <c r="G357" s="141" t="s">
        <v>1095</v>
      </c>
      <c r="H357" s="141" t="s">
        <v>750</v>
      </c>
      <c r="I357" s="141" t="s">
        <v>698</v>
      </c>
      <c r="J357" s="141" t="s">
        <v>989</v>
      </c>
      <c r="K357" s="141">
        <v>0</v>
      </c>
      <c r="L357" s="143">
        <v>45565</v>
      </c>
      <c r="M357" s="245" t="s">
        <v>632</v>
      </c>
    </row>
    <row r="358" spans="1:13" s="141" customFormat="1">
      <c r="A358" s="141">
        <v>222797055</v>
      </c>
      <c r="B358" s="141" t="e">
        <v>#N/A</v>
      </c>
      <c r="C358" s="141">
        <f>VLOOKUP(A358,'DS Tenanted units'!A:A,1,FALSE)</f>
        <v>222797055</v>
      </c>
      <c r="D358" s="141" t="s">
        <v>1096</v>
      </c>
      <c r="E358" s="141" t="s">
        <v>617</v>
      </c>
      <c r="G358" s="141" t="s">
        <v>1097</v>
      </c>
      <c r="H358" s="141" t="s">
        <v>750</v>
      </c>
      <c r="I358" s="141" t="s">
        <v>698</v>
      </c>
      <c r="J358" s="141" t="s">
        <v>989</v>
      </c>
      <c r="K358" s="141">
        <v>0</v>
      </c>
      <c r="L358" s="143">
        <v>45565</v>
      </c>
      <c r="M358" s="245" t="s">
        <v>632</v>
      </c>
    </row>
    <row r="359" spans="1:13" s="141" customFormat="1">
      <c r="A359" s="141">
        <v>222797056</v>
      </c>
      <c r="B359" s="141" t="e">
        <v>#N/A</v>
      </c>
      <c r="C359" s="141">
        <f>VLOOKUP(A359,'DS Tenanted units'!A:A,1,FALSE)</f>
        <v>222797056</v>
      </c>
      <c r="D359" s="141" t="s">
        <v>1098</v>
      </c>
      <c r="E359" s="141" t="s">
        <v>617</v>
      </c>
      <c r="G359" s="141" t="s">
        <v>1099</v>
      </c>
      <c r="H359" s="141" t="s">
        <v>750</v>
      </c>
      <c r="I359" s="141" t="s">
        <v>698</v>
      </c>
      <c r="J359" s="141" t="s">
        <v>989</v>
      </c>
      <c r="K359" s="141">
        <v>0</v>
      </c>
      <c r="L359" s="143">
        <v>45565</v>
      </c>
      <c r="M359" s="245" t="s">
        <v>632</v>
      </c>
    </row>
    <row r="360" spans="1:13" s="141" customFormat="1">
      <c r="A360" s="141">
        <v>222797057</v>
      </c>
      <c r="B360" s="141" t="e">
        <v>#N/A</v>
      </c>
      <c r="C360" s="141">
        <f>VLOOKUP(A360,'DS Tenanted units'!A:A,1,FALSE)</f>
        <v>222797057</v>
      </c>
      <c r="D360" s="141" t="s">
        <v>1100</v>
      </c>
      <c r="E360" s="141" t="s">
        <v>617</v>
      </c>
      <c r="G360" s="141" t="s">
        <v>1101</v>
      </c>
      <c r="H360" s="141" t="s">
        <v>750</v>
      </c>
      <c r="I360" s="141" t="s">
        <v>698</v>
      </c>
      <c r="J360" s="141" t="s">
        <v>989</v>
      </c>
      <c r="K360" s="141">
        <v>0</v>
      </c>
      <c r="L360" s="143">
        <v>45565</v>
      </c>
      <c r="M360" s="245" t="s">
        <v>632</v>
      </c>
    </row>
    <row r="361" spans="1:13" s="141" customFormat="1">
      <c r="A361" s="141">
        <v>222797058</v>
      </c>
      <c r="B361" s="141" t="e">
        <v>#N/A</v>
      </c>
      <c r="C361" s="141">
        <f>VLOOKUP(A361,'DS Tenanted units'!A:A,1,FALSE)</f>
        <v>222797058</v>
      </c>
      <c r="D361" s="141" t="s">
        <v>1102</v>
      </c>
      <c r="E361" s="141" t="s">
        <v>617</v>
      </c>
      <c r="G361" s="141" t="s">
        <v>1103</v>
      </c>
      <c r="H361" s="141" t="s">
        <v>750</v>
      </c>
      <c r="I361" s="141" t="s">
        <v>698</v>
      </c>
      <c r="J361" s="141" t="s">
        <v>989</v>
      </c>
      <c r="K361" s="141">
        <v>0</v>
      </c>
      <c r="L361" s="143">
        <v>45565</v>
      </c>
      <c r="M361" s="245" t="s">
        <v>632</v>
      </c>
    </row>
    <row r="362" spans="1:13" s="141" customFormat="1">
      <c r="A362" s="141">
        <v>222797059</v>
      </c>
      <c r="B362" s="141" t="e">
        <v>#N/A</v>
      </c>
      <c r="C362" s="141">
        <f>VLOOKUP(A362,'DS Tenanted units'!A:A,1,FALSE)</f>
        <v>222797059</v>
      </c>
      <c r="D362" s="141" t="s">
        <v>1104</v>
      </c>
      <c r="E362" s="141" t="s">
        <v>617</v>
      </c>
      <c r="G362" s="141" t="s">
        <v>1105</v>
      </c>
      <c r="H362" s="141" t="s">
        <v>750</v>
      </c>
      <c r="I362" s="141" t="s">
        <v>698</v>
      </c>
      <c r="J362" s="141" t="s">
        <v>989</v>
      </c>
      <c r="K362" s="141">
        <v>0</v>
      </c>
      <c r="L362" s="143">
        <v>45565</v>
      </c>
      <c r="M362" s="245" t="s">
        <v>632</v>
      </c>
    </row>
    <row r="363" spans="1:13" s="141" customFormat="1">
      <c r="A363" s="141">
        <v>222797060</v>
      </c>
      <c r="B363" s="141" t="e">
        <v>#N/A</v>
      </c>
      <c r="C363" s="141">
        <f>VLOOKUP(A363,'DS Tenanted units'!A:A,1,FALSE)</f>
        <v>222797060</v>
      </c>
      <c r="D363" s="141" t="s">
        <v>1106</v>
      </c>
      <c r="E363" s="141" t="s">
        <v>617</v>
      </c>
      <c r="G363" s="141" t="s">
        <v>1107</v>
      </c>
      <c r="H363" s="141" t="s">
        <v>750</v>
      </c>
      <c r="I363" s="141" t="s">
        <v>698</v>
      </c>
      <c r="J363" s="141" t="s">
        <v>989</v>
      </c>
      <c r="K363" s="141">
        <v>0</v>
      </c>
      <c r="L363" s="143">
        <v>45565</v>
      </c>
      <c r="M363" s="245" t="s">
        <v>632</v>
      </c>
    </row>
    <row r="364" spans="1:13" s="141" customFormat="1">
      <c r="A364" s="141">
        <v>222797061</v>
      </c>
      <c r="B364" s="141" t="e">
        <v>#N/A</v>
      </c>
      <c r="C364" s="141">
        <f>VLOOKUP(A364,'DS Tenanted units'!A:A,1,FALSE)</f>
        <v>222797061</v>
      </c>
      <c r="D364" s="141" t="s">
        <v>1108</v>
      </c>
      <c r="E364" s="141" t="s">
        <v>617</v>
      </c>
      <c r="G364" s="141" t="s">
        <v>1109</v>
      </c>
      <c r="H364" s="141" t="s">
        <v>750</v>
      </c>
      <c r="I364" s="141" t="s">
        <v>698</v>
      </c>
      <c r="J364" s="141" t="s">
        <v>989</v>
      </c>
      <c r="K364" s="141">
        <v>0</v>
      </c>
      <c r="L364" s="143">
        <v>45565</v>
      </c>
      <c r="M364" s="245" t="s">
        <v>632</v>
      </c>
    </row>
    <row r="365" spans="1:13" s="141" customFormat="1">
      <c r="A365" s="141">
        <v>222797062</v>
      </c>
      <c r="B365" s="141" t="e">
        <v>#N/A</v>
      </c>
      <c r="C365" s="141">
        <f>VLOOKUP(A365,'DS Tenanted units'!A:A,1,FALSE)</f>
        <v>222797062</v>
      </c>
      <c r="D365" s="141" t="s">
        <v>1110</v>
      </c>
      <c r="E365" s="141" t="s">
        <v>617</v>
      </c>
      <c r="G365" s="141" t="s">
        <v>1111</v>
      </c>
      <c r="H365" s="141" t="s">
        <v>750</v>
      </c>
      <c r="I365" s="141" t="s">
        <v>698</v>
      </c>
      <c r="J365" s="141" t="s">
        <v>989</v>
      </c>
      <c r="K365" s="141">
        <v>0</v>
      </c>
      <c r="L365" s="143">
        <v>45565</v>
      </c>
      <c r="M365" s="245" t="s">
        <v>632</v>
      </c>
    </row>
    <row r="366" spans="1:13" s="141" customFormat="1">
      <c r="A366" s="141">
        <v>222797063</v>
      </c>
      <c r="B366" s="141" t="e">
        <v>#N/A</v>
      </c>
      <c r="C366" s="141">
        <f>VLOOKUP(A366,'DS Tenanted units'!A:A,1,FALSE)</f>
        <v>222797063</v>
      </c>
      <c r="D366" s="141" t="s">
        <v>1112</v>
      </c>
      <c r="E366" s="141" t="s">
        <v>617</v>
      </c>
      <c r="G366" s="141" t="s">
        <v>1113</v>
      </c>
      <c r="H366" s="141" t="s">
        <v>750</v>
      </c>
      <c r="I366" s="141" t="s">
        <v>698</v>
      </c>
      <c r="J366" s="141" t="s">
        <v>989</v>
      </c>
      <c r="K366" s="141">
        <v>0</v>
      </c>
      <c r="L366" s="143">
        <v>45565</v>
      </c>
      <c r="M366" s="245" t="s">
        <v>632</v>
      </c>
    </row>
    <row r="367" spans="1:13" s="141" customFormat="1">
      <c r="A367" s="141">
        <v>222797064</v>
      </c>
      <c r="B367" s="141" t="e">
        <v>#N/A</v>
      </c>
      <c r="C367" s="141">
        <f>VLOOKUP(A367,'DS Tenanted units'!A:A,1,FALSE)</f>
        <v>222797064</v>
      </c>
      <c r="D367" s="141" t="s">
        <v>1114</v>
      </c>
      <c r="E367" s="141" t="s">
        <v>617</v>
      </c>
      <c r="G367" s="141" t="s">
        <v>1115</v>
      </c>
      <c r="H367" s="141" t="s">
        <v>750</v>
      </c>
      <c r="I367" s="141" t="s">
        <v>698</v>
      </c>
      <c r="J367" s="141" t="s">
        <v>989</v>
      </c>
      <c r="K367" s="141">
        <v>0</v>
      </c>
      <c r="L367" s="143">
        <v>45565</v>
      </c>
      <c r="M367" s="245" t="s">
        <v>632</v>
      </c>
    </row>
    <row r="368" spans="1:13" s="141" customFormat="1">
      <c r="A368" s="141">
        <v>222797065</v>
      </c>
      <c r="B368" s="141" t="e">
        <v>#N/A</v>
      </c>
      <c r="C368" s="141">
        <f>VLOOKUP(A368,'DS Tenanted units'!A:A,1,FALSE)</f>
        <v>222797065</v>
      </c>
      <c r="D368" s="141" t="s">
        <v>1116</v>
      </c>
      <c r="E368" s="141" t="s">
        <v>617</v>
      </c>
      <c r="G368" s="141" t="s">
        <v>1117</v>
      </c>
      <c r="H368" s="141" t="s">
        <v>750</v>
      </c>
      <c r="I368" s="141" t="s">
        <v>698</v>
      </c>
      <c r="J368" s="141" t="s">
        <v>989</v>
      </c>
      <c r="K368" s="141">
        <v>0</v>
      </c>
      <c r="L368" s="143">
        <v>45565</v>
      </c>
      <c r="M368" s="245" t="s">
        <v>632</v>
      </c>
    </row>
    <row r="369" spans="1:13" s="141" customFormat="1">
      <c r="A369" s="141">
        <v>222797066</v>
      </c>
      <c r="B369" s="141" t="e">
        <v>#N/A</v>
      </c>
      <c r="C369" s="141">
        <f>VLOOKUP(A369,'DS Tenanted units'!A:A,1,FALSE)</f>
        <v>222797066</v>
      </c>
      <c r="D369" s="141" t="s">
        <v>1118</v>
      </c>
      <c r="E369" s="141" t="s">
        <v>617</v>
      </c>
      <c r="G369" s="141" t="s">
        <v>1119</v>
      </c>
      <c r="H369" s="141" t="s">
        <v>750</v>
      </c>
      <c r="I369" s="141" t="s">
        <v>698</v>
      </c>
      <c r="J369" s="141" t="s">
        <v>989</v>
      </c>
      <c r="K369" s="141">
        <v>0</v>
      </c>
      <c r="L369" s="143">
        <v>45565</v>
      </c>
      <c r="M369" s="245" t="s">
        <v>632</v>
      </c>
    </row>
    <row r="370" spans="1:13" s="141" customFormat="1">
      <c r="A370" s="141">
        <v>222797067</v>
      </c>
      <c r="B370" s="141" t="e">
        <v>#N/A</v>
      </c>
      <c r="C370" s="141">
        <f>VLOOKUP(A370,'DS Tenanted units'!A:A,1,FALSE)</f>
        <v>222797067</v>
      </c>
      <c r="D370" s="141" t="s">
        <v>1120</v>
      </c>
      <c r="E370" s="141" t="s">
        <v>617</v>
      </c>
      <c r="G370" s="141" t="s">
        <v>1121</v>
      </c>
      <c r="H370" s="141" t="s">
        <v>750</v>
      </c>
      <c r="I370" s="141" t="s">
        <v>698</v>
      </c>
      <c r="J370" s="141" t="s">
        <v>989</v>
      </c>
      <c r="K370" s="141">
        <v>0</v>
      </c>
      <c r="L370" s="143">
        <v>45565</v>
      </c>
      <c r="M370" s="245" t="s">
        <v>632</v>
      </c>
    </row>
    <row r="371" spans="1:13" s="141" customFormat="1">
      <c r="A371" s="141">
        <v>222797068</v>
      </c>
      <c r="B371" s="141" t="e">
        <v>#N/A</v>
      </c>
      <c r="C371" s="141">
        <f>VLOOKUP(A371,'DS Tenanted units'!A:A,1,FALSE)</f>
        <v>222797068</v>
      </c>
      <c r="D371" s="141" t="s">
        <v>1122</v>
      </c>
      <c r="E371" s="141" t="s">
        <v>617</v>
      </c>
      <c r="G371" s="141" t="s">
        <v>1123</v>
      </c>
      <c r="H371" s="141" t="s">
        <v>750</v>
      </c>
      <c r="I371" s="141" t="s">
        <v>698</v>
      </c>
      <c r="J371" s="141" t="s">
        <v>989</v>
      </c>
      <c r="K371" s="141">
        <v>0</v>
      </c>
      <c r="L371" s="143">
        <v>45565</v>
      </c>
      <c r="M371" s="245" t="s">
        <v>632</v>
      </c>
    </row>
    <row r="372" spans="1:13" s="141" customFormat="1">
      <c r="A372" s="141">
        <v>222797069</v>
      </c>
      <c r="B372" s="141" t="e">
        <v>#N/A</v>
      </c>
      <c r="C372" s="141">
        <f>VLOOKUP(A372,'DS Tenanted units'!A:A,1,FALSE)</f>
        <v>222797069</v>
      </c>
      <c r="D372" s="141" t="s">
        <v>1124</v>
      </c>
      <c r="E372" s="141" t="s">
        <v>617</v>
      </c>
      <c r="G372" s="141" t="s">
        <v>1125</v>
      </c>
      <c r="H372" s="141" t="s">
        <v>750</v>
      </c>
      <c r="I372" s="141" t="s">
        <v>698</v>
      </c>
      <c r="J372" s="141" t="s">
        <v>989</v>
      </c>
      <c r="K372" s="141">
        <v>0</v>
      </c>
      <c r="L372" s="143">
        <v>45565</v>
      </c>
      <c r="M372" s="245" t="s">
        <v>632</v>
      </c>
    </row>
    <row r="373" spans="1:13" s="141" customFormat="1">
      <c r="A373" s="141">
        <v>222797070</v>
      </c>
      <c r="B373" s="141" t="e">
        <v>#N/A</v>
      </c>
      <c r="C373" s="141">
        <f>VLOOKUP(A373,'DS Tenanted units'!A:A,1,FALSE)</f>
        <v>222797070</v>
      </c>
      <c r="D373" s="141" t="s">
        <v>1126</v>
      </c>
      <c r="E373" s="141" t="s">
        <v>617</v>
      </c>
      <c r="G373" s="141" t="s">
        <v>1127</v>
      </c>
      <c r="H373" s="141" t="s">
        <v>750</v>
      </c>
      <c r="I373" s="141" t="s">
        <v>698</v>
      </c>
      <c r="J373" s="141" t="s">
        <v>989</v>
      </c>
      <c r="K373" s="141">
        <v>0</v>
      </c>
      <c r="L373" s="143">
        <v>45565</v>
      </c>
      <c r="M373" s="245" t="s">
        <v>632</v>
      </c>
    </row>
    <row r="374" spans="1:13" s="141" customFormat="1">
      <c r="A374" s="141">
        <v>222797071</v>
      </c>
      <c r="B374" s="141" t="e">
        <v>#N/A</v>
      </c>
      <c r="C374" s="141">
        <f>VLOOKUP(A374,'DS Tenanted units'!A:A,1,FALSE)</f>
        <v>222797071</v>
      </c>
      <c r="D374" s="141" t="s">
        <v>1128</v>
      </c>
      <c r="E374" s="141" t="s">
        <v>617</v>
      </c>
      <c r="G374" s="141" t="s">
        <v>1129</v>
      </c>
      <c r="H374" s="141" t="s">
        <v>750</v>
      </c>
      <c r="I374" s="141" t="s">
        <v>698</v>
      </c>
      <c r="J374" s="141" t="s">
        <v>989</v>
      </c>
      <c r="K374" s="141">
        <v>0</v>
      </c>
      <c r="L374" s="143">
        <v>45565</v>
      </c>
      <c r="M374" s="245" t="s">
        <v>632</v>
      </c>
    </row>
    <row r="375" spans="1:13" s="141" customFormat="1">
      <c r="A375" s="141">
        <v>222797072</v>
      </c>
      <c r="B375" s="141" t="e">
        <v>#N/A</v>
      </c>
      <c r="C375" s="141">
        <f>VLOOKUP(A375,'DS Tenanted units'!A:A,1,FALSE)</f>
        <v>222797072</v>
      </c>
      <c r="D375" s="141" t="s">
        <v>1130</v>
      </c>
      <c r="E375" s="141" t="s">
        <v>617</v>
      </c>
      <c r="G375" s="141" t="s">
        <v>1131</v>
      </c>
      <c r="H375" s="141" t="s">
        <v>750</v>
      </c>
      <c r="I375" s="141" t="s">
        <v>698</v>
      </c>
      <c r="J375" s="141" t="s">
        <v>989</v>
      </c>
      <c r="K375" s="141">
        <v>0</v>
      </c>
      <c r="L375" s="143">
        <v>45565</v>
      </c>
      <c r="M375" s="245" t="s">
        <v>632</v>
      </c>
    </row>
    <row r="376" spans="1:13" s="141" customFormat="1">
      <c r="A376" s="141">
        <v>222797073</v>
      </c>
      <c r="B376" s="141" t="e">
        <v>#N/A</v>
      </c>
      <c r="C376" s="141">
        <f>VLOOKUP(A376,'DS Tenanted units'!A:A,1,FALSE)</f>
        <v>222797073</v>
      </c>
      <c r="D376" s="141" t="s">
        <v>1132</v>
      </c>
      <c r="E376" s="141" t="s">
        <v>617</v>
      </c>
      <c r="G376" s="141" t="s">
        <v>1133</v>
      </c>
      <c r="H376" s="141" t="s">
        <v>750</v>
      </c>
      <c r="I376" s="141" t="s">
        <v>698</v>
      </c>
      <c r="J376" s="141" t="s">
        <v>989</v>
      </c>
      <c r="K376" s="141">
        <v>0</v>
      </c>
      <c r="L376" s="143">
        <v>45565</v>
      </c>
      <c r="M376" s="245" t="s">
        <v>632</v>
      </c>
    </row>
    <row r="377" spans="1:13" s="141" customFormat="1">
      <c r="A377" s="141">
        <v>222797074</v>
      </c>
      <c r="B377" s="141" t="e">
        <v>#N/A</v>
      </c>
      <c r="C377" s="141">
        <f>VLOOKUP(A377,'DS Tenanted units'!A:A,1,FALSE)</f>
        <v>222797074</v>
      </c>
      <c r="D377" s="141" t="s">
        <v>1134</v>
      </c>
      <c r="E377" s="141" t="s">
        <v>617</v>
      </c>
      <c r="G377" s="141" t="s">
        <v>1135</v>
      </c>
      <c r="H377" s="141" t="s">
        <v>750</v>
      </c>
      <c r="I377" s="141" t="s">
        <v>698</v>
      </c>
      <c r="J377" s="141" t="s">
        <v>989</v>
      </c>
      <c r="K377" s="142">
        <v>1250</v>
      </c>
      <c r="L377" s="143">
        <v>45565</v>
      </c>
      <c r="M377" s="245" t="s">
        <v>632</v>
      </c>
    </row>
    <row r="378" spans="1:13" s="141" customFormat="1">
      <c r="A378" s="141">
        <v>222797075</v>
      </c>
      <c r="B378" s="141" t="e">
        <v>#N/A</v>
      </c>
      <c r="C378" s="141">
        <f>VLOOKUP(A378,'DS Tenanted units'!A:A,1,FALSE)</f>
        <v>222797075</v>
      </c>
      <c r="D378" s="141" t="s">
        <v>1136</v>
      </c>
      <c r="E378" s="141" t="s">
        <v>617</v>
      </c>
      <c r="G378" s="141" t="s">
        <v>1137</v>
      </c>
      <c r="H378" s="141" t="s">
        <v>750</v>
      </c>
      <c r="I378" s="141" t="s">
        <v>698</v>
      </c>
      <c r="J378" s="141" t="s">
        <v>989</v>
      </c>
      <c r="K378" s="142">
        <v>1250</v>
      </c>
      <c r="L378" s="143">
        <v>45565</v>
      </c>
      <c r="M378" s="245" t="s">
        <v>632</v>
      </c>
    </row>
    <row r="379" spans="1:13" s="141" customFormat="1">
      <c r="A379" s="141">
        <v>222797076</v>
      </c>
      <c r="B379" s="141" t="e">
        <v>#N/A</v>
      </c>
      <c r="C379" s="141">
        <f>VLOOKUP(A379,'DS Tenanted units'!A:A,1,FALSE)</f>
        <v>222797076</v>
      </c>
      <c r="D379" s="141" t="s">
        <v>1138</v>
      </c>
      <c r="E379" s="141" t="s">
        <v>617</v>
      </c>
      <c r="G379" s="141" t="s">
        <v>1139</v>
      </c>
      <c r="H379" s="141" t="s">
        <v>750</v>
      </c>
      <c r="I379" s="141" t="s">
        <v>698</v>
      </c>
      <c r="J379" s="141" t="s">
        <v>989</v>
      </c>
      <c r="K379" s="142">
        <v>1250</v>
      </c>
      <c r="L379" s="143">
        <v>45565</v>
      </c>
      <c r="M379" s="245" t="s">
        <v>632</v>
      </c>
    </row>
    <row r="380" spans="1:13" s="141" customFormat="1">
      <c r="A380" s="141">
        <v>222797077</v>
      </c>
      <c r="B380" s="141" t="e">
        <v>#N/A</v>
      </c>
      <c r="C380" s="141">
        <f>VLOOKUP(A380,'DS Tenanted units'!A:A,1,FALSE)</f>
        <v>222797077</v>
      </c>
      <c r="D380" s="141" t="s">
        <v>1140</v>
      </c>
      <c r="E380" s="141" t="s">
        <v>617</v>
      </c>
      <c r="G380" s="141" t="s">
        <v>1141</v>
      </c>
      <c r="H380" s="141" t="s">
        <v>750</v>
      </c>
      <c r="I380" s="141" t="s">
        <v>698</v>
      </c>
      <c r="J380" s="141" t="s">
        <v>989</v>
      </c>
      <c r="K380" s="142">
        <v>1250</v>
      </c>
      <c r="L380" s="143">
        <v>45565</v>
      </c>
      <c r="M380" s="245" t="s">
        <v>632</v>
      </c>
    </row>
    <row r="381" spans="1:13" s="141" customFormat="1">
      <c r="A381" s="141">
        <v>222797078</v>
      </c>
      <c r="B381" s="141" t="e">
        <v>#N/A</v>
      </c>
      <c r="C381" s="141">
        <f>VLOOKUP(A381,'DS Tenanted units'!A:A,1,FALSE)</f>
        <v>222797078</v>
      </c>
      <c r="D381" s="141" t="s">
        <v>1142</v>
      </c>
      <c r="E381" s="141" t="s">
        <v>617</v>
      </c>
      <c r="G381" s="141" t="s">
        <v>1143</v>
      </c>
      <c r="H381" s="141" t="s">
        <v>750</v>
      </c>
      <c r="I381" s="141" t="s">
        <v>698</v>
      </c>
      <c r="J381" s="141" t="s">
        <v>989</v>
      </c>
      <c r="K381" s="142">
        <v>1250</v>
      </c>
      <c r="L381" s="143">
        <v>45565</v>
      </c>
      <c r="M381" s="245" t="s">
        <v>632</v>
      </c>
    </row>
    <row r="382" spans="1:13" s="141" customFormat="1">
      <c r="A382" s="141">
        <v>222797079</v>
      </c>
      <c r="B382" s="141" t="e">
        <v>#N/A</v>
      </c>
      <c r="C382" s="141">
        <f>VLOOKUP(A382,'DS Tenanted units'!A:A,1,FALSE)</f>
        <v>222797079</v>
      </c>
      <c r="D382" s="141" t="s">
        <v>1144</v>
      </c>
      <c r="E382" s="141" t="s">
        <v>617</v>
      </c>
      <c r="G382" s="141" t="s">
        <v>1145</v>
      </c>
      <c r="H382" s="141" t="s">
        <v>750</v>
      </c>
      <c r="I382" s="141" t="s">
        <v>698</v>
      </c>
      <c r="J382" s="141" t="s">
        <v>989</v>
      </c>
      <c r="K382" s="142">
        <v>1250</v>
      </c>
      <c r="L382" s="143">
        <v>45565</v>
      </c>
      <c r="M382" s="245" t="s">
        <v>632</v>
      </c>
    </row>
    <row r="383" spans="1:13" s="141" customFormat="1">
      <c r="A383" s="141">
        <v>222797080</v>
      </c>
      <c r="B383" s="141" t="e">
        <v>#N/A</v>
      </c>
      <c r="C383" s="141">
        <f>VLOOKUP(A383,'DS Tenanted units'!A:A,1,FALSE)</f>
        <v>222797080</v>
      </c>
      <c r="D383" s="141" t="s">
        <v>1146</v>
      </c>
      <c r="E383" s="141" t="s">
        <v>617</v>
      </c>
      <c r="G383" s="141" t="s">
        <v>1147</v>
      </c>
      <c r="H383" s="141" t="s">
        <v>750</v>
      </c>
      <c r="I383" s="141" t="s">
        <v>698</v>
      </c>
      <c r="J383" s="141" t="s">
        <v>989</v>
      </c>
      <c r="K383" s="142">
        <v>1250</v>
      </c>
      <c r="L383" s="143">
        <v>45565</v>
      </c>
      <c r="M383" s="245" t="s">
        <v>632</v>
      </c>
    </row>
    <row r="384" spans="1:13" s="141" customFormat="1">
      <c r="A384" s="141">
        <v>222797081</v>
      </c>
      <c r="B384" s="141" t="e">
        <v>#N/A</v>
      </c>
      <c r="C384" s="141">
        <f>VLOOKUP(A384,'DS Tenanted units'!A:A,1,FALSE)</f>
        <v>222797081</v>
      </c>
      <c r="D384" s="141" t="s">
        <v>1148</v>
      </c>
      <c r="E384" s="141" t="s">
        <v>617</v>
      </c>
      <c r="G384" s="141" t="s">
        <v>1149</v>
      </c>
      <c r="H384" s="141" t="s">
        <v>750</v>
      </c>
      <c r="I384" s="141" t="s">
        <v>698</v>
      </c>
      <c r="J384" s="141" t="s">
        <v>989</v>
      </c>
      <c r="K384" s="142">
        <v>1250</v>
      </c>
      <c r="L384" s="143">
        <v>45565</v>
      </c>
      <c r="M384" s="245" t="s">
        <v>632</v>
      </c>
    </row>
    <row r="385" spans="1:13" s="141" customFormat="1">
      <c r="A385" s="141">
        <v>222797082</v>
      </c>
      <c r="B385" s="141" t="e">
        <v>#N/A</v>
      </c>
      <c r="C385" s="141">
        <f>VLOOKUP(A385,'DS Tenanted units'!A:A,1,FALSE)</f>
        <v>222797082</v>
      </c>
      <c r="D385" s="141" t="s">
        <v>1150</v>
      </c>
      <c r="E385" s="141" t="s">
        <v>617</v>
      </c>
      <c r="G385" s="141" t="s">
        <v>1151</v>
      </c>
      <c r="H385" s="141" t="s">
        <v>750</v>
      </c>
      <c r="I385" s="141" t="s">
        <v>698</v>
      </c>
      <c r="J385" s="141" t="s">
        <v>989</v>
      </c>
      <c r="K385" s="142">
        <v>1250</v>
      </c>
      <c r="L385" s="143">
        <v>45565</v>
      </c>
      <c r="M385" s="245" t="s">
        <v>632</v>
      </c>
    </row>
    <row r="386" spans="1:13" s="141" customFormat="1">
      <c r="A386" s="141">
        <v>222797083</v>
      </c>
      <c r="B386" s="141" t="e">
        <v>#N/A</v>
      </c>
      <c r="C386" s="141">
        <f>VLOOKUP(A386,'DS Tenanted units'!A:A,1,FALSE)</f>
        <v>222797083</v>
      </c>
      <c r="D386" s="141" t="s">
        <v>1152</v>
      </c>
      <c r="E386" s="141" t="s">
        <v>617</v>
      </c>
      <c r="G386" s="141" t="s">
        <v>1153</v>
      </c>
      <c r="H386" s="141" t="s">
        <v>750</v>
      </c>
      <c r="I386" s="141" t="s">
        <v>698</v>
      </c>
      <c r="J386" s="141" t="s">
        <v>989</v>
      </c>
      <c r="K386" s="142">
        <v>1250</v>
      </c>
      <c r="L386" s="143">
        <v>45565</v>
      </c>
      <c r="M386" s="245" t="s">
        <v>632</v>
      </c>
    </row>
    <row r="387" spans="1:13" s="141" customFormat="1">
      <c r="A387" s="141">
        <v>222797084</v>
      </c>
      <c r="B387" s="141" t="e">
        <v>#N/A</v>
      </c>
      <c r="C387" s="141">
        <f>VLOOKUP(A387,'DS Tenanted units'!A:A,1,FALSE)</f>
        <v>222797084</v>
      </c>
      <c r="D387" s="141" t="s">
        <v>1154</v>
      </c>
      <c r="E387" s="141" t="s">
        <v>617</v>
      </c>
      <c r="G387" s="141" t="s">
        <v>1155</v>
      </c>
      <c r="H387" s="141" t="s">
        <v>750</v>
      </c>
      <c r="I387" s="141" t="s">
        <v>698</v>
      </c>
      <c r="J387" s="141" t="s">
        <v>989</v>
      </c>
      <c r="K387" s="142">
        <v>1250</v>
      </c>
      <c r="L387" s="143">
        <v>45565</v>
      </c>
      <c r="M387" s="245" t="s">
        <v>632</v>
      </c>
    </row>
    <row r="388" spans="1:13" s="141" customFormat="1">
      <c r="A388" s="141">
        <v>222797085</v>
      </c>
      <c r="B388" s="141" t="e">
        <v>#N/A</v>
      </c>
      <c r="C388" s="141">
        <f>VLOOKUP(A388,'DS Tenanted units'!A:A,1,FALSE)</f>
        <v>222797085</v>
      </c>
      <c r="D388" s="141" t="s">
        <v>1156</v>
      </c>
      <c r="E388" s="141" t="s">
        <v>617</v>
      </c>
      <c r="G388" s="141" t="s">
        <v>1157</v>
      </c>
      <c r="H388" s="141" t="s">
        <v>750</v>
      </c>
      <c r="I388" s="141" t="s">
        <v>698</v>
      </c>
      <c r="J388" s="141" t="s">
        <v>989</v>
      </c>
      <c r="K388" s="142">
        <v>1250</v>
      </c>
      <c r="L388" s="143">
        <v>45565</v>
      </c>
      <c r="M388" s="245" t="s">
        <v>632</v>
      </c>
    </row>
    <row r="389" spans="1:13" s="141" customFormat="1">
      <c r="A389" s="141">
        <v>222797086</v>
      </c>
      <c r="B389" s="141" t="e">
        <v>#N/A</v>
      </c>
      <c r="C389" s="141">
        <f>VLOOKUP(A389,'DS Tenanted units'!A:A,1,FALSE)</f>
        <v>222797086</v>
      </c>
      <c r="D389" s="141" t="s">
        <v>1158</v>
      </c>
      <c r="E389" s="141" t="s">
        <v>617</v>
      </c>
      <c r="G389" s="141" t="s">
        <v>1159</v>
      </c>
      <c r="H389" s="141" t="s">
        <v>750</v>
      </c>
      <c r="I389" s="141" t="s">
        <v>698</v>
      </c>
      <c r="J389" s="141" t="s">
        <v>989</v>
      </c>
      <c r="K389" s="142">
        <v>1250</v>
      </c>
      <c r="L389" s="143">
        <v>45565</v>
      </c>
      <c r="M389" s="245" t="s">
        <v>632</v>
      </c>
    </row>
    <row r="390" spans="1:13" s="141" customFormat="1">
      <c r="A390" s="141">
        <v>222797087</v>
      </c>
      <c r="B390" s="141" t="e">
        <v>#N/A</v>
      </c>
      <c r="C390" s="141">
        <f>VLOOKUP(A390,'DS Tenanted units'!A:A,1,FALSE)</f>
        <v>222797087</v>
      </c>
      <c r="D390" s="141" t="s">
        <v>1160</v>
      </c>
      <c r="E390" s="141" t="s">
        <v>617</v>
      </c>
      <c r="G390" s="141" t="s">
        <v>1161</v>
      </c>
      <c r="H390" s="141" t="s">
        <v>750</v>
      </c>
      <c r="I390" s="141" t="s">
        <v>698</v>
      </c>
      <c r="J390" s="141" t="s">
        <v>989</v>
      </c>
      <c r="K390" s="142">
        <v>1250</v>
      </c>
      <c r="L390" s="143">
        <v>45565</v>
      </c>
      <c r="M390" s="245" t="s">
        <v>632</v>
      </c>
    </row>
    <row r="391" spans="1:13" s="141" customFormat="1">
      <c r="A391" s="141">
        <v>222797088</v>
      </c>
      <c r="B391" s="141" t="e">
        <v>#N/A</v>
      </c>
      <c r="C391" s="141">
        <f>VLOOKUP(A391,'DS Tenanted units'!A:A,1,FALSE)</f>
        <v>222797088</v>
      </c>
      <c r="D391" s="141" t="s">
        <v>1162</v>
      </c>
      <c r="E391" s="141" t="s">
        <v>617</v>
      </c>
      <c r="G391" s="141" t="s">
        <v>1163</v>
      </c>
      <c r="H391" s="141" t="s">
        <v>750</v>
      </c>
      <c r="I391" s="141" t="s">
        <v>698</v>
      </c>
      <c r="J391" s="141" t="s">
        <v>989</v>
      </c>
      <c r="K391" s="142">
        <v>1250</v>
      </c>
      <c r="L391" s="143">
        <v>45565</v>
      </c>
      <c r="M391" s="245" t="s">
        <v>632</v>
      </c>
    </row>
    <row r="392" spans="1:13" s="141" customFormat="1">
      <c r="A392" s="141">
        <v>222797089</v>
      </c>
      <c r="B392" s="141" t="e">
        <v>#N/A</v>
      </c>
      <c r="C392" s="141">
        <f>VLOOKUP(A392,'DS Tenanted units'!A:A,1,FALSE)</f>
        <v>222797089</v>
      </c>
      <c r="D392" s="141" t="s">
        <v>1164</v>
      </c>
      <c r="E392" s="141" t="s">
        <v>617</v>
      </c>
      <c r="G392" s="141" t="s">
        <v>1165</v>
      </c>
      <c r="H392" s="141" t="s">
        <v>750</v>
      </c>
      <c r="I392" s="141" t="s">
        <v>698</v>
      </c>
      <c r="J392" s="141" t="s">
        <v>989</v>
      </c>
      <c r="K392" s="142">
        <v>1250</v>
      </c>
      <c r="L392" s="143">
        <v>45565</v>
      </c>
      <c r="M392" s="245" t="s">
        <v>632</v>
      </c>
    </row>
    <row r="393" spans="1:13" s="141" customFormat="1">
      <c r="A393" s="141">
        <v>222797090</v>
      </c>
      <c r="B393" s="141" t="e">
        <v>#N/A</v>
      </c>
      <c r="C393" s="141">
        <f>VLOOKUP(A393,'DS Tenanted units'!A:A,1,FALSE)</f>
        <v>222797090</v>
      </c>
      <c r="D393" s="141" t="s">
        <v>1166</v>
      </c>
      <c r="E393" s="141" t="s">
        <v>617</v>
      </c>
      <c r="G393" s="141" t="s">
        <v>1167</v>
      </c>
      <c r="H393" s="141" t="s">
        <v>750</v>
      </c>
      <c r="I393" s="141" t="s">
        <v>698</v>
      </c>
      <c r="J393" s="141" t="s">
        <v>989</v>
      </c>
      <c r="K393" s="142">
        <v>1250</v>
      </c>
      <c r="L393" s="143">
        <v>45565</v>
      </c>
      <c r="M393" s="245" t="s">
        <v>632</v>
      </c>
    </row>
    <row r="394" spans="1:13" s="141" customFormat="1">
      <c r="A394" s="141">
        <v>222797091</v>
      </c>
      <c r="B394" s="141" t="e">
        <v>#N/A</v>
      </c>
      <c r="C394" s="141">
        <f>VLOOKUP(A394,'DS Tenanted units'!A:A,1,FALSE)</f>
        <v>222797091</v>
      </c>
      <c r="D394" s="141" t="s">
        <v>1168</v>
      </c>
      <c r="E394" s="141" t="s">
        <v>617</v>
      </c>
      <c r="G394" s="141" t="s">
        <v>1169</v>
      </c>
      <c r="H394" s="141" t="s">
        <v>750</v>
      </c>
      <c r="I394" s="141" t="s">
        <v>698</v>
      </c>
      <c r="J394" s="141" t="s">
        <v>989</v>
      </c>
      <c r="K394" s="142">
        <v>1250</v>
      </c>
      <c r="L394" s="143">
        <v>45565</v>
      </c>
      <c r="M394" s="245" t="s">
        <v>632</v>
      </c>
    </row>
    <row r="395" spans="1:13" s="141" customFormat="1">
      <c r="A395" s="141">
        <v>222797092</v>
      </c>
      <c r="B395" s="141" t="e">
        <v>#N/A</v>
      </c>
      <c r="C395" s="141">
        <f>VLOOKUP(A395,'DS Tenanted units'!A:A,1,FALSE)</f>
        <v>222797092</v>
      </c>
      <c r="D395" s="141" t="s">
        <v>1170</v>
      </c>
      <c r="E395" s="141" t="s">
        <v>617</v>
      </c>
      <c r="G395" s="141" t="s">
        <v>1171</v>
      </c>
      <c r="H395" s="141" t="s">
        <v>750</v>
      </c>
      <c r="I395" s="141" t="s">
        <v>698</v>
      </c>
      <c r="J395" s="141" t="s">
        <v>989</v>
      </c>
      <c r="K395" s="142">
        <v>1250</v>
      </c>
      <c r="L395" s="143">
        <v>45565</v>
      </c>
      <c r="M395" s="245" t="s">
        <v>632</v>
      </c>
    </row>
    <row r="396" spans="1:13" s="141" customFormat="1">
      <c r="A396" s="141">
        <v>222797093</v>
      </c>
      <c r="B396" s="141" t="e">
        <v>#N/A</v>
      </c>
      <c r="C396" s="141">
        <f>VLOOKUP(A396,'DS Tenanted units'!A:A,1,FALSE)</f>
        <v>222797093</v>
      </c>
      <c r="D396" s="141" t="s">
        <v>1172</v>
      </c>
      <c r="E396" s="141" t="s">
        <v>617</v>
      </c>
      <c r="G396" s="141" t="s">
        <v>1173</v>
      </c>
      <c r="H396" s="141" t="s">
        <v>750</v>
      </c>
      <c r="I396" s="141" t="s">
        <v>698</v>
      </c>
      <c r="J396" s="141" t="s">
        <v>989</v>
      </c>
      <c r="K396" s="142">
        <v>1250</v>
      </c>
      <c r="L396" s="143">
        <v>45565</v>
      </c>
      <c r="M396" s="245" t="s">
        <v>632</v>
      </c>
    </row>
    <row r="397" spans="1:13" s="141" customFormat="1">
      <c r="A397" s="141">
        <v>222797094</v>
      </c>
      <c r="B397" s="141" t="e">
        <v>#N/A</v>
      </c>
      <c r="C397" s="141">
        <f>VLOOKUP(A397,'DS Tenanted units'!A:A,1,FALSE)</f>
        <v>222797094</v>
      </c>
      <c r="D397" s="141" t="s">
        <v>1174</v>
      </c>
      <c r="E397" s="141" t="s">
        <v>617</v>
      </c>
      <c r="G397" s="141" t="s">
        <v>1175</v>
      </c>
      <c r="H397" s="141" t="s">
        <v>750</v>
      </c>
      <c r="I397" s="141" t="s">
        <v>698</v>
      </c>
      <c r="J397" s="141" t="s">
        <v>989</v>
      </c>
      <c r="K397" s="142">
        <v>1250</v>
      </c>
      <c r="L397" s="143">
        <v>45565</v>
      </c>
      <c r="M397" s="245" t="s">
        <v>632</v>
      </c>
    </row>
    <row r="398" spans="1:13" s="141" customFormat="1">
      <c r="A398" s="141">
        <v>222797095</v>
      </c>
      <c r="B398" s="141" t="e">
        <v>#N/A</v>
      </c>
      <c r="C398" s="141">
        <f>VLOOKUP(A398,'DS Tenanted units'!A:A,1,FALSE)</f>
        <v>222797095</v>
      </c>
      <c r="D398" s="141" t="s">
        <v>1176</v>
      </c>
      <c r="E398" s="141" t="s">
        <v>617</v>
      </c>
      <c r="G398" s="141" t="s">
        <v>1177</v>
      </c>
      <c r="H398" s="141" t="s">
        <v>750</v>
      </c>
      <c r="I398" s="141" t="s">
        <v>698</v>
      </c>
      <c r="J398" s="141" t="s">
        <v>989</v>
      </c>
      <c r="K398" s="141">
        <v>0</v>
      </c>
      <c r="L398" s="143">
        <v>45565</v>
      </c>
      <c r="M398" s="245" t="s">
        <v>632</v>
      </c>
    </row>
    <row r="399" spans="1:13" s="141" customFormat="1">
      <c r="A399" s="141">
        <v>222797096</v>
      </c>
      <c r="B399" s="141" t="e">
        <v>#N/A</v>
      </c>
      <c r="C399" s="141">
        <f>VLOOKUP(A399,'DS Tenanted units'!A:A,1,FALSE)</f>
        <v>222797096</v>
      </c>
      <c r="D399" s="141" t="s">
        <v>1178</v>
      </c>
      <c r="E399" s="141" t="s">
        <v>617</v>
      </c>
      <c r="G399" s="141" t="s">
        <v>1179</v>
      </c>
      <c r="H399" s="141" t="s">
        <v>750</v>
      </c>
      <c r="I399" s="141" t="s">
        <v>698</v>
      </c>
      <c r="J399" s="141" t="s">
        <v>989</v>
      </c>
      <c r="K399" s="141">
        <v>0</v>
      </c>
      <c r="L399" s="143">
        <v>45565</v>
      </c>
      <c r="M399" s="245" t="s">
        <v>632</v>
      </c>
    </row>
    <row r="400" spans="1:13" s="141" customFormat="1">
      <c r="A400" s="141">
        <v>222797097</v>
      </c>
      <c r="B400" s="141" t="e">
        <v>#N/A</v>
      </c>
      <c r="C400" s="141">
        <f>VLOOKUP(A400,'DS Tenanted units'!A:A,1,FALSE)</f>
        <v>222797097</v>
      </c>
      <c r="D400" s="141" t="s">
        <v>1180</v>
      </c>
      <c r="E400" s="141" t="s">
        <v>617</v>
      </c>
      <c r="G400" s="141" t="s">
        <v>1181</v>
      </c>
      <c r="H400" s="141" t="s">
        <v>750</v>
      </c>
      <c r="I400" s="141" t="s">
        <v>698</v>
      </c>
      <c r="J400" s="141" t="s">
        <v>989</v>
      </c>
      <c r="K400" s="141">
        <v>0</v>
      </c>
      <c r="L400" s="143">
        <v>45565</v>
      </c>
      <c r="M400" s="245" t="s">
        <v>632</v>
      </c>
    </row>
    <row r="401" spans="1:13" s="141" customFormat="1">
      <c r="A401" s="141">
        <v>222797098</v>
      </c>
      <c r="B401" s="141" t="e">
        <v>#N/A</v>
      </c>
      <c r="C401" s="141">
        <f>VLOOKUP(A401,'DS Tenanted units'!A:A,1,FALSE)</f>
        <v>222797098</v>
      </c>
      <c r="D401" s="141" t="s">
        <v>1182</v>
      </c>
      <c r="E401" s="141" t="s">
        <v>617</v>
      </c>
      <c r="G401" s="141" t="s">
        <v>1183</v>
      </c>
      <c r="H401" s="141" t="s">
        <v>750</v>
      </c>
      <c r="I401" s="141" t="s">
        <v>698</v>
      </c>
      <c r="J401" s="141" t="s">
        <v>989</v>
      </c>
      <c r="K401" s="142">
        <v>1250</v>
      </c>
      <c r="L401" s="143">
        <v>45565</v>
      </c>
      <c r="M401" s="245" t="s">
        <v>632</v>
      </c>
    </row>
    <row r="402" spans="1:13" s="141" customFormat="1">
      <c r="A402" s="141">
        <v>222797099</v>
      </c>
      <c r="B402" s="141" t="e">
        <v>#N/A</v>
      </c>
      <c r="C402" s="141">
        <f>VLOOKUP(A402,'DS Tenanted units'!A:A,1,FALSE)</f>
        <v>222797099</v>
      </c>
      <c r="D402" s="141" t="s">
        <v>1184</v>
      </c>
      <c r="E402" s="141" t="s">
        <v>617</v>
      </c>
      <c r="G402" s="141" t="s">
        <v>1185</v>
      </c>
      <c r="H402" s="141" t="s">
        <v>750</v>
      </c>
      <c r="I402" s="141" t="s">
        <v>698</v>
      </c>
      <c r="J402" s="141" t="s">
        <v>989</v>
      </c>
      <c r="K402" s="142">
        <v>1250</v>
      </c>
      <c r="L402" s="143">
        <v>45565</v>
      </c>
      <c r="M402" s="245" t="s">
        <v>632</v>
      </c>
    </row>
    <row r="403" spans="1:13" s="141" customFormat="1">
      <c r="A403" s="141">
        <v>222797100</v>
      </c>
      <c r="B403" s="141" t="e">
        <v>#N/A</v>
      </c>
      <c r="C403" s="141">
        <f>VLOOKUP(A403,'DS Tenanted units'!A:A,1,FALSE)</f>
        <v>222797100</v>
      </c>
      <c r="D403" s="141" t="s">
        <v>1186</v>
      </c>
      <c r="E403" s="141" t="s">
        <v>617</v>
      </c>
      <c r="G403" s="141" t="s">
        <v>1187</v>
      </c>
      <c r="H403" s="141" t="s">
        <v>750</v>
      </c>
      <c r="I403" s="141" t="s">
        <v>698</v>
      </c>
      <c r="J403" s="141" t="s">
        <v>989</v>
      </c>
      <c r="K403" s="142">
        <v>1250</v>
      </c>
      <c r="L403" s="143">
        <v>45565</v>
      </c>
      <c r="M403" s="245" t="s">
        <v>632</v>
      </c>
    </row>
    <row r="404" spans="1:13" s="141" customFormat="1">
      <c r="A404" s="141">
        <v>222797101</v>
      </c>
      <c r="B404" s="141" t="e">
        <v>#N/A</v>
      </c>
      <c r="C404" s="141">
        <f>VLOOKUP(A404,'DS Tenanted units'!A:A,1,FALSE)</f>
        <v>222797101</v>
      </c>
      <c r="D404" s="141" t="s">
        <v>1188</v>
      </c>
      <c r="E404" s="141" t="s">
        <v>617</v>
      </c>
      <c r="G404" s="141" t="s">
        <v>1189</v>
      </c>
      <c r="H404" s="141" t="s">
        <v>750</v>
      </c>
      <c r="I404" s="141" t="s">
        <v>698</v>
      </c>
      <c r="J404" s="141" t="s">
        <v>989</v>
      </c>
      <c r="K404" s="142">
        <v>1250</v>
      </c>
      <c r="L404" s="143">
        <v>45565</v>
      </c>
      <c r="M404" s="245" t="s">
        <v>632</v>
      </c>
    </row>
    <row r="405" spans="1:13" s="141" customFormat="1">
      <c r="A405" s="141">
        <v>222797102</v>
      </c>
      <c r="B405" s="141" t="e">
        <v>#N/A</v>
      </c>
      <c r="C405" s="141">
        <f>VLOOKUP(A405,'DS Tenanted units'!A:A,1,FALSE)</f>
        <v>222797102</v>
      </c>
      <c r="D405" s="141" t="s">
        <v>1190</v>
      </c>
      <c r="E405" s="141" t="s">
        <v>617</v>
      </c>
      <c r="G405" s="141" t="s">
        <v>1191</v>
      </c>
      <c r="H405" s="141" t="s">
        <v>750</v>
      </c>
      <c r="I405" s="141" t="s">
        <v>698</v>
      </c>
      <c r="J405" s="141" t="s">
        <v>989</v>
      </c>
      <c r="K405" s="142">
        <v>1250</v>
      </c>
      <c r="L405" s="143">
        <v>45565</v>
      </c>
      <c r="M405" s="245" t="s">
        <v>632</v>
      </c>
    </row>
    <row r="406" spans="1:13" s="141" customFormat="1">
      <c r="A406" s="141">
        <v>222797103</v>
      </c>
      <c r="B406" s="141" t="e">
        <v>#N/A</v>
      </c>
      <c r="C406" s="141">
        <f>VLOOKUP(A406,'DS Tenanted units'!A:A,1,FALSE)</f>
        <v>222797103</v>
      </c>
      <c r="D406" s="141" t="s">
        <v>1192</v>
      </c>
      <c r="E406" s="141" t="s">
        <v>617</v>
      </c>
      <c r="G406" s="141" t="s">
        <v>1193</v>
      </c>
      <c r="H406" s="141" t="s">
        <v>750</v>
      </c>
      <c r="I406" s="141" t="s">
        <v>698</v>
      </c>
      <c r="J406" s="141" t="s">
        <v>989</v>
      </c>
      <c r="K406" s="142">
        <v>1250</v>
      </c>
      <c r="L406" s="143">
        <v>45565</v>
      </c>
      <c r="M406" s="245" t="s">
        <v>632</v>
      </c>
    </row>
    <row r="407" spans="1:13" s="141" customFormat="1">
      <c r="A407" s="141">
        <v>222797104</v>
      </c>
      <c r="B407" s="141" t="e">
        <v>#N/A</v>
      </c>
      <c r="C407" s="141">
        <f>VLOOKUP(A407,'DS Tenanted units'!A:A,1,FALSE)</f>
        <v>222797104</v>
      </c>
      <c r="D407" s="141" t="s">
        <v>1194</v>
      </c>
      <c r="E407" s="141" t="s">
        <v>617</v>
      </c>
      <c r="G407" s="141" t="s">
        <v>1195</v>
      </c>
      <c r="H407" s="141" t="s">
        <v>750</v>
      </c>
      <c r="I407" s="141" t="s">
        <v>698</v>
      </c>
      <c r="J407" s="141" t="s">
        <v>989</v>
      </c>
      <c r="K407" s="142">
        <v>1250</v>
      </c>
      <c r="L407" s="143">
        <v>45565</v>
      </c>
      <c r="M407" s="245" t="s">
        <v>632</v>
      </c>
    </row>
    <row r="408" spans="1:13" s="141" customFormat="1">
      <c r="A408" s="141">
        <v>222797105</v>
      </c>
      <c r="B408" s="141" t="e">
        <v>#N/A</v>
      </c>
      <c r="C408" s="141">
        <f>VLOOKUP(A408,'DS Tenanted units'!A:A,1,FALSE)</f>
        <v>222797105</v>
      </c>
      <c r="D408" s="141" t="s">
        <v>1196</v>
      </c>
      <c r="E408" s="141" t="s">
        <v>617</v>
      </c>
      <c r="G408" s="141" t="s">
        <v>1197</v>
      </c>
      <c r="H408" s="141" t="s">
        <v>750</v>
      </c>
      <c r="I408" s="141" t="s">
        <v>698</v>
      </c>
      <c r="J408" s="141" t="s">
        <v>989</v>
      </c>
      <c r="K408" s="142">
        <v>1250</v>
      </c>
      <c r="L408" s="143">
        <v>45565</v>
      </c>
      <c r="M408" s="245" t="s">
        <v>632</v>
      </c>
    </row>
    <row r="409" spans="1:13" s="141" customFormat="1">
      <c r="A409" s="141">
        <v>222797106</v>
      </c>
      <c r="B409" s="141" t="e">
        <v>#N/A</v>
      </c>
      <c r="C409" s="141">
        <f>VLOOKUP(A409,'DS Tenanted units'!A:A,1,FALSE)</f>
        <v>222797106</v>
      </c>
      <c r="D409" s="141" t="s">
        <v>1198</v>
      </c>
      <c r="E409" s="141" t="s">
        <v>617</v>
      </c>
      <c r="G409" s="141" t="s">
        <v>1199</v>
      </c>
      <c r="H409" s="141" t="s">
        <v>750</v>
      </c>
      <c r="I409" s="141" t="s">
        <v>698</v>
      </c>
      <c r="J409" s="141" t="s">
        <v>989</v>
      </c>
      <c r="K409" s="142">
        <v>1250</v>
      </c>
      <c r="L409" s="143">
        <v>45565</v>
      </c>
      <c r="M409" s="245" t="s">
        <v>632</v>
      </c>
    </row>
    <row r="410" spans="1:13" s="141" customFormat="1">
      <c r="A410" s="141">
        <v>222797107</v>
      </c>
      <c r="B410" s="141" t="e">
        <v>#N/A</v>
      </c>
      <c r="C410" s="141">
        <f>VLOOKUP(A410,'DS Tenanted units'!A:A,1,FALSE)</f>
        <v>222797107</v>
      </c>
      <c r="D410" s="141" t="s">
        <v>1200</v>
      </c>
      <c r="E410" s="141" t="s">
        <v>617</v>
      </c>
      <c r="G410" s="141" t="s">
        <v>1201</v>
      </c>
      <c r="H410" s="141" t="s">
        <v>750</v>
      </c>
      <c r="I410" s="141" t="s">
        <v>698</v>
      </c>
      <c r="J410" s="141" t="s">
        <v>989</v>
      </c>
      <c r="K410" s="142">
        <v>1250</v>
      </c>
      <c r="L410" s="143">
        <v>45565</v>
      </c>
      <c r="M410" s="245" t="s">
        <v>632</v>
      </c>
    </row>
    <row r="411" spans="1:13" s="141" customFormat="1">
      <c r="A411" s="141">
        <v>222797108</v>
      </c>
      <c r="B411" s="141" t="e">
        <v>#N/A</v>
      </c>
      <c r="C411" s="141">
        <f>VLOOKUP(A411,'DS Tenanted units'!A:A,1,FALSE)</f>
        <v>222797108</v>
      </c>
      <c r="D411" s="141" t="s">
        <v>1202</v>
      </c>
      <c r="E411" s="141" t="s">
        <v>617</v>
      </c>
      <c r="G411" s="141" t="s">
        <v>1203</v>
      </c>
      <c r="H411" s="141" t="s">
        <v>750</v>
      </c>
      <c r="I411" s="141" t="s">
        <v>698</v>
      </c>
      <c r="J411" s="141" t="s">
        <v>989</v>
      </c>
      <c r="K411" s="142">
        <v>1250</v>
      </c>
      <c r="L411" s="143">
        <v>45565</v>
      </c>
      <c r="M411" s="245" t="s">
        <v>632</v>
      </c>
    </row>
    <row r="412" spans="1:13" s="141" customFormat="1">
      <c r="A412" s="141">
        <v>222797109</v>
      </c>
      <c r="B412" s="141" t="e">
        <v>#N/A</v>
      </c>
      <c r="C412" s="141">
        <f>VLOOKUP(A412,'DS Tenanted units'!A:A,1,FALSE)</f>
        <v>222797109</v>
      </c>
      <c r="D412" s="141" t="s">
        <v>1204</v>
      </c>
      <c r="E412" s="141" t="s">
        <v>617</v>
      </c>
      <c r="G412" s="141" t="s">
        <v>1205</v>
      </c>
      <c r="H412" s="141" t="s">
        <v>750</v>
      </c>
      <c r="I412" s="141" t="s">
        <v>698</v>
      </c>
      <c r="J412" s="141" t="s">
        <v>989</v>
      </c>
      <c r="K412" s="142">
        <v>1250</v>
      </c>
      <c r="L412" s="143">
        <v>45565</v>
      </c>
      <c r="M412" s="245" t="s">
        <v>632</v>
      </c>
    </row>
    <row r="413" spans="1:13" s="141" customFormat="1">
      <c r="A413" s="141">
        <v>222797110</v>
      </c>
      <c r="B413" s="141" t="e">
        <v>#N/A</v>
      </c>
      <c r="C413" s="141">
        <f>VLOOKUP(A413,'DS Tenanted units'!A:A,1,FALSE)</f>
        <v>222797110</v>
      </c>
      <c r="D413" s="141" t="s">
        <v>1206</v>
      </c>
      <c r="E413" s="141" t="s">
        <v>617</v>
      </c>
      <c r="G413" s="141" t="s">
        <v>1207</v>
      </c>
      <c r="H413" s="141" t="s">
        <v>750</v>
      </c>
      <c r="I413" s="141" t="s">
        <v>698</v>
      </c>
      <c r="J413" s="141" t="s">
        <v>989</v>
      </c>
      <c r="K413" s="142">
        <v>1250</v>
      </c>
      <c r="L413" s="143">
        <v>45565</v>
      </c>
      <c r="M413" s="245" t="s">
        <v>632</v>
      </c>
    </row>
    <row r="414" spans="1:13" s="141" customFormat="1">
      <c r="A414" s="141">
        <v>222797111</v>
      </c>
      <c r="B414" s="141" t="e">
        <v>#N/A</v>
      </c>
      <c r="C414" s="141">
        <f>VLOOKUP(A414,'DS Tenanted units'!A:A,1,FALSE)</f>
        <v>222797111</v>
      </c>
      <c r="D414" s="141" t="s">
        <v>1208</v>
      </c>
      <c r="E414" s="141" t="s">
        <v>617</v>
      </c>
      <c r="G414" s="141" t="s">
        <v>1209</v>
      </c>
      <c r="H414" s="141" t="s">
        <v>750</v>
      </c>
      <c r="I414" s="141" t="s">
        <v>698</v>
      </c>
      <c r="J414" s="141" t="s">
        <v>989</v>
      </c>
      <c r="K414" s="142">
        <v>1250</v>
      </c>
      <c r="L414" s="143">
        <v>45565</v>
      </c>
      <c r="M414" s="245" t="s">
        <v>632</v>
      </c>
    </row>
    <row r="415" spans="1:13" s="141" customFormat="1">
      <c r="A415" s="141">
        <v>222797112</v>
      </c>
      <c r="B415" s="141" t="e">
        <v>#N/A</v>
      </c>
      <c r="C415" s="141">
        <f>VLOOKUP(A415,'DS Tenanted units'!A:A,1,FALSE)</f>
        <v>222797112</v>
      </c>
      <c r="D415" s="141" t="s">
        <v>1210</v>
      </c>
      <c r="E415" s="141" t="s">
        <v>617</v>
      </c>
      <c r="G415" s="141" t="s">
        <v>1211</v>
      </c>
      <c r="H415" s="141" t="s">
        <v>750</v>
      </c>
      <c r="I415" s="141" t="s">
        <v>698</v>
      </c>
      <c r="J415" s="141" t="s">
        <v>989</v>
      </c>
      <c r="K415" s="142">
        <v>1250</v>
      </c>
      <c r="L415" s="143">
        <v>45565</v>
      </c>
      <c r="M415" s="245" t="s">
        <v>632</v>
      </c>
    </row>
    <row r="416" spans="1:13" s="141" customFormat="1">
      <c r="A416" s="141">
        <v>222797113</v>
      </c>
      <c r="B416" s="141" t="e">
        <v>#N/A</v>
      </c>
      <c r="C416" s="141">
        <f>VLOOKUP(A416,'DS Tenanted units'!A:A,1,FALSE)</f>
        <v>222797113</v>
      </c>
      <c r="D416" s="141" t="s">
        <v>1212</v>
      </c>
      <c r="E416" s="141" t="s">
        <v>617</v>
      </c>
      <c r="G416" s="141" t="s">
        <v>1213</v>
      </c>
      <c r="H416" s="141" t="s">
        <v>750</v>
      </c>
      <c r="I416" s="141" t="s">
        <v>698</v>
      </c>
      <c r="J416" s="141" t="s">
        <v>989</v>
      </c>
      <c r="K416" s="142">
        <v>1250</v>
      </c>
      <c r="L416" s="143">
        <v>45565</v>
      </c>
      <c r="M416" s="245" t="s">
        <v>632</v>
      </c>
    </row>
    <row r="417" spans="1:13" s="141" customFormat="1">
      <c r="A417" s="141">
        <v>222797114</v>
      </c>
      <c r="B417" s="141" t="e">
        <v>#N/A</v>
      </c>
      <c r="C417" s="141">
        <f>VLOOKUP(A417,'DS Tenanted units'!A:A,1,FALSE)</f>
        <v>222797114</v>
      </c>
      <c r="D417" s="141" t="s">
        <v>1214</v>
      </c>
      <c r="E417" s="141" t="s">
        <v>617</v>
      </c>
      <c r="G417" s="141" t="s">
        <v>1215</v>
      </c>
      <c r="H417" s="141" t="s">
        <v>750</v>
      </c>
      <c r="I417" s="141" t="s">
        <v>698</v>
      </c>
      <c r="J417" s="141" t="s">
        <v>989</v>
      </c>
      <c r="K417" s="142">
        <v>1250</v>
      </c>
      <c r="L417" s="143">
        <v>45565</v>
      </c>
      <c r="M417" s="245" t="s">
        <v>632</v>
      </c>
    </row>
    <row r="418" spans="1:13" s="141" customFormat="1">
      <c r="A418" s="141">
        <v>222797115</v>
      </c>
      <c r="B418" s="141" t="e">
        <v>#N/A</v>
      </c>
      <c r="C418" s="141">
        <f>VLOOKUP(A418,'DS Tenanted units'!A:A,1,FALSE)</f>
        <v>222797115</v>
      </c>
      <c r="D418" s="141" t="s">
        <v>1216</v>
      </c>
      <c r="E418" s="141" t="s">
        <v>617</v>
      </c>
      <c r="G418" s="141" t="s">
        <v>1217</v>
      </c>
      <c r="H418" s="141" t="s">
        <v>750</v>
      </c>
      <c r="I418" s="141" t="s">
        <v>698</v>
      </c>
      <c r="J418" s="141" t="s">
        <v>989</v>
      </c>
      <c r="K418" s="142">
        <v>1250</v>
      </c>
      <c r="L418" s="143">
        <v>45565</v>
      </c>
      <c r="M418" s="245" t="s">
        <v>632</v>
      </c>
    </row>
    <row r="419" spans="1:13" s="141" customFormat="1">
      <c r="A419" s="141">
        <v>222797116</v>
      </c>
      <c r="B419" s="141" t="e">
        <v>#N/A</v>
      </c>
      <c r="C419" s="141">
        <f>VLOOKUP(A419,'DS Tenanted units'!A:A,1,FALSE)</f>
        <v>222797116</v>
      </c>
      <c r="D419" s="141" t="s">
        <v>1218</v>
      </c>
      <c r="E419" s="141" t="s">
        <v>617</v>
      </c>
      <c r="G419" s="141" t="s">
        <v>1219</v>
      </c>
      <c r="H419" s="141" t="s">
        <v>750</v>
      </c>
      <c r="I419" s="141" t="s">
        <v>698</v>
      </c>
      <c r="J419" s="141" t="s">
        <v>989</v>
      </c>
      <c r="K419" s="142">
        <v>1250</v>
      </c>
      <c r="L419" s="143">
        <v>45565</v>
      </c>
      <c r="M419" s="245" t="s">
        <v>632</v>
      </c>
    </row>
    <row r="420" spans="1:13" s="141" customFormat="1">
      <c r="A420" s="141">
        <v>222797117</v>
      </c>
      <c r="B420" s="141" t="e">
        <v>#N/A</v>
      </c>
      <c r="C420" s="141">
        <f>VLOOKUP(A420,'DS Tenanted units'!A:A,1,FALSE)</f>
        <v>222797117</v>
      </c>
      <c r="D420" s="141" t="s">
        <v>1220</v>
      </c>
      <c r="E420" s="141" t="s">
        <v>617</v>
      </c>
      <c r="G420" s="141" t="s">
        <v>1221</v>
      </c>
      <c r="H420" s="141" t="s">
        <v>750</v>
      </c>
      <c r="I420" s="141" t="s">
        <v>698</v>
      </c>
      <c r="J420" s="141" t="s">
        <v>989</v>
      </c>
      <c r="K420" s="142">
        <v>1250</v>
      </c>
      <c r="L420" s="143">
        <v>45565</v>
      </c>
      <c r="M420" s="245" t="s">
        <v>632</v>
      </c>
    </row>
    <row r="421" spans="1:13" s="141" customFormat="1">
      <c r="A421" s="141">
        <v>222797118</v>
      </c>
      <c r="B421" s="141" t="e">
        <v>#N/A</v>
      </c>
      <c r="C421" s="141">
        <f>VLOOKUP(A421,'DS Tenanted units'!A:A,1,FALSE)</f>
        <v>222797118</v>
      </c>
      <c r="D421" s="141" t="s">
        <v>1222</v>
      </c>
      <c r="E421" s="141" t="s">
        <v>617</v>
      </c>
      <c r="G421" s="141" t="s">
        <v>1223</v>
      </c>
      <c r="H421" s="141" t="s">
        <v>750</v>
      </c>
      <c r="I421" s="141" t="s">
        <v>698</v>
      </c>
      <c r="J421" s="141" t="s">
        <v>989</v>
      </c>
      <c r="K421" s="142">
        <v>30000</v>
      </c>
      <c r="L421" s="143">
        <v>45565</v>
      </c>
      <c r="M421" s="245" t="s">
        <v>632</v>
      </c>
    </row>
    <row r="422" spans="1:13" s="141" customFormat="1">
      <c r="A422" s="141">
        <v>222797119</v>
      </c>
      <c r="B422" s="141" t="e">
        <v>#N/A</v>
      </c>
      <c r="C422" s="141">
        <f>VLOOKUP(A422,'DS Tenanted units'!A:A,1,FALSE)</f>
        <v>222797119</v>
      </c>
      <c r="D422" s="141" t="s">
        <v>1224</v>
      </c>
      <c r="E422" s="141" t="s">
        <v>617</v>
      </c>
      <c r="G422" s="141" t="s">
        <v>1225</v>
      </c>
      <c r="H422" s="141" t="s">
        <v>750</v>
      </c>
      <c r="I422" s="141" t="s">
        <v>698</v>
      </c>
      <c r="J422" s="141" t="s">
        <v>989</v>
      </c>
      <c r="K422" s="141">
        <v>0</v>
      </c>
      <c r="L422" s="143">
        <v>45565</v>
      </c>
      <c r="M422" s="245" t="s">
        <v>632</v>
      </c>
    </row>
    <row r="423" spans="1:13" s="141" customFormat="1">
      <c r="A423" s="141">
        <v>222797120</v>
      </c>
      <c r="B423" s="141" t="e">
        <v>#N/A</v>
      </c>
      <c r="C423" s="141">
        <f>VLOOKUP(A423,'DS Tenanted units'!A:A,1,FALSE)</f>
        <v>222797120</v>
      </c>
      <c r="D423" s="141" t="s">
        <v>1226</v>
      </c>
      <c r="E423" s="141" t="s">
        <v>617</v>
      </c>
      <c r="G423" s="141" t="s">
        <v>1227</v>
      </c>
      <c r="H423" s="141" t="s">
        <v>750</v>
      </c>
      <c r="I423" s="141" t="s">
        <v>698</v>
      </c>
      <c r="J423" s="141" t="s">
        <v>989</v>
      </c>
      <c r="K423" s="141">
        <v>0</v>
      </c>
      <c r="L423" s="143">
        <v>45565</v>
      </c>
      <c r="M423" s="245" t="s">
        <v>632</v>
      </c>
    </row>
    <row r="424" spans="1:13" s="141" customFormat="1">
      <c r="A424" s="141">
        <v>222797121</v>
      </c>
      <c r="B424" s="141" t="e">
        <v>#N/A</v>
      </c>
      <c r="C424" s="141">
        <f>VLOOKUP(A424,'DS Tenanted units'!A:A,1,FALSE)</f>
        <v>222797121</v>
      </c>
      <c r="D424" s="141" t="s">
        <v>1228</v>
      </c>
      <c r="E424" s="141" t="s">
        <v>617</v>
      </c>
      <c r="G424" s="141" t="s">
        <v>1229</v>
      </c>
      <c r="H424" s="141" t="s">
        <v>750</v>
      </c>
      <c r="I424" s="141" t="s">
        <v>698</v>
      </c>
      <c r="J424" s="141" t="s">
        <v>989</v>
      </c>
      <c r="K424" s="141">
        <v>0</v>
      </c>
      <c r="L424" s="143">
        <v>45565</v>
      </c>
      <c r="M424" s="245" t="s">
        <v>632</v>
      </c>
    </row>
    <row r="425" spans="1:13" s="141" customFormat="1">
      <c r="A425" s="141">
        <v>222797122</v>
      </c>
      <c r="B425" s="141" t="e">
        <v>#N/A</v>
      </c>
      <c r="C425" s="141">
        <f>VLOOKUP(A425,'DS Tenanted units'!A:A,1,FALSE)</f>
        <v>222797122</v>
      </c>
      <c r="D425" s="141" t="s">
        <v>1230</v>
      </c>
      <c r="E425" s="141" t="s">
        <v>617</v>
      </c>
      <c r="G425" s="141" t="s">
        <v>1231</v>
      </c>
      <c r="H425" s="141" t="s">
        <v>750</v>
      </c>
      <c r="I425" s="141" t="s">
        <v>698</v>
      </c>
      <c r="J425" s="141" t="s">
        <v>989</v>
      </c>
      <c r="K425" s="141">
        <v>0</v>
      </c>
      <c r="L425" s="143">
        <v>45565</v>
      </c>
      <c r="M425" s="245" t="s">
        <v>632</v>
      </c>
    </row>
    <row r="426" spans="1:13" s="141" customFormat="1">
      <c r="A426" s="141">
        <v>222797123</v>
      </c>
      <c r="B426" s="141" t="e">
        <v>#N/A</v>
      </c>
      <c r="C426" s="141">
        <f>VLOOKUP(A426,'DS Tenanted units'!A:A,1,FALSE)</f>
        <v>222797123</v>
      </c>
      <c r="D426" s="141" t="s">
        <v>1232</v>
      </c>
      <c r="E426" s="141" t="s">
        <v>617</v>
      </c>
      <c r="G426" s="141" t="s">
        <v>1233</v>
      </c>
      <c r="H426" s="141" t="s">
        <v>750</v>
      </c>
      <c r="I426" s="141" t="s">
        <v>698</v>
      </c>
      <c r="J426" s="141" t="s">
        <v>989</v>
      </c>
      <c r="K426" s="141">
        <v>0</v>
      </c>
      <c r="L426" s="143">
        <v>45565</v>
      </c>
      <c r="M426" s="245" t="s">
        <v>632</v>
      </c>
    </row>
    <row r="427" spans="1:13" s="141" customFormat="1">
      <c r="A427" s="141">
        <v>222797124</v>
      </c>
      <c r="B427" s="141" t="e">
        <v>#N/A</v>
      </c>
      <c r="C427" s="141">
        <f>VLOOKUP(A427,'DS Tenanted units'!A:A,1,FALSE)</f>
        <v>222797124</v>
      </c>
      <c r="D427" s="141" t="s">
        <v>1234</v>
      </c>
      <c r="E427" s="141" t="s">
        <v>617</v>
      </c>
      <c r="G427" s="141" t="s">
        <v>1235</v>
      </c>
      <c r="H427" s="141" t="s">
        <v>750</v>
      </c>
      <c r="I427" s="141" t="s">
        <v>698</v>
      </c>
      <c r="J427" s="141" t="s">
        <v>989</v>
      </c>
      <c r="K427" s="141">
        <v>0</v>
      </c>
      <c r="L427" s="143">
        <v>45565</v>
      </c>
      <c r="M427" s="245" t="s">
        <v>632</v>
      </c>
    </row>
    <row r="428" spans="1:13" s="141" customFormat="1">
      <c r="A428" s="141">
        <v>222797125</v>
      </c>
      <c r="B428" s="141" t="e">
        <v>#N/A</v>
      </c>
      <c r="C428" s="141">
        <f>VLOOKUP(A428,'DS Tenanted units'!A:A,1,FALSE)</f>
        <v>222797125</v>
      </c>
      <c r="D428" s="141" t="s">
        <v>1236</v>
      </c>
      <c r="E428" s="141" t="s">
        <v>617</v>
      </c>
      <c r="G428" s="141" t="s">
        <v>1237</v>
      </c>
      <c r="H428" s="141" t="s">
        <v>750</v>
      </c>
      <c r="I428" s="141" t="s">
        <v>698</v>
      </c>
      <c r="J428" s="141" t="s">
        <v>989</v>
      </c>
      <c r="K428" s="141">
        <v>0</v>
      </c>
      <c r="L428" s="143">
        <v>45565</v>
      </c>
      <c r="M428" s="245" t="s">
        <v>632</v>
      </c>
    </row>
    <row r="429" spans="1:13" s="141" customFormat="1">
      <c r="A429" s="141">
        <v>222797126</v>
      </c>
      <c r="B429" s="141" t="e">
        <v>#N/A</v>
      </c>
      <c r="C429" s="141">
        <f>VLOOKUP(A429,'DS Tenanted units'!A:A,1,FALSE)</f>
        <v>222797126</v>
      </c>
      <c r="D429" s="141" t="s">
        <v>1238</v>
      </c>
      <c r="E429" s="141" t="s">
        <v>617</v>
      </c>
      <c r="G429" s="141" t="s">
        <v>1239</v>
      </c>
      <c r="H429" s="141" t="s">
        <v>750</v>
      </c>
      <c r="I429" s="141" t="s">
        <v>698</v>
      </c>
      <c r="J429" s="141" t="s">
        <v>989</v>
      </c>
      <c r="K429" s="141">
        <v>0</v>
      </c>
      <c r="L429" s="143">
        <v>45565</v>
      </c>
      <c r="M429" s="245" t="s">
        <v>632</v>
      </c>
    </row>
    <row r="430" spans="1:13" s="141" customFormat="1">
      <c r="A430" s="141">
        <v>222797127</v>
      </c>
      <c r="B430" s="141" t="e">
        <v>#N/A</v>
      </c>
      <c r="C430" s="141">
        <f>VLOOKUP(A430,'DS Tenanted units'!A:A,1,FALSE)</f>
        <v>222797127</v>
      </c>
      <c r="D430" s="141" t="s">
        <v>1240</v>
      </c>
      <c r="E430" s="141" t="s">
        <v>617</v>
      </c>
      <c r="G430" s="141" t="s">
        <v>1241</v>
      </c>
      <c r="H430" s="141" t="s">
        <v>750</v>
      </c>
      <c r="I430" s="141" t="s">
        <v>698</v>
      </c>
      <c r="J430" s="141" t="s">
        <v>989</v>
      </c>
      <c r="K430" s="141">
        <v>0</v>
      </c>
      <c r="L430" s="143">
        <v>45565</v>
      </c>
      <c r="M430" s="245" t="s">
        <v>632</v>
      </c>
    </row>
    <row r="431" spans="1:13" s="141" customFormat="1">
      <c r="A431" s="141">
        <v>222797128</v>
      </c>
      <c r="B431" s="141" t="e">
        <v>#N/A</v>
      </c>
      <c r="C431" s="141">
        <f>VLOOKUP(A431,'DS Tenanted units'!A:A,1,FALSE)</f>
        <v>222797128</v>
      </c>
      <c r="D431" s="141" t="s">
        <v>1242</v>
      </c>
      <c r="E431" s="141" t="s">
        <v>617</v>
      </c>
      <c r="G431" s="141" t="s">
        <v>1243</v>
      </c>
      <c r="H431" s="141" t="s">
        <v>750</v>
      </c>
      <c r="I431" s="141" t="s">
        <v>698</v>
      </c>
      <c r="J431" s="141" t="s">
        <v>989</v>
      </c>
      <c r="K431" s="141">
        <v>0</v>
      </c>
      <c r="L431" s="143">
        <v>45565</v>
      </c>
      <c r="M431" s="245" t="s">
        <v>632</v>
      </c>
    </row>
    <row r="432" spans="1:13" s="141" customFormat="1">
      <c r="A432" s="141">
        <v>222797129</v>
      </c>
      <c r="B432" s="141" t="e">
        <v>#N/A</v>
      </c>
      <c r="C432" s="141">
        <f>VLOOKUP(A432,'DS Tenanted units'!A:A,1,FALSE)</f>
        <v>222797129</v>
      </c>
      <c r="D432" s="141" t="s">
        <v>1244</v>
      </c>
      <c r="E432" s="141" t="s">
        <v>617</v>
      </c>
      <c r="G432" s="141" t="s">
        <v>1245</v>
      </c>
      <c r="H432" s="141" t="s">
        <v>750</v>
      </c>
      <c r="I432" s="141" t="s">
        <v>698</v>
      </c>
      <c r="J432" s="141" t="s">
        <v>989</v>
      </c>
      <c r="K432" s="141">
        <v>0</v>
      </c>
      <c r="L432" s="143">
        <v>45565</v>
      </c>
      <c r="M432" s="245" t="s">
        <v>632</v>
      </c>
    </row>
    <row r="433" spans="1:13" s="141" customFormat="1">
      <c r="A433" s="141">
        <v>222797130</v>
      </c>
      <c r="B433" s="141" t="e">
        <v>#N/A</v>
      </c>
      <c r="C433" s="141">
        <f>VLOOKUP(A433,'DS Tenanted units'!A:A,1,FALSE)</f>
        <v>222797130</v>
      </c>
      <c r="D433" s="141" t="s">
        <v>1246</v>
      </c>
      <c r="E433" s="141" t="s">
        <v>617</v>
      </c>
      <c r="G433" s="141" t="s">
        <v>1247</v>
      </c>
      <c r="H433" s="141" t="s">
        <v>750</v>
      </c>
      <c r="I433" s="141" t="s">
        <v>698</v>
      </c>
      <c r="J433" s="141" t="s">
        <v>989</v>
      </c>
      <c r="K433" s="141">
        <v>0</v>
      </c>
      <c r="L433" s="143">
        <v>45565</v>
      </c>
      <c r="M433" s="245" t="s">
        <v>632</v>
      </c>
    </row>
    <row r="434" spans="1:13" s="141" customFormat="1">
      <c r="A434" s="141">
        <v>222797131</v>
      </c>
      <c r="B434" s="141" t="e">
        <v>#N/A</v>
      </c>
      <c r="C434" s="141">
        <f>VLOOKUP(A434,'DS Tenanted units'!A:A,1,FALSE)</f>
        <v>222797131</v>
      </c>
      <c r="D434" s="141" t="s">
        <v>1248</v>
      </c>
      <c r="E434" s="141" t="s">
        <v>617</v>
      </c>
      <c r="G434" s="141" t="s">
        <v>1249</v>
      </c>
      <c r="H434" s="141" t="s">
        <v>750</v>
      </c>
      <c r="I434" s="141" t="s">
        <v>698</v>
      </c>
      <c r="J434" s="141" t="s">
        <v>989</v>
      </c>
      <c r="K434" s="141">
        <v>0</v>
      </c>
      <c r="L434" s="143">
        <v>45565</v>
      </c>
      <c r="M434" s="245" t="s">
        <v>632</v>
      </c>
    </row>
    <row r="435" spans="1:13" s="141" customFormat="1">
      <c r="A435" s="141">
        <v>222797132</v>
      </c>
      <c r="B435" s="141" t="e">
        <v>#N/A</v>
      </c>
      <c r="C435" s="141">
        <f>VLOOKUP(A435,'DS Tenanted units'!A:A,1,FALSE)</f>
        <v>222797132</v>
      </c>
      <c r="D435" s="141" t="s">
        <v>1250</v>
      </c>
      <c r="E435" s="141" t="s">
        <v>617</v>
      </c>
      <c r="G435" s="141" t="s">
        <v>1251</v>
      </c>
      <c r="H435" s="141" t="s">
        <v>750</v>
      </c>
      <c r="I435" s="141" t="s">
        <v>698</v>
      </c>
      <c r="J435" s="141" t="s">
        <v>989</v>
      </c>
      <c r="K435" s="141">
        <v>0</v>
      </c>
      <c r="L435" s="143">
        <v>45565</v>
      </c>
      <c r="M435" s="245" t="s">
        <v>632</v>
      </c>
    </row>
    <row r="436" spans="1:13" s="141" customFormat="1">
      <c r="A436" s="141">
        <v>222797133</v>
      </c>
      <c r="B436" s="141" t="e">
        <v>#N/A</v>
      </c>
      <c r="C436" s="141">
        <f>VLOOKUP(A436,'DS Tenanted units'!A:A,1,FALSE)</f>
        <v>222797133</v>
      </c>
      <c r="D436" s="141" t="s">
        <v>1252</v>
      </c>
      <c r="E436" s="141" t="s">
        <v>617</v>
      </c>
      <c r="G436" s="141" t="s">
        <v>1253</v>
      </c>
      <c r="H436" s="141" t="s">
        <v>750</v>
      </c>
      <c r="I436" s="141" t="s">
        <v>698</v>
      </c>
      <c r="J436" s="141" t="s">
        <v>989</v>
      </c>
      <c r="K436" s="141">
        <v>0</v>
      </c>
      <c r="L436" s="143">
        <v>45565</v>
      </c>
      <c r="M436" s="245" t="s">
        <v>632</v>
      </c>
    </row>
    <row r="437" spans="1:13" s="141" customFormat="1">
      <c r="A437" s="141">
        <v>222797134</v>
      </c>
      <c r="B437" s="141" t="e">
        <v>#N/A</v>
      </c>
      <c r="C437" s="141">
        <f>VLOOKUP(A437,'DS Tenanted units'!A:A,1,FALSE)</f>
        <v>222797134</v>
      </c>
      <c r="D437" s="141" t="s">
        <v>1254</v>
      </c>
      <c r="E437" s="141" t="s">
        <v>617</v>
      </c>
      <c r="G437" s="141" t="s">
        <v>1255</v>
      </c>
      <c r="H437" s="141" t="s">
        <v>750</v>
      </c>
      <c r="I437" s="141" t="s">
        <v>698</v>
      </c>
      <c r="J437" s="141" t="s">
        <v>989</v>
      </c>
      <c r="K437" s="141">
        <v>0</v>
      </c>
      <c r="L437" s="143">
        <v>45565</v>
      </c>
      <c r="M437" s="245" t="s">
        <v>632</v>
      </c>
    </row>
    <row r="438" spans="1:13" s="141" customFormat="1">
      <c r="A438" s="141">
        <v>222797135</v>
      </c>
      <c r="B438" s="141" t="e">
        <v>#N/A</v>
      </c>
      <c r="C438" s="141">
        <f>VLOOKUP(A438,'DS Tenanted units'!A:A,1,FALSE)</f>
        <v>222797135</v>
      </c>
      <c r="D438" s="141" t="s">
        <v>1256</v>
      </c>
      <c r="E438" s="141" t="s">
        <v>617</v>
      </c>
      <c r="G438" s="141" t="s">
        <v>1257</v>
      </c>
      <c r="H438" s="141" t="s">
        <v>750</v>
      </c>
      <c r="I438" s="141" t="s">
        <v>698</v>
      </c>
      <c r="J438" s="141" t="s">
        <v>989</v>
      </c>
      <c r="K438" s="141">
        <v>0</v>
      </c>
      <c r="L438" s="143">
        <v>45565</v>
      </c>
      <c r="M438" s="245" t="s">
        <v>632</v>
      </c>
    </row>
    <row r="439" spans="1:13" s="141" customFormat="1">
      <c r="A439" s="141">
        <v>222797136</v>
      </c>
      <c r="B439" s="141" t="e">
        <v>#N/A</v>
      </c>
      <c r="C439" s="141">
        <f>VLOOKUP(A439,'DS Tenanted units'!A:A,1,FALSE)</f>
        <v>222797136</v>
      </c>
      <c r="D439" s="141" t="s">
        <v>1258</v>
      </c>
      <c r="E439" s="141" t="s">
        <v>617</v>
      </c>
      <c r="G439" s="141" t="s">
        <v>1259</v>
      </c>
      <c r="H439" s="141" t="s">
        <v>750</v>
      </c>
      <c r="I439" s="141" t="s">
        <v>698</v>
      </c>
      <c r="J439" s="141" t="s">
        <v>989</v>
      </c>
      <c r="K439" s="141">
        <v>0</v>
      </c>
      <c r="L439" s="143">
        <v>45565</v>
      </c>
      <c r="M439" s="245" t="s">
        <v>632</v>
      </c>
    </row>
    <row r="440" spans="1:13" s="141" customFormat="1">
      <c r="A440" s="141">
        <v>222797137</v>
      </c>
      <c r="B440" s="141" t="e">
        <v>#N/A</v>
      </c>
      <c r="C440" s="141">
        <f>VLOOKUP(A440,'DS Tenanted units'!A:A,1,FALSE)</f>
        <v>222797137</v>
      </c>
      <c r="D440" s="141" t="s">
        <v>1260</v>
      </c>
      <c r="E440" s="141" t="s">
        <v>617</v>
      </c>
      <c r="G440" s="141" t="s">
        <v>1261</v>
      </c>
      <c r="H440" s="141" t="s">
        <v>750</v>
      </c>
      <c r="I440" s="141" t="s">
        <v>698</v>
      </c>
      <c r="J440" s="141" t="s">
        <v>989</v>
      </c>
      <c r="K440" s="141">
        <v>0</v>
      </c>
      <c r="L440" s="143">
        <v>45565</v>
      </c>
      <c r="M440" s="245" t="s">
        <v>632</v>
      </c>
    </row>
    <row r="441" spans="1:13" s="141" customFormat="1">
      <c r="A441" s="141">
        <v>222797138</v>
      </c>
      <c r="B441" s="141" t="e">
        <v>#N/A</v>
      </c>
      <c r="C441" s="141">
        <f>VLOOKUP(A441,'DS Tenanted units'!A:A,1,FALSE)</f>
        <v>222797138</v>
      </c>
      <c r="D441" s="141" t="s">
        <v>1262</v>
      </c>
      <c r="E441" s="141" t="s">
        <v>617</v>
      </c>
      <c r="G441" s="141" t="s">
        <v>1263</v>
      </c>
      <c r="H441" s="141" t="s">
        <v>750</v>
      </c>
      <c r="I441" s="141" t="s">
        <v>698</v>
      </c>
      <c r="J441" s="141" t="s">
        <v>989</v>
      </c>
      <c r="K441" s="141">
        <v>0</v>
      </c>
      <c r="L441" s="143">
        <v>45565</v>
      </c>
      <c r="M441" s="245" t="s">
        <v>632</v>
      </c>
    </row>
    <row r="442" spans="1:13" s="141" customFormat="1">
      <c r="A442" s="141">
        <v>222797139</v>
      </c>
      <c r="B442" s="141" t="e">
        <v>#N/A</v>
      </c>
      <c r="C442" s="141">
        <f>VLOOKUP(A442,'DS Tenanted units'!A:A,1,FALSE)</f>
        <v>222797139</v>
      </c>
      <c r="D442" s="141" t="s">
        <v>1264</v>
      </c>
      <c r="E442" s="141" t="s">
        <v>617</v>
      </c>
      <c r="G442" s="141" t="s">
        <v>1265</v>
      </c>
      <c r="H442" s="141" t="s">
        <v>750</v>
      </c>
      <c r="I442" s="141" t="s">
        <v>698</v>
      </c>
      <c r="J442" s="141" t="s">
        <v>989</v>
      </c>
      <c r="K442" s="141">
        <v>0</v>
      </c>
      <c r="L442" s="143">
        <v>45565</v>
      </c>
      <c r="M442" s="245" t="s">
        <v>632</v>
      </c>
    </row>
    <row r="443" spans="1:13" s="141" customFormat="1">
      <c r="A443" s="141">
        <v>222797140</v>
      </c>
      <c r="B443" s="141" t="e">
        <v>#N/A</v>
      </c>
      <c r="C443" s="141">
        <f>VLOOKUP(A443,'DS Tenanted units'!A:A,1,FALSE)</f>
        <v>222797140</v>
      </c>
      <c r="D443" s="141" t="s">
        <v>1266</v>
      </c>
      <c r="E443" s="141" t="s">
        <v>617</v>
      </c>
      <c r="G443" s="141" t="s">
        <v>1267</v>
      </c>
      <c r="H443" s="141" t="s">
        <v>750</v>
      </c>
      <c r="I443" s="141" t="s">
        <v>698</v>
      </c>
      <c r="J443" s="141" t="s">
        <v>989</v>
      </c>
      <c r="K443" s="141">
        <v>0</v>
      </c>
      <c r="L443" s="143">
        <v>45565</v>
      </c>
      <c r="M443" s="245" t="s">
        <v>632</v>
      </c>
    </row>
    <row r="444" spans="1:13" s="141" customFormat="1">
      <c r="A444" s="141">
        <v>222797141</v>
      </c>
      <c r="B444" s="141" t="e">
        <v>#N/A</v>
      </c>
      <c r="C444" s="141">
        <f>VLOOKUP(A444,'DS Tenanted units'!A:A,1,FALSE)</f>
        <v>222797141</v>
      </c>
      <c r="D444" s="141" t="s">
        <v>1268</v>
      </c>
      <c r="E444" s="141" t="s">
        <v>617</v>
      </c>
      <c r="G444" s="141" t="s">
        <v>1269</v>
      </c>
      <c r="H444" s="141" t="s">
        <v>750</v>
      </c>
      <c r="I444" s="141" t="s">
        <v>698</v>
      </c>
      <c r="J444" s="141" t="s">
        <v>989</v>
      </c>
      <c r="K444" s="141">
        <v>0</v>
      </c>
      <c r="L444" s="143">
        <v>45565</v>
      </c>
      <c r="M444" s="245" t="s">
        <v>632</v>
      </c>
    </row>
    <row r="445" spans="1:13" s="141" customFormat="1">
      <c r="A445" s="141">
        <v>222797142</v>
      </c>
      <c r="B445" s="141" t="e">
        <v>#N/A</v>
      </c>
      <c r="C445" s="141">
        <f>VLOOKUP(A445,'DS Tenanted units'!A:A,1,FALSE)</f>
        <v>222797142</v>
      </c>
      <c r="D445" s="141" t="s">
        <v>1270</v>
      </c>
      <c r="E445" s="141" t="s">
        <v>617</v>
      </c>
      <c r="G445" s="141" t="s">
        <v>1271</v>
      </c>
      <c r="H445" s="141" t="s">
        <v>750</v>
      </c>
      <c r="I445" s="141" t="s">
        <v>698</v>
      </c>
      <c r="J445" s="141" t="s">
        <v>989</v>
      </c>
      <c r="K445" s="141">
        <v>0</v>
      </c>
      <c r="L445" s="143">
        <v>45565</v>
      </c>
      <c r="M445" s="245" t="s">
        <v>632</v>
      </c>
    </row>
    <row r="446" spans="1:13" s="141" customFormat="1">
      <c r="A446" s="141">
        <v>222797143</v>
      </c>
      <c r="B446" s="141" t="e">
        <v>#N/A</v>
      </c>
      <c r="C446" s="141">
        <f>VLOOKUP(A446,'DS Tenanted units'!A:A,1,FALSE)</f>
        <v>222797143</v>
      </c>
      <c r="D446" s="141" t="s">
        <v>1272</v>
      </c>
      <c r="E446" s="141" t="s">
        <v>617</v>
      </c>
      <c r="G446" s="141" t="s">
        <v>1273</v>
      </c>
      <c r="H446" s="141" t="s">
        <v>750</v>
      </c>
      <c r="I446" s="141" t="s">
        <v>698</v>
      </c>
      <c r="J446" s="141" t="s">
        <v>989</v>
      </c>
      <c r="K446" s="141">
        <v>0</v>
      </c>
      <c r="L446" s="143">
        <v>45565</v>
      </c>
      <c r="M446" s="245" t="s">
        <v>632</v>
      </c>
    </row>
    <row r="447" spans="1:13" s="141" customFormat="1">
      <c r="A447" s="141">
        <v>222797144</v>
      </c>
      <c r="B447" s="141" t="e">
        <v>#N/A</v>
      </c>
      <c r="C447" s="141">
        <f>VLOOKUP(A447,'DS Tenanted units'!A:A,1,FALSE)</f>
        <v>222797144</v>
      </c>
      <c r="D447" s="141" t="s">
        <v>1274</v>
      </c>
      <c r="E447" s="141" t="s">
        <v>617</v>
      </c>
      <c r="G447" s="141" t="s">
        <v>1275</v>
      </c>
      <c r="H447" s="141" t="s">
        <v>750</v>
      </c>
      <c r="I447" s="141" t="s">
        <v>698</v>
      </c>
      <c r="J447" s="141" t="s">
        <v>989</v>
      </c>
      <c r="K447" s="141">
        <v>0</v>
      </c>
      <c r="L447" s="143">
        <v>45565</v>
      </c>
      <c r="M447" s="245" t="s">
        <v>632</v>
      </c>
    </row>
    <row r="448" spans="1:13" s="141" customFormat="1">
      <c r="A448" s="141">
        <v>222797145</v>
      </c>
      <c r="B448" s="141" t="e">
        <v>#N/A</v>
      </c>
      <c r="C448" s="141">
        <f>VLOOKUP(A448,'DS Tenanted units'!A:A,1,FALSE)</f>
        <v>222797145</v>
      </c>
      <c r="D448" s="141" t="s">
        <v>1276</v>
      </c>
      <c r="E448" s="141" t="s">
        <v>617</v>
      </c>
      <c r="G448" s="141" t="s">
        <v>1277</v>
      </c>
      <c r="H448" s="141" t="s">
        <v>750</v>
      </c>
      <c r="I448" s="141" t="s">
        <v>698</v>
      </c>
      <c r="J448" s="141" t="s">
        <v>989</v>
      </c>
      <c r="K448" s="141">
        <v>0</v>
      </c>
      <c r="L448" s="143">
        <v>45565</v>
      </c>
      <c r="M448" s="245" t="s">
        <v>632</v>
      </c>
    </row>
    <row r="449" spans="1:13" s="141" customFormat="1">
      <c r="A449" s="141">
        <v>222797146</v>
      </c>
      <c r="B449" s="141" t="e">
        <v>#N/A</v>
      </c>
      <c r="C449" s="141">
        <f>VLOOKUP(A449,'DS Tenanted units'!A:A,1,FALSE)</f>
        <v>222797146</v>
      </c>
      <c r="D449" s="141" t="s">
        <v>1278</v>
      </c>
      <c r="E449" s="141" t="s">
        <v>617</v>
      </c>
      <c r="G449" s="141" t="s">
        <v>1279</v>
      </c>
      <c r="H449" s="141" t="s">
        <v>750</v>
      </c>
      <c r="I449" s="141" t="s">
        <v>698</v>
      </c>
      <c r="J449" s="141" t="s">
        <v>989</v>
      </c>
      <c r="K449" s="141">
        <v>0</v>
      </c>
      <c r="L449" s="143">
        <v>45565</v>
      </c>
      <c r="M449" s="245" t="s">
        <v>632</v>
      </c>
    </row>
    <row r="450" spans="1:13" s="141" customFormat="1">
      <c r="A450" s="141">
        <v>222797147</v>
      </c>
      <c r="B450" s="141" t="e">
        <v>#N/A</v>
      </c>
      <c r="C450" s="141">
        <f>VLOOKUP(A450,'DS Tenanted units'!A:A,1,FALSE)</f>
        <v>222797147</v>
      </c>
      <c r="D450" s="141" t="s">
        <v>1280</v>
      </c>
      <c r="E450" s="141" t="s">
        <v>617</v>
      </c>
      <c r="G450" s="141" t="s">
        <v>1281</v>
      </c>
      <c r="H450" s="141" t="s">
        <v>750</v>
      </c>
      <c r="I450" s="141" t="s">
        <v>698</v>
      </c>
      <c r="J450" s="141" t="s">
        <v>989</v>
      </c>
      <c r="K450" s="141">
        <v>0</v>
      </c>
      <c r="L450" s="143">
        <v>45565</v>
      </c>
      <c r="M450" s="245" t="s">
        <v>632</v>
      </c>
    </row>
    <row r="451" spans="1:13" s="141" customFormat="1">
      <c r="A451" s="141">
        <v>222797148</v>
      </c>
      <c r="B451" s="141" t="e">
        <v>#N/A</v>
      </c>
      <c r="C451" s="141">
        <f>VLOOKUP(A451,'DS Tenanted units'!A:A,1,FALSE)</f>
        <v>222797148</v>
      </c>
      <c r="D451" s="141" t="s">
        <v>1282</v>
      </c>
      <c r="E451" s="141" t="s">
        <v>617</v>
      </c>
      <c r="G451" s="141" t="s">
        <v>1283</v>
      </c>
      <c r="H451" s="141" t="s">
        <v>750</v>
      </c>
      <c r="I451" s="141" t="s">
        <v>698</v>
      </c>
      <c r="J451" s="141" t="s">
        <v>989</v>
      </c>
      <c r="K451" s="141">
        <v>0</v>
      </c>
      <c r="L451" s="143">
        <v>45565</v>
      </c>
      <c r="M451" s="245" t="s">
        <v>632</v>
      </c>
    </row>
    <row r="452" spans="1:13" s="141" customFormat="1">
      <c r="A452" s="141">
        <v>222797149</v>
      </c>
      <c r="B452" s="141" t="e">
        <v>#N/A</v>
      </c>
      <c r="C452" s="141">
        <f>VLOOKUP(A452,'DS Tenanted units'!A:A,1,FALSE)</f>
        <v>222797149</v>
      </c>
      <c r="D452" s="141" t="s">
        <v>1284</v>
      </c>
      <c r="E452" s="141" t="s">
        <v>617</v>
      </c>
      <c r="G452" s="141" t="s">
        <v>1285</v>
      </c>
      <c r="H452" s="141" t="s">
        <v>750</v>
      </c>
      <c r="I452" s="141" t="s">
        <v>698</v>
      </c>
      <c r="J452" s="141" t="s">
        <v>989</v>
      </c>
      <c r="K452" s="141">
        <v>0</v>
      </c>
      <c r="L452" s="143">
        <v>45565</v>
      </c>
      <c r="M452" s="245" t="s">
        <v>632</v>
      </c>
    </row>
    <row r="453" spans="1:13" s="141" customFormat="1">
      <c r="A453" s="141">
        <v>222797150</v>
      </c>
      <c r="B453" s="141" t="e">
        <v>#N/A</v>
      </c>
      <c r="C453" s="141">
        <f>VLOOKUP(A453,'DS Tenanted units'!A:A,1,FALSE)</f>
        <v>222797150</v>
      </c>
      <c r="D453" s="141" t="s">
        <v>1286</v>
      </c>
      <c r="E453" s="141" t="s">
        <v>617</v>
      </c>
      <c r="G453" s="141" t="s">
        <v>1287</v>
      </c>
      <c r="H453" s="141" t="s">
        <v>750</v>
      </c>
      <c r="I453" s="141" t="s">
        <v>698</v>
      </c>
      <c r="J453" s="141" t="s">
        <v>989</v>
      </c>
      <c r="K453" s="141">
        <v>0</v>
      </c>
      <c r="L453" s="143">
        <v>45565</v>
      </c>
      <c r="M453" s="245" t="s">
        <v>632</v>
      </c>
    </row>
    <row r="454" spans="1:13" s="141" customFormat="1">
      <c r="A454" s="141">
        <v>222797151</v>
      </c>
      <c r="B454" s="141" t="e">
        <v>#N/A</v>
      </c>
      <c r="C454" s="141">
        <f>VLOOKUP(A454,'DS Tenanted units'!A:A,1,FALSE)</f>
        <v>222797151</v>
      </c>
      <c r="D454" s="141" t="s">
        <v>1288</v>
      </c>
      <c r="E454" s="141" t="s">
        <v>617</v>
      </c>
      <c r="G454" s="141" t="s">
        <v>1289</v>
      </c>
      <c r="H454" s="141" t="s">
        <v>750</v>
      </c>
      <c r="I454" s="141" t="s">
        <v>698</v>
      </c>
      <c r="J454" s="141" t="s">
        <v>989</v>
      </c>
      <c r="K454" s="141">
        <v>0</v>
      </c>
      <c r="L454" s="143">
        <v>45565</v>
      </c>
      <c r="M454" s="245" t="s">
        <v>632</v>
      </c>
    </row>
    <row r="455" spans="1:13" s="141" customFormat="1">
      <c r="A455" s="141">
        <v>222797152</v>
      </c>
      <c r="B455" s="141" t="e">
        <v>#N/A</v>
      </c>
      <c r="C455" s="141">
        <f>VLOOKUP(A455,'DS Tenanted units'!A:A,1,FALSE)</f>
        <v>222797152</v>
      </c>
      <c r="D455" s="141" t="s">
        <v>1290</v>
      </c>
      <c r="E455" s="141" t="s">
        <v>617</v>
      </c>
      <c r="G455" s="141" t="s">
        <v>1291</v>
      </c>
      <c r="H455" s="141" t="s">
        <v>750</v>
      </c>
      <c r="I455" s="141" t="s">
        <v>698</v>
      </c>
      <c r="J455" s="141" t="s">
        <v>989</v>
      </c>
      <c r="K455" s="141">
        <v>0</v>
      </c>
      <c r="L455" s="143">
        <v>45565</v>
      </c>
      <c r="M455" s="245" t="s">
        <v>632</v>
      </c>
    </row>
    <row r="456" spans="1:13" s="141" customFormat="1">
      <c r="A456" s="141">
        <v>222797153</v>
      </c>
      <c r="B456" s="141" t="e">
        <v>#N/A</v>
      </c>
      <c r="C456" s="141">
        <f>VLOOKUP(A456,'DS Tenanted units'!A:A,1,FALSE)</f>
        <v>222797153</v>
      </c>
      <c r="D456" s="141" t="s">
        <v>1292</v>
      </c>
      <c r="E456" s="141" t="s">
        <v>617</v>
      </c>
      <c r="G456" s="141" t="s">
        <v>1293</v>
      </c>
      <c r="H456" s="141" t="s">
        <v>750</v>
      </c>
      <c r="I456" s="141" t="s">
        <v>698</v>
      </c>
      <c r="J456" s="141" t="s">
        <v>989</v>
      </c>
      <c r="K456" s="141">
        <v>0</v>
      </c>
      <c r="L456" s="143">
        <v>45565</v>
      </c>
      <c r="M456" s="245" t="s">
        <v>632</v>
      </c>
    </row>
    <row r="457" spans="1:13" s="141" customFormat="1">
      <c r="A457" s="141">
        <v>222797154</v>
      </c>
      <c r="B457" s="141" t="e">
        <v>#N/A</v>
      </c>
      <c r="C457" s="141">
        <f>VLOOKUP(A457,'DS Tenanted units'!A:A,1,FALSE)</f>
        <v>222797154</v>
      </c>
      <c r="D457" s="141" t="s">
        <v>1294</v>
      </c>
      <c r="E457" s="141" t="s">
        <v>617</v>
      </c>
      <c r="G457" s="141" t="s">
        <v>1295</v>
      </c>
      <c r="H457" s="141" t="s">
        <v>750</v>
      </c>
      <c r="I457" s="141" t="s">
        <v>698</v>
      </c>
      <c r="J457" s="141" t="s">
        <v>989</v>
      </c>
      <c r="K457" s="141">
        <v>0</v>
      </c>
      <c r="L457" s="143">
        <v>45565</v>
      </c>
      <c r="M457" s="245" t="s">
        <v>632</v>
      </c>
    </row>
    <row r="458" spans="1:13" s="141" customFormat="1">
      <c r="A458" s="141">
        <v>222797155</v>
      </c>
      <c r="B458" s="141" t="e">
        <v>#N/A</v>
      </c>
      <c r="C458" s="141">
        <f>VLOOKUP(A458,'DS Tenanted units'!A:A,1,FALSE)</f>
        <v>222797155</v>
      </c>
      <c r="D458" s="141" t="s">
        <v>1296</v>
      </c>
      <c r="E458" s="141" t="s">
        <v>617</v>
      </c>
      <c r="G458" s="141" t="s">
        <v>1297</v>
      </c>
      <c r="H458" s="141" t="s">
        <v>750</v>
      </c>
      <c r="I458" s="141" t="s">
        <v>698</v>
      </c>
      <c r="J458" s="141" t="s">
        <v>989</v>
      </c>
      <c r="K458" s="141">
        <v>0</v>
      </c>
      <c r="L458" s="143">
        <v>45565</v>
      </c>
      <c r="M458" s="245" t="s">
        <v>632</v>
      </c>
    </row>
    <row r="459" spans="1:13" s="141" customFormat="1">
      <c r="A459" s="141">
        <v>222797156</v>
      </c>
      <c r="B459" s="141" t="e">
        <v>#N/A</v>
      </c>
      <c r="C459" s="141">
        <f>VLOOKUP(A459,'DS Tenanted units'!A:A,1,FALSE)</f>
        <v>222797156</v>
      </c>
      <c r="D459" s="141" t="s">
        <v>1298</v>
      </c>
      <c r="E459" s="141" t="s">
        <v>617</v>
      </c>
      <c r="G459" s="141" t="s">
        <v>1299</v>
      </c>
      <c r="H459" s="141" t="s">
        <v>750</v>
      </c>
      <c r="I459" s="141" t="s">
        <v>698</v>
      </c>
      <c r="J459" s="141" t="s">
        <v>989</v>
      </c>
      <c r="K459" s="141">
        <v>0</v>
      </c>
      <c r="L459" s="143">
        <v>45565</v>
      </c>
      <c r="M459" s="245" t="s">
        <v>632</v>
      </c>
    </row>
    <row r="460" spans="1:13" s="141" customFormat="1">
      <c r="A460" s="141">
        <v>222797157</v>
      </c>
      <c r="B460" s="141" t="e">
        <v>#N/A</v>
      </c>
      <c r="C460" s="141">
        <f>VLOOKUP(A460,'DS Tenanted units'!A:A,1,FALSE)</f>
        <v>222797157</v>
      </c>
      <c r="D460" s="141" t="s">
        <v>1300</v>
      </c>
      <c r="E460" s="141" t="s">
        <v>617</v>
      </c>
      <c r="G460" s="141" t="s">
        <v>1301</v>
      </c>
      <c r="H460" s="141" t="s">
        <v>750</v>
      </c>
      <c r="I460" s="141" t="s">
        <v>698</v>
      </c>
      <c r="J460" s="141" t="s">
        <v>989</v>
      </c>
      <c r="K460" s="141">
        <v>0</v>
      </c>
      <c r="L460" s="143">
        <v>45565</v>
      </c>
      <c r="M460" s="245" t="s">
        <v>632</v>
      </c>
    </row>
    <row r="461" spans="1:13" s="141" customFormat="1">
      <c r="A461" s="141">
        <v>222797158</v>
      </c>
      <c r="B461" s="141" t="e">
        <v>#N/A</v>
      </c>
      <c r="C461" s="141">
        <f>VLOOKUP(A461,'DS Tenanted units'!A:A,1,FALSE)</f>
        <v>222797158</v>
      </c>
      <c r="D461" s="141" t="s">
        <v>1302</v>
      </c>
      <c r="E461" s="141" t="s">
        <v>617</v>
      </c>
      <c r="G461" s="141" t="s">
        <v>1303</v>
      </c>
      <c r="H461" s="141" t="s">
        <v>750</v>
      </c>
      <c r="I461" s="141" t="s">
        <v>698</v>
      </c>
      <c r="J461" s="141" t="s">
        <v>989</v>
      </c>
      <c r="K461" s="141">
        <v>0</v>
      </c>
      <c r="L461" s="143">
        <v>45565</v>
      </c>
      <c r="M461" s="245" t="s">
        <v>632</v>
      </c>
    </row>
    <row r="462" spans="1:13" s="141" customFormat="1">
      <c r="A462" s="141">
        <v>222797159</v>
      </c>
      <c r="B462" s="141" t="e">
        <v>#N/A</v>
      </c>
      <c r="C462" s="141">
        <f>VLOOKUP(A462,'DS Tenanted units'!A:A,1,FALSE)</f>
        <v>222797159</v>
      </c>
      <c r="D462" s="141" t="s">
        <v>1304</v>
      </c>
      <c r="E462" s="141" t="s">
        <v>617</v>
      </c>
      <c r="G462" s="141" t="s">
        <v>1305</v>
      </c>
      <c r="H462" s="141" t="s">
        <v>750</v>
      </c>
      <c r="I462" s="141" t="s">
        <v>698</v>
      </c>
      <c r="J462" s="141" t="s">
        <v>989</v>
      </c>
      <c r="K462" s="141">
        <v>0</v>
      </c>
      <c r="L462" s="143">
        <v>45565</v>
      </c>
      <c r="M462" s="245" t="s">
        <v>632</v>
      </c>
    </row>
    <row r="463" spans="1:13" s="141" customFormat="1">
      <c r="A463" s="141">
        <v>222797160</v>
      </c>
      <c r="B463" s="141" t="e">
        <v>#N/A</v>
      </c>
      <c r="C463" s="141">
        <f>VLOOKUP(A463,'DS Tenanted units'!A:A,1,FALSE)</f>
        <v>222797160</v>
      </c>
      <c r="D463" s="141" t="s">
        <v>1306</v>
      </c>
      <c r="E463" s="141" t="s">
        <v>617</v>
      </c>
      <c r="G463" s="141" t="s">
        <v>1307</v>
      </c>
      <c r="H463" s="141" t="s">
        <v>750</v>
      </c>
      <c r="I463" s="141" t="s">
        <v>698</v>
      </c>
      <c r="J463" s="141" t="s">
        <v>989</v>
      </c>
      <c r="K463" s="141">
        <v>0</v>
      </c>
      <c r="L463" s="143">
        <v>45565</v>
      </c>
      <c r="M463" s="245" t="s">
        <v>632</v>
      </c>
    </row>
    <row r="464" spans="1:13" s="141" customFormat="1">
      <c r="A464" s="141">
        <v>222797161</v>
      </c>
      <c r="B464" s="141" t="e">
        <v>#N/A</v>
      </c>
      <c r="C464" s="141">
        <f>VLOOKUP(A464,'DS Tenanted units'!A:A,1,FALSE)</f>
        <v>222797161</v>
      </c>
      <c r="D464" s="141" t="s">
        <v>1308</v>
      </c>
      <c r="E464" s="141" t="s">
        <v>617</v>
      </c>
      <c r="G464" s="141" t="s">
        <v>1309</v>
      </c>
      <c r="H464" s="141" t="s">
        <v>750</v>
      </c>
      <c r="I464" s="141" t="s">
        <v>698</v>
      </c>
      <c r="J464" s="141" t="s">
        <v>989</v>
      </c>
      <c r="K464" s="141">
        <v>0</v>
      </c>
      <c r="L464" s="143">
        <v>45565</v>
      </c>
      <c r="M464" s="245" t="s">
        <v>632</v>
      </c>
    </row>
    <row r="465" spans="1:13" s="141" customFormat="1">
      <c r="A465" s="141">
        <v>222797163</v>
      </c>
      <c r="B465" s="141" t="e">
        <v>#N/A</v>
      </c>
      <c r="C465" s="141">
        <f>VLOOKUP(A465,'DS Tenanted units'!A:A,1,FALSE)</f>
        <v>222797163</v>
      </c>
      <c r="D465" s="141" t="s">
        <v>1310</v>
      </c>
      <c r="E465" s="141" t="s">
        <v>617</v>
      </c>
      <c r="G465" s="141" t="s">
        <v>1311</v>
      </c>
      <c r="H465" s="141" t="s">
        <v>750</v>
      </c>
      <c r="I465" s="141" t="s">
        <v>698</v>
      </c>
      <c r="J465" s="141" t="s">
        <v>989</v>
      </c>
      <c r="K465" s="141">
        <v>0</v>
      </c>
      <c r="L465" s="143">
        <v>45565</v>
      </c>
      <c r="M465" s="245" t="s">
        <v>632</v>
      </c>
    </row>
    <row r="466" spans="1:13" s="141" customFormat="1">
      <c r="A466" s="141">
        <v>222797164</v>
      </c>
      <c r="B466" s="141" t="e">
        <v>#N/A</v>
      </c>
      <c r="C466" s="141">
        <f>VLOOKUP(A466,'DS Tenanted units'!A:A,1,FALSE)</f>
        <v>222797164</v>
      </c>
      <c r="D466" s="141" t="s">
        <v>1312</v>
      </c>
      <c r="E466" s="141" t="s">
        <v>617</v>
      </c>
      <c r="G466" s="141" t="s">
        <v>1313</v>
      </c>
      <c r="H466" s="141" t="s">
        <v>750</v>
      </c>
      <c r="I466" s="141" t="s">
        <v>698</v>
      </c>
      <c r="J466" s="141" t="s">
        <v>989</v>
      </c>
      <c r="K466" s="141">
        <v>0</v>
      </c>
      <c r="L466" s="143">
        <v>45565</v>
      </c>
      <c r="M466" s="245" t="s">
        <v>632</v>
      </c>
    </row>
    <row r="467" spans="1:13" s="141" customFormat="1">
      <c r="A467" s="141">
        <v>222797165</v>
      </c>
      <c r="B467" s="141" t="e">
        <v>#N/A</v>
      </c>
      <c r="C467" s="141">
        <f>VLOOKUP(A467,'DS Tenanted units'!A:A,1,FALSE)</f>
        <v>222797165</v>
      </c>
      <c r="D467" s="141" t="s">
        <v>1314</v>
      </c>
      <c r="E467" s="141" t="s">
        <v>617</v>
      </c>
      <c r="G467" s="141" t="s">
        <v>1315</v>
      </c>
      <c r="H467" s="141" t="s">
        <v>750</v>
      </c>
      <c r="I467" s="141" t="s">
        <v>698</v>
      </c>
      <c r="J467" s="141" t="s">
        <v>989</v>
      </c>
      <c r="K467" s="141">
        <v>0</v>
      </c>
      <c r="L467" s="143">
        <v>45565</v>
      </c>
      <c r="M467" s="245" t="s">
        <v>632</v>
      </c>
    </row>
    <row r="468" spans="1:13" s="141" customFormat="1">
      <c r="A468" s="141">
        <v>222797166</v>
      </c>
      <c r="B468" s="141" t="e">
        <v>#N/A</v>
      </c>
      <c r="C468" s="141">
        <f>VLOOKUP(A468,'DS Tenanted units'!A:A,1,FALSE)</f>
        <v>222797166</v>
      </c>
      <c r="D468" s="141" t="s">
        <v>1316</v>
      </c>
      <c r="E468" s="141" t="s">
        <v>617</v>
      </c>
      <c r="G468" s="141" t="s">
        <v>1317</v>
      </c>
      <c r="H468" s="141" t="s">
        <v>750</v>
      </c>
      <c r="I468" s="141" t="s">
        <v>698</v>
      </c>
      <c r="J468" s="141" t="s">
        <v>989</v>
      </c>
      <c r="K468" s="141">
        <v>0</v>
      </c>
      <c r="L468" s="143">
        <v>45565</v>
      </c>
      <c r="M468" s="245" t="s">
        <v>632</v>
      </c>
    </row>
    <row r="469" spans="1:13" s="141" customFormat="1">
      <c r="A469" s="141">
        <v>222797167</v>
      </c>
      <c r="B469" s="141" t="e">
        <v>#N/A</v>
      </c>
      <c r="C469" s="141">
        <f>VLOOKUP(A469,'DS Tenanted units'!A:A,1,FALSE)</f>
        <v>222797167</v>
      </c>
      <c r="D469" s="141" t="s">
        <v>1318</v>
      </c>
      <c r="E469" s="141" t="s">
        <v>617</v>
      </c>
      <c r="G469" s="141" t="s">
        <v>1319</v>
      </c>
      <c r="H469" s="141" t="s">
        <v>750</v>
      </c>
      <c r="I469" s="141" t="s">
        <v>698</v>
      </c>
      <c r="J469" s="141" t="s">
        <v>989</v>
      </c>
      <c r="K469" s="141">
        <v>0</v>
      </c>
      <c r="L469" s="143">
        <v>45565</v>
      </c>
      <c r="M469" s="245" t="s">
        <v>632</v>
      </c>
    </row>
    <row r="470" spans="1:13" s="141" customFormat="1">
      <c r="A470" s="141">
        <v>222797168</v>
      </c>
      <c r="B470" s="141" t="e">
        <v>#N/A</v>
      </c>
      <c r="C470" s="141">
        <f>VLOOKUP(A470,'DS Tenanted units'!A:A,1,FALSE)</f>
        <v>222797168</v>
      </c>
      <c r="D470" s="141" t="s">
        <v>1320</v>
      </c>
      <c r="E470" s="141" t="s">
        <v>617</v>
      </c>
      <c r="G470" s="141" t="s">
        <v>1321</v>
      </c>
      <c r="H470" s="141" t="s">
        <v>750</v>
      </c>
      <c r="I470" s="141" t="s">
        <v>698</v>
      </c>
      <c r="J470" s="141" t="s">
        <v>989</v>
      </c>
      <c r="K470" s="141">
        <v>0</v>
      </c>
      <c r="L470" s="143">
        <v>45565</v>
      </c>
      <c r="M470" s="245" t="s">
        <v>632</v>
      </c>
    </row>
    <row r="471" spans="1:13" s="141" customFormat="1">
      <c r="A471" s="141">
        <v>222797169</v>
      </c>
      <c r="B471" s="141" t="e">
        <v>#N/A</v>
      </c>
      <c r="C471" s="141">
        <f>VLOOKUP(A471,'DS Tenanted units'!A:A,1,FALSE)</f>
        <v>222797169</v>
      </c>
      <c r="D471" s="141" t="s">
        <v>1322</v>
      </c>
      <c r="E471" s="141" t="s">
        <v>617</v>
      </c>
      <c r="G471" s="141" t="s">
        <v>1323</v>
      </c>
      <c r="H471" s="141" t="s">
        <v>750</v>
      </c>
      <c r="I471" s="141" t="s">
        <v>698</v>
      </c>
      <c r="J471" s="141" t="s">
        <v>989</v>
      </c>
      <c r="K471" s="141">
        <v>0</v>
      </c>
      <c r="L471" s="143">
        <v>45565</v>
      </c>
      <c r="M471" s="245" t="s">
        <v>632</v>
      </c>
    </row>
    <row r="472" spans="1:13" s="141" customFormat="1">
      <c r="A472" s="141">
        <v>222797170</v>
      </c>
      <c r="B472" s="141" t="e">
        <v>#N/A</v>
      </c>
      <c r="C472" s="141">
        <f>VLOOKUP(A472,'DS Tenanted units'!A:A,1,FALSE)</f>
        <v>222797170</v>
      </c>
      <c r="D472" s="141" t="s">
        <v>1324</v>
      </c>
      <c r="E472" s="141" t="s">
        <v>617</v>
      </c>
      <c r="G472" s="141" t="s">
        <v>1325</v>
      </c>
      <c r="H472" s="141" t="s">
        <v>750</v>
      </c>
      <c r="I472" s="141" t="s">
        <v>698</v>
      </c>
      <c r="J472" s="141" t="s">
        <v>989</v>
      </c>
      <c r="K472" s="141">
        <v>0</v>
      </c>
      <c r="L472" s="143">
        <v>45565</v>
      </c>
      <c r="M472" s="245" t="s">
        <v>632</v>
      </c>
    </row>
    <row r="473" spans="1:13" s="141" customFormat="1">
      <c r="A473" s="141">
        <v>222797171</v>
      </c>
      <c r="B473" s="141" t="e">
        <v>#N/A</v>
      </c>
      <c r="C473" s="141">
        <f>VLOOKUP(A473,'DS Tenanted units'!A:A,1,FALSE)</f>
        <v>222797171</v>
      </c>
      <c r="D473" s="141" t="s">
        <v>1326</v>
      </c>
      <c r="E473" s="141" t="s">
        <v>617</v>
      </c>
      <c r="G473" s="141" t="s">
        <v>1327</v>
      </c>
      <c r="H473" s="141" t="s">
        <v>750</v>
      </c>
      <c r="I473" s="141" t="s">
        <v>698</v>
      </c>
      <c r="J473" s="141" t="s">
        <v>989</v>
      </c>
      <c r="K473" s="141">
        <v>0</v>
      </c>
      <c r="L473" s="143">
        <v>45565</v>
      </c>
      <c r="M473" s="245" t="s">
        <v>632</v>
      </c>
    </row>
    <row r="474" spans="1:13" s="141" customFormat="1">
      <c r="A474" s="141">
        <v>222797172</v>
      </c>
      <c r="B474" s="141" t="e">
        <v>#N/A</v>
      </c>
      <c r="C474" s="141">
        <f>VLOOKUP(A474,'DS Tenanted units'!A:A,1,FALSE)</f>
        <v>222797172</v>
      </c>
      <c r="D474" s="141" t="s">
        <v>1328</v>
      </c>
      <c r="E474" s="141" t="s">
        <v>617</v>
      </c>
      <c r="G474" s="141" t="s">
        <v>1329</v>
      </c>
      <c r="H474" s="141" t="s">
        <v>750</v>
      </c>
      <c r="I474" s="141" t="s">
        <v>698</v>
      </c>
      <c r="J474" s="141" t="s">
        <v>989</v>
      </c>
      <c r="K474" s="141">
        <v>0</v>
      </c>
      <c r="L474" s="143">
        <v>45565</v>
      </c>
      <c r="M474" s="245" t="s">
        <v>632</v>
      </c>
    </row>
    <row r="475" spans="1:13" s="141" customFormat="1">
      <c r="A475" s="141">
        <v>222797173</v>
      </c>
      <c r="B475" s="141" t="e">
        <v>#N/A</v>
      </c>
      <c r="C475" s="141">
        <f>VLOOKUP(A475,'DS Tenanted units'!A:A,1,FALSE)</f>
        <v>222797173</v>
      </c>
      <c r="D475" s="141" t="s">
        <v>1330</v>
      </c>
      <c r="E475" s="141" t="s">
        <v>617</v>
      </c>
      <c r="G475" s="141" t="s">
        <v>1331</v>
      </c>
      <c r="H475" s="141" t="s">
        <v>750</v>
      </c>
      <c r="I475" s="141" t="s">
        <v>698</v>
      </c>
      <c r="J475" s="141" t="s">
        <v>989</v>
      </c>
      <c r="K475" s="141">
        <v>0</v>
      </c>
      <c r="L475" s="143">
        <v>45565</v>
      </c>
      <c r="M475" s="245" t="s">
        <v>632</v>
      </c>
    </row>
    <row r="476" spans="1:13" s="141" customFormat="1">
      <c r="A476" s="141">
        <v>222797174</v>
      </c>
      <c r="B476" s="141" t="e">
        <v>#N/A</v>
      </c>
      <c r="C476" s="141">
        <f>VLOOKUP(A476,'DS Tenanted units'!A:A,1,FALSE)</f>
        <v>222797174</v>
      </c>
      <c r="D476" s="141" t="s">
        <v>1332</v>
      </c>
      <c r="E476" s="141" t="s">
        <v>617</v>
      </c>
      <c r="G476" s="141" t="s">
        <v>1333</v>
      </c>
      <c r="H476" s="141" t="s">
        <v>750</v>
      </c>
      <c r="I476" s="141" t="s">
        <v>698</v>
      </c>
      <c r="J476" s="141" t="s">
        <v>989</v>
      </c>
      <c r="K476" s="141">
        <v>0</v>
      </c>
      <c r="L476" s="143">
        <v>45565</v>
      </c>
      <c r="M476" s="245" t="s">
        <v>632</v>
      </c>
    </row>
    <row r="477" spans="1:13" s="141" customFormat="1">
      <c r="A477" s="141">
        <v>222797175</v>
      </c>
      <c r="B477" s="141" t="e">
        <v>#N/A</v>
      </c>
      <c r="C477" s="141">
        <f>VLOOKUP(A477,'DS Tenanted units'!A:A,1,FALSE)</f>
        <v>222797175</v>
      </c>
      <c r="D477" s="141" t="s">
        <v>1334</v>
      </c>
      <c r="E477" s="141" t="s">
        <v>617</v>
      </c>
      <c r="G477" s="141" t="s">
        <v>1335</v>
      </c>
      <c r="H477" s="141" t="s">
        <v>750</v>
      </c>
      <c r="I477" s="141" t="s">
        <v>698</v>
      </c>
      <c r="J477" s="141" t="s">
        <v>989</v>
      </c>
      <c r="K477" s="141">
        <v>0</v>
      </c>
      <c r="L477" s="143">
        <v>45565</v>
      </c>
      <c r="M477" s="245" t="s">
        <v>632</v>
      </c>
    </row>
    <row r="478" spans="1:13" s="141" customFormat="1">
      <c r="A478" s="141">
        <v>222797176</v>
      </c>
      <c r="B478" s="141" t="e">
        <v>#N/A</v>
      </c>
      <c r="C478" s="141">
        <f>VLOOKUP(A478,'DS Tenanted units'!A:A,1,FALSE)</f>
        <v>222797176</v>
      </c>
      <c r="D478" s="141" t="s">
        <v>1336</v>
      </c>
      <c r="E478" s="141" t="s">
        <v>617</v>
      </c>
      <c r="G478" s="141" t="s">
        <v>1337</v>
      </c>
      <c r="H478" s="141" t="s">
        <v>750</v>
      </c>
      <c r="I478" s="141" t="s">
        <v>698</v>
      </c>
      <c r="J478" s="141" t="s">
        <v>989</v>
      </c>
      <c r="K478" s="141">
        <v>0</v>
      </c>
      <c r="L478" s="143">
        <v>45565</v>
      </c>
      <c r="M478" s="245" t="s">
        <v>632</v>
      </c>
    </row>
    <row r="479" spans="1:13" s="141" customFormat="1">
      <c r="A479" s="141">
        <v>222797177</v>
      </c>
      <c r="B479" s="141" t="e">
        <v>#N/A</v>
      </c>
      <c r="C479" s="141">
        <f>VLOOKUP(A479,'DS Tenanted units'!A:A,1,FALSE)</f>
        <v>222797177</v>
      </c>
      <c r="D479" s="141" t="s">
        <v>1338</v>
      </c>
      <c r="E479" s="141" t="s">
        <v>617</v>
      </c>
      <c r="G479" s="141" t="s">
        <v>1339</v>
      </c>
      <c r="H479" s="141" t="s">
        <v>750</v>
      </c>
      <c r="I479" s="141" t="s">
        <v>698</v>
      </c>
      <c r="J479" s="141" t="s">
        <v>989</v>
      </c>
      <c r="K479" s="141">
        <v>0</v>
      </c>
      <c r="L479" s="143">
        <v>45565</v>
      </c>
      <c r="M479" s="245" t="s">
        <v>632</v>
      </c>
    </row>
    <row r="480" spans="1:13" s="141" customFormat="1">
      <c r="A480" s="141">
        <v>222797178</v>
      </c>
      <c r="B480" s="141" t="e">
        <v>#N/A</v>
      </c>
      <c r="C480" s="141">
        <f>VLOOKUP(A480,'DS Tenanted units'!A:A,1,FALSE)</f>
        <v>222797178</v>
      </c>
      <c r="D480" s="141" t="s">
        <v>1340</v>
      </c>
      <c r="E480" s="141" t="s">
        <v>617</v>
      </c>
      <c r="G480" s="141" t="s">
        <v>1341</v>
      </c>
      <c r="H480" s="141" t="s">
        <v>750</v>
      </c>
      <c r="I480" s="141" t="s">
        <v>698</v>
      </c>
      <c r="J480" s="141" t="s">
        <v>989</v>
      </c>
      <c r="K480" s="141">
        <v>0</v>
      </c>
      <c r="L480" s="143">
        <v>45565</v>
      </c>
      <c r="M480" s="245" t="s">
        <v>632</v>
      </c>
    </row>
    <row r="481" spans="1:13" s="141" customFormat="1">
      <c r="A481" s="141">
        <v>222797179</v>
      </c>
      <c r="B481" s="141" t="e">
        <v>#N/A</v>
      </c>
      <c r="C481" s="141">
        <f>VLOOKUP(A481,'DS Tenanted units'!A:A,1,FALSE)</f>
        <v>222797179</v>
      </c>
      <c r="D481" s="141" t="s">
        <v>1342</v>
      </c>
      <c r="E481" s="141" t="s">
        <v>617</v>
      </c>
      <c r="G481" s="141" t="s">
        <v>1343</v>
      </c>
      <c r="H481" s="141" t="s">
        <v>750</v>
      </c>
      <c r="I481" s="141" t="s">
        <v>698</v>
      </c>
      <c r="J481" s="141" t="s">
        <v>989</v>
      </c>
      <c r="K481" s="141">
        <v>0</v>
      </c>
      <c r="L481" s="143">
        <v>45565</v>
      </c>
      <c r="M481" s="245" t="s">
        <v>632</v>
      </c>
    </row>
    <row r="482" spans="1:13" s="141" customFormat="1">
      <c r="A482" s="141">
        <v>222797180</v>
      </c>
      <c r="B482" s="141" t="e">
        <v>#N/A</v>
      </c>
      <c r="C482" s="141">
        <f>VLOOKUP(A482,'DS Tenanted units'!A:A,1,FALSE)</f>
        <v>222797180</v>
      </c>
      <c r="D482" s="141" t="s">
        <v>1344</v>
      </c>
      <c r="E482" s="141" t="s">
        <v>617</v>
      </c>
      <c r="G482" s="141" t="s">
        <v>1345</v>
      </c>
      <c r="H482" s="141" t="s">
        <v>750</v>
      </c>
      <c r="I482" s="141" t="s">
        <v>698</v>
      </c>
      <c r="J482" s="141" t="s">
        <v>989</v>
      </c>
      <c r="K482" s="141">
        <v>0</v>
      </c>
      <c r="L482" s="143">
        <v>45565</v>
      </c>
      <c r="M482" s="245" t="s">
        <v>632</v>
      </c>
    </row>
    <row r="483" spans="1:13" s="141" customFormat="1">
      <c r="A483" s="141">
        <v>222797181</v>
      </c>
      <c r="B483" s="141" t="e">
        <v>#N/A</v>
      </c>
      <c r="C483" s="141">
        <f>VLOOKUP(A483,'DS Tenanted units'!A:A,1,FALSE)</f>
        <v>222797181</v>
      </c>
      <c r="D483" s="141" t="s">
        <v>1346</v>
      </c>
      <c r="E483" s="141" t="s">
        <v>617</v>
      </c>
      <c r="G483" s="141" t="s">
        <v>1347</v>
      </c>
      <c r="H483" s="141" t="s">
        <v>750</v>
      </c>
      <c r="I483" s="141" t="s">
        <v>698</v>
      </c>
      <c r="J483" s="141" t="s">
        <v>989</v>
      </c>
      <c r="K483" s="141">
        <v>0</v>
      </c>
      <c r="L483" s="143">
        <v>45565</v>
      </c>
      <c r="M483" s="245" t="s">
        <v>632</v>
      </c>
    </row>
    <row r="484" spans="1:13" s="141" customFormat="1">
      <c r="A484" s="141">
        <v>222797182</v>
      </c>
      <c r="B484" s="141" t="e">
        <v>#N/A</v>
      </c>
      <c r="C484" s="141">
        <f>VLOOKUP(A484,'DS Tenanted units'!A:A,1,FALSE)</f>
        <v>222797182</v>
      </c>
      <c r="D484" s="141" t="s">
        <v>1348</v>
      </c>
      <c r="E484" s="141" t="s">
        <v>617</v>
      </c>
      <c r="G484" s="141" t="s">
        <v>1349</v>
      </c>
      <c r="H484" s="141" t="s">
        <v>750</v>
      </c>
      <c r="I484" s="141" t="s">
        <v>698</v>
      </c>
      <c r="J484" s="141" t="s">
        <v>989</v>
      </c>
      <c r="K484" s="141">
        <v>0</v>
      </c>
      <c r="L484" s="143">
        <v>45565</v>
      </c>
      <c r="M484" s="245" t="s">
        <v>632</v>
      </c>
    </row>
    <row r="485" spans="1:13" s="141" customFormat="1">
      <c r="A485" s="141">
        <v>222797183</v>
      </c>
      <c r="B485" s="141" t="e">
        <v>#N/A</v>
      </c>
      <c r="C485" s="141">
        <f>VLOOKUP(A485,'DS Tenanted units'!A:A,1,FALSE)</f>
        <v>222797183</v>
      </c>
      <c r="D485" s="141" t="s">
        <v>1350</v>
      </c>
      <c r="E485" s="141" t="s">
        <v>617</v>
      </c>
      <c r="G485" s="141" t="s">
        <v>1351</v>
      </c>
      <c r="H485" s="141" t="s">
        <v>750</v>
      </c>
      <c r="I485" s="141" t="s">
        <v>698</v>
      </c>
      <c r="J485" s="141" t="s">
        <v>989</v>
      </c>
      <c r="K485" s="141">
        <v>0</v>
      </c>
      <c r="L485" s="143">
        <v>45565</v>
      </c>
      <c r="M485" s="245" t="s">
        <v>632</v>
      </c>
    </row>
    <row r="486" spans="1:13" s="141" customFormat="1">
      <c r="A486" s="141">
        <v>222797184</v>
      </c>
      <c r="B486" s="141" t="e">
        <v>#N/A</v>
      </c>
      <c r="C486" s="141">
        <f>VLOOKUP(A486,'DS Tenanted units'!A:A,1,FALSE)</f>
        <v>222797184</v>
      </c>
      <c r="D486" s="141" t="s">
        <v>1352</v>
      </c>
      <c r="E486" s="141" t="s">
        <v>617</v>
      </c>
      <c r="G486" s="141" t="s">
        <v>1353</v>
      </c>
      <c r="H486" s="141" t="s">
        <v>750</v>
      </c>
      <c r="I486" s="141" t="s">
        <v>698</v>
      </c>
      <c r="J486" s="141" t="s">
        <v>989</v>
      </c>
      <c r="K486" s="141">
        <v>0</v>
      </c>
      <c r="L486" s="143">
        <v>45565</v>
      </c>
      <c r="M486" s="245" t="s">
        <v>632</v>
      </c>
    </row>
    <row r="487" spans="1:13" s="141" customFormat="1">
      <c r="A487" s="141">
        <v>222797185</v>
      </c>
      <c r="B487" s="141" t="e">
        <v>#N/A</v>
      </c>
      <c r="C487" s="141">
        <f>VLOOKUP(A487,'DS Tenanted units'!A:A,1,FALSE)</f>
        <v>222797185</v>
      </c>
      <c r="D487" s="141" t="s">
        <v>1354</v>
      </c>
      <c r="E487" s="141" t="s">
        <v>617</v>
      </c>
      <c r="G487" s="141" t="s">
        <v>1355</v>
      </c>
      <c r="H487" s="141" t="s">
        <v>750</v>
      </c>
      <c r="I487" s="141" t="s">
        <v>698</v>
      </c>
      <c r="J487" s="141" t="s">
        <v>989</v>
      </c>
      <c r="K487" s="141">
        <v>0</v>
      </c>
      <c r="L487" s="143">
        <v>45565</v>
      </c>
      <c r="M487" s="245" t="s">
        <v>632</v>
      </c>
    </row>
    <row r="488" spans="1:13" s="141" customFormat="1">
      <c r="A488" s="141">
        <v>222797186</v>
      </c>
      <c r="B488" s="141" t="e">
        <v>#N/A</v>
      </c>
      <c r="C488" s="141">
        <f>VLOOKUP(A488,'DS Tenanted units'!A:A,1,FALSE)</f>
        <v>222797186</v>
      </c>
      <c r="D488" s="141" t="s">
        <v>1356</v>
      </c>
      <c r="E488" s="141" t="s">
        <v>617</v>
      </c>
      <c r="G488" s="141" t="s">
        <v>1357</v>
      </c>
      <c r="H488" s="141" t="s">
        <v>750</v>
      </c>
      <c r="I488" s="141" t="s">
        <v>698</v>
      </c>
      <c r="J488" s="141" t="s">
        <v>989</v>
      </c>
      <c r="K488" s="141">
        <v>0</v>
      </c>
      <c r="L488" s="143">
        <v>45565</v>
      </c>
      <c r="M488" s="245" t="s">
        <v>632</v>
      </c>
    </row>
    <row r="489" spans="1:13" s="141" customFormat="1">
      <c r="A489" s="141">
        <v>222797187</v>
      </c>
      <c r="B489" s="141" t="e">
        <v>#N/A</v>
      </c>
      <c r="C489" s="141">
        <f>VLOOKUP(A489,'DS Tenanted units'!A:A,1,FALSE)</f>
        <v>222797187</v>
      </c>
      <c r="D489" s="141" t="s">
        <v>1358</v>
      </c>
      <c r="E489" s="141" t="s">
        <v>617</v>
      </c>
      <c r="G489" s="141" t="s">
        <v>1359</v>
      </c>
      <c r="H489" s="141" t="s">
        <v>750</v>
      </c>
      <c r="I489" s="141" t="s">
        <v>698</v>
      </c>
      <c r="J489" s="141" t="s">
        <v>989</v>
      </c>
      <c r="K489" s="141">
        <v>0</v>
      </c>
      <c r="L489" s="143">
        <v>45565</v>
      </c>
      <c r="M489" s="245" t="s">
        <v>632</v>
      </c>
    </row>
    <row r="490" spans="1:13" s="141" customFormat="1">
      <c r="A490" s="141">
        <v>222797188</v>
      </c>
      <c r="B490" s="141" t="e">
        <v>#N/A</v>
      </c>
      <c r="C490" s="141">
        <f>VLOOKUP(A490,'DS Tenanted units'!A:A,1,FALSE)</f>
        <v>222797188</v>
      </c>
      <c r="D490" s="141" t="s">
        <v>1360</v>
      </c>
      <c r="E490" s="141" t="s">
        <v>617</v>
      </c>
      <c r="G490" s="141" t="s">
        <v>1361</v>
      </c>
      <c r="H490" s="141" t="s">
        <v>750</v>
      </c>
      <c r="I490" s="141" t="s">
        <v>698</v>
      </c>
      <c r="J490" s="141" t="s">
        <v>989</v>
      </c>
      <c r="K490" s="141">
        <v>0</v>
      </c>
      <c r="L490" s="143">
        <v>45565</v>
      </c>
      <c r="M490" s="245" t="s">
        <v>632</v>
      </c>
    </row>
    <row r="491" spans="1:13" s="141" customFormat="1">
      <c r="A491" s="141">
        <v>222797189</v>
      </c>
      <c r="B491" s="141" t="e">
        <v>#N/A</v>
      </c>
      <c r="C491" s="141">
        <f>VLOOKUP(A491,'DS Tenanted units'!A:A,1,FALSE)</f>
        <v>222797189</v>
      </c>
      <c r="D491" s="141" t="s">
        <v>1362</v>
      </c>
      <c r="E491" s="141" t="s">
        <v>617</v>
      </c>
      <c r="G491" s="141" t="s">
        <v>1363</v>
      </c>
      <c r="H491" s="141" t="s">
        <v>750</v>
      </c>
      <c r="I491" s="141" t="s">
        <v>698</v>
      </c>
      <c r="J491" s="141" t="s">
        <v>989</v>
      </c>
      <c r="K491" s="141">
        <v>0</v>
      </c>
      <c r="L491" s="143">
        <v>45565</v>
      </c>
      <c r="M491" s="245" t="s">
        <v>632</v>
      </c>
    </row>
    <row r="492" spans="1:13" s="141" customFormat="1">
      <c r="A492" s="141">
        <v>222797190</v>
      </c>
      <c r="B492" s="141" t="e">
        <v>#N/A</v>
      </c>
      <c r="C492" s="141">
        <f>VLOOKUP(A492,'DS Tenanted units'!A:A,1,FALSE)</f>
        <v>222797190</v>
      </c>
      <c r="D492" s="141" t="s">
        <v>1364</v>
      </c>
      <c r="E492" s="141" t="s">
        <v>617</v>
      </c>
      <c r="G492" s="141" t="s">
        <v>1365</v>
      </c>
      <c r="H492" s="141" t="s">
        <v>750</v>
      </c>
      <c r="I492" s="141" t="s">
        <v>698</v>
      </c>
      <c r="J492" s="141" t="s">
        <v>989</v>
      </c>
      <c r="K492" s="141">
        <v>0</v>
      </c>
      <c r="L492" s="143">
        <v>45565</v>
      </c>
      <c r="M492" s="245" t="s">
        <v>632</v>
      </c>
    </row>
    <row r="493" spans="1:13" s="141" customFormat="1">
      <c r="A493" s="141">
        <v>222797191</v>
      </c>
      <c r="B493" s="141" t="e">
        <v>#N/A</v>
      </c>
      <c r="C493" s="141">
        <f>VLOOKUP(A493,'DS Tenanted units'!A:A,1,FALSE)</f>
        <v>222797191</v>
      </c>
      <c r="D493" s="141" t="s">
        <v>1366</v>
      </c>
      <c r="E493" s="141" t="s">
        <v>617</v>
      </c>
      <c r="G493" s="141" t="s">
        <v>1367</v>
      </c>
      <c r="H493" s="141" t="s">
        <v>750</v>
      </c>
      <c r="I493" s="141" t="s">
        <v>698</v>
      </c>
      <c r="J493" s="141" t="s">
        <v>989</v>
      </c>
      <c r="K493" s="141">
        <v>0</v>
      </c>
      <c r="L493" s="143">
        <v>45565</v>
      </c>
      <c r="M493" s="245" t="s">
        <v>632</v>
      </c>
    </row>
    <row r="494" spans="1:13" s="141" customFormat="1">
      <c r="A494" s="141">
        <v>222797192</v>
      </c>
      <c r="B494" s="141" t="e">
        <v>#N/A</v>
      </c>
      <c r="C494" s="141">
        <f>VLOOKUP(A494,'DS Tenanted units'!A:A,1,FALSE)</f>
        <v>222797192</v>
      </c>
      <c r="D494" s="141" t="s">
        <v>1368</v>
      </c>
      <c r="E494" s="141" t="s">
        <v>617</v>
      </c>
      <c r="G494" s="141" t="s">
        <v>1369</v>
      </c>
      <c r="H494" s="141" t="s">
        <v>750</v>
      </c>
      <c r="I494" s="141" t="s">
        <v>698</v>
      </c>
      <c r="J494" s="141" t="s">
        <v>989</v>
      </c>
      <c r="K494" s="141">
        <v>0</v>
      </c>
      <c r="L494" s="143">
        <v>45565</v>
      </c>
      <c r="M494" s="245" t="s">
        <v>632</v>
      </c>
    </row>
    <row r="495" spans="1:13" s="141" customFormat="1">
      <c r="A495" s="141">
        <v>222797193</v>
      </c>
      <c r="B495" s="141" t="e">
        <v>#N/A</v>
      </c>
      <c r="C495" s="141">
        <f>VLOOKUP(A495,'DS Tenanted units'!A:A,1,FALSE)</f>
        <v>222797193</v>
      </c>
      <c r="D495" s="141" t="s">
        <v>1370</v>
      </c>
      <c r="E495" s="141" t="s">
        <v>617</v>
      </c>
      <c r="G495" s="141" t="s">
        <v>1371</v>
      </c>
      <c r="H495" s="141" t="s">
        <v>750</v>
      </c>
      <c r="I495" s="141" t="s">
        <v>698</v>
      </c>
      <c r="J495" s="141" t="s">
        <v>989</v>
      </c>
      <c r="K495" s="141">
        <v>0</v>
      </c>
      <c r="L495" s="143">
        <v>45565</v>
      </c>
      <c r="M495" s="245" t="s">
        <v>632</v>
      </c>
    </row>
    <row r="496" spans="1:13" s="141" customFormat="1">
      <c r="A496" s="141">
        <v>222797194</v>
      </c>
      <c r="B496" s="141" t="e">
        <v>#N/A</v>
      </c>
      <c r="C496" s="141">
        <f>VLOOKUP(A496,'DS Tenanted units'!A:A,1,FALSE)</f>
        <v>222797194</v>
      </c>
      <c r="D496" s="141" t="s">
        <v>1372</v>
      </c>
      <c r="E496" s="141" t="s">
        <v>617</v>
      </c>
      <c r="G496" s="141" t="s">
        <v>1373</v>
      </c>
      <c r="H496" s="141" t="s">
        <v>750</v>
      </c>
      <c r="I496" s="141" t="s">
        <v>698</v>
      </c>
      <c r="J496" s="141" t="s">
        <v>989</v>
      </c>
      <c r="K496" s="141">
        <v>0</v>
      </c>
      <c r="L496" s="143">
        <v>45565</v>
      </c>
      <c r="M496" s="245" t="s">
        <v>632</v>
      </c>
    </row>
    <row r="497" spans="1:13" s="141" customFormat="1">
      <c r="A497" s="141">
        <v>222797195</v>
      </c>
      <c r="B497" s="141" t="e">
        <v>#N/A</v>
      </c>
      <c r="C497" s="141">
        <f>VLOOKUP(A497,'DS Tenanted units'!A:A,1,FALSE)</f>
        <v>222797195</v>
      </c>
      <c r="D497" s="141" t="s">
        <v>1374</v>
      </c>
      <c r="E497" s="141" t="s">
        <v>617</v>
      </c>
      <c r="G497" s="141" t="s">
        <v>1375</v>
      </c>
      <c r="H497" s="141" t="s">
        <v>750</v>
      </c>
      <c r="I497" s="141" t="s">
        <v>698</v>
      </c>
      <c r="J497" s="141" t="s">
        <v>989</v>
      </c>
      <c r="K497" s="141">
        <v>0</v>
      </c>
      <c r="L497" s="143">
        <v>45565</v>
      </c>
      <c r="M497" s="245" t="s">
        <v>632</v>
      </c>
    </row>
    <row r="498" spans="1:13" s="141" customFormat="1">
      <c r="A498" s="141">
        <v>222797196</v>
      </c>
      <c r="B498" s="141" t="e">
        <v>#N/A</v>
      </c>
      <c r="C498" s="141">
        <f>VLOOKUP(A498,'DS Tenanted units'!A:A,1,FALSE)</f>
        <v>222797196</v>
      </c>
      <c r="D498" s="141" t="s">
        <v>1376</v>
      </c>
      <c r="E498" s="141" t="s">
        <v>617</v>
      </c>
      <c r="G498" s="141" t="s">
        <v>1377</v>
      </c>
      <c r="H498" s="141" t="s">
        <v>750</v>
      </c>
      <c r="I498" s="141" t="s">
        <v>698</v>
      </c>
      <c r="J498" s="141" t="s">
        <v>989</v>
      </c>
      <c r="K498" s="141">
        <v>0</v>
      </c>
      <c r="L498" s="143">
        <v>45565</v>
      </c>
      <c r="M498" s="245" t="s">
        <v>632</v>
      </c>
    </row>
    <row r="499" spans="1:13" s="141" customFormat="1">
      <c r="A499" s="141">
        <v>222797197</v>
      </c>
      <c r="B499" s="141" t="e">
        <v>#N/A</v>
      </c>
      <c r="C499" s="141">
        <f>VLOOKUP(A499,'DS Tenanted units'!A:A,1,FALSE)</f>
        <v>222797197</v>
      </c>
      <c r="D499" s="141" t="s">
        <v>1378</v>
      </c>
      <c r="E499" s="141" t="s">
        <v>617</v>
      </c>
      <c r="G499" s="141" t="s">
        <v>1379</v>
      </c>
      <c r="H499" s="141" t="s">
        <v>750</v>
      </c>
      <c r="I499" s="141" t="s">
        <v>698</v>
      </c>
      <c r="J499" s="141" t="s">
        <v>989</v>
      </c>
      <c r="K499" s="141">
        <v>0</v>
      </c>
      <c r="L499" s="143">
        <v>45565</v>
      </c>
      <c r="M499" s="245" t="s">
        <v>632</v>
      </c>
    </row>
    <row r="500" spans="1:13" s="141" customFormat="1">
      <c r="A500" s="141">
        <v>222797198</v>
      </c>
      <c r="B500" s="141" t="e">
        <v>#N/A</v>
      </c>
      <c r="C500" s="141">
        <f>VLOOKUP(A500,'DS Tenanted units'!A:A,1,FALSE)</f>
        <v>222797198</v>
      </c>
      <c r="D500" s="141" t="s">
        <v>1380</v>
      </c>
      <c r="E500" s="141" t="s">
        <v>617</v>
      </c>
      <c r="G500" s="141" t="s">
        <v>1381</v>
      </c>
      <c r="H500" s="141" t="s">
        <v>750</v>
      </c>
      <c r="I500" s="141" t="s">
        <v>698</v>
      </c>
      <c r="J500" s="141" t="s">
        <v>989</v>
      </c>
      <c r="K500" s="141">
        <v>0</v>
      </c>
      <c r="L500" s="143">
        <v>45565</v>
      </c>
      <c r="M500" s="245" t="s">
        <v>632</v>
      </c>
    </row>
    <row r="501" spans="1:13" s="141" customFormat="1">
      <c r="A501" s="141">
        <v>222797199</v>
      </c>
      <c r="B501" s="141" t="e">
        <v>#N/A</v>
      </c>
      <c r="C501" s="141">
        <f>VLOOKUP(A501,'DS Tenanted units'!A:A,1,FALSE)</f>
        <v>222797199</v>
      </c>
      <c r="D501" s="141" t="s">
        <v>1382</v>
      </c>
      <c r="E501" s="141" t="s">
        <v>617</v>
      </c>
      <c r="G501" s="141" t="s">
        <v>1383</v>
      </c>
      <c r="H501" s="141" t="s">
        <v>750</v>
      </c>
      <c r="I501" s="141" t="s">
        <v>698</v>
      </c>
      <c r="J501" s="141" t="s">
        <v>989</v>
      </c>
      <c r="K501" s="141">
        <v>0</v>
      </c>
      <c r="L501" s="143">
        <v>45565</v>
      </c>
      <c r="M501" s="245" t="s">
        <v>632</v>
      </c>
    </row>
    <row r="502" spans="1:13" s="141" customFormat="1">
      <c r="A502" s="141">
        <v>222797200</v>
      </c>
      <c r="B502" s="141" t="e">
        <v>#N/A</v>
      </c>
      <c r="C502" s="141">
        <f>VLOOKUP(A502,'DS Tenanted units'!A:A,1,FALSE)</f>
        <v>222797200</v>
      </c>
      <c r="D502" s="141" t="s">
        <v>1384</v>
      </c>
      <c r="E502" s="141" t="s">
        <v>617</v>
      </c>
      <c r="G502" s="141" t="s">
        <v>1385</v>
      </c>
      <c r="H502" s="141" t="s">
        <v>750</v>
      </c>
      <c r="I502" s="141" t="s">
        <v>698</v>
      </c>
      <c r="J502" s="141" t="s">
        <v>989</v>
      </c>
      <c r="K502" s="141">
        <v>0</v>
      </c>
      <c r="L502" s="143">
        <v>45565</v>
      </c>
      <c r="M502" s="245" t="s">
        <v>632</v>
      </c>
    </row>
    <row r="503" spans="1:13" s="141" customFormat="1">
      <c r="A503" s="141">
        <v>222797201</v>
      </c>
      <c r="B503" s="141" t="e">
        <v>#N/A</v>
      </c>
      <c r="C503" s="141">
        <f>VLOOKUP(A503,'DS Tenanted units'!A:A,1,FALSE)</f>
        <v>222797201</v>
      </c>
      <c r="D503" s="141" t="s">
        <v>1386</v>
      </c>
      <c r="E503" s="141" t="s">
        <v>617</v>
      </c>
      <c r="G503" s="141" t="s">
        <v>1387</v>
      </c>
      <c r="H503" s="141" t="s">
        <v>750</v>
      </c>
      <c r="I503" s="141" t="s">
        <v>698</v>
      </c>
      <c r="J503" s="141" t="s">
        <v>989</v>
      </c>
      <c r="K503" s="141">
        <v>0</v>
      </c>
      <c r="L503" s="143">
        <v>45565</v>
      </c>
      <c r="M503" s="245" t="s">
        <v>632</v>
      </c>
    </row>
    <row r="504" spans="1:13" s="141" customFormat="1">
      <c r="A504" s="141">
        <v>222797202</v>
      </c>
      <c r="B504" s="141" t="e">
        <v>#N/A</v>
      </c>
      <c r="C504" s="141">
        <f>VLOOKUP(A504,'DS Tenanted units'!A:A,1,FALSE)</f>
        <v>222797202</v>
      </c>
      <c r="D504" s="141" t="s">
        <v>1388</v>
      </c>
      <c r="E504" s="141" t="s">
        <v>617</v>
      </c>
      <c r="G504" s="141" t="s">
        <v>1389</v>
      </c>
      <c r="H504" s="141" t="s">
        <v>750</v>
      </c>
      <c r="I504" s="141" t="s">
        <v>698</v>
      </c>
      <c r="J504" s="141" t="s">
        <v>989</v>
      </c>
      <c r="K504" s="141">
        <v>0</v>
      </c>
      <c r="L504" s="143">
        <v>45565</v>
      </c>
      <c r="M504" s="245" t="s">
        <v>632</v>
      </c>
    </row>
    <row r="505" spans="1:13" s="141" customFormat="1">
      <c r="A505" s="141">
        <v>222797203</v>
      </c>
      <c r="B505" s="141" t="e">
        <v>#N/A</v>
      </c>
      <c r="C505" s="141">
        <f>VLOOKUP(A505,'DS Tenanted units'!A:A,1,FALSE)</f>
        <v>222797203</v>
      </c>
      <c r="D505" s="141" t="s">
        <v>1390</v>
      </c>
      <c r="E505" s="141" t="s">
        <v>617</v>
      </c>
      <c r="G505" s="141" t="s">
        <v>1391</v>
      </c>
      <c r="H505" s="141" t="s">
        <v>750</v>
      </c>
      <c r="I505" s="141" t="s">
        <v>698</v>
      </c>
      <c r="J505" s="141" t="s">
        <v>989</v>
      </c>
      <c r="K505" s="141">
        <v>0</v>
      </c>
      <c r="L505" s="143">
        <v>45565</v>
      </c>
      <c r="M505" s="245" t="s">
        <v>632</v>
      </c>
    </row>
    <row r="506" spans="1:13" s="141" customFormat="1">
      <c r="A506" s="141">
        <v>222797204</v>
      </c>
      <c r="B506" s="141" t="e">
        <v>#N/A</v>
      </c>
      <c r="C506" s="141">
        <f>VLOOKUP(A506,'DS Tenanted units'!A:A,1,FALSE)</f>
        <v>222797204</v>
      </c>
      <c r="D506" s="141" t="s">
        <v>1392</v>
      </c>
      <c r="E506" s="141" t="s">
        <v>617</v>
      </c>
      <c r="G506" s="141" t="s">
        <v>1393</v>
      </c>
      <c r="H506" s="141" t="s">
        <v>750</v>
      </c>
      <c r="I506" s="141" t="s">
        <v>698</v>
      </c>
      <c r="J506" s="141" t="s">
        <v>989</v>
      </c>
      <c r="K506" s="141">
        <v>0</v>
      </c>
      <c r="L506" s="143">
        <v>45565</v>
      </c>
      <c r="M506" s="245" t="s">
        <v>632</v>
      </c>
    </row>
    <row r="507" spans="1:13" s="141" customFormat="1">
      <c r="A507" s="141">
        <v>222797205</v>
      </c>
      <c r="B507" s="141" t="e">
        <v>#N/A</v>
      </c>
      <c r="C507" s="141">
        <f>VLOOKUP(A507,'DS Tenanted units'!A:A,1,FALSE)</f>
        <v>222797205</v>
      </c>
      <c r="D507" s="141" t="s">
        <v>1394</v>
      </c>
      <c r="E507" s="141" t="s">
        <v>617</v>
      </c>
      <c r="G507" s="141" t="s">
        <v>1395</v>
      </c>
      <c r="H507" s="141" t="s">
        <v>750</v>
      </c>
      <c r="I507" s="141" t="s">
        <v>698</v>
      </c>
      <c r="J507" s="141" t="s">
        <v>989</v>
      </c>
      <c r="K507" s="141">
        <v>0</v>
      </c>
      <c r="L507" s="143">
        <v>45565</v>
      </c>
      <c r="M507" s="245" t="s">
        <v>632</v>
      </c>
    </row>
    <row r="508" spans="1:13" s="141" customFormat="1">
      <c r="A508" s="141">
        <v>222797207</v>
      </c>
      <c r="B508" s="141" t="e">
        <v>#N/A</v>
      </c>
      <c r="C508" s="141">
        <f>VLOOKUP(A508,'DS Tenanted units'!A:A,1,FALSE)</f>
        <v>222797207</v>
      </c>
      <c r="D508" s="141" t="s">
        <v>1396</v>
      </c>
      <c r="E508" s="141" t="s">
        <v>617</v>
      </c>
      <c r="G508" s="141" t="s">
        <v>1397</v>
      </c>
      <c r="H508" s="141" t="s">
        <v>750</v>
      </c>
      <c r="I508" s="141" t="s">
        <v>698</v>
      </c>
      <c r="J508" s="141" t="s">
        <v>989</v>
      </c>
      <c r="K508" s="141">
        <v>0</v>
      </c>
      <c r="L508" s="143">
        <v>45565</v>
      </c>
      <c r="M508" s="245" t="s">
        <v>632</v>
      </c>
    </row>
    <row r="509" spans="1:13" s="141" customFormat="1">
      <c r="A509" s="141">
        <v>222797208</v>
      </c>
      <c r="B509" s="141" t="e">
        <v>#N/A</v>
      </c>
      <c r="C509" s="141">
        <f>VLOOKUP(A509,'DS Tenanted units'!A:A,1,FALSE)</f>
        <v>222797208</v>
      </c>
      <c r="D509" s="141" t="s">
        <v>1398</v>
      </c>
      <c r="E509" s="141" t="s">
        <v>617</v>
      </c>
      <c r="G509" s="141" t="s">
        <v>1399</v>
      </c>
      <c r="H509" s="141" t="s">
        <v>750</v>
      </c>
      <c r="I509" s="141" t="s">
        <v>698</v>
      </c>
      <c r="J509" s="141" t="s">
        <v>989</v>
      </c>
      <c r="K509" s="141">
        <v>0</v>
      </c>
      <c r="L509" s="143">
        <v>45565</v>
      </c>
      <c r="M509" s="245" t="s">
        <v>632</v>
      </c>
    </row>
    <row r="510" spans="1:13" s="141" customFormat="1">
      <c r="A510" s="141">
        <v>222797209</v>
      </c>
      <c r="B510" s="141" t="e">
        <v>#N/A</v>
      </c>
      <c r="C510" s="141">
        <f>VLOOKUP(A510,'DS Tenanted units'!A:A,1,FALSE)</f>
        <v>222797209</v>
      </c>
      <c r="D510" s="141" t="s">
        <v>1400</v>
      </c>
      <c r="E510" s="141" t="s">
        <v>617</v>
      </c>
      <c r="G510" s="141" t="s">
        <v>1401</v>
      </c>
      <c r="H510" s="141" t="s">
        <v>750</v>
      </c>
      <c r="I510" s="141" t="s">
        <v>698</v>
      </c>
      <c r="J510" s="141" t="s">
        <v>989</v>
      </c>
      <c r="K510" s="141">
        <v>0</v>
      </c>
      <c r="L510" s="143">
        <v>45565</v>
      </c>
      <c r="M510" s="245" t="s">
        <v>632</v>
      </c>
    </row>
    <row r="511" spans="1:13" s="141" customFormat="1">
      <c r="A511" s="141">
        <v>222797210</v>
      </c>
      <c r="B511" s="141" t="e">
        <v>#N/A</v>
      </c>
      <c r="C511" s="141">
        <f>VLOOKUP(A511,'DS Tenanted units'!A:A,1,FALSE)</f>
        <v>222797210</v>
      </c>
      <c r="D511" s="141" t="s">
        <v>1402</v>
      </c>
      <c r="E511" s="141" t="s">
        <v>617</v>
      </c>
      <c r="G511" s="141" t="s">
        <v>1403</v>
      </c>
      <c r="H511" s="141" t="s">
        <v>750</v>
      </c>
      <c r="I511" s="141" t="s">
        <v>698</v>
      </c>
      <c r="J511" s="141" t="s">
        <v>989</v>
      </c>
      <c r="K511" s="141">
        <v>0</v>
      </c>
      <c r="L511" s="143">
        <v>45565</v>
      </c>
      <c r="M511" s="245" t="s">
        <v>632</v>
      </c>
    </row>
    <row r="512" spans="1:13" s="141" customFormat="1">
      <c r="A512" s="141">
        <v>222797211</v>
      </c>
      <c r="B512" s="141" t="e">
        <v>#N/A</v>
      </c>
      <c r="C512" s="141">
        <f>VLOOKUP(A512,'DS Tenanted units'!A:A,1,FALSE)</f>
        <v>222797211</v>
      </c>
      <c r="D512" s="141" t="s">
        <v>1404</v>
      </c>
      <c r="E512" s="141" t="s">
        <v>617</v>
      </c>
      <c r="G512" s="141" t="s">
        <v>1405</v>
      </c>
      <c r="H512" s="141" t="s">
        <v>750</v>
      </c>
      <c r="I512" s="141" t="s">
        <v>698</v>
      </c>
      <c r="J512" s="141" t="s">
        <v>989</v>
      </c>
      <c r="K512" s="141">
        <v>0</v>
      </c>
      <c r="L512" s="143">
        <v>45565</v>
      </c>
      <c r="M512" s="245" t="s">
        <v>632</v>
      </c>
    </row>
    <row r="513" spans="1:13" s="141" customFormat="1">
      <c r="A513" s="141">
        <v>222797212</v>
      </c>
      <c r="B513" s="141" t="e">
        <v>#N/A</v>
      </c>
      <c r="C513" s="141">
        <f>VLOOKUP(A513,'DS Tenanted units'!A:A,1,FALSE)</f>
        <v>222797212</v>
      </c>
      <c r="D513" s="141" t="s">
        <v>1406</v>
      </c>
      <c r="E513" s="141" t="s">
        <v>617</v>
      </c>
      <c r="G513" s="141" t="s">
        <v>1407</v>
      </c>
      <c r="H513" s="141" t="s">
        <v>750</v>
      </c>
      <c r="I513" s="141" t="s">
        <v>698</v>
      </c>
      <c r="J513" s="141" t="s">
        <v>989</v>
      </c>
      <c r="K513" s="141">
        <v>0</v>
      </c>
      <c r="L513" s="143">
        <v>45565</v>
      </c>
      <c r="M513" s="245" t="s">
        <v>632</v>
      </c>
    </row>
    <row r="514" spans="1:13" s="141" customFormat="1">
      <c r="A514" s="141">
        <v>222797213</v>
      </c>
      <c r="B514" s="141" t="e">
        <v>#N/A</v>
      </c>
      <c r="C514" s="141">
        <f>VLOOKUP(A514,'DS Tenanted units'!A:A,1,FALSE)</f>
        <v>222797213</v>
      </c>
      <c r="D514" s="141" t="s">
        <v>1408</v>
      </c>
      <c r="E514" s="141" t="s">
        <v>617</v>
      </c>
      <c r="G514" s="141" t="s">
        <v>1409</v>
      </c>
      <c r="H514" s="141" t="s">
        <v>750</v>
      </c>
      <c r="I514" s="141" t="s">
        <v>698</v>
      </c>
      <c r="J514" s="141" t="s">
        <v>989</v>
      </c>
      <c r="K514" s="141">
        <v>0</v>
      </c>
      <c r="L514" s="143">
        <v>45565</v>
      </c>
      <c r="M514" s="245" t="s">
        <v>632</v>
      </c>
    </row>
    <row r="515" spans="1:13" s="141" customFormat="1">
      <c r="A515" s="141">
        <v>222797214</v>
      </c>
      <c r="B515" s="141" t="e">
        <v>#N/A</v>
      </c>
      <c r="C515" s="141">
        <f>VLOOKUP(A515,'DS Tenanted units'!A:A,1,FALSE)</f>
        <v>222797214</v>
      </c>
      <c r="D515" s="141" t="s">
        <v>1410</v>
      </c>
      <c r="E515" s="141" t="s">
        <v>617</v>
      </c>
      <c r="G515" s="141" t="s">
        <v>1411</v>
      </c>
      <c r="H515" s="141" t="s">
        <v>750</v>
      </c>
      <c r="I515" s="141" t="s">
        <v>698</v>
      </c>
      <c r="J515" s="141" t="s">
        <v>989</v>
      </c>
      <c r="K515" s="141">
        <v>0</v>
      </c>
      <c r="L515" s="143">
        <v>45565</v>
      </c>
      <c r="M515" s="245" t="s">
        <v>632</v>
      </c>
    </row>
    <row r="516" spans="1:13" s="141" customFormat="1">
      <c r="A516" s="141">
        <v>222797215</v>
      </c>
      <c r="B516" s="141" t="e">
        <v>#N/A</v>
      </c>
      <c r="C516" s="141">
        <f>VLOOKUP(A516,'DS Tenanted units'!A:A,1,FALSE)</f>
        <v>222797215</v>
      </c>
      <c r="D516" s="141" t="s">
        <v>1412</v>
      </c>
      <c r="E516" s="141" t="s">
        <v>617</v>
      </c>
      <c r="G516" s="141" t="s">
        <v>1413</v>
      </c>
      <c r="H516" s="141" t="s">
        <v>750</v>
      </c>
      <c r="I516" s="141" t="s">
        <v>698</v>
      </c>
      <c r="J516" s="141" t="s">
        <v>989</v>
      </c>
      <c r="K516" s="141">
        <v>0</v>
      </c>
      <c r="L516" s="143">
        <v>45565</v>
      </c>
      <c r="M516" s="245" t="s">
        <v>632</v>
      </c>
    </row>
    <row r="517" spans="1:13" s="141" customFormat="1">
      <c r="A517" s="141">
        <v>222797216</v>
      </c>
      <c r="B517" s="141" t="e">
        <v>#N/A</v>
      </c>
      <c r="C517" s="141">
        <f>VLOOKUP(A517,'DS Tenanted units'!A:A,1,FALSE)</f>
        <v>222797216</v>
      </c>
      <c r="D517" s="141" t="s">
        <v>1414</v>
      </c>
      <c r="E517" s="141" t="s">
        <v>617</v>
      </c>
      <c r="G517" s="141" t="s">
        <v>1415</v>
      </c>
      <c r="H517" s="141" t="s">
        <v>750</v>
      </c>
      <c r="I517" s="141" t="s">
        <v>698</v>
      </c>
      <c r="J517" s="141" t="s">
        <v>989</v>
      </c>
      <c r="K517" s="141">
        <v>0</v>
      </c>
      <c r="L517" s="143">
        <v>45565</v>
      </c>
      <c r="M517" s="245" t="s">
        <v>632</v>
      </c>
    </row>
    <row r="518" spans="1:13" s="141" customFormat="1">
      <c r="A518" s="141">
        <v>222797217</v>
      </c>
      <c r="B518" s="141" t="e">
        <v>#N/A</v>
      </c>
      <c r="C518" s="141">
        <f>VLOOKUP(A518,'DS Tenanted units'!A:A,1,FALSE)</f>
        <v>222797217</v>
      </c>
      <c r="D518" s="141" t="s">
        <v>1416</v>
      </c>
      <c r="E518" s="141" t="s">
        <v>617</v>
      </c>
      <c r="G518" s="141" t="s">
        <v>1417</v>
      </c>
      <c r="H518" s="141" t="s">
        <v>750</v>
      </c>
      <c r="I518" s="141" t="s">
        <v>698</v>
      </c>
      <c r="J518" s="141" t="s">
        <v>989</v>
      </c>
      <c r="K518" s="141">
        <v>0</v>
      </c>
      <c r="L518" s="143">
        <v>45565</v>
      </c>
      <c r="M518" s="245" t="s">
        <v>632</v>
      </c>
    </row>
    <row r="519" spans="1:13" s="141" customFormat="1">
      <c r="A519" s="141">
        <v>222797218</v>
      </c>
      <c r="B519" s="141" t="e">
        <v>#N/A</v>
      </c>
      <c r="C519" s="141">
        <f>VLOOKUP(A519,'DS Tenanted units'!A:A,1,FALSE)</f>
        <v>222797218</v>
      </c>
      <c r="D519" s="141" t="s">
        <v>1418</v>
      </c>
      <c r="E519" s="141" t="s">
        <v>617</v>
      </c>
      <c r="G519" s="141" t="s">
        <v>1419</v>
      </c>
      <c r="H519" s="141" t="s">
        <v>750</v>
      </c>
      <c r="I519" s="141" t="s">
        <v>698</v>
      </c>
      <c r="J519" s="141" t="s">
        <v>989</v>
      </c>
      <c r="K519" s="141">
        <v>0</v>
      </c>
      <c r="L519" s="143">
        <v>45565</v>
      </c>
      <c r="M519" s="245" t="s">
        <v>632</v>
      </c>
    </row>
    <row r="520" spans="1:13" s="141" customFormat="1">
      <c r="A520" s="141">
        <v>222797219</v>
      </c>
      <c r="B520" s="141" t="e">
        <v>#N/A</v>
      </c>
      <c r="C520" s="141">
        <f>VLOOKUP(A520,'DS Tenanted units'!A:A,1,FALSE)</f>
        <v>222797219</v>
      </c>
      <c r="D520" s="141" t="s">
        <v>1420</v>
      </c>
      <c r="E520" s="141" t="s">
        <v>617</v>
      </c>
      <c r="G520" s="141" t="s">
        <v>1421</v>
      </c>
      <c r="H520" s="141" t="s">
        <v>750</v>
      </c>
      <c r="I520" s="141" t="s">
        <v>698</v>
      </c>
      <c r="J520" s="141" t="s">
        <v>989</v>
      </c>
      <c r="K520" s="141">
        <v>0</v>
      </c>
      <c r="L520" s="143">
        <v>45565</v>
      </c>
      <c r="M520" s="245" t="s">
        <v>632</v>
      </c>
    </row>
    <row r="521" spans="1:13" s="141" customFormat="1">
      <c r="A521" s="141">
        <v>222797220</v>
      </c>
      <c r="B521" s="141" t="e">
        <v>#N/A</v>
      </c>
      <c r="C521" s="141">
        <f>VLOOKUP(A521,'DS Tenanted units'!A:A,1,FALSE)</f>
        <v>222797220</v>
      </c>
      <c r="D521" s="141" t="s">
        <v>1422</v>
      </c>
      <c r="E521" s="141" t="s">
        <v>617</v>
      </c>
      <c r="G521" s="141" t="s">
        <v>1423</v>
      </c>
      <c r="H521" s="141" t="s">
        <v>750</v>
      </c>
      <c r="I521" s="141" t="s">
        <v>698</v>
      </c>
      <c r="J521" s="141" t="s">
        <v>989</v>
      </c>
      <c r="K521" s="141">
        <v>0</v>
      </c>
      <c r="L521" s="143">
        <v>45565</v>
      </c>
      <c r="M521" s="245" t="s">
        <v>632</v>
      </c>
    </row>
    <row r="522" spans="1:13" s="141" customFormat="1">
      <c r="A522" s="141">
        <v>222797221</v>
      </c>
      <c r="B522" s="141" t="e">
        <v>#N/A</v>
      </c>
      <c r="C522" s="141">
        <f>VLOOKUP(A522,'DS Tenanted units'!A:A,1,FALSE)</f>
        <v>222797221</v>
      </c>
      <c r="D522" s="141" t="s">
        <v>1424</v>
      </c>
      <c r="E522" s="141" t="s">
        <v>617</v>
      </c>
      <c r="G522" s="141" t="s">
        <v>1425</v>
      </c>
      <c r="H522" s="141" t="s">
        <v>750</v>
      </c>
      <c r="I522" s="141" t="s">
        <v>698</v>
      </c>
      <c r="J522" s="141" t="s">
        <v>989</v>
      </c>
      <c r="K522" s="141">
        <v>0</v>
      </c>
      <c r="L522" s="143">
        <v>45565</v>
      </c>
      <c r="M522" s="245" t="s">
        <v>632</v>
      </c>
    </row>
    <row r="523" spans="1:13" s="141" customFormat="1">
      <c r="A523" s="141">
        <v>222797222</v>
      </c>
      <c r="B523" s="141" t="e">
        <v>#N/A</v>
      </c>
      <c r="C523" s="141">
        <f>VLOOKUP(A523,'DS Tenanted units'!A:A,1,FALSE)</f>
        <v>222797222</v>
      </c>
      <c r="D523" s="141" t="s">
        <v>1426</v>
      </c>
      <c r="E523" s="141" t="s">
        <v>617</v>
      </c>
      <c r="G523" s="141" t="s">
        <v>1427</v>
      </c>
      <c r="H523" s="141" t="s">
        <v>750</v>
      </c>
      <c r="I523" s="141" t="s">
        <v>698</v>
      </c>
      <c r="J523" s="141" t="s">
        <v>989</v>
      </c>
      <c r="K523" s="141">
        <v>0</v>
      </c>
      <c r="L523" s="143">
        <v>45565</v>
      </c>
      <c r="M523" s="245" t="s">
        <v>632</v>
      </c>
    </row>
    <row r="524" spans="1:13" s="141" customFormat="1">
      <c r="A524" s="141">
        <v>222797223</v>
      </c>
      <c r="B524" s="141" t="e">
        <v>#N/A</v>
      </c>
      <c r="C524" s="141">
        <f>VLOOKUP(A524,'DS Tenanted units'!A:A,1,FALSE)</f>
        <v>222797223</v>
      </c>
      <c r="D524" s="141" t="s">
        <v>1428</v>
      </c>
      <c r="E524" s="141" t="s">
        <v>617</v>
      </c>
      <c r="G524" s="141" t="s">
        <v>1429</v>
      </c>
      <c r="H524" s="141" t="s">
        <v>750</v>
      </c>
      <c r="I524" s="141" t="s">
        <v>698</v>
      </c>
      <c r="J524" s="141" t="s">
        <v>989</v>
      </c>
      <c r="K524" s="141">
        <v>0</v>
      </c>
      <c r="L524" s="143">
        <v>45565</v>
      </c>
      <c r="M524" s="245" t="s">
        <v>632</v>
      </c>
    </row>
    <row r="525" spans="1:13" s="141" customFormat="1">
      <c r="A525" s="141">
        <v>222797224</v>
      </c>
      <c r="B525" s="141" t="e">
        <v>#N/A</v>
      </c>
      <c r="C525" s="141">
        <f>VLOOKUP(A525,'DS Tenanted units'!A:A,1,FALSE)</f>
        <v>222797224</v>
      </c>
      <c r="D525" s="141" t="s">
        <v>1430</v>
      </c>
      <c r="E525" s="141" t="s">
        <v>617</v>
      </c>
      <c r="G525" s="141" t="s">
        <v>1431</v>
      </c>
      <c r="H525" s="141" t="s">
        <v>750</v>
      </c>
      <c r="I525" s="141" t="s">
        <v>698</v>
      </c>
      <c r="J525" s="141" t="s">
        <v>989</v>
      </c>
      <c r="K525" s="141">
        <v>0</v>
      </c>
      <c r="L525" s="143">
        <v>45565</v>
      </c>
      <c r="M525" s="245" t="s">
        <v>632</v>
      </c>
    </row>
    <row r="526" spans="1:13" s="141" customFormat="1">
      <c r="A526" s="141">
        <v>222797225</v>
      </c>
      <c r="B526" s="141" t="e">
        <v>#N/A</v>
      </c>
      <c r="C526" s="141">
        <f>VLOOKUP(A526,'DS Tenanted units'!A:A,1,FALSE)</f>
        <v>222797225</v>
      </c>
      <c r="D526" s="141" t="s">
        <v>1432</v>
      </c>
      <c r="E526" s="141" t="s">
        <v>617</v>
      </c>
      <c r="G526" s="141" t="s">
        <v>1433</v>
      </c>
      <c r="H526" s="141" t="s">
        <v>750</v>
      </c>
      <c r="I526" s="141" t="s">
        <v>698</v>
      </c>
      <c r="J526" s="141" t="s">
        <v>989</v>
      </c>
      <c r="K526" s="141">
        <v>0</v>
      </c>
      <c r="L526" s="143">
        <v>45565</v>
      </c>
      <c r="M526" s="245" t="s">
        <v>632</v>
      </c>
    </row>
    <row r="527" spans="1:13" s="141" customFormat="1">
      <c r="A527" s="141">
        <v>222797226</v>
      </c>
      <c r="B527" s="141" t="e">
        <v>#N/A</v>
      </c>
      <c r="C527" s="141">
        <f>VLOOKUP(A527,'DS Tenanted units'!A:A,1,FALSE)</f>
        <v>222797226</v>
      </c>
      <c r="D527" s="141" t="s">
        <v>1434</v>
      </c>
      <c r="E527" s="141" t="s">
        <v>617</v>
      </c>
      <c r="G527" s="141" t="s">
        <v>1435</v>
      </c>
      <c r="H527" s="141" t="s">
        <v>750</v>
      </c>
      <c r="I527" s="141" t="s">
        <v>698</v>
      </c>
      <c r="J527" s="141" t="s">
        <v>989</v>
      </c>
      <c r="K527" s="141">
        <v>0</v>
      </c>
      <c r="L527" s="143">
        <v>45565</v>
      </c>
      <c r="M527" s="245" t="s">
        <v>632</v>
      </c>
    </row>
    <row r="528" spans="1:13" s="141" customFormat="1">
      <c r="A528" s="141">
        <v>222797227</v>
      </c>
      <c r="B528" s="141" t="e">
        <v>#N/A</v>
      </c>
      <c r="C528" s="141">
        <f>VLOOKUP(A528,'DS Tenanted units'!A:A,1,FALSE)</f>
        <v>222797227</v>
      </c>
      <c r="D528" s="141" t="s">
        <v>1436</v>
      </c>
      <c r="E528" s="141" t="s">
        <v>617</v>
      </c>
      <c r="G528" s="141" t="s">
        <v>1437</v>
      </c>
      <c r="H528" s="141" t="s">
        <v>750</v>
      </c>
      <c r="I528" s="141" t="s">
        <v>698</v>
      </c>
      <c r="J528" s="141" t="s">
        <v>989</v>
      </c>
      <c r="K528" s="141">
        <v>0</v>
      </c>
      <c r="L528" s="143">
        <v>45565</v>
      </c>
      <c r="M528" s="245" t="s">
        <v>632</v>
      </c>
    </row>
    <row r="529" spans="1:13" s="141" customFormat="1">
      <c r="A529" s="141">
        <v>222797228</v>
      </c>
      <c r="B529" s="141" t="e">
        <v>#N/A</v>
      </c>
      <c r="C529" s="141">
        <f>VLOOKUP(A529,'DS Tenanted units'!A:A,1,FALSE)</f>
        <v>222797228</v>
      </c>
      <c r="D529" s="141" t="s">
        <v>1438</v>
      </c>
      <c r="E529" s="141" t="s">
        <v>617</v>
      </c>
      <c r="G529" s="141" t="s">
        <v>1439</v>
      </c>
      <c r="H529" s="141" t="s">
        <v>750</v>
      </c>
      <c r="I529" s="141" t="s">
        <v>698</v>
      </c>
      <c r="J529" s="141" t="s">
        <v>989</v>
      </c>
      <c r="K529" s="141">
        <v>0</v>
      </c>
      <c r="L529" s="143">
        <v>45565</v>
      </c>
      <c r="M529" s="245" t="s">
        <v>632</v>
      </c>
    </row>
    <row r="530" spans="1:13" s="141" customFormat="1">
      <c r="A530" s="141">
        <v>222797229</v>
      </c>
      <c r="B530" s="141" t="e">
        <v>#N/A</v>
      </c>
      <c r="C530" s="141">
        <f>VLOOKUP(A530,'DS Tenanted units'!A:A,1,FALSE)</f>
        <v>222797229</v>
      </c>
      <c r="D530" s="141" t="s">
        <v>1440</v>
      </c>
      <c r="E530" s="141" t="s">
        <v>617</v>
      </c>
      <c r="G530" s="141" t="s">
        <v>1441</v>
      </c>
      <c r="H530" s="141" t="s">
        <v>750</v>
      </c>
      <c r="I530" s="141" t="s">
        <v>698</v>
      </c>
      <c r="J530" s="141" t="s">
        <v>989</v>
      </c>
      <c r="K530" s="141">
        <v>0</v>
      </c>
      <c r="L530" s="143">
        <v>45565</v>
      </c>
      <c r="M530" s="245" t="s">
        <v>632</v>
      </c>
    </row>
    <row r="531" spans="1:13" s="141" customFormat="1">
      <c r="A531" s="141">
        <v>222797230</v>
      </c>
      <c r="B531" s="141" t="e">
        <v>#N/A</v>
      </c>
      <c r="C531" s="141">
        <f>VLOOKUP(A531,'DS Tenanted units'!A:A,1,FALSE)</f>
        <v>222797230</v>
      </c>
      <c r="D531" s="141" t="s">
        <v>1442</v>
      </c>
      <c r="E531" s="141" t="s">
        <v>617</v>
      </c>
      <c r="G531" s="141" t="s">
        <v>1443</v>
      </c>
      <c r="H531" s="141" t="s">
        <v>750</v>
      </c>
      <c r="I531" s="141" t="s">
        <v>698</v>
      </c>
      <c r="J531" s="141" t="s">
        <v>989</v>
      </c>
      <c r="K531" s="141">
        <v>0</v>
      </c>
      <c r="L531" s="143">
        <v>45565</v>
      </c>
      <c r="M531" s="245" t="s">
        <v>632</v>
      </c>
    </row>
    <row r="532" spans="1:13" s="141" customFormat="1">
      <c r="A532" s="141">
        <v>222797231</v>
      </c>
      <c r="B532" s="141" t="e">
        <v>#N/A</v>
      </c>
      <c r="C532" s="141">
        <f>VLOOKUP(A532,'DS Tenanted units'!A:A,1,FALSE)</f>
        <v>222797231</v>
      </c>
      <c r="D532" s="141" t="s">
        <v>1444</v>
      </c>
      <c r="E532" s="141" t="s">
        <v>617</v>
      </c>
      <c r="G532" s="141" t="s">
        <v>1445</v>
      </c>
      <c r="H532" s="141" t="s">
        <v>750</v>
      </c>
      <c r="I532" s="141" t="s">
        <v>698</v>
      </c>
      <c r="J532" s="141" t="s">
        <v>989</v>
      </c>
      <c r="K532" s="141">
        <v>0</v>
      </c>
      <c r="L532" s="143">
        <v>45565</v>
      </c>
      <c r="M532" s="245" t="s">
        <v>632</v>
      </c>
    </row>
    <row r="533" spans="1:13" s="141" customFormat="1">
      <c r="A533" s="141">
        <v>222797232</v>
      </c>
      <c r="B533" s="141" t="e">
        <v>#N/A</v>
      </c>
      <c r="C533" s="141">
        <f>VLOOKUP(A533,'DS Tenanted units'!A:A,1,FALSE)</f>
        <v>222797232</v>
      </c>
      <c r="D533" s="141" t="s">
        <v>1446</v>
      </c>
      <c r="E533" s="141" t="s">
        <v>617</v>
      </c>
      <c r="G533" s="141" t="s">
        <v>1447</v>
      </c>
      <c r="H533" s="141" t="s">
        <v>750</v>
      </c>
      <c r="I533" s="141" t="s">
        <v>698</v>
      </c>
      <c r="J533" s="141" t="s">
        <v>989</v>
      </c>
      <c r="K533" s="141">
        <v>0</v>
      </c>
      <c r="L533" s="143">
        <v>45565</v>
      </c>
      <c r="M533" s="245" t="s">
        <v>632</v>
      </c>
    </row>
    <row r="534" spans="1:13" s="141" customFormat="1">
      <c r="A534" s="141">
        <v>222797233</v>
      </c>
      <c r="B534" s="141" t="e">
        <v>#N/A</v>
      </c>
      <c r="C534" s="141">
        <f>VLOOKUP(A534,'DS Tenanted units'!A:A,1,FALSE)</f>
        <v>222797233</v>
      </c>
      <c r="D534" s="141" t="s">
        <v>1448</v>
      </c>
      <c r="E534" s="141" t="s">
        <v>617</v>
      </c>
      <c r="G534" s="141" t="s">
        <v>1449</v>
      </c>
      <c r="H534" s="141" t="s">
        <v>750</v>
      </c>
      <c r="I534" s="141" t="s">
        <v>698</v>
      </c>
      <c r="J534" s="141" t="s">
        <v>989</v>
      </c>
      <c r="K534" s="141">
        <v>0</v>
      </c>
      <c r="L534" s="143">
        <v>45565</v>
      </c>
      <c r="M534" s="245" t="s">
        <v>632</v>
      </c>
    </row>
    <row r="535" spans="1:13" s="141" customFormat="1">
      <c r="A535" s="141">
        <v>222797234</v>
      </c>
      <c r="B535" s="141" t="e">
        <v>#N/A</v>
      </c>
      <c r="C535" s="141">
        <f>VLOOKUP(A535,'DS Tenanted units'!A:A,1,FALSE)</f>
        <v>222797234</v>
      </c>
      <c r="D535" s="141" t="s">
        <v>1450</v>
      </c>
      <c r="E535" s="141" t="s">
        <v>617</v>
      </c>
      <c r="G535" s="141" t="s">
        <v>1451</v>
      </c>
      <c r="H535" s="141" t="s">
        <v>750</v>
      </c>
      <c r="I535" s="141" t="s">
        <v>698</v>
      </c>
      <c r="J535" s="141" t="s">
        <v>989</v>
      </c>
      <c r="K535" s="141">
        <v>0</v>
      </c>
      <c r="L535" s="143">
        <v>45565</v>
      </c>
      <c r="M535" s="245" t="s">
        <v>632</v>
      </c>
    </row>
    <row r="536" spans="1:13" s="141" customFormat="1">
      <c r="A536" s="141">
        <v>222797235</v>
      </c>
      <c r="B536" s="141" t="e">
        <v>#N/A</v>
      </c>
      <c r="C536" s="141">
        <f>VLOOKUP(A536,'DS Tenanted units'!A:A,1,FALSE)</f>
        <v>222797235</v>
      </c>
      <c r="D536" s="141" t="s">
        <v>1452</v>
      </c>
      <c r="E536" s="141" t="s">
        <v>617</v>
      </c>
      <c r="G536" s="141" t="s">
        <v>1453</v>
      </c>
      <c r="H536" s="141" t="s">
        <v>750</v>
      </c>
      <c r="I536" s="141" t="s">
        <v>698</v>
      </c>
      <c r="J536" s="141" t="s">
        <v>989</v>
      </c>
      <c r="K536" s="141">
        <v>0</v>
      </c>
      <c r="L536" s="143">
        <v>45565</v>
      </c>
      <c r="M536" s="245" t="s">
        <v>632</v>
      </c>
    </row>
    <row r="537" spans="1:13" s="141" customFormat="1">
      <c r="A537" s="141">
        <v>222797236</v>
      </c>
      <c r="B537" s="141" t="e">
        <v>#N/A</v>
      </c>
      <c r="C537" s="141">
        <f>VLOOKUP(A537,'DS Tenanted units'!A:A,1,FALSE)</f>
        <v>222797236</v>
      </c>
      <c r="D537" s="141" t="s">
        <v>1454</v>
      </c>
      <c r="E537" s="141" t="s">
        <v>617</v>
      </c>
      <c r="G537" s="141" t="s">
        <v>1455</v>
      </c>
      <c r="H537" s="141" t="s">
        <v>750</v>
      </c>
      <c r="I537" s="141" t="s">
        <v>698</v>
      </c>
      <c r="J537" s="141" t="s">
        <v>989</v>
      </c>
      <c r="K537" s="141">
        <v>0</v>
      </c>
      <c r="L537" s="143">
        <v>45565</v>
      </c>
      <c r="M537" s="245" t="s">
        <v>632</v>
      </c>
    </row>
    <row r="538" spans="1:13" s="141" customFormat="1">
      <c r="A538" s="141">
        <v>222797237</v>
      </c>
      <c r="B538" s="141" t="e">
        <v>#N/A</v>
      </c>
      <c r="C538" s="141">
        <f>VLOOKUP(A538,'DS Tenanted units'!A:A,1,FALSE)</f>
        <v>222797237</v>
      </c>
      <c r="D538" s="141" t="s">
        <v>1456</v>
      </c>
      <c r="E538" s="141" t="s">
        <v>617</v>
      </c>
      <c r="G538" s="141" t="s">
        <v>1457</v>
      </c>
      <c r="H538" s="141" t="s">
        <v>750</v>
      </c>
      <c r="I538" s="141" t="s">
        <v>698</v>
      </c>
      <c r="J538" s="141" t="s">
        <v>989</v>
      </c>
      <c r="K538" s="141">
        <v>0</v>
      </c>
      <c r="L538" s="143">
        <v>45565</v>
      </c>
      <c r="M538" s="245" t="s">
        <v>632</v>
      </c>
    </row>
    <row r="539" spans="1:13" s="141" customFormat="1">
      <c r="A539" s="141">
        <v>222797238</v>
      </c>
      <c r="B539" s="141" t="e">
        <v>#N/A</v>
      </c>
      <c r="C539" s="141">
        <f>VLOOKUP(A539,'DS Tenanted units'!A:A,1,FALSE)</f>
        <v>222797238</v>
      </c>
      <c r="D539" s="141" t="s">
        <v>1458</v>
      </c>
      <c r="E539" s="141" t="s">
        <v>617</v>
      </c>
      <c r="G539" s="141" t="s">
        <v>1459</v>
      </c>
      <c r="H539" s="141" t="s">
        <v>750</v>
      </c>
      <c r="I539" s="141" t="s">
        <v>698</v>
      </c>
      <c r="J539" s="141" t="s">
        <v>989</v>
      </c>
      <c r="K539" s="141">
        <v>0</v>
      </c>
      <c r="L539" s="143">
        <v>45565</v>
      </c>
      <c r="M539" s="245" t="s">
        <v>632</v>
      </c>
    </row>
    <row r="540" spans="1:13" s="141" customFormat="1">
      <c r="A540" s="141">
        <v>222797239</v>
      </c>
      <c r="B540" s="141" t="e">
        <v>#N/A</v>
      </c>
      <c r="C540" s="141">
        <f>VLOOKUP(A540,'DS Tenanted units'!A:A,1,FALSE)</f>
        <v>222797239</v>
      </c>
      <c r="D540" s="141" t="s">
        <v>1460</v>
      </c>
      <c r="E540" s="141" t="s">
        <v>617</v>
      </c>
      <c r="G540" s="141" t="s">
        <v>1461</v>
      </c>
      <c r="H540" s="141" t="s">
        <v>750</v>
      </c>
      <c r="I540" s="141" t="s">
        <v>698</v>
      </c>
      <c r="J540" s="141" t="s">
        <v>989</v>
      </c>
      <c r="K540" s="141">
        <v>0</v>
      </c>
      <c r="L540" s="143">
        <v>45565</v>
      </c>
      <c r="M540" s="245" t="s">
        <v>632</v>
      </c>
    </row>
    <row r="541" spans="1:13" s="141" customFormat="1">
      <c r="A541" s="141">
        <v>222797240</v>
      </c>
      <c r="B541" s="141" t="e">
        <v>#N/A</v>
      </c>
      <c r="C541" s="141">
        <f>VLOOKUP(A541,'DS Tenanted units'!A:A,1,FALSE)</f>
        <v>222797240</v>
      </c>
      <c r="D541" s="141" t="s">
        <v>1462</v>
      </c>
      <c r="E541" s="141" t="s">
        <v>617</v>
      </c>
      <c r="G541" s="141" t="s">
        <v>1463</v>
      </c>
      <c r="H541" s="141" t="s">
        <v>750</v>
      </c>
      <c r="I541" s="141" t="s">
        <v>698</v>
      </c>
      <c r="J541" s="141" t="s">
        <v>989</v>
      </c>
      <c r="K541" s="141">
        <v>0</v>
      </c>
      <c r="L541" s="143">
        <v>45565</v>
      </c>
      <c r="M541" s="245" t="s">
        <v>632</v>
      </c>
    </row>
    <row r="542" spans="1:13" s="141" customFormat="1">
      <c r="A542" s="141">
        <v>222797241</v>
      </c>
      <c r="B542" s="141" t="e">
        <v>#N/A</v>
      </c>
      <c r="C542" s="141">
        <f>VLOOKUP(A542,'DS Tenanted units'!A:A,1,FALSE)</f>
        <v>222797241</v>
      </c>
      <c r="D542" s="141" t="s">
        <v>1464</v>
      </c>
      <c r="E542" s="141" t="s">
        <v>617</v>
      </c>
      <c r="G542" s="141" t="s">
        <v>1465</v>
      </c>
      <c r="H542" s="141" t="s">
        <v>750</v>
      </c>
      <c r="I542" s="141" t="s">
        <v>698</v>
      </c>
      <c r="J542" s="141" t="s">
        <v>989</v>
      </c>
      <c r="K542" s="141">
        <v>0</v>
      </c>
      <c r="L542" s="143">
        <v>45565</v>
      </c>
      <c r="M542" s="245" t="s">
        <v>632</v>
      </c>
    </row>
    <row r="543" spans="1:13" s="141" customFormat="1">
      <c r="A543" s="141">
        <v>222797242</v>
      </c>
      <c r="B543" s="141" t="e">
        <v>#N/A</v>
      </c>
      <c r="C543" s="141">
        <f>VLOOKUP(A543,'DS Tenanted units'!A:A,1,FALSE)</f>
        <v>222797242</v>
      </c>
      <c r="D543" s="141" t="s">
        <v>1466</v>
      </c>
      <c r="E543" s="141" t="s">
        <v>617</v>
      </c>
      <c r="G543" s="141" t="s">
        <v>1467</v>
      </c>
      <c r="H543" s="141" t="s">
        <v>750</v>
      </c>
      <c r="I543" s="141" t="s">
        <v>698</v>
      </c>
      <c r="J543" s="141" t="s">
        <v>989</v>
      </c>
      <c r="K543" s="141">
        <v>0</v>
      </c>
      <c r="L543" s="143">
        <v>45565</v>
      </c>
      <c r="M543" s="245" t="s">
        <v>632</v>
      </c>
    </row>
    <row r="544" spans="1:13" s="141" customFormat="1">
      <c r="A544" s="141">
        <v>222797243</v>
      </c>
      <c r="B544" s="141" t="e">
        <v>#N/A</v>
      </c>
      <c r="C544" s="141">
        <f>VLOOKUP(A544,'DS Tenanted units'!A:A,1,FALSE)</f>
        <v>222797243</v>
      </c>
      <c r="D544" s="141" t="s">
        <v>1468</v>
      </c>
      <c r="E544" s="141" t="s">
        <v>617</v>
      </c>
      <c r="G544" s="141" t="s">
        <v>1469</v>
      </c>
      <c r="H544" s="141" t="s">
        <v>750</v>
      </c>
      <c r="I544" s="141" t="s">
        <v>698</v>
      </c>
      <c r="J544" s="141" t="s">
        <v>989</v>
      </c>
      <c r="K544" s="141">
        <v>0</v>
      </c>
      <c r="L544" s="143">
        <v>45565</v>
      </c>
      <c r="M544" s="245" t="s">
        <v>632</v>
      </c>
    </row>
    <row r="545" spans="1:13" s="141" customFormat="1">
      <c r="A545" s="141">
        <v>222797244</v>
      </c>
      <c r="B545" s="141" t="e">
        <v>#N/A</v>
      </c>
      <c r="C545" s="141">
        <f>VLOOKUP(A545,'DS Tenanted units'!A:A,1,FALSE)</f>
        <v>222797244</v>
      </c>
      <c r="D545" s="141" t="s">
        <v>1470</v>
      </c>
      <c r="E545" s="141" t="s">
        <v>617</v>
      </c>
      <c r="G545" s="141" t="s">
        <v>1471</v>
      </c>
      <c r="H545" s="141" t="s">
        <v>750</v>
      </c>
      <c r="I545" s="141" t="s">
        <v>698</v>
      </c>
      <c r="J545" s="141" t="s">
        <v>989</v>
      </c>
      <c r="K545" s="141">
        <v>0</v>
      </c>
      <c r="L545" s="143">
        <v>45565</v>
      </c>
      <c r="M545" s="245" t="s">
        <v>632</v>
      </c>
    </row>
    <row r="546" spans="1:13" s="141" customFormat="1">
      <c r="A546" s="141">
        <v>222797245</v>
      </c>
      <c r="B546" s="141" t="e">
        <v>#N/A</v>
      </c>
      <c r="C546" s="141">
        <f>VLOOKUP(A546,'DS Tenanted units'!A:A,1,FALSE)</f>
        <v>222797245</v>
      </c>
      <c r="D546" s="141" t="s">
        <v>1472</v>
      </c>
      <c r="E546" s="141" t="s">
        <v>617</v>
      </c>
      <c r="G546" s="141" t="s">
        <v>1473</v>
      </c>
      <c r="H546" s="141" t="s">
        <v>750</v>
      </c>
      <c r="I546" s="141" t="s">
        <v>698</v>
      </c>
      <c r="J546" s="141" t="s">
        <v>989</v>
      </c>
      <c r="K546" s="141">
        <v>0</v>
      </c>
      <c r="L546" s="143">
        <v>45565</v>
      </c>
      <c r="M546" s="245" t="s">
        <v>632</v>
      </c>
    </row>
    <row r="547" spans="1:13" s="141" customFormat="1">
      <c r="A547" s="141">
        <v>222797246</v>
      </c>
      <c r="B547" s="141" t="e">
        <v>#N/A</v>
      </c>
      <c r="C547" s="141">
        <f>VLOOKUP(A547,'DS Tenanted units'!A:A,1,FALSE)</f>
        <v>222797246</v>
      </c>
      <c r="D547" s="141" t="s">
        <v>1474</v>
      </c>
      <c r="E547" s="141" t="s">
        <v>617</v>
      </c>
      <c r="G547" s="141" t="s">
        <v>1475</v>
      </c>
      <c r="H547" s="141" t="s">
        <v>750</v>
      </c>
      <c r="I547" s="141" t="s">
        <v>698</v>
      </c>
      <c r="J547" s="141" t="s">
        <v>989</v>
      </c>
      <c r="K547" s="141">
        <v>0</v>
      </c>
      <c r="L547" s="143">
        <v>45565</v>
      </c>
      <c r="M547" s="245" t="s">
        <v>632</v>
      </c>
    </row>
    <row r="548" spans="1:13" s="141" customFormat="1">
      <c r="A548" s="141">
        <v>222797247</v>
      </c>
      <c r="B548" s="141" t="e">
        <v>#N/A</v>
      </c>
      <c r="C548" s="141">
        <f>VLOOKUP(A548,'DS Tenanted units'!A:A,1,FALSE)</f>
        <v>222797247</v>
      </c>
      <c r="D548" s="141" t="s">
        <v>1476</v>
      </c>
      <c r="E548" s="141" t="s">
        <v>617</v>
      </c>
      <c r="G548" s="141" t="s">
        <v>1477</v>
      </c>
      <c r="H548" s="141" t="s">
        <v>750</v>
      </c>
      <c r="I548" s="141" t="s">
        <v>698</v>
      </c>
      <c r="J548" s="141" t="s">
        <v>989</v>
      </c>
      <c r="K548" s="141">
        <v>0</v>
      </c>
      <c r="L548" s="143">
        <v>45565</v>
      </c>
      <c r="M548" s="245" t="s">
        <v>632</v>
      </c>
    </row>
    <row r="549" spans="1:13" s="141" customFormat="1">
      <c r="A549" s="141">
        <v>222797248</v>
      </c>
      <c r="B549" s="141" t="e">
        <v>#N/A</v>
      </c>
      <c r="C549" s="141">
        <f>VLOOKUP(A549,'DS Tenanted units'!A:A,1,FALSE)</f>
        <v>222797248</v>
      </c>
      <c r="D549" s="141" t="s">
        <v>1478</v>
      </c>
      <c r="E549" s="141" t="s">
        <v>617</v>
      </c>
      <c r="G549" s="141" t="s">
        <v>1479</v>
      </c>
      <c r="H549" s="141" t="s">
        <v>750</v>
      </c>
      <c r="I549" s="141" t="s">
        <v>698</v>
      </c>
      <c r="J549" s="141" t="s">
        <v>989</v>
      </c>
      <c r="K549" s="141">
        <v>0</v>
      </c>
      <c r="L549" s="143">
        <v>45565</v>
      </c>
      <c r="M549" s="245" t="s">
        <v>632</v>
      </c>
    </row>
    <row r="550" spans="1:13" s="141" customFormat="1">
      <c r="A550" s="141">
        <v>222797249</v>
      </c>
      <c r="B550" s="141" t="e">
        <v>#N/A</v>
      </c>
      <c r="C550" s="141">
        <f>VLOOKUP(A550,'DS Tenanted units'!A:A,1,FALSE)</f>
        <v>222797249</v>
      </c>
      <c r="D550" s="141" t="s">
        <v>1480</v>
      </c>
      <c r="E550" s="141" t="s">
        <v>617</v>
      </c>
      <c r="G550" s="141" t="s">
        <v>1481</v>
      </c>
      <c r="H550" s="141" t="s">
        <v>750</v>
      </c>
      <c r="I550" s="141" t="s">
        <v>698</v>
      </c>
      <c r="J550" s="141" t="s">
        <v>989</v>
      </c>
      <c r="K550" s="141">
        <v>0</v>
      </c>
      <c r="L550" s="143">
        <v>45565</v>
      </c>
      <c r="M550" s="245" t="s">
        <v>632</v>
      </c>
    </row>
    <row r="551" spans="1:13" s="141" customFormat="1">
      <c r="A551" s="141">
        <v>222797250</v>
      </c>
      <c r="B551" s="141" t="e">
        <v>#N/A</v>
      </c>
      <c r="C551" s="141">
        <f>VLOOKUP(A551,'DS Tenanted units'!A:A,1,FALSE)</f>
        <v>222797250</v>
      </c>
      <c r="D551" s="141" t="s">
        <v>1482</v>
      </c>
      <c r="E551" s="141" t="s">
        <v>617</v>
      </c>
      <c r="G551" s="141" t="s">
        <v>1483</v>
      </c>
      <c r="H551" s="141" t="s">
        <v>750</v>
      </c>
      <c r="I551" s="141" t="s">
        <v>698</v>
      </c>
      <c r="J551" s="141" t="s">
        <v>989</v>
      </c>
      <c r="K551" s="142">
        <v>1250</v>
      </c>
      <c r="L551" s="143">
        <v>45565</v>
      </c>
      <c r="M551" s="245" t="s">
        <v>632</v>
      </c>
    </row>
    <row r="552" spans="1:13" s="141" customFormat="1">
      <c r="A552" s="141">
        <v>222797251</v>
      </c>
      <c r="B552" s="141" t="e">
        <v>#N/A</v>
      </c>
      <c r="C552" s="141">
        <f>VLOOKUP(A552,'DS Tenanted units'!A:A,1,FALSE)</f>
        <v>222797251</v>
      </c>
      <c r="D552" s="141" t="s">
        <v>1484</v>
      </c>
      <c r="E552" s="141" t="s">
        <v>617</v>
      </c>
      <c r="G552" s="141" t="s">
        <v>1485</v>
      </c>
      <c r="H552" s="141" t="s">
        <v>750</v>
      </c>
      <c r="I552" s="141" t="s">
        <v>698</v>
      </c>
      <c r="J552" s="141" t="s">
        <v>989</v>
      </c>
      <c r="K552" s="142">
        <v>1250</v>
      </c>
      <c r="L552" s="143">
        <v>45565</v>
      </c>
      <c r="M552" s="245" t="s">
        <v>632</v>
      </c>
    </row>
    <row r="553" spans="1:13" s="141" customFormat="1">
      <c r="A553" s="141">
        <v>222797252</v>
      </c>
      <c r="B553" s="141" t="e">
        <v>#N/A</v>
      </c>
      <c r="C553" s="141">
        <f>VLOOKUP(A553,'DS Tenanted units'!A:A,1,FALSE)</f>
        <v>222797252</v>
      </c>
      <c r="D553" s="141" t="s">
        <v>1486</v>
      </c>
      <c r="E553" s="141" t="s">
        <v>617</v>
      </c>
      <c r="G553" s="141" t="s">
        <v>1487</v>
      </c>
      <c r="H553" s="141" t="s">
        <v>750</v>
      </c>
      <c r="I553" s="141" t="s">
        <v>698</v>
      </c>
      <c r="J553" s="141" t="s">
        <v>989</v>
      </c>
      <c r="K553" s="142">
        <v>1250</v>
      </c>
      <c r="L553" s="143">
        <v>45565</v>
      </c>
      <c r="M553" s="245" t="s">
        <v>632</v>
      </c>
    </row>
    <row r="554" spans="1:13" s="141" customFormat="1">
      <c r="A554" s="141">
        <v>222797253</v>
      </c>
      <c r="B554" s="141" t="e">
        <v>#N/A</v>
      </c>
      <c r="C554" s="141">
        <f>VLOOKUP(A554,'DS Tenanted units'!A:A,1,FALSE)</f>
        <v>222797253</v>
      </c>
      <c r="D554" s="141" t="s">
        <v>1488</v>
      </c>
      <c r="E554" s="141" t="s">
        <v>617</v>
      </c>
      <c r="G554" s="141" t="s">
        <v>1489</v>
      </c>
      <c r="H554" s="141" t="s">
        <v>750</v>
      </c>
      <c r="I554" s="141" t="s">
        <v>698</v>
      </c>
      <c r="J554" s="141" t="s">
        <v>989</v>
      </c>
      <c r="K554" s="142">
        <v>1250</v>
      </c>
      <c r="L554" s="143">
        <v>45565</v>
      </c>
      <c r="M554" s="245" t="s">
        <v>632</v>
      </c>
    </row>
    <row r="555" spans="1:13" s="141" customFormat="1">
      <c r="A555" s="141">
        <v>222797254</v>
      </c>
      <c r="B555" s="141" t="e">
        <v>#N/A</v>
      </c>
      <c r="C555" s="141">
        <f>VLOOKUP(A555,'DS Tenanted units'!A:A,1,FALSE)</f>
        <v>222797254</v>
      </c>
      <c r="D555" s="141" t="s">
        <v>1490</v>
      </c>
      <c r="E555" s="141" t="s">
        <v>617</v>
      </c>
      <c r="G555" s="141" t="s">
        <v>1491</v>
      </c>
      <c r="H555" s="141" t="s">
        <v>750</v>
      </c>
      <c r="I555" s="141" t="s">
        <v>698</v>
      </c>
      <c r="J555" s="141" t="s">
        <v>989</v>
      </c>
      <c r="K555" s="142">
        <v>1250</v>
      </c>
      <c r="L555" s="143">
        <v>45565</v>
      </c>
      <c r="M555" s="245" t="s">
        <v>632</v>
      </c>
    </row>
    <row r="556" spans="1:13" s="141" customFormat="1">
      <c r="A556" s="141">
        <v>222797255</v>
      </c>
      <c r="B556" s="141" t="e">
        <v>#N/A</v>
      </c>
      <c r="C556" s="141">
        <f>VLOOKUP(A556,'DS Tenanted units'!A:A,1,FALSE)</f>
        <v>222797255</v>
      </c>
      <c r="D556" s="141" t="s">
        <v>1492</v>
      </c>
      <c r="E556" s="141" t="s">
        <v>617</v>
      </c>
      <c r="G556" s="141" t="s">
        <v>1493</v>
      </c>
      <c r="H556" s="141" t="s">
        <v>750</v>
      </c>
      <c r="I556" s="141" t="s">
        <v>698</v>
      </c>
      <c r="J556" s="141" t="s">
        <v>989</v>
      </c>
      <c r="K556" s="142">
        <v>1250</v>
      </c>
      <c r="L556" s="143">
        <v>45565</v>
      </c>
      <c r="M556" s="245" t="s">
        <v>632</v>
      </c>
    </row>
    <row r="557" spans="1:13" s="141" customFormat="1">
      <c r="A557" s="141">
        <v>222797256</v>
      </c>
      <c r="B557" s="141" t="e">
        <v>#N/A</v>
      </c>
      <c r="C557" s="141">
        <f>VLOOKUP(A557,'DS Tenanted units'!A:A,1,FALSE)</f>
        <v>222797256</v>
      </c>
      <c r="D557" s="141" t="s">
        <v>1494</v>
      </c>
      <c r="E557" s="141" t="s">
        <v>617</v>
      </c>
      <c r="G557" s="141" t="s">
        <v>1495</v>
      </c>
      <c r="H557" s="141" t="s">
        <v>750</v>
      </c>
      <c r="I557" s="141" t="s">
        <v>698</v>
      </c>
      <c r="J557" s="141" t="s">
        <v>989</v>
      </c>
      <c r="K557" s="142">
        <v>1250</v>
      </c>
      <c r="L557" s="143">
        <v>45565</v>
      </c>
      <c r="M557" s="245" t="s">
        <v>632</v>
      </c>
    </row>
    <row r="558" spans="1:13" s="141" customFormat="1">
      <c r="A558" s="141">
        <v>222797257</v>
      </c>
      <c r="B558" s="141" t="e">
        <v>#N/A</v>
      </c>
      <c r="C558" s="141">
        <f>VLOOKUP(A558,'DS Tenanted units'!A:A,1,FALSE)</f>
        <v>222797257</v>
      </c>
      <c r="D558" s="141" t="s">
        <v>1496</v>
      </c>
      <c r="E558" s="141" t="s">
        <v>617</v>
      </c>
      <c r="G558" s="141" t="s">
        <v>1497</v>
      </c>
      <c r="H558" s="141" t="s">
        <v>750</v>
      </c>
      <c r="I558" s="141" t="s">
        <v>698</v>
      </c>
      <c r="J558" s="141" t="s">
        <v>989</v>
      </c>
      <c r="K558" s="142">
        <v>1250</v>
      </c>
      <c r="L558" s="143">
        <v>45565</v>
      </c>
      <c r="M558" s="245" t="s">
        <v>632</v>
      </c>
    </row>
    <row r="559" spans="1:13" s="141" customFormat="1">
      <c r="A559" s="141">
        <v>222797258</v>
      </c>
      <c r="B559" s="141" t="e">
        <v>#N/A</v>
      </c>
      <c r="C559" s="141">
        <f>VLOOKUP(A559,'DS Tenanted units'!A:A,1,FALSE)</f>
        <v>222797258</v>
      </c>
      <c r="D559" s="141" t="s">
        <v>1498</v>
      </c>
      <c r="E559" s="141" t="s">
        <v>617</v>
      </c>
      <c r="G559" s="141" t="s">
        <v>1499</v>
      </c>
      <c r="H559" s="141" t="s">
        <v>750</v>
      </c>
      <c r="I559" s="141" t="s">
        <v>698</v>
      </c>
      <c r="J559" s="141" t="s">
        <v>989</v>
      </c>
      <c r="K559" s="142">
        <v>1250</v>
      </c>
      <c r="L559" s="143">
        <v>45565</v>
      </c>
      <c r="M559" s="245" t="s">
        <v>632</v>
      </c>
    </row>
    <row r="560" spans="1:13" s="141" customFormat="1">
      <c r="A560" s="141">
        <v>222797259</v>
      </c>
      <c r="B560" s="141" t="e">
        <v>#N/A</v>
      </c>
      <c r="C560" s="141">
        <f>VLOOKUP(A560,'DS Tenanted units'!A:A,1,FALSE)</f>
        <v>222797259</v>
      </c>
      <c r="D560" s="141" t="s">
        <v>1500</v>
      </c>
      <c r="E560" s="141" t="s">
        <v>617</v>
      </c>
      <c r="G560" s="141" t="s">
        <v>1501</v>
      </c>
      <c r="H560" s="141" t="s">
        <v>750</v>
      </c>
      <c r="I560" s="141" t="s">
        <v>698</v>
      </c>
      <c r="J560" s="141" t="s">
        <v>989</v>
      </c>
      <c r="K560" s="142">
        <v>1250</v>
      </c>
      <c r="L560" s="143">
        <v>45565</v>
      </c>
      <c r="M560" s="245" t="s">
        <v>632</v>
      </c>
    </row>
    <row r="561" spans="1:13" s="141" customFormat="1">
      <c r="A561" s="141">
        <v>222797260</v>
      </c>
      <c r="B561" s="141" t="e">
        <v>#N/A</v>
      </c>
      <c r="C561" s="141">
        <f>VLOOKUP(A561,'DS Tenanted units'!A:A,1,FALSE)</f>
        <v>222797260</v>
      </c>
      <c r="D561" s="141" t="s">
        <v>1502</v>
      </c>
      <c r="E561" s="141" t="s">
        <v>617</v>
      </c>
      <c r="G561" s="141" t="s">
        <v>1503</v>
      </c>
      <c r="H561" s="141" t="s">
        <v>750</v>
      </c>
      <c r="I561" s="141" t="s">
        <v>698</v>
      </c>
      <c r="J561" s="141" t="s">
        <v>989</v>
      </c>
      <c r="K561" s="142">
        <v>1250</v>
      </c>
      <c r="L561" s="143">
        <v>45565</v>
      </c>
      <c r="M561" s="245" t="s">
        <v>632</v>
      </c>
    </row>
    <row r="562" spans="1:13" s="141" customFormat="1">
      <c r="A562" s="141">
        <v>222797261</v>
      </c>
      <c r="B562" s="141" t="e">
        <v>#N/A</v>
      </c>
      <c r="C562" s="141">
        <f>VLOOKUP(A562,'DS Tenanted units'!A:A,1,FALSE)</f>
        <v>222797261</v>
      </c>
      <c r="D562" s="141" t="s">
        <v>1504</v>
      </c>
      <c r="E562" s="141" t="s">
        <v>617</v>
      </c>
      <c r="G562" s="141" t="s">
        <v>1505</v>
      </c>
      <c r="H562" s="141" t="s">
        <v>750</v>
      </c>
      <c r="I562" s="141" t="s">
        <v>698</v>
      </c>
      <c r="J562" s="141" t="s">
        <v>989</v>
      </c>
      <c r="K562" s="142">
        <v>1250</v>
      </c>
      <c r="L562" s="143">
        <v>45565</v>
      </c>
      <c r="M562" s="245" t="s">
        <v>632</v>
      </c>
    </row>
    <row r="563" spans="1:13" s="141" customFormat="1">
      <c r="A563" s="141">
        <v>222797262</v>
      </c>
      <c r="B563" s="141" t="e">
        <v>#N/A</v>
      </c>
      <c r="C563" s="141">
        <f>VLOOKUP(A563,'DS Tenanted units'!A:A,1,FALSE)</f>
        <v>222797262</v>
      </c>
      <c r="D563" s="141" t="s">
        <v>1506</v>
      </c>
      <c r="E563" s="141" t="s">
        <v>617</v>
      </c>
      <c r="G563" s="141" t="s">
        <v>1507</v>
      </c>
      <c r="H563" s="141" t="s">
        <v>750</v>
      </c>
      <c r="I563" s="141" t="s">
        <v>698</v>
      </c>
      <c r="J563" s="141" t="s">
        <v>989</v>
      </c>
      <c r="K563" s="142">
        <v>1250</v>
      </c>
      <c r="L563" s="143">
        <v>45565</v>
      </c>
      <c r="M563" s="245" t="s">
        <v>632</v>
      </c>
    </row>
    <row r="564" spans="1:13" s="141" customFormat="1">
      <c r="A564" s="141">
        <v>222797263</v>
      </c>
      <c r="B564" s="141" t="e">
        <v>#N/A</v>
      </c>
      <c r="C564" s="141">
        <f>VLOOKUP(A564,'DS Tenanted units'!A:A,1,FALSE)</f>
        <v>222797263</v>
      </c>
      <c r="D564" s="141" t="s">
        <v>1508</v>
      </c>
      <c r="E564" s="141" t="s">
        <v>617</v>
      </c>
      <c r="G564" s="141" t="s">
        <v>1509</v>
      </c>
      <c r="H564" s="141" t="s">
        <v>750</v>
      </c>
      <c r="I564" s="141" t="s">
        <v>698</v>
      </c>
      <c r="J564" s="141" t="s">
        <v>989</v>
      </c>
      <c r="K564" s="142">
        <v>1250</v>
      </c>
      <c r="L564" s="143">
        <v>45565</v>
      </c>
      <c r="M564" s="245" t="s">
        <v>632</v>
      </c>
    </row>
    <row r="565" spans="1:13" s="141" customFormat="1">
      <c r="A565" s="141">
        <v>222797264</v>
      </c>
      <c r="B565" s="141" t="e">
        <v>#N/A</v>
      </c>
      <c r="C565" s="141">
        <f>VLOOKUP(A565,'DS Tenanted units'!A:A,1,FALSE)</f>
        <v>222797264</v>
      </c>
      <c r="D565" s="141" t="s">
        <v>1510</v>
      </c>
      <c r="E565" s="141" t="s">
        <v>617</v>
      </c>
      <c r="G565" s="141" t="s">
        <v>1511</v>
      </c>
      <c r="H565" s="141" t="s">
        <v>750</v>
      </c>
      <c r="I565" s="141" t="s">
        <v>698</v>
      </c>
      <c r="J565" s="141" t="s">
        <v>989</v>
      </c>
      <c r="K565" s="142">
        <v>1250</v>
      </c>
      <c r="L565" s="143">
        <v>45565</v>
      </c>
      <c r="M565" s="245" t="s">
        <v>632</v>
      </c>
    </row>
    <row r="566" spans="1:13" s="141" customFormat="1">
      <c r="A566" s="141">
        <v>222797265</v>
      </c>
      <c r="B566" s="141" t="e">
        <v>#N/A</v>
      </c>
      <c r="C566" s="141">
        <f>VLOOKUP(A566,'DS Tenanted units'!A:A,1,FALSE)</f>
        <v>222797265</v>
      </c>
      <c r="D566" s="141" t="s">
        <v>1512</v>
      </c>
      <c r="E566" s="141" t="s">
        <v>617</v>
      </c>
      <c r="G566" s="141" t="s">
        <v>1513</v>
      </c>
      <c r="H566" s="141" t="s">
        <v>750</v>
      </c>
      <c r="I566" s="141" t="s">
        <v>698</v>
      </c>
      <c r="J566" s="141" t="s">
        <v>989</v>
      </c>
      <c r="K566" s="142">
        <v>1250</v>
      </c>
      <c r="L566" s="143">
        <v>45565</v>
      </c>
      <c r="M566" s="245" t="s">
        <v>632</v>
      </c>
    </row>
    <row r="567" spans="1:13" s="141" customFormat="1">
      <c r="A567" s="141">
        <v>222797266</v>
      </c>
      <c r="B567" s="141" t="e">
        <v>#N/A</v>
      </c>
      <c r="C567" s="141">
        <f>VLOOKUP(A567,'DS Tenanted units'!A:A,1,FALSE)</f>
        <v>222797266</v>
      </c>
      <c r="D567" s="141" t="s">
        <v>1514</v>
      </c>
      <c r="E567" s="141" t="s">
        <v>617</v>
      </c>
      <c r="G567" s="141" t="s">
        <v>1515</v>
      </c>
      <c r="H567" s="141" t="s">
        <v>750</v>
      </c>
      <c r="I567" s="141" t="s">
        <v>698</v>
      </c>
      <c r="J567" s="141" t="s">
        <v>989</v>
      </c>
      <c r="K567" s="142">
        <v>1250</v>
      </c>
      <c r="L567" s="143">
        <v>45565</v>
      </c>
      <c r="M567" s="245" t="s">
        <v>632</v>
      </c>
    </row>
    <row r="568" spans="1:13" s="141" customFormat="1">
      <c r="A568" s="141">
        <v>222797267</v>
      </c>
      <c r="B568" s="141" t="e">
        <v>#N/A</v>
      </c>
      <c r="C568" s="141">
        <f>VLOOKUP(A568,'DS Tenanted units'!A:A,1,FALSE)</f>
        <v>222797267</v>
      </c>
      <c r="D568" s="141" t="s">
        <v>1516</v>
      </c>
      <c r="E568" s="141" t="s">
        <v>617</v>
      </c>
      <c r="G568" s="141" t="s">
        <v>1517</v>
      </c>
      <c r="H568" s="141" t="s">
        <v>750</v>
      </c>
      <c r="I568" s="141" t="s">
        <v>698</v>
      </c>
      <c r="J568" s="141" t="s">
        <v>989</v>
      </c>
      <c r="K568" s="142">
        <v>1250</v>
      </c>
      <c r="L568" s="143">
        <v>45565</v>
      </c>
      <c r="M568" s="245" t="s">
        <v>632</v>
      </c>
    </row>
    <row r="569" spans="1:13" s="141" customFormat="1">
      <c r="A569" s="141">
        <v>222797268</v>
      </c>
      <c r="B569" s="141" t="e">
        <v>#N/A</v>
      </c>
      <c r="C569" s="141">
        <f>VLOOKUP(A569,'DS Tenanted units'!A:A,1,FALSE)</f>
        <v>222797268</v>
      </c>
      <c r="D569" s="141" t="s">
        <v>1518</v>
      </c>
      <c r="E569" s="141" t="s">
        <v>617</v>
      </c>
      <c r="G569" s="141" t="s">
        <v>1519</v>
      </c>
      <c r="H569" s="141" t="s">
        <v>750</v>
      </c>
      <c r="I569" s="141" t="s">
        <v>698</v>
      </c>
      <c r="J569" s="141" t="s">
        <v>989</v>
      </c>
      <c r="K569" s="142">
        <v>1250</v>
      </c>
      <c r="L569" s="143">
        <v>45565</v>
      </c>
      <c r="M569" s="245" t="s">
        <v>632</v>
      </c>
    </row>
    <row r="570" spans="1:13" s="141" customFormat="1">
      <c r="A570" s="141">
        <v>222797269</v>
      </c>
      <c r="B570" s="141" t="e">
        <v>#N/A</v>
      </c>
      <c r="C570" s="141">
        <f>VLOOKUP(A570,'DS Tenanted units'!A:A,1,FALSE)</f>
        <v>222797269</v>
      </c>
      <c r="D570" s="141" t="s">
        <v>1520</v>
      </c>
      <c r="E570" s="141" t="s">
        <v>617</v>
      </c>
      <c r="G570" s="141" t="s">
        <v>1521</v>
      </c>
      <c r="H570" s="141" t="s">
        <v>750</v>
      </c>
      <c r="I570" s="141" t="s">
        <v>698</v>
      </c>
      <c r="J570" s="141" t="s">
        <v>989</v>
      </c>
      <c r="K570" s="142">
        <v>1250</v>
      </c>
      <c r="L570" s="143">
        <v>45565</v>
      </c>
      <c r="M570" s="245" t="s">
        <v>632</v>
      </c>
    </row>
    <row r="571" spans="1:13" s="141" customFormat="1">
      <c r="A571" s="141">
        <v>222797270</v>
      </c>
      <c r="B571" s="141" t="e">
        <v>#N/A</v>
      </c>
      <c r="C571" s="141">
        <f>VLOOKUP(A571,'DS Tenanted units'!A:A,1,FALSE)</f>
        <v>222797270</v>
      </c>
      <c r="D571" s="141" t="s">
        <v>1522</v>
      </c>
      <c r="E571" s="141" t="s">
        <v>617</v>
      </c>
      <c r="G571" s="141" t="s">
        <v>1523</v>
      </c>
      <c r="H571" s="141" t="s">
        <v>750</v>
      </c>
      <c r="I571" s="141" t="s">
        <v>698</v>
      </c>
      <c r="J571" s="141" t="s">
        <v>989</v>
      </c>
      <c r="K571" s="142">
        <v>1250</v>
      </c>
      <c r="L571" s="143">
        <v>45565</v>
      </c>
      <c r="M571" s="245" t="s">
        <v>632</v>
      </c>
    </row>
    <row r="572" spans="1:13" s="141" customFormat="1">
      <c r="A572" s="141">
        <v>222797271</v>
      </c>
      <c r="B572" s="141" t="e">
        <v>#N/A</v>
      </c>
      <c r="C572" s="141">
        <f>VLOOKUP(A572,'DS Tenanted units'!A:A,1,FALSE)</f>
        <v>222797271</v>
      </c>
      <c r="D572" s="141" t="s">
        <v>1524</v>
      </c>
      <c r="E572" s="141" t="s">
        <v>617</v>
      </c>
      <c r="G572" s="141" t="s">
        <v>1525</v>
      </c>
      <c r="H572" s="141" t="s">
        <v>750</v>
      </c>
      <c r="I572" s="141" t="s">
        <v>698</v>
      </c>
      <c r="J572" s="141" t="s">
        <v>989</v>
      </c>
      <c r="K572" s="142">
        <v>1250</v>
      </c>
      <c r="L572" s="143">
        <v>45565</v>
      </c>
      <c r="M572" s="245" t="s">
        <v>632</v>
      </c>
    </row>
    <row r="573" spans="1:13" s="141" customFormat="1">
      <c r="A573" s="141">
        <v>222797272</v>
      </c>
      <c r="B573" s="141" t="e">
        <v>#N/A</v>
      </c>
      <c r="C573" s="141">
        <f>VLOOKUP(A573,'DS Tenanted units'!A:A,1,FALSE)</f>
        <v>222797272</v>
      </c>
      <c r="D573" s="141" t="s">
        <v>1526</v>
      </c>
      <c r="E573" s="141" t="s">
        <v>617</v>
      </c>
      <c r="G573" s="141" t="s">
        <v>1527</v>
      </c>
      <c r="H573" s="141" t="s">
        <v>750</v>
      </c>
      <c r="I573" s="141" t="s">
        <v>698</v>
      </c>
      <c r="J573" s="141" t="s">
        <v>989</v>
      </c>
      <c r="K573" s="142">
        <v>1250</v>
      </c>
      <c r="L573" s="143">
        <v>45565</v>
      </c>
      <c r="M573" s="245" t="s">
        <v>632</v>
      </c>
    </row>
    <row r="574" spans="1:13" s="141" customFormat="1">
      <c r="A574" s="141">
        <v>222797273</v>
      </c>
      <c r="B574" s="141" t="e">
        <v>#N/A</v>
      </c>
      <c r="C574" s="141">
        <f>VLOOKUP(A574,'DS Tenanted units'!A:A,1,FALSE)</f>
        <v>222797273</v>
      </c>
      <c r="D574" s="141" t="s">
        <v>1528</v>
      </c>
      <c r="E574" s="141" t="s">
        <v>617</v>
      </c>
      <c r="G574" s="141" t="s">
        <v>1529</v>
      </c>
      <c r="H574" s="141" t="s">
        <v>750</v>
      </c>
      <c r="I574" s="141" t="s">
        <v>698</v>
      </c>
      <c r="J574" s="141" t="s">
        <v>989</v>
      </c>
      <c r="K574" s="142">
        <v>1250</v>
      </c>
      <c r="L574" s="143">
        <v>45565</v>
      </c>
      <c r="M574" s="245" t="s">
        <v>632</v>
      </c>
    </row>
    <row r="575" spans="1:13" s="141" customFormat="1">
      <c r="A575" s="141">
        <v>222797274</v>
      </c>
      <c r="B575" s="141" t="e">
        <v>#N/A</v>
      </c>
      <c r="C575" s="141">
        <f>VLOOKUP(A575,'DS Tenanted units'!A:A,1,FALSE)</f>
        <v>222797274</v>
      </c>
      <c r="D575" s="141" t="s">
        <v>1530</v>
      </c>
      <c r="E575" s="141" t="s">
        <v>617</v>
      </c>
      <c r="G575" s="141" t="s">
        <v>1531</v>
      </c>
      <c r="H575" s="141" t="s">
        <v>750</v>
      </c>
      <c r="I575" s="141" t="s">
        <v>698</v>
      </c>
      <c r="J575" s="141" t="s">
        <v>989</v>
      </c>
      <c r="K575" s="142">
        <v>1250</v>
      </c>
      <c r="L575" s="143">
        <v>45565</v>
      </c>
      <c r="M575" s="245" t="s">
        <v>632</v>
      </c>
    </row>
    <row r="576" spans="1:13" s="141" customFormat="1">
      <c r="A576" s="141">
        <v>222797275</v>
      </c>
      <c r="B576" s="141" t="e">
        <v>#N/A</v>
      </c>
      <c r="C576" s="141">
        <f>VLOOKUP(A576,'DS Tenanted units'!A:A,1,FALSE)</f>
        <v>222797275</v>
      </c>
      <c r="D576" s="141" t="s">
        <v>1532</v>
      </c>
      <c r="E576" s="141" t="s">
        <v>617</v>
      </c>
      <c r="G576" s="141" t="s">
        <v>1533</v>
      </c>
      <c r="H576" s="141" t="s">
        <v>750</v>
      </c>
      <c r="I576" s="141" t="s">
        <v>698</v>
      </c>
      <c r="J576" s="141" t="s">
        <v>989</v>
      </c>
      <c r="K576" s="142">
        <v>1250</v>
      </c>
      <c r="L576" s="143">
        <v>45565</v>
      </c>
      <c r="M576" s="245" t="s">
        <v>632</v>
      </c>
    </row>
    <row r="577" spans="1:13" s="141" customFormat="1">
      <c r="A577" s="141">
        <v>222797276</v>
      </c>
      <c r="B577" s="141" t="e">
        <v>#N/A</v>
      </c>
      <c r="C577" s="141">
        <f>VLOOKUP(A577,'DS Tenanted units'!A:A,1,FALSE)</f>
        <v>222797276</v>
      </c>
      <c r="D577" s="141" t="s">
        <v>1534</v>
      </c>
      <c r="E577" s="141" t="s">
        <v>617</v>
      </c>
      <c r="G577" s="141" t="s">
        <v>1535</v>
      </c>
      <c r="H577" s="141" t="s">
        <v>750</v>
      </c>
      <c r="I577" s="141" t="s">
        <v>698</v>
      </c>
      <c r="J577" s="141" t="s">
        <v>989</v>
      </c>
      <c r="K577" s="142">
        <v>1250</v>
      </c>
      <c r="L577" s="143">
        <v>45565</v>
      </c>
      <c r="M577" s="245" t="s">
        <v>632</v>
      </c>
    </row>
    <row r="578" spans="1:13" s="141" customFormat="1">
      <c r="A578" s="141">
        <v>222797277</v>
      </c>
      <c r="B578" s="141" t="e">
        <v>#N/A</v>
      </c>
      <c r="C578" s="141">
        <f>VLOOKUP(A578,'DS Tenanted units'!A:A,1,FALSE)</f>
        <v>222797277</v>
      </c>
      <c r="D578" s="141" t="s">
        <v>1536</v>
      </c>
      <c r="E578" s="141" t="s">
        <v>617</v>
      </c>
      <c r="G578" s="141" t="s">
        <v>1537</v>
      </c>
      <c r="H578" s="141" t="s">
        <v>750</v>
      </c>
      <c r="I578" s="141" t="s">
        <v>698</v>
      </c>
      <c r="J578" s="141" t="s">
        <v>989</v>
      </c>
      <c r="K578" s="142">
        <v>1250</v>
      </c>
      <c r="L578" s="143">
        <v>45565</v>
      </c>
      <c r="M578" s="245" t="s">
        <v>632</v>
      </c>
    </row>
    <row r="579" spans="1:13" s="141" customFormat="1">
      <c r="A579" s="141">
        <v>222797278</v>
      </c>
      <c r="B579" s="141" t="e">
        <v>#N/A</v>
      </c>
      <c r="C579" s="141">
        <f>VLOOKUP(A579,'DS Tenanted units'!A:A,1,FALSE)</f>
        <v>222797278</v>
      </c>
      <c r="D579" s="141" t="s">
        <v>1538</v>
      </c>
      <c r="E579" s="141" t="s">
        <v>617</v>
      </c>
      <c r="G579" s="141" t="s">
        <v>1539</v>
      </c>
      <c r="H579" s="141" t="s">
        <v>750</v>
      </c>
      <c r="I579" s="141" t="s">
        <v>698</v>
      </c>
      <c r="J579" s="141" t="s">
        <v>989</v>
      </c>
      <c r="K579" s="142">
        <v>1250</v>
      </c>
      <c r="L579" s="143">
        <v>45565</v>
      </c>
      <c r="M579" s="245" t="s">
        <v>632</v>
      </c>
    </row>
    <row r="580" spans="1:13" s="141" customFormat="1">
      <c r="A580" s="141">
        <v>222797279</v>
      </c>
      <c r="B580" s="141" t="e">
        <v>#N/A</v>
      </c>
      <c r="C580" s="141">
        <f>VLOOKUP(A580,'DS Tenanted units'!A:A,1,FALSE)</f>
        <v>222797279</v>
      </c>
      <c r="D580" s="141" t="s">
        <v>1540</v>
      </c>
      <c r="E580" s="141" t="s">
        <v>617</v>
      </c>
      <c r="G580" s="141" t="s">
        <v>1541</v>
      </c>
      <c r="H580" s="141" t="s">
        <v>750</v>
      </c>
      <c r="I580" s="141" t="s">
        <v>698</v>
      </c>
      <c r="J580" s="141" t="s">
        <v>989</v>
      </c>
      <c r="K580" s="142">
        <v>1250</v>
      </c>
      <c r="L580" s="143">
        <v>45565</v>
      </c>
      <c r="M580" s="245" t="s">
        <v>632</v>
      </c>
    </row>
    <row r="581" spans="1:13" s="141" customFormat="1">
      <c r="A581" s="141">
        <v>222797280</v>
      </c>
      <c r="B581" s="141" t="e">
        <v>#N/A</v>
      </c>
      <c r="C581" s="141">
        <f>VLOOKUP(A581,'DS Tenanted units'!A:A,1,FALSE)</f>
        <v>222797280</v>
      </c>
      <c r="D581" s="141" t="s">
        <v>1542</v>
      </c>
      <c r="E581" s="141" t="s">
        <v>617</v>
      </c>
      <c r="G581" s="141" t="s">
        <v>1543</v>
      </c>
      <c r="H581" s="141" t="s">
        <v>750</v>
      </c>
      <c r="I581" s="141" t="s">
        <v>698</v>
      </c>
      <c r="J581" s="141" t="s">
        <v>989</v>
      </c>
      <c r="K581" s="142">
        <v>1250</v>
      </c>
      <c r="L581" s="143">
        <v>45565</v>
      </c>
      <c r="M581" s="245" t="s">
        <v>632</v>
      </c>
    </row>
    <row r="582" spans="1:13" s="141" customFormat="1">
      <c r="A582" s="141">
        <v>222797281</v>
      </c>
      <c r="B582" s="141" t="e">
        <v>#N/A</v>
      </c>
      <c r="C582" s="141">
        <f>VLOOKUP(A582,'DS Tenanted units'!A:A,1,FALSE)</f>
        <v>222797281</v>
      </c>
      <c r="D582" s="141" t="s">
        <v>1544</v>
      </c>
      <c r="E582" s="141" t="s">
        <v>617</v>
      </c>
      <c r="G582" s="141" t="s">
        <v>1545</v>
      </c>
      <c r="H582" s="141" t="s">
        <v>750</v>
      </c>
      <c r="I582" s="141" t="s">
        <v>698</v>
      </c>
      <c r="J582" s="141" t="s">
        <v>989</v>
      </c>
      <c r="K582" s="142">
        <v>1250</v>
      </c>
      <c r="L582" s="143">
        <v>45565</v>
      </c>
      <c r="M582" s="245" t="s">
        <v>632</v>
      </c>
    </row>
    <row r="583" spans="1:13" s="141" customFormat="1">
      <c r="A583" s="141">
        <v>222797282</v>
      </c>
      <c r="B583" s="141" t="e">
        <v>#N/A</v>
      </c>
      <c r="C583" s="141">
        <f>VLOOKUP(A583,'DS Tenanted units'!A:A,1,FALSE)</f>
        <v>222797282</v>
      </c>
      <c r="D583" s="141" t="s">
        <v>1546</v>
      </c>
      <c r="E583" s="141" t="s">
        <v>617</v>
      </c>
      <c r="G583" s="141" t="s">
        <v>1547</v>
      </c>
      <c r="H583" s="141" t="s">
        <v>750</v>
      </c>
      <c r="I583" s="141" t="s">
        <v>698</v>
      </c>
      <c r="J583" s="141" t="s">
        <v>989</v>
      </c>
      <c r="K583" s="142">
        <v>1250</v>
      </c>
      <c r="L583" s="143">
        <v>45565</v>
      </c>
      <c r="M583" s="245" t="s">
        <v>632</v>
      </c>
    </row>
    <row r="584" spans="1:13" s="141" customFormat="1">
      <c r="A584" s="141">
        <v>222797283</v>
      </c>
      <c r="B584" s="141" t="e">
        <v>#N/A</v>
      </c>
      <c r="C584" s="141">
        <f>VLOOKUP(A584,'DS Tenanted units'!A:A,1,FALSE)</f>
        <v>222797283</v>
      </c>
      <c r="D584" s="141" t="s">
        <v>1548</v>
      </c>
      <c r="E584" s="141" t="s">
        <v>617</v>
      </c>
      <c r="G584" s="141" t="s">
        <v>1549</v>
      </c>
      <c r="H584" s="141" t="s">
        <v>750</v>
      </c>
      <c r="I584" s="141" t="s">
        <v>698</v>
      </c>
      <c r="J584" s="141" t="s">
        <v>989</v>
      </c>
      <c r="K584" s="142">
        <v>1250</v>
      </c>
      <c r="L584" s="143">
        <v>45565</v>
      </c>
      <c r="M584" s="245" t="s">
        <v>632</v>
      </c>
    </row>
    <row r="585" spans="1:13" s="141" customFormat="1">
      <c r="A585" s="141">
        <v>222797284</v>
      </c>
      <c r="B585" s="141" t="e">
        <v>#N/A</v>
      </c>
      <c r="C585" s="141">
        <f>VLOOKUP(A585,'DS Tenanted units'!A:A,1,FALSE)</f>
        <v>222797284</v>
      </c>
      <c r="D585" s="141" t="s">
        <v>1550</v>
      </c>
      <c r="E585" s="141" t="s">
        <v>617</v>
      </c>
      <c r="G585" s="141" t="s">
        <v>1551</v>
      </c>
      <c r="H585" s="141" t="s">
        <v>750</v>
      </c>
      <c r="I585" s="141" t="s">
        <v>698</v>
      </c>
      <c r="J585" s="141" t="s">
        <v>989</v>
      </c>
      <c r="K585" s="142">
        <v>1250</v>
      </c>
      <c r="L585" s="143">
        <v>45565</v>
      </c>
      <c r="M585" s="245" t="s">
        <v>632</v>
      </c>
    </row>
    <row r="586" spans="1:13" s="141" customFormat="1">
      <c r="A586" s="141">
        <v>222797285</v>
      </c>
      <c r="B586" s="141" t="e">
        <v>#N/A</v>
      </c>
      <c r="C586" s="141">
        <f>VLOOKUP(A586,'DS Tenanted units'!A:A,1,FALSE)</f>
        <v>222797285</v>
      </c>
      <c r="D586" s="141" t="s">
        <v>1552</v>
      </c>
      <c r="E586" s="141" t="s">
        <v>617</v>
      </c>
      <c r="G586" s="141" t="s">
        <v>1553</v>
      </c>
      <c r="H586" s="141" t="s">
        <v>750</v>
      </c>
      <c r="I586" s="141" t="s">
        <v>698</v>
      </c>
      <c r="J586" s="141" t="s">
        <v>989</v>
      </c>
      <c r="K586" s="142">
        <v>1250</v>
      </c>
      <c r="L586" s="143">
        <v>45565</v>
      </c>
      <c r="M586" s="245" t="s">
        <v>632</v>
      </c>
    </row>
    <row r="587" spans="1:13" s="141" customFormat="1">
      <c r="A587" s="141">
        <v>222797286</v>
      </c>
      <c r="B587" s="141" t="e">
        <v>#N/A</v>
      </c>
      <c r="C587" s="141">
        <f>VLOOKUP(A587,'DS Tenanted units'!A:A,1,FALSE)</f>
        <v>222797286</v>
      </c>
      <c r="D587" s="141" t="s">
        <v>1554</v>
      </c>
      <c r="E587" s="141" t="s">
        <v>617</v>
      </c>
      <c r="G587" s="141" t="s">
        <v>1555</v>
      </c>
      <c r="H587" s="141" t="s">
        <v>750</v>
      </c>
      <c r="I587" s="141" t="s">
        <v>698</v>
      </c>
      <c r="J587" s="141" t="s">
        <v>989</v>
      </c>
      <c r="K587" s="142">
        <v>1250</v>
      </c>
      <c r="L587" s="143">
        <v>45565</v>
      </c>
      <c r="M587" s="245" t="s">
        <v>632</v>
      </c>
    </row>
    <row r="588" spans="1:13" s="141" customFormat="1">
      <c r="A588" s="141">
        <v>222797287</v>
      </c>
      <c r="B588" s="141" t="e">
        <v>#N/A</v>
      </c>
      <c r="C588" s="141">
        <f>VLOOKUP(A588,'DS Tenanted units'!A:A,1,FALSE)</f>
        <v>222797287</v>
      </c>
      <c r="D588" s="141" t="s">
        <v>1556</v>
      </c>
      <c r="E588" s="141" t="s">
        <v>617</v>
      </c>
      <c r="G588" s="141" t="s">
        <v>1557</v>
      </c>
      <c r="H588" s="141" t="s">
        <v>750</v>
      </c>
      <c r="I588" s="141" t="s">
        <v>698</v>
      </c>
      <c r="J588" s="141" t="s">
        <v>989</v>
      </c>
      <c r="K588" s="142">
        <v>1250</v>
      </c>
      <c r="L588" s="143">
        <v>45565</v>
      </c>
      <c r="M588" s="245" t="s">
        <v>632</v>
      </c>
    </row>
    <row r="589" spans="1:13" s="141" customFormat="1">
      <c r="A589" s="141">
        <v>222797288</v>
      </c>
      <c r="B589" s="141" t="e">
        <v>#N/A</v>
      </c>
      <c r="C589" s="141">
        <f>VLOOKUP(A589,'DS Tenanted units'!A:A,1,FALSE)</f>
        <v>222797288</v>
      </c>
      <c r="D589" s="141" t="s">
        <v>1558</v>
      </c>
      <c r="E589" s="141" t="s">
        <v>617</v>
      </c>
      <c r="G589" s="141" t="s">
        <v>1559</v>
      </c>
      <c r="H589" s="141" t="s">
        <v>750</v>
      </c>
      <c r="I589" s="141" t="s">
        <v>698</v>
      </c>
      <c r="J589" s="141" t="s">
        <v>989</v>
      </c>
      <c r="K589" s="142">
        <v>1250</v>
      </c>
      <c r="L589" s="143">
        <v>45565</v>
      </c>
      <c r="M589" s="245" t="s">
        <v>632</v>
      </c>
    </row>
    <row r="590" spans="1:13" s="141" customFormat="1">
      <c r="A590" s="141">
        <v>222797289</v>
      </c>
      <c r="B590" s="141" t="e">
        <v>#N/A</v>
      </c>
      <c r="C590" s="141">
        <f>VLOOKUP(A590,'DS Tenanted units'!A:A,1,FALSE)</f>
        <v>222797289</v>
      </c>
      <c r="D590" s="141" t="s">
        <v>1560</v>
      </c>
      <c r="E590" s="141" t="s">
        <v>617</v>
      </c>
      <c r="G590" s="141" t="s">
        <v>1561</v>
      </c>
      <c r="H590" s="141" t="s">
        <v>750</v>
      </c>
      <c r="I590" s="141" t="s">
        <v>698</v>
      </c>
      <c r="J590" s="141" t="s">
        <v>989</v>
      </c>
      <c r="K590" s="142">
        <v>1250</v>
      </c>
      <c r="L590" s="143">
        <v>45565</v>
      </c>
      <c r="M590" s="245" t="s">
        <v>632</v>
      </c>
    </row>
    <row r="591" spans="1:13" s="141" customFormat="1">
      <c r="A591" s="141">
        <v>222797290</v>
      </c>
      <c r="B591" s="141" t="e">
        <v>#N/A</v>
      </c>
      <c r="C591" s="141">
        <f>VLOOKUP(A591,'DS Tenanted units'!A:A,1,FALSE)</f>
        <v>222797290</v>
      </c>
      <c r="D591" s="141" t="s">
        <v>1562</v>
      </c>
      <c r="E591" s="141" t="s">
        <v>617</v>
      </c>
      <c r="G591" s="141" t="s">
        <v>1563</v>
      </c>
      <c r="H591" s="141" t="s">
        <v>750</v>
      </c>
      <c r="I591" s="141" t="s">
        <v>698</v>
      </c>
      <c r="J591" s="141" t="s">
        <v>989</v>
      </c>
      <c r="K591" s="142">
        <v>1250</v>
      </c>
      <c r="L591" s="143">
        <v>45565</v>
      </c>
      <c r="M591" s="245" t="s">
        <v>632</v>
      </c>
    </row>
    <row r="592" spans="1:13" s="141" customFormat="1">
      <c r="A592" s="141">
        <v>222797291</v>
      </c>
      <c r="B592" s="141" t="e">
        <v>#N/A</v>
      </c>
      <c r="C592" s="141">
        <f>VLOOKUP(A592,'DS Tenanted units'!A:A,1,FALSE)</f>
        <v>222797291</v>
      </c>
      <c r="D592" s="141" t="s">
        <v>1564</v>
      </c>
      <c r="E592" s="141" t="s">
        <v>617</v>
      </c>
      <c r="G592" s="141" t="s">
        <v>1565</v>
      </c>
      <c r="H592" s="141" t="s">
        <v>750</v>
      </c>
      <c r="I592" s="141" t="s">
        <v>698</v>
      </c>
      <c r="J592" s="141" t="s">
        <v>989</v>
      </c>
      <c r="K592" s="142">
        <v>1250</v>
      </c>
      <c r="L592" s="143">
        <v>45565</v>
      </c>
      <c r="M592" s="245" t="s">
        <v>632</v>
      </c>
    </row>
    <row r="593" spans="1:13" s="141" customFormat="1">
      <c r="A593" s="141">
        <v>222797292</v>
      </c>
      <c r="B593" s="141" t="e">
        <v>#N/A</v>
      </c>
      <c r="C593" s="141">
        <f>VLOOKUP(A593,'DS Tenanted units'!A:A,1,FALSE)</f>
        <v>222797292</v>
      </c>
      <c r="D593" s="141" t="s">
        <v>1566</v>
      </c>
      <c r="E593" s="141" t="s">
        <v>617</v>
      </c>
      <c r="G593" s="141" t="s">
        <v>1567</v>
      </c>
      <c r="H593" s="141" t="s">
        <v>750</v>
      </c>
      <c r="I593" s="141" t="s">
        <v>698</v>
      </c>
      <c r="J593" s="141" t="s">
        <v>989</v>
      </c>
      <c r="K593" s="142">
        <v>1250</v>
      </c>
      <c r="L593" s="143">
        <v>45565</v>
      </c>
      <c r="M593" s="245" t="s">
        <v>632</v>
      </c>
    </row>
    <row r="594" spans="1:13" s="141" customFormat="1">
      <c r="A594" s="141">
        <v>222797293</v>
      </c>
      <c r="B594" s="141" t="e">
        <v>#N/A</v>
      </c>
      <c r="C594" s="141">
        <f>VLOOKUP(A594,'DS Tenanted units'!A:A,1,FALSE)</f>
        <v>222797293</v>
      </c>
      <c r="D594" s="141" t="s">
        <v>1568</v>
      </c>
      <c r="E594" s="141" t="s">
        <v>617</v>
      </c>
      <c r="G594" s="141" t="s">
        <v>1569</v>
      </c>
      <c r="H594" s="141" t="s">
        <v>750</v>
      </c>
      <c r="I594" s="141" t="s">
        <v>698</v>
      </c>
      <c r="J594" s="141" t="s">
        <v>989</v>
      </c>
      <c r="K594" s="142">
        <v>1250</v>
      </c>
      <c r="L594" s="143">
        <v>45565</v>
      </c>
      <c r="M594" s="245" t="s">
        <v>632</v>
      </c>
    </row>
    <row r="595" spans="1:13" s="141" customFormat="1">
      <c r="A595" s="141">
        <v>222797294</v>
      </c>
      <c r="B595" s="141" t="e">
        <v>#N/A</v>
      </c>
      <c r="C595" s="141">
        <f>VLOOKUP(A595,'DS Tenanted units'!A:A,1,FALSE)</f>
        <v>222797294</v>
      </c>
      <c r="D595" s="141" t="s">
        <v>1570</v>
      </c>
      <c r="E595" s="141" t="s">
        <v>617</v>
      </c>
      <c r="G595" s="141" t="s">
        <v>1571</v>
      </c>
      <c r="H595" s="141" t="s">
        <v>750</v>
      </c>
      <c r="I595" s="141" t="s">
        <v>698</v>
      </c>
      <c r="J595" s="141" t="s">
        <v>989</v>
      </c>
      <c r="K595" s="142">
        <v>1250</v>
      </c>
      <c r="L595" s="143">
        <v>45565</v>
      </c>
      <c r="M595" s="245" t="s">
        <v>632</v>
      </c>
    </row>
    <row r="596" spans="1:13" s="141" customFormat="1">
      <c r="A596" s="141">
        <v>222797295</v>
      </c>
      <c r="B596" s="141" t="e">
        <v>#N/A</v>
      </c>
      <c r="C596" s="141">
        <f>VLOOKUP(A596,'DS Tenanted units'!A:A,1,FALSE)</f>
        <v>222797295</v>
      </c>
      <c r="D596" s="141" t="s">
        <v>1572</v>
      </c>
      <c r="E596" s="141" t="s">
        <v>617</v>
      </c>
      <c r="G596" s="141" t="s">
        <v>1573</v>
      </c>
      <c r="H596" s="141" t="s">
        <v>750</v>
      </c>
      <c r="I596" s="141" t="s">
        <v>698</v>
      </c>
      <c r="J596" s="141" t="s">
        <v>989</v>
      </c>
      <c r="K596" s="142">
        <v>1250</v>
      </c>
      <c r="L596" s="143">
        <v>45565</v>
      </c>
      <c r="M596" s="245" t="s">
        <v>632</v>
      </c>
    </row>
    <row r="597" spans="1:13" s="141" customFormat="1">
      <c r="A597" s="141">
        <v>222797296</v>
      </c>
      <c r="B597" s="141" t="e">
        <v>#N/A</v>
      </c>
      <c r="C597" s="141">
        <f>VLOOKUP(A597,'DS Tenanted units'!A:A,1,FALSE)</f>
        <v>222797296</v>
      </c>
      <c r="D597" s="141" t="s">
        <v>1574</v>
      </c>
      <c r="E597" s="141" t="s">
        <v>617</v>
      </c>
      <c r="G597" s="141" t="s">
        <v>1575</v>
      </c>
      <c r="H597" s="141" t="s">
        <v>750</v>
      </c>
      <c r="I597" s="141" t="s">
        <v>698</v>
      </c>
      <c r="J597" s="141" t="s">
        <v>989</v>
      </c>
      <c r="K597" s="142">
        <v>1250</v>
      </c>
      <c r="L597" s="143">
        <v>45565</v>
      </c>
      <c r="M597" s="245" t="s">
        <v>632</v>
      </c>
    </row>
    <row r="598" spans="1:13">
      <c r="K598" s="139"/>
      <c r="L598" s="140"/>
    </row>
    <row r="599" spans="1:13" s="150" customFormat="1">
      <c r="A599" s="200" t="s">
        <v>1576</v>
      </c>
      <c r="D599"/>
      <c r="M599" s="200"/>
    </row>
    <row r="600" spans="1:13" s="150" customFormat="1">
      <c r="A600" s="150" t="s">
        <v>752</v>
      </c>
      <c r="B600" s="150" t="s">
        <v>601</v>
      </c>
      <c r="C600" s="150" t="s">
        <v>602</v>
      </c>
      <c r="D600"/>
      <c r="E600" s="150" t="s">
        <v>604</v>
      </c>
      <c r="F600" s="150" t="s">
        <v>605</v>
      </c>
      <c r="G600" s="150" t="s">
        <v>481</v>
      </c>
      <c r="H600" s="150" t="s">
        <v>607</v>
      </c>
      <c r="I600" s="150" t="s">
        <v>14</v>
      </c>
      <c r="J600" s="150" t="s">
        <v>608</v>
      </c>
      <c r="K600" s="150" t="s">
        <v>609</v>
      </c>
      <c r="L600" s="150" t="s">
        <v>610</v>
      </c>
      <c r="M600" s="200" t="s">
        <v>611</v>
      </c>
    </row>
    <row r="601" spans="1:13" s="141" customFormat="1">
      <c r="A601" s="141">
        <v>104457033</v>
      </c>
      <c r="B601" s="141" t="e">
        <v>#N/A</v>
      </c>
      <c r="C601" s="141" t="e">
        <f>VLOOKUP(A601,'DS Tenanted units'!A:A,1,FALSE)</f>
        <v>#N/A</v>
      </c>
      <c r="D601" s="141" t="s">
        <v>1577</v>
      </c>
      <c r="E601" s="141" t="s">
        <v>617</v>
      </c>
      <c r="G601" s="141" t="s">
        <v>1578</v>
      </c>
      <c r="H601" s="141" t="s">
        <v>618</v>
      </c>
      <c r="I601" s="141" t="s">
        <v>698</v>
      </c>
      <c r="J601" s="141" t="s">
        <v>1579</v>
      </c>
      <c r="K601" s="141">
        <v>700</v>
      </c>
      <c r="L601" s="143">
        <v>45565</v>
      </c>
      <c r="M601" s="245" t="s">
        <v>632</v>
      </c>
    </row>
    <row r="602" spans="1:13" s="141" customFormat="1">
      <c r="A602" s="141">
        <v>104457037</v>
      </c>
      <c r="B602" s="141" t="e">
        <v>#N/A</v>
      </c>
      <c r="C602" s="141" t="e">
        <f>VLOOKUP(A602,'DS Tenanted units'!A:A,1,FALSE)</f>
        <v>#N/A</v>
      </c>
      <c r="D602" s="141" t="s">
        <v>1580</v>
      </c>
      <c r="E602" s="141" t="s">
        <v>617</v>
      </c>
      <c r="G602" s="141" t="s">
        <v>1581</v>
      </c>
      <c r="H602" s="141" t="s">
        <v>618</v>
      </c>
      <c r="I602" s="141" t="s">
        <v>698</v>
      </c>
      <c r="J602" s="141" t="s">
        <v>1579</v>
      </c>
      <c r="K602" s="141">
        <v>400</v>
      </c>
      <c r="L602" s="143">
        <v>45565</v>
      </c>
      <c r="M602" s="245" t="s">
        <v>632</v>
      </c>
    </row>
    <row r="603" spans="1:13" s="141" customFormat="1">
      <c r="A603" s="141">
        <v>104457038</v>
      </c>
      <c r="B603" s="141" t="e">
        <v>#N/A</v>
      </c>
      <c r="C603" s="141" t="e">
        <f>VLOOKUP(A603,'DS Tenanted units'!A:A,1,FALSE)</f>
        <v>#N/A</v>
      </c>
      <c r="D603" s="141" t="s">
        <v>1582</v>
      </c>
      <c r="E603" s="141" t="s">
        <v>617</v>
      </c>
      <c r="G603" s="141" t="s">
        <v>1583</v>
      </c>
      <c r="H603" s="141" t="s">
        <v>618</v>
      </c>
      <c r="I603" s="141" t="s">
        <v>698</v>
      </c>
      <c r="J603" s="141" t="s">
        <v>1579</v>
      </c>
      <c r="K603" s="141">
        <v>300</v>
      </c>
      <c r="L603" s="143">
        <v>45565</v>
      </c>
      <c r="M603" s="245" t="s">
        <v>632</v>
      </c>
    </row>
    <row r="604" spans="1:13" s="141" customFormat="1">
      <c r="A604" s="141">
        <v>104457039</v>
      </c>
      <c r="B604" s="141" t="e">
        <v>#N/A</v>
      </c>
      <c r="C604" s="141" t="e">
        <f>VLOOKUP(A604,'DS Tenanted units'!A:A,1,FALSE)</f>
        <v>#N/A</v>
      </c>
      <c r="D604" s="141" t="s">
        <v>1584</v>
      </c>
      <c r="E604" s="141" t="s">
        <v>617</v>
      </c>
      <c r="G604" s="141" t="s">
        <v>1585</v>
      </c>
      <c r="H604" s="141" t="s">
        <v>618</v>
      </c>
      <c r="I604" s="141" t="s">
        <v>698</v>
      </c>
      <c r="J604" s="141" t="s">
        <v>1579</v>
      </c>
      <c r="K604" s="141">
        <v>300</v>
      </c>
      <c r="L604" s="143">
        <v>45565</v>
      </c>
      <c r="M604" s="245" t="s">
        <v>632</v>
      </c>
    </row>
    <row r="605" spans="1:13" s="141" customFormat="1">
      <c r="A605" s="141">
        <v>104457040</v>
      </c>
      <c r="B605" s="141" t="e">
        <v>#N/A</v>
      </c>
      <c r="C605" s="141" t="e">
        <f>VLOOKUP(A605,'DS Tenanted units'!A:A,1,FALSE)</f>
        <v>#N/A</v>
      </c>
      <c r="D605" s="141" t="s">
        <v>1586</v>
      </c>
      <c r="E605" s="141" t="s">
        <v>617</v>
      </c>
      <c r="G605" s="141" t="s">
        <v>1587</v>
      </c>
      <c r="H605" s="141" t="s">
        <v>618</v>
      </c>
      <c r="I605" s="141" t="s">
        <v>698</v>
      </c>
      <c r="J605" s="141" t="s">
        <v>1579</v>
      </c>
      <c r="K605" s="141">
        <v>900</v>
      </c>
      <c r="L605" s="143">
        <v>45565</v>
      </c>
      <c r="M605" s="245" t="s">
        <v>632</v>
      </c>
    </row>
    <row r="606" spans="1:13" s="141" customFormat="1">
      <c r="A606" s="141">
        <v>104457041</v>
      </c>
      <c r="B606" s="141" t="e">
        <v>#N/A</v>
      </c>
      <c r="C606" s="141" t="e">
        <f>VLOOKUP(A606,'DS Tenanted units'!A:A,1,FALSE)</f>
        <v>#N/A</v>
      </c>
      <c r="D606" s="141" t="s">
        <v>1588</v>
      </c>
      <c r="E606" s="141" t="s">
        <v>617</v>
      </c>
      <c r="G606" s="141" t="s">
        <v>1589</v>
      </c>
      <c r="H606" s="141" t="s">
        <v>618</v>
      </c>
      <c r="I606" s="141" t="s">
        <v>698</v>
      </c>
      <c r="J606" s="141" t="s">
        <v>1579</v>
      </c>
      <c r="K606" s="141">
        <v>300</v>
      </c>
      <c r="L606" s="143">
        <v>45565</v>
      </c>
      <c r="M606" s="245" t="s">
        <v>632</v>
      </c>
    </row>
    <row r="607" spans="1:13" s="141" customFormat="1">
      <c r="A607" s="141">
        <v>104457042</v>
      </c>
      <c r="B607" s="141" t="e">
        <v>#N/A</v>
      </c>
      <c r="C607" s="141" t="e">
        <f>VLOOKUP(A607,'DS Tenanted units'!A:A,1,FALSE)</f>
        <v>#N/A</v>
      </c>
      <c r="D607" s="141" t="s">
        <v>1590</v>
      </c>
      <c r="E607" s="141" t="s">
        <v>617</v>
      </c>
      <c r="G607" s="141" t="s">
        <v>1591</v>
      </c>
      <c r="H607" s="141" t="s">
        <v>618</v>
      </c>
      <c r="I607" s="141" t="s">
        <v>698</v>
      </c>
      <c r="J607" s="141" t="s">
        <v>1579</v>
      </c>
      <c r="K607" s="141">
        <v>60</v>
      </c>
      <c r="L607" s="143">
        <v>45565</v>
      </c>
      <c r="M607" s="245" t="s">
        <v>632</v>
      </c>
    </row>
    <row r="608" spans="1:13" s="141" customFormat="1">
      <c r="A608" s="141">
        <v>104457043</v>
      </c>
      <c r="B608" s="141" t="e">
        <v>#N/A</v>
      </c>
      <c r="C608" s="141" t="e">
        <f>VLOOKUP(A608,'DS Tenanted units'!A:A,1,FALSE)</f>
        <v>#N/A</v>
      </c>
      <c r="D608" s="141" t="s">
        <v>1592</v>
      </c>
      <c r="E608" s="141" t="s">
        <v>617</v>
      </c>
      <c r="G608" s="141" t="s">
        <v>1593</v>
      </c>
      <c r="H608" s="141" t="s">
        <v>618</v>
      </c>
      <c r="I608" s="141" t="s">
        <v>698</v>
      </c>
      <c r="J608" s="141" t="s">
        <v>1579</v>
      </c>
      <c r="K608" s="141">
        <v>300</v>
      </c>
      <c r="L608" s="143">
        <v>45565</v>
      </c>
      <c r="M608" s="245" t="s">
        <v>632</v>
      </c>
    </row>
    <row r="609" spans="1:13" s="141" customFormat="1">
      <c r="A609" s="141">
        <v>104457044</v>
      </c>
      <c r="B609" s="141" t="e">
        <v>#N/A</v>
      </c>
      <c r="C609" s="141" t="e">
        <f>VLOOKUP(A609,'DS Tenanted units'!A:A,1,FALSE)</f>
        <v>#N/A</v>
      </c>
      <c r="D609" s="141" t="s">
        <v>1594</v>
      </c>
      <c r="E609" s="141" t="s">
        <v>617</v>
      </c>
      <c r="G609" s="141" t="s">
        <v>1595</v>
      </c>
      <c r="H609" s="141" t="s">
        <v>618</v>
      </c>
      <c r="I609" s="141" t="s">
        <v>698</v>
      </c>
      <c r="J609" s="141" t="s">
        <v>1579</v>
      </c>
      <c r="K609" s="141">
        <v>300</v>
      </c>
      <c r="L609" s="143">
        <v>45565</v>
      </c>
      <c r="M609" s="245" t="s">
        <v>632</v>
      </c>
    </row>
    <row r="610" spans="1:13" s="141" customFormat="1">
      <c r="A610" s="141">
        <v>104457046</v>
      </c>
      <c r="B610" s="141" t="e">
        <v>#N/A</v>
      </c>
      <c r="C610" s="141" t="e">
        <f>VLOOKUP(A610,'DS Tenanted units'!A:A,1,FALSE)</f>
        <v>#N/A</v>
      </c>
      <c r="D610" s="141" t="s">
        <v>1596</v>
      </c>
      <c r="E610" s="141" t="s">
        <v>617</v>
      </c>
      <c r="G610" s="141" t="s">
        <v>1597</v>
      </c>
      <c r="H610" s="141" t="s">
        <v>618</v>
      </c>
      <c r="I610" s="141" t="s">
        <v>698</v>
      </c>
      <c r="J610" s="141" t="s">
        <v>1579</v>
      </c>
      <c r="K610" s="141">
        <v>400</v>
      </c>
      <c r="L610" s="143">
        <v>45565</v>
      </c>
      <c r="M610" s="245" t="s">
        <v>632</v>
      </c>
    </row>
    <row r="611" spans="1:13" s="141" customFormat="1">
      <c r="A611" s="141">
        <v>104457047</v>
      </c>
      <c r="B611" s="141" t="e">
        <v>#N/A</v>
      </c>
      <c r="C611" s="141" t="e">
        <f>VLOOKUP(A611,'DS Tenanted units'!A:A,1,FALSE)</f>
        <v>#N/A</v>
      </c>
      <c r="D611" s="141" t="s">
        <v>1598</v>
      </c>
      <c r="E611" s="141" t="s">
        <v>617</v>
      </c>
      <c r="G611" s="141" t="s">
        <v>1599</v>
      </c>
      <c r="H611" s="141" t="s">
        <v>618</v>
      </c>
      <c r="I611" s="141" t="s">
        <v>698</v>
      </c>
      <c r="J611" s="141" t="s">
        <v>1579</v>
      </c>
      <c r="K611" s="141">
        <v>1</v>
      </c>
      <c r="L611" s="143">
        <v>45565</v>
      </c>
      <c r="M611" s="245" t="s">
        <v>632</v>
      </c>
    </row>
    <row r="612" spans="1:13" s="141" customFormat="1">
      <c r="A612" s="141">
        <v>104457048</v>
      </c>
      <c r="B612" s="141" t="e">
        <v>#N/A</v>
      </c>
      <c r="C612" s="141" t="e">
        <f>VLOOKUP(A612,'DS Tenanted units'!A:A,1,FALSE)</f>
        <v>#N/A</v>
      </c>
      <c r="D612" s="141" t="s">
        <v>1600</v>
      </c>
      <c r="E612" s="141" t="s">
        <v>617</v>
      </c>
      <c r="G612" s="141" t="s">
        <v>1601</v>
      </c>
      <c r="H612" s="141" t="s">
        <v>618</v>
      </c>
      <c r="I612" s="141" t="s">
        <v>698</v>
      </c>
      <c r="J612" s="141" t="s">
        <v>1579</v>
      </c>
      <c r="K612" s="141">
        <v>300</v>
      </c>
      <c r="L612" s="143">
        <v>45565</v>
      </c>
      <c r="M612" s="245" t="s">
        <v>632</v>
      </c>
    </row>
    <row r="613" spans="1:13" s="141" customFormat="1">
      <c r="A613" s="141">
        <v>104457049</v>
      </c>
      <c r="B613" s="141" t="e">
        <v>#N/A</v>
      </c>
      <c r="C613" s="141" t="e">
        <f>VLOOKUP(A613,'DS Tenanted units'!A:A,1,FALSE)</f>
        <v>#N/A</v>
      </c>
      <c r="D613" s="141" t="s">
        <v>1602</v>
      </c>
      <c r="E613" s="141" t="s">
        <v>617</v>
      </c>
      <c r="G613" s="141" t="s">
        <v>1603</v>
      </c>
      <c r="H613" s="141" t="s">
        <v>618</v>
      </c>
      <c r="I613" s="141" t="s">
        <v>698</v>
      </c>
      <c r="J613" s="141" t="s">
        <v>1579</v>
      </c>
      <c r="K613" s="141">
        <v>200</v>
      </c>
      <c r="L613" s="143">
        <v>45565</v>
      </c>
      <c r="M613" s="245" t="s">
        <v>632</v>
      </c>
    </row>
    <row r="614" spans="1:13" s="141" customFormat="1">
      <c r="A614" s="141">
        <v>104457050</v>
      </c>
      <c r="B614" s="141" t="e">
        <v>#N/A</v>
      </c>
      <c r="C614" s="141" t="e">
        <f>VLOOKUP(A614,'DS Tenanted units'!A:A,1,FALSE)</f>
        <v>#N/A</v>
      </c>
      <c r="D614" s="141" t="s">
        <v>1604</v>
      </c>
      <c r="E614" s="141" t="s">
        <v>617</v>
      </c>
      <c r="G614" s="141" t="s">
        <v>1605</v>
      </c>
      <c r="H614" s="141" t="s">
        <v>618</v>
      </c>
      <c r="I614" s="141" t="s">
        <v>698</v>
      </c>
      <c r="J614" s="141" t="s">
        <v>1579</v>
      </c>
      <c r="K614" s="141">
        <v>1</v>
      </c>
      <c r="L614" s="143">
        <v>45565</v>
      </c>
      <c r="M614" s="245" t="s">
        <v>632</v>
      </c>
    </row>
    <row r="615" spans="1:13" s="141" customFormat="1">
      <c r="A615" s="141">
        <v>104457051</v>
      </c>
      <c r="B615" s="141" t="e">
        <v>#N/A</v>
      </c>
      <c r="C615" s="141" t="e">
        <f>VLOOKUP(A615,'DS Tenanted units'!A:A,1,FALSE)</f>
        <v>#N/A</v>
      </c>
      <c r="D615" s="141" t="s">
        <v>1606</v>
      </c>
      <c r="E615" s="141" t="s">
        <v>617</v>
      </c>
      <c r="G615" s="141" t="s">
        <v>1607</v>
      </c>
      <c r="H615" s="141" t="s">
        <v>618</v>
      </c>
      <c r="I615" s="141" t="s">
        <v>698</v>
      </c>
      <c r="J615" s="141" t="s">
        <v>1579</v>
      </c>
      <c r="K615" s="141">
        <v>400</v>
      </c>
      <c r="L615" s="143">
        <v>45565</v>
      </c>
      <c r="M615" s="245" t="s">
        <v>632</v>
      </c>
    </row>
    <row r="616" spans="1:13" s="141" customFormat="1">
      <c r="A616" s="141">
        <v>114154001</v>
      </c>
      <c r="B616" s="141" t="e">
        <v>#N/A</v>
      </c>
      <c r="C616" s="141" t="e">
        <f>VLOOKUP(A616,'DS Tenanted units'!A:A,1,FALSE)</f>
        <v>#N/A</v>
      </c>
      <c r="D616" s="141" t="s">
        <v>1608</v>
      </c>
      <c r="E616" s="141" t="s">
        <v>617</v>
      </c>
      <c r="G616" s="141" t="s">
        <v>1609</v>
      </c>
      <c r="H616" s="141" t="s">
        <v>618</v>
      </c>
      <c r="I616" s="141" t="s">
        <v>698</v>
      </c>
      <c r="J616" s="141" t="s">
        <v>1579</v>
      </c>
      <c r="K616" s="141">
        <v>1</v>
      </c>
      <c r="L616" s="143">
        <v>45565</v>
      </c>
      <c r="M616" s="245" t="s">
        <v>632</v>
      </c>
    </row>
    <row r="617" spans="1:13" s="141" customFormat="1">
      <c r="A617" s="141">
        <v>114693001</v>
      </c>
      <c r="B617" s="141" t="e">
        <v>#N/A</v>
      </c>
      <c r="C617" s="141" t="e">
        <f>VLOOKUP(A617,'DS Tenanted units'!A:A,1,FALSE)</f>
        <v>#N/A</v>
      </c>
      <c r="D617" s="141" t="s">
        <v>1610</v>
      </c>
      <c r="E617" s="141" t="s">
        <v>617</v>
      </c>
      <c r="G617" s="141" t="s">
        <v>1611</v>
      </c>
      <c r="H617" s="141" t="s">
        <v>618</v>
      </c>
      <c r="I617" s="141" t="s">
        <v>698</v>
      </c>
      <c r="J617" s="141" t="s">
        <v>1579</v>
      </c>
      <c r="K617" s="141">
        <v>400</v>
      </c>
      <c r="L617" s="143">
        <v>45565</v>
      </c>
      <c r="M617" s="245" t="s">
        <v>632</v>
      </c>
    </row>
    <row r="618" spans="1:13" s="141" customFormat="1">
      <c r="A618" s="141">
        <v>106731001</v>
      </c>
      <c r="B618" s="141" t="e">
        <v>#N/A</v>
      </c>
      <c r="C618" s="141" t="e">
        <f>VLOOKUP(A618,'DS Tenanted units'!A:A,1,FALSE)</f>
        <v>#N/A</v>
      </c>
      <c r="D618" s="141" t="s">
        <v>1612</v>
      </c>
      <c r="E618" s="141" t="s">
        <v>617</v>
      </c>
      <c r="G618" s="141" t="s">
        <v>1613</v>
      </c>
      <c r="H618" s="141" t="s">
        <v>639</v>
      </c>
      <c r="I618" s="141" t="s">
        <v>636</v>
      </c>
      <c r="J618" s="141" t="s">
        <v>635</v>
      </c>
      <c r="K618" s="141">
        <v>1</v>
      </c>
      <c r="L618" s="143">
        <v>45565</v>
      </c>
      <c r="M618" s="245" t="s">
        <v>632</v>
      </c>
    </row>
    <row r="619" spans="1:13" s="141" customFormat="1">
      <c r="A619" s="141">
        <v>109956001</v>
      </c>
      <c r="B619" s="141" t="e">
        <v>#N/A</v>
      </c>
      <c r="C619" s="141" t="e">
        <f>VLOOKUP(A619,'DS Tenanted units'!A:A,1,FALSE)</f>
        <v>#N/A</v>
      </c>
      <c r="D619" s="141" t="s">
        <v>650</v>
      </c>
      <c r="E619" s="141" t="s">
        <v>617</v>
      </c>
      <c r="G619" s="141" t="s">
        <v>1614</v>
      </c>
      <c r="H619" s="141" t="s">
        <v>639</v>
      </c>
      <c r="I619" s="141" t="s">
        <v>636</v>
      </c>
      <c r="J619" s="141" t="s">
        <v>635</v>
      </c>
      <c r="K619" s="141">
        <v>0</v>
      </c>
      <c r="L619" s="143">
        <v>43122</v>
      </c>
      <c r="M619" s="245" t="s">
        <v>632</v>
      </c>
    </row>
    <row r="620" spans="1:13" s="141" customFormat="1">
      <c r="A620" s="141">
        <v>105147001</v>
      </c>
      <c r="B620" s="141" t="e">
        <v>#N/A</v>
      </c>
      <c r="C620" s="141" t="e">
        <f>VLOOKUP(A620,'DS Tenanted units'!A:A,1,FALSE)</f>
        <v>#N/A</v>
      </c>
      <c r="D620" s="141" t="s">
        <v>1615</v>
      </c>
      <c r="E620" s="141" t="s">
        <v>617</v>
      </c>
      <c r="G620" s="141" t="s">
        <v>1616</v>
      </c>
      <c r="H620" s="141" t="s">
        <v>639</v>
      </c>
      <c r="I620" s="141" t="s">
        <v>698</v>
      </c>
      <c r="J620" s="141" t="s">
        <v>1617</v>
      </c>
      <c r="K620" s="141">
        <v>440</v>
      </c>
      <c r="L620" s="143">
        <v>45565</v>
      </c>
      <c r="M620" s="245" t="s">
        <v>632</v>
      </c>
    </row>
    <row r="621" spans="1:13" s="141" customFormat="1">
      <c r="A621" s="141">
        <v>106470001</v>
      </c>
      <c r="B621" s="141" t="e">
        <v>#N/A</v>
      </c>
      <c r="C621" s="141" t="e">
        <f>VLOOKUP(A621,'DS Tenanted units'!A:A,1,FALSE)</f>
        <v>#N/A</v>
      </c>
      <c r="D621" s="141" t="s">
        <v>1618</v>
      </c>
      <c r="E621" s="141" t="s">
        <v>617</v>
      </c>
      <c r="G621" s="141" t="s">
        <v>1619</v>
      </c>
      <c r="H621" s="141" t="s">
        <v>639</v>
      </c>
      <c r="I621" s="141" t="s">
        <v>698</v>
      </c>
      <c r="J621" s="141" t="s">
        <v>1617</v>
      </c>
      <c r="K621" s="141">
        <v>1</v>
      </c>
      <c r="L621" s="143">
        <v>45565</v>
      </c>
      <c r="M621" s="245" t="s">
        <v>632</v>
      </c>
    </row>
    <row r="622" spans="1:13" s="141" customFormat="1">
      <c r="A622" s="141">
        <v>106895001</v>
      </c>
      <c r="B622" s="141" t="e">
        <v>#N/A</v>
      </c>
      <c r="C622" s="141" t="e">
        <f>VLOOKUP(A622,'DS Tenanted units'!A:A,1,FALSE)</f>
        <v>#N/A</v>
      </c>
      <c r="D622" s="141" t="s">
        <v>1620</v>
      </c>
      <c r="E622" s="141" t="s">
        <v>617</v>
      </c>
      <c r="G622" s="141" t="s">
        <v>1621</v>
      </c>
      <c r="H622" s="141" t="s">
        <v>639</v>
      </c>
      <c r="I622" s="141" t="s">
        <v>698</v>
      </c>
      <c r="J622" s="141" t="s">
        <v>1617</v>
      </c>
      <c r="K622" s="141">
        <v>0</v>
      </c>
      <c r="L622" s="143">
        <v>45565</v>
      </c>
      <c r="M622" s="245" t="s">
        <v>632</v>
      </c>
    </row>
    <row r="623" spans="1:13" s="141" customFormat="1">
      <c r="A623" s="141">
        <v>107072001</v>
      </c>
      <c r="B623" s="141" t="e">
        <v>#N/A</v>
      </c>
      <c r="C623" s="141" t="e">
        <f>VLOOKUP(A623,'DS Tenanted units'!A:A,1,FALSE)</f>
        <v>#N/A</v>
      </c>
      <c r="D623" s="141" t="s">
        <v>1622</v>
      </c>
      <c r="E623" s="141" t="s">
        <v>617</v>
      </c>
      <c r="G623" s="141" t="s">
        <v>1623</v>
      </c>
      <c r="H623" s="141" t="s">
        <v>639</v>
      </c>
      <c r="I623" s="141" t="s">
        <v>698</v>
      </c>
      <c r="J623" s="141" t="s">
        <v>1617</v>
      </c>
      <c r="K623" s="141">
        <v>0</v>
      </c>
      <c r="L623" s="143">
        <v>45565</v>
      </c>
      <c r="M623" s="245" t="s">
        <v>632</v>
      </c>
    </row>
    <row r="624" spans="1:13" s="141" customFormat="1">
      <c r="A624" s="141">
        <v>107246001</v>
      </c>
      <c r="B624" s="141" t="e">
        <v>#N/A</v>
      </c>
      <c r="C624" s="141" t="e">
        <f>VLOOKUP(A624,'DS Tenanted units'!A:A,1,FALSE)</f>
        <v>#N/A</v>
      </c>
      <c r="D624" s="141" t="s">
        <v>1624</v>
      </c>
      <c r="E624" s="141" t="s">
        <v>617</v>
      </c>
      <c r="G624" s="141" t="s">
        <v>1625</v>
      </c>
      <c r="H624" s="141" t="s">
        <v>639</v>
      </c>
      <c r="I624" s="141" t="s">
        <v>698</v>
      </c>
      <c r="J624" s="141" t="s">
        <v>1617</v>
      </c>
      <c r="K624" s="141">
        <v>2</v>
      </c>
      <c r="L624" s="143">
        <v>45565</v>
      </c>
      <c r="M624" s="245" t="s">
        <v>632</v>
      </c>
    </row>
    <row r="625" spans="1:13" s="141" customFormat="1">
      <c r="A625" s="141">
        <v>107383002</v>
      </c>
      <c r="B625" s="141" t="e">
        <v>#N/A</v>
      </c>
      <c r="C625" s="141" t="e">
        <f>VLOOKUP(A625,'DS Tenanted units'!A:A,1,FALSE)</f>
        <v>#N/A</v>
      </c>
      <c r="D625" s="141" t="s">
        <v>1626</v>
      </c>
      <c r="E625" s="141" t="s">
        <v>617</v>
      </c>
      <c r="G625" s="141" t="s">
        <v>1627</v>
      </c>
      <c r="H625" s="141" t="s">
        <v>639</v>
      </c>
      <c r="I625" s="141" t="s">
        <v>698</v>
      </c>
      <c r="J625" s="141" t="s">
        <v>1617</v>
      </c>
      <c r="K625" s="141">
        <v>34</v>
      </c>
      <c r="L625" s="143">
        <v>45565</v>
      </c>
      <c r="M625" s="245" t="s">
        <v>632</v>
      </c>
    </row>
    <row r="626" spans="1:13" s="141" customFormat="1">
      <c r="A626" s="141">
        <v>107469002</v>
      </c>
      <c r="B626" s="141" t="e">
        <v>#N/A</v>
      </c>
      <c r="C626" s="141" t="e">
        <f>VLOOKUP(A626,'DS Tenanted units'!A:A,1,FALSE)</f>
        <v>#N/A</v>
      </c>
      <c r="D626" s="141" t="s">
        <v>1628</v>
      </c>
      <c r="E626" s="141" t="s">
        <v>617</v>
      </c>
      <c r="G626" s="141" t="s">
        <v>1629</v>
      </c>
      <c r="H626" s="141" t="s">
        <v>639</v>
      </c>
      <c r="I626" s="141" t="s">
        <v>698</v>
      </c>
      <c r="J626" s="141" t="s">
        <v>1617</v>
      </c>
      <c r="K626" s="141">
        <v>20</v>
      </c>
      <c r="L626" s="143">
        <v>45565</v>
      </c>
      <c r="M626" s="245" t="s">
        <v>632</v>
      </c>
    </row>
    <row r="627" spans="1:13" s="141" customFormat="1">
      <c r="A627" s="141">
        <v>107516005</v>
      </c>
      <c r="B627" s="141" t="e">
        <v>#N/A</v>
      </c>
      <c r="C627" s="141" t="e">
        <f>VLOOKUP(A627,'DS Tenanted units'!A:A,1,FALSE)</f>
        <v>#N/A</v>
      </c>
      <c r="D627" s="141" t="s">
        <v>1630</v>
      </c>
      <c r="E627" s="141" t="s">
        <v>617</v>
      </c>
      <c r="G627" s="141" t="s">
        <v>1631</v>
      </c>
      <c r="H627" s="141" t="s">
        <v>639</v>
      </c>
      <c r="I627" s="141" t="s">
        <v>698</v>
      </c>
      <c r="J627" s="141" t="s">
        <v>1617</v>
      </c>
      <c r="K627" s="141">
        <v>41</v>
      </c>
      <c r="L627" s="143">
        <v>45565</v>
      </c>
      <c r="M627" s="245" t="s">
        <v>632</v>
      </c>
    </row>
    <row r="628" spans="1:13" s="141" customFormat="1">
      <c r="A628" s="141">
        <v>108792002</v>
      </c>
      <c r="B628" s="141" t="e">
        <v>#N/A</v>
      </c>
      <c r="C628" s="141" t="e">
        <f>VLOOKUP(A628,'DS Tenanted units'!A:A,1,FALSE)</f>
        <v>#N/A</v>
      </c>
      <c r="D628" s="141" t="s">
        <v>1632</v>
      </c>
      <c r="E628" s="141" t="s">
        <v>617</v>
      </c>
      <c r="G628" s="141" t="s">
        <v>1633</v>
      </c>
      <c r="H628" s="141" t="s">
        <v>639</v>
      </c>
      <c r="I628" s="141" t="s">
        <v>698</v>
      </c>
      <c r="J628" s="141" t="s">
        <v>1617</v>
      </c>
      <c r="K628" s="141">
        <v>25</v>
      </c>
      <c r="L628" s="143">
        <v>45565</v>
      </c>
      <c r="M628" s="245" t="s">
        <v>632</v>
      </c>
    </row>
    <row r="629" spans="1:13" s="141" customFormat="1">
      <c r="A629" s="141">
        <v>108855001</v>
      </c>
      <c r="B629" s="141" t="e">
        <v>#N/A</v>
      </c>
      <c r="C629" s="141" t="e">
        <f>VLOOKUP(A629,'DS Tenanted units'!A:A,1,FALSE)</f>
        <v>#N/A</v>
      </c>
      <c r="D629" s="141" t="s">
        <v>1634</v>
      </c>
      <c r="E629" s="141" t="s">
        <v>617</v>
      </c>
      <c r="G629" s="141" t="s">
        <v>1635</v>
      </c>
      <c r="H629" s="141" t="s">
        <v>639</v>
      </c>
      <c r="I629" s="141" t="s">
        <v>698</v>
      </c>
      <c r="J629" s="141" t="s">
        <v>1617</v>
      </c>
      <c r="K629" s="141">
        <v>20</v>
      </c>
      <c r="L629" s="143">
        <v>45565</v>
      </c>
      <c r="M629" s="245" t="s">
        <v>632</v>
      </c>
    </row>
    <row r="630" spans="1:13" s="141" customFormat="1">
      <c r="A630" s="141">
        <v>109640019</v>
      </c>
      <c r="B630" s="141" t="e">
        <v>#N/A</v>
      </c>
      <c r="C630" s="141" t="e">
        <f>VLOOKUP(A630,'DS Tenanted units'!A:A,1,FALSE)</f>
        <v>#N/A</v>
      </c>
      <c r="D630" s="141" t="s">
        <v>1636</v>
      </c>
      <c r="E630" s="141" t="s">
        <v>617</v>
      </c>
      <c r="G630" s="141" t="s">
        <v>1637</v>
      </c>
      <c r="H630" s="141" t="s">
        <v>635</v>
      </c>
      <c r="I630" s="141" t="s">
        <v>698</v>
      </c>
      <c r="J630" s="141" t="s">
        <v>1617</v>
      </c>
      <c r="K630" s="141">
        <v>50</v>
      </c>
      <c r="L630" s="143">
        <v>45565</v>
      </c>
      <c r="M630" s="245" t="s">
        <v>632</v>
      </c>
    </row>
    <row r="631" spans="1:13" s="141" customFormat="1">
      <c r="A631" s="141">
        <v>109670002</v>
      </c>
      <c r="B631" s="141" t="e">
        <v>#N/A</v>
      </c>
      <c r="C631" s="141" t="e">
        <f>VLOOKUP(A631,'DS Tenanted units'!A:A,1,FALSE)</f>
        <v>#N/A</v>
      </c>
      <c r="D631" s="141" t="s">
        <v>1638</v>
      </c>
      <c r="E631" s="141" t="s">
        <v>617</v>
      </c>
      <c r="G631" s="141" t="s">
        <v>1639</v>
      </c>
      <c r="H631" s="141" t="s">
        <v>639</v>
      </c>
      <c r="I631" s="141" t="s">
        <v>698</v>
      </c>
      <c r="J631" s="141" t="s">
        <v>1617</v>
      </c>
      <c r="K631" s="141">
        <v>123</v>
      </c>
      <c r="L631" s="143">
        <v>45565</v>
      </c>
      <c r="M631" s="245" t="s">
        <v>632</v>
      </c>
    </row>
    <row r="632" spans="1:13" s="141" customFormat="1">
      <c r="A632" s="141">
        <v>109930028</v>
      </c>
      <c r="B632" s="141" t="e">
        <v>#N/A</v>
      </c>
      <c r="C632" s="141" t="e">
        <f>VLOOKUP(A632,'DS Tenanted units'!A:A,1,FALSE)</f>
        <v>#N/A</v>
      </c>
      <c r="D632" s="141" t="s">
        <v>1640</v>
      </c>
      <c r="E632" s="141" t="s">
        <v>617</v>
      </c>
      <c r="G632" s="141" t="s">
        <v>1641</v>
      </c>
      <c r="H632" s="141" t="s">
        <v>639</v>
      </c>
      <c r="I632" s="141" t="s">
        <v>698</v>
      </c>
      <c r="J632" s="141" t="s">
        <v>1617</v>
      </c>
      <c r="K632" s="141">
        <v>1</v>
      </c>
      <c r="L632" s="143">
        <v>45565</v>
      </c>
      <c r="M632" s="245" t="s">
        <v>632</v>
      </c>
    </row>
    <row r="633" spans="1:13" s="141" customFormat="1">
      <c r="A633" s="141">
        <v>109944033</v>
      </c>
      <c r="B633" s="141" t="e">
        <v>#N/A</v>
      </c>
      <c r="C633" s="141" t="e">
        <f>VLOOKUP(A633,'DS Tenanted units'!A:A,1,FALSE)</f>
        <v>#N/A</v>
      </c>
      <c r="D633" s="141" t="s">
        <v>1642</v>
      </c>
      <c r="E633" s="141" t="s">
        <v>617</v>
      </c>
      <c r="G633" s="141" t="s">
        <v>1643</v>
      </c>
      <c r="H633" s="141" t="s">
        <v>639</v>
      </c>
      <c r="I633" s="141" t="s">
        <v>698</v>
      </c>
      <c r="J633" s="141" t="s">
        <v>1617</v>
      </c>
      <c r="K633" s="141">
        <v>1</v>
      </c>
      <c r="L633" s="143">
        <v>45565</v>
      </c>
      <c r="M633" s="245" t="s">
        <v>632</v>
      </c>
    </row>
    <row r="634" spans="1:13" s="141" customFormat="1">
      <c r="A634" s="141">
        <v>109956008</v>
      </c>
      <c r="B634" s="141" t="e">
        <v>#N/A</v>
      </c>
      <c r="C634" s="141" t="e">
        <f>VLOOKUP(A634,'DS Tenanted units'!A:A,1,FALSE)</f>
        <v>#N/A</v>
      </c>
      <c r="D634" s="141" t="s">
        <v>1644</v>
      </c>
      <c r="E634" s="141" t="s">
        <v>617</v>
      </c>
      <c r="G634" s="141" t="s">
        <v>1645</v>
      </c>
      <c r="H634" s="141" t="s">
        <v>639</v>
      </c>
      <c r="I634" s="141" t="s">
        <v>698</v>
      </c>
      <c r="J634" s="141" t="s">
        <v>1617</v>
      </c>
      <c r="K634" s="141">
        <v>0</v>
      </c>
      <c r="L634" s="143">
        <v>45565</v>
      </c>
      <c r="M634" s="245" t="s">
        <v>632</v>
      </c>
    </row>
    <row r="635" spans="1:13" s="141" customFormat="1">
      <c r="A635" s="141">
        <v>110465003</v>
      </c>
      <c r="B635" s="141" t="e">
        <v>#N/A</v>
      </c>
      <c r="C635" s="141" t="e">
        <f>VLOOKUP(A635,'DS Tenanted units'!A:A,1,FALSE)</f>
        <v>#N/A</v>
      </c>
      <c r="D635" s="141" t="s">
        <v>1646</v>
      </c>
      <c r="E635" s="141" t="s">
        <v>617</v>
      </c>
      <c r="G635" s="141" t="s">
        <v>1647</v>
      </c>
      <c r="H635" s="141" t="s">
        <v>639</v>
      </c>
      <c r="I635" s="141" t="s">
        <v>698</v>
      </c>
      <c r="J635" s="141" t="s">
        <v>1617</v>
      </c>
      <c r="K635" s="141">
        <v>460</v>
      </c>
      <c r="L635" s="143">
        <v>45565</v>
      </c>
      <c r="M635" s="245" t="s">
        <v>632</v>
      </c>
    </row>
    <row r="636" spans="1:13" s="141" customFormat="1">
      <c r="A636" s="141">
        <v>115563001</v>
      </c>
      <c r="B636" s="141" t="e">
        <v>#N/A</v>
      </c>
      <c r="C636" s="141" t="e">
        <f>VLOOKUP(A636,'DS Tenanted units'!A:A,1,FALSE)</f>
        <v>#N/A</v>
      </c>
      <c r="D636" s="141" t="s">
        <v>1648</v>
      </c>
      <c r="E636" s="141" t="s">
        <v>617</v>
      </c>
      <c r="G636" s="141" t="s">
        <v>1649</v>
      </c>
      <c r="H636" s="141" t="s">
        <v>639</v>
      </c>
      <c r="I636" s="141" t="s">
        <v>698</v>
      </c>
      <c r="J636" s="141" t="s">
        <v>1617</v>
      </c>
      <c r="K636" s="141">
        <v>25</v>
      </c>
      <c r="L636" s="143">
        <v>45565</v>
      </c>
      <c r="M636" s="245" t="s">
        <v>632</v>
      </c>
    </row>
    <row r="637" spans="1:13" s="141" customFormat="1">
      <c r="A637" s="141">
        <v>115564001</v>
      </c>
      <c r="B637" s="141" t="e">
        <v>#N/A</v>
      </c>
      <c r="C637" s="141" t="e">
        <f>VLOOKUP(A637,'DS Tenanted units'!A:A,1,FALSE)</f>
        <v>#N/A</v>
      </c>
      <c r="D637" s="141" t="s">
        <v>1650</v>
      </c>
      <c r="E637" s="141" t="s">
        <v>617</v>
      </c>
      <c r="G637" s="141" t="s">
        <v>1651</v>
      </c>
      <c r="H637" s="141" t="s">
        <v>639</v>
      </c>
      <c r="I637" s="141" t="s">
        <v>698</v>
      </c>
      <c r="J637" s="141" t="s">
        <v>1617</v>
      </c>
      <c r="K637" s="141">
        <v>13</v>
      </c>
      <c r="L637" s="143">
        <v>45565</v>
      </c>
      <c r="M637" s="245" t="s">
        <v>632</v>
      </c>
    </row>
    <row r="638" spans="1:13" s="141" customFormat="1">
      <c r="A638" s="141">
        <v>122287001</v>
      </c>
      <c r="B638" s="141" t="e">
        <v>#N/A</v>
      </c>
      <c r="C638" s="141" t="e">
        <f>VLOOKUP(A638,'DS Tenanted units'!A:A,1,FALSE)</f>
        <v>#N/A</v>
      </c>
      <c r="D638" s="141" t="s">
        <v>1652</v>
      </c>
      <c r="E638" s="141" t="s">
        <v>617</v>
      </c>
      <c r="G638" s="141" t="s">
        <v>1653</v>
      </c>
      <c r="H638" s="141" t="s">
        <v>639</v>
      </c>
      <c r="I638" s="141" t="s">
        <v>698</v>
      </c>
      <c r="J638" s="141" t="s">
        <v>1617</v>
      </c>
      <c r="K638" s="141">
        <v>3</v>
      </c>
      <c r="L638" s="143">
        <v>45565</v>
      </c>
      <c r="M638" s="245" t="s">
        <v>632</v>
      </c>
    </row>
    <row r="639" spans="1:13" s="141" customFormat="1">
      <c r="A639" s="141">
        <v>122494005</v>
      </c>
      <c r="B639" s="141" t="e">
        <v>#N/A</v>
      </c>
      <c r="C639" s="141" t="e">
        <f>VLOOKUP(A639,'DS Tenanted units'!A:A,1,FALSE)</f>
        <v>#N/A</v>
      </c>
      <c r="D639" s="141" t="s">
        <v>650</v>
      </c>
      <c r="E639" s="141" t="s">
        <v>617</v>
      </c>
      <c r="G639" s="141" t="s">
        <v>1654</v>
      </c>
      <c r="H639" s="141" t="s">
        <v>618</v>
      </c>
      <c r="I639" s="141" t="s">
        <v>698</v>
      </c>
      <c r="J639" s="141" t="s">
        <v>1617</v>
      </c>
      <c r="K639" s="141">
        <v>0</v>
      </c>
      <c r="L639" s="143">
        <v>43122</v>
      </c>
      <c r="M639" s="245" t="s">
        <v>632</v>
      </c>
    </row>
    <row r="640" spans="1:13" s="141" customFormat="1">
      <c r="A640" s="141">
        <v>122495019</v>
      </c>
      <c r="B640" s="141" t="e">
        <v>#N/A</v>
      </c>
      <c r="C640" s="141" t="e">
        <f>VLOOKUP(A640,'DS Tenanted units'!A:A,1,FALSE)</f>
        <v>#N/A</v>
      </c>
      <c r="D640" s="141" t="s">
        <v>1655</v>
      </c>
      <c r="E640" s="141" t="s">
        <v>617</v>
      </c>
      <c r="G640" s="141" t="s">
        <v>1656</v>
      </c>
      <c r="H640" s="141" t="s">
        <v>618</v>
      </c>
      <c r="I640" s="141" t="s">
        <v>698</v>
      </c>
      <c r="J640" s="141" t="s">
        <v>1617</v>
      </c>
      <c r="K640" s="141">
        <v>0</v>
      </c>
      <c r="L640" s="143">
        <v>43122</v>
      </c>
      <c r="M640" s="245" t="s">
        <v>632</v>
      </c>
    </row>
    <row r="641" spans="1:13" s="141" customFormat="1">
      <c r="A641" s="141">
        <v>122495020</v>
      </c>
      <c r="B641" s="141" t="e">
        <v>#N/A</v>
      </c>
      <c r="C641" s="141" t="e">
        <f>VLOOKUP(A641,'DS Tenanted units'!A:A,1,FALSE)</f>
        <v>#N/A</v>
      </c>
      <c r="D641" s="141" t="s">
        <v>1657</v>
      </c>
      <c r="E641" s="141" t="s">
        <v>617</v>
      </c>
      <c r="G641" s="141" t="s">
        <v>1658</v>
      </c>
      <c r="H641" s="141" t="s">
        <v>618</v>
      </c>
      <c r="I641" s="141" t="s">
        <v>698</v>
      </c>
      <c r="J641" s="141" t="s">
        <v>1617</v>
      </c>
      <c r="K641" s="141">
        <v>0</v>
      </c>
      <c r="L641" s="143">
        <v>43122</v>
      </c>
      <c r="M641" s="245" t="s">
        <v>632</v>
      </c>
    </row>
    <row r="642" spans="1:13" s="141" customFormat="1">
      <c r="A642" s="141">
        <v>122495022</v>
      </c>
      <c r="B642" s="141" t="e">
        <v>#N/A</v>
      </c>
      <c r="C642" s="141" t="e">
        <f>VLOOKUP(A642,'DS Tenanted units'!A:A,1,FALSE)</f>
        <v>#N/A</v>
      </c>
      <c r="D642" s="141" t="s">
        <v>1659</v>
      </c>
      <c r="E642" s="141" t="s">
        <v>617</v>
      </c>
      <c r="G642" s="141" t="s">
        <v>1660</v>
      </c>
      <c r="H642" s="141" t="s">
        <v>618</v>
      </c>
      <c r="I642" s="141" t="s">
        <v>698</v>
      </c>
      <c r="J642" s="141" t="s">
        <v>1617</v>
      </c>
      <c r="K642" s="141">
        <v>0</v>
      </c>
      <c r="L642" s="143">
        <v>43122</v>
      </c>
      <c r="M642" s="245" t="s">
        <v>632</v>
      </c>
    </row>
    <row r="643" spans="1:13" s="141" customFormat="1">
      <c r="A643" s="141">
        <v>122501002</v>
      </c>
      <c r="B643" s="141" t="e">
        <v>#N/A</v>
      </c>
      <c r="C643" s="141" t="e">
        <f>VLOOKUP(A643,'DS Tenanted units'!A:A,1,FALSE)</f>
        <v>#N/A</v>
      </c>
      <c r="D643" s="141" t="s">
        <v>650</v>
      </c>
      <c r="E643" s="141" t="s">
        <v>617</v>
      </c>
      <c r="G643" s="141" t="s">
        <v>1661</v>
      </c>
      <c r="H643" s="141" t="s">
        <v>618</v>
      </c>
      <c r="I643" s="141" t="s">
        <v>698</v>
      </c>
      <c r="J643" s="141" t="s">
        <v>1617</v>
      </c>
      <c r="K643" s="141">
        <v>0</v>
      </c>
      <c r="L643" s="143">
        <v>43122</v>
      </c>
      <c r="M643" s="245" t="s">
        <v>632</v>
      </c>
    </row>
    <row r="644" spans="1:13" ht="27" customHeight="1">
      <c r="K644" s="139"/>
      <c r="L644" s="140"/>
    </row>
    <row r="645" spans="1:13">
      <c r="K645" s="139"/>
      <c r="L645" s="140"/>
    </row>
    <row r="646" spans="1:13" s="29" customFormat="1">
      <c r="A646" s="200" t="s">
        <v>1662</v>
      </c>
      <c r="D646"/>
    </row>
    <row r="647" spans="1:13" s="150" customFormat="1">
      <c r="A647" s="150" t="s">
        <v>752</v>
      </c>
      <c r="B647" s="150" t="s">
        <v>601</v>
      </c>
      <c r="C647" s="150" t="s">
        <v>602</v>
      </c>
      <c r="D647"/>
      <c r="E647" s="150" t="s">
        <v>604</v>
      </c>
      <c r="F647" s="150" t="s">
        <v>605</v>
      </c>
      <c r="G647" s="150" t="s">
        <v>481</v>
      </c>
      <c r="H647" s="150" t="s">
        <v>607</v>
      </c>
      <c r="I647" s="150" t="s">
        <v>14</v>
      </c>
      <c r="J647" s="150" t="s">
        <v>608</v>
      </c>
      <c r="K647" s="150" t="s">
        <v>609</v>
      </c>
      <c r="L647" s="150" t="s">
        <v>610</v>
      </c>
      <c r="M647" s="200" t="s">
        <v>611</v>
      </c>
    </row>
    <row r="648" spans="1:13">
      <c r="A648">
        <v>127139001</v>
      </c>
      <c r="B648" t="e">
        <v>#N/A</v>
      </c>
      <c r="D648" t="s">
        <v>650</v>
      </c>
      <c r="E648" t="s">
        <v>617</v>
      </c>
      <c r="G648" t="s">
        <v>1663</v>
      </c>
      <c r="H648" t="s">
        <v>1664</v>
      </c>
      <c r="I648" t="s">
        <v>698</v>
      </c>
      <c r="J648" t="s">
        <v>1665</v>
      </c>
      <c r="K648">
        <v>0</v>
      </c>
      <c r="L648" s="140">
        <v>45565</v>
      </c>
      <c r="M648" s="29" t="s">
        <v>632</v>
      </c>
    </row>
    <row r="649" spans="1:13">
      <c r="A649">
        <v>418571003</v>
      </c>
      <c r="B649" t="e">
        <v>#N/A</v>
      </c>
      <c r="D649" t="s">
        <v>1666</v>
      </c>
      <c r="E649" t="s">
        <v>624</v>
      </c>
      <c r="F649">
        <v>5300007231</v>
      </c>
      <c r="G649" t="s">
        <v>1667</v>
      </c>
      <c r="H649" t="s">
        <v>1668</v>
      </c>
      <c r="I649" t="s">
        <v>698</v>
      </c>
      <c r="J649" t="s">
        <v>1665</v>
      </c>
      <c r="K649" s="139">
        <v>580620</v>
      </c>
      <c r="L649" s="140">
        <v>45565</v>
      </c>
      <c r="M649" s="29" t="s">
        <v>632</v>
      </c>
    </row>
    <row r="650" spans="1:13">
      <c r="A650">
        <v>418571004</v>
      </c>
      <c r="B650" t="e">
        <v>#N/A</v>
      </c>
      <c r="D650" t="s">
        <v>1669</v>
      </c>
      <c r="E650" t="s">
        <v>624</v>
      </c>
      <c r="F650">
        <v>5300007232</v>
      </c>
      <c r="G650" t="s">
        <v>1670</v>
      </c>
      <c r="H650" t="s">
        <v>1668</v>
      </c>
      <c r="I650" t="s">
        <v>698</v>
      </c>
      <c r="J650" t="s">
        <v>1665</v>
      </c>
      <c r="K650">
        <v>0</v>
      </c>
      <c r="L650" s="140">
        <v>45565</v>
      </c>
      <c r="M650" s="29" t="s">
        <v>632</v>
      </c>
    </row>
    <row r="651" spans="1:13">
      <c r="A651">
        <v>418571005</v>
      </c>
      <c r="B651" t="e">
        <v>#N/A</v>
      </c>
      <c r="D651" t="s">
        <v>1671</v>
      </c>
      <c r="E651" t="s">
        <v>624</v>
      </c>
      <c r="F651">
        <v>5300007233</v>
      </c>
      <c r="G651" t="s">
        <v>1672</v>
      </c>
      <c r="H651" t="s">
        <v>1668</v>
      </c>
      <c r="I651" t="s">
        <v>698</v>
      </c>
      <c r="J651" t="s">
        <v>1665</v>
      </c>
      <c r="K651">
        <v>0</v>
      </c>
      <c r="L651" s="140">
        <v>45565</v>
      </c>
      <c r="M651" s="29" t="s">
        <v>632</v>
      </c>
    </row>
    <row r="652" spans="1:13">
      <c r="A652">
        <v>418571006</v>
      </c>
      <c r="B652" t="e">
        <v>#N/A</v>
      </c>
      <c r="D652" t="s">
        <v>1673</v>
      </c>
      <c r="E652" t="s">
        <v>624</v>
      </c>
      <c r="F652">
        <v>5300007234</v>
      </c>
      <c r="G652" t="s">
        <v>1674</v>
      </c>
      <c r="H652" t="s">
        <v>1668</v>
      </c>
      <c r="I652" t="s">
        <v>698</v>
      </c>
      <c r="J652" t="s">
        <v>1665</v>
      </c>
      <c r="K652">
        <v>0</v>
      </c>
      <c r="L652" s="140">
        <v>45565</v>
      </c>
      <c r="M652" s="29" t="s">
        <v>632</v>
      </c>
    </row>
    <row r="653" spans="1:13">
      <c r="A653">
        <v>418571007</v>
      </c>
      <c r="B653" t="e">
        <v>#N/A</v>
      </c>
      <c r="D653" t="s">
        <v>1675</v>
      </c>
      <c r="E653" t="s">
        <v>624</v>
      </c>
      <c r="F653">
        <v>5300007235</v>
      </c>
      <c r="G653" t="s">
        <v>1676</v>
      </c>
      <c r="H653" t="s">
        <v>1668</v>
      </c>
      <c r="I653" t="s">
        <v>698</v>
      </c>
      <c r="J653" t="s">
        <v>1665</v>
      </c>
      <c r="K653">
        <v>0</v>
      </c>
      <c r="L653" s="140">
        <v>45565</v>
      </c>
      <c r="M653" s="29" t="s">
        <v>632</v>
      </c>
    </row>
    <row r="654" spans="1:13">
      <c r="A654">
        <v>418571008</v>
      </c>
      <c r="B654" t="e">
        <v>#N/A</v>
      </c>
      <c r="D654" t="s">
        <v>1677</v>
      </c>
      <c r="E654" t="s">
        <v>624</v>
      </c>
      <c r="F654">
        <v>5300007236</v>
      </c>
      <c r="G654" t="s">
        <v>1678</v>
      </c>
      <c r="H654" t="s">
        <v>1668</v>
      </c>
      <c r="I654" t="s">
        <v>698</v>
      </c>
      <c r="J654" t="s">
        <v>1665</v>
      </c>
      <c r="K654">
        <v>0</v>
      </c>
      <c r="L654" s="140">
        <v>45565</v>
      </c>
      <c r="M654" s="29" t="s">
        <v>632</v>
      </c>
    </row>
    <row r="655" spans="1:13">
      <c r="A655">
        <v>418571009</v>
      </c>
      <c r="B655" t="e">
        <v>#N/A</v>
      </c>
      <c r="D655" t="s">
        <v>1679</v>
      </c>
      <c r="E655" t="s">
        <v>624</v>
      </c>
      <c r="F655">
        <v>5300007237</v>
      </c>
      <c r="G655" t="s">
        <v>1680</v>
      </c>
      <c r="H655" t="s">
        <v>1668</v>
      </c>
      <c r="I655" t="s">
        <v>698</v>
      </c>
      <c r="J655" t="s">
        <v>1665</v>
      </c>
      <c r="K655">
        <v>0</v>
      </c>
      <c r="L655" s="140">
        <v>45565</v>
      </c>
      <c r="M655" s="29" t="s">
        <v>632</v>
      </c>
    </row>
    <row r="656" spans="1:13">
      <c r="A656">
        <v>418571010</v>
      </c>
      <c r="B656" t="e">
        <v>#N/A</v>
      </c>
      <c r="D656" t="s">
        <v>1681</v>
      </c>
      <c r="E656" t="s">
        <v>624</v>
      </c>
      <c r="F656">
        <v>5300007238</v>
      </c>
      <c r="G656" t="s">
        <v>1682</v>
      </c>
      <c r="H656" t="s">
        <v>1668</v>
      </c>
      <c r="I656" t="s">
        <v>698</v>
      </c>
      <c r="J656" t="s">
        <v>1665</v>
      </c>
      <c r="K656">
        <v>0</v>
      </c>
      <c r="L656" s="140">
        <v>45565</v>
      </c>
      <c r="M656" s="29" t="s">
        <v>632</v>
      </c>
    </row>
    <row r="657" spans="1:13">
      <c r="A657">
        <v>418571011</v>
      </c>
      <c r="B657" t="e">
        <v>#N/A</v>
      </c>
      <c r="D657" t="s">
        <v>1683</v>
      </c>
      <c r="E657" t="s">
        <v>624</v>
      </c>
      <c r="F657">
        <v>5300007239</v>
      </c>
      <c r="G657" t="s">
        <v>1684</v>
      </c>
      <c r="H657" t="s">
        <v>1668</v>
      </c>
      <c r="I657" t="s">
        <v>698</v>
      </c>
      <c r="J657" t="s">
        <v>1665</v>
      </c>
      <c r="K657">
        <v>0</v>
      </c>
      <c r="L657" s="140">
        <v>45565</v>
      </c>
      <c r="M657" s="29" t="s">
        <v>632</v>
      </c>
    </row>
    <row r="658" spans="1:13">
      <c r="A658">
        <v>418571012</v>
      </c>
      <c r="B658" t="e">
        <v>#N/A</v>
      </c>
      <c r="D658" t="s">
        <v>1685</v>
      </c>
      <c r="E658" t="s">
        <v>624</v>
      </c>
      <c r="F658">
        <v>5300007240</v>
      </c>
      <c r="G658" t="s">
        <v>1686</v>
      </c>
      <c r="H658" t="s">
        <v>1668</v>
      </c>
      <c r="I658" t="s">
        <v>698</v>
      </c>
      <c r="J658" t="s">
        <v>1665</v>
      </c>
      <c r="K658">
        <v>0</v>
      </c>
      <c r="L658" s="140">
        <v>45565</v>
      </c>
      <c r="M658" s="29" t="s">
        <v>632</v>
      </c>
    </row>
    <row r="659" spans="1:13">
      <c r="A659">
        <v>418571013</v>
      </c>
      <c r="B659" t="e">
        <v>#N/A</v>
      </c>
      <c r="D659" t="s">
        <v>1687</v>
      </c>
      <c r="E659" t="s">
        <v>624</v>
      </c>
      <c r="F659">
        <v>5300007241</v>
      </c>
      <c r="G659" t="s">
        <v>1688</v>
      </c>
      <c r="H659" t="s">
        <v>1668</v>
      </c>
      <c r="I659" t="s">
        <v>698</v>
      </c>
      <c r="J659" t="s">
        <v>1665</v>
      </c>
      <c r="K659">
        <v>0</v>
      </c>
      <c r="L659" s="140">
        <v>45565</v>
      </c>
      <c r="M659" s="29" t="s">
        <v>632</v>
      </c>
    </row>
    <row r="660" spans="1:13">
      <c r="A660">
        <v>418571014</v>
      </c>
      <c r="B660" t="e">
        <v>#N/A</v>
      </c>
      <c r="D660" t="s">
        <v>1689</v>
      </c>
      <c r="E660" t="s">
        <v>624</v>
      </c>
      <c r="F660">
        <v>5300007242</v>
      </c>
      <c r="G660" t="s">
        <v>1690</v>
      </c>
      <c r="H660" t="s">
        <v>1668</v>
      </c>
      <c r="I660" t="s">
        <v>698</v>
      </c>
      <c r="J660" t="s">
        <v>1665</v>
      </c>
      <c r="K660">
        <v>0</v>
      </c>
      <c r="L660" s="140">
        <v>45565</v>
      </c>
      <c r="M660" s="29" t="s">
        <v>632</v>
      </c>
    </row>
    <row r="661" spans="1:13">
      <c r="A661">
        <v>418571015</v>
      </c>
      <c r="B661" t="e">
        <v>#N/A</v>
      </c>
      <c r="D661" t="s">
        <v>1691</v>
      </c>
      <c r="E661" t="s">
        <v>624</v>
      </c>
      <c r="F661">
        <v>5300007243</v>
      </c>
      <c r="G661" t="s">
        <v>1692</v>
      </c>
      <c r="H661" t="s">
        <v>1668</v>
      </c>
      <c r="I661" t="s">
        <v>698</v>
      </c>
      <c r="J661" t="s">
        <v>1665</v>
      </c>
      <c r="K661">
        <v>0</v>
      </c>
      <c r="L661" s="140">
        <v>45565</v>
      </c>
      <c r="M661" s="29" t="s">
        <v>632</v>
      </c>
    </row>
    <row r="662" spans="1:13">
      <c r="A662">
        <v>418571016</v>
      </c>
      <c r="B662" t="e">
        <v>#N/A</v>
      </c>
      <c r="D662" t="s">
        <v>1693</v>
      </c>
      <c r="E662" t="s">
        <v>624</v>
      </c>
      <c r="F662">
        <v>5300007244</v>
      </c>
      <c r="G662" t="s">
        <v>1694</v>
      </c>
      <c r="H662" t="s">
        <v>1668</v>
      </c>
      <c r="I662" t="s">
        <v>698</v>
      </c>
      <c r="J662" t="s">
        <v>1665</v>
      </c>
      <c r="K662">
        <v>0</v>
      </c>
      <c r="L662" s="140">
        <v>45565</v>
      </c>
      <c r="M662" s="29" t="s">
        <v>632</v>
      </c>
    </row>
    <row r="663" spans="1:13">
      <c r="A663">
        <v>418571017</v>
      </c>
      <c r="B663" t="e">
        <v>#N/A</v>
      </c>
      <c r="D663" t="s">
        <v>1695</v>
      </c>
      <c r="E663" t="s">
        <v>624</v>
      </c>
      <c r="F663">
        <v>10094608587</v>
      </c>
      <c r="G663" t="s">
        <v>1696</v>
      </c>
      <c r="H663" t="s">
        <v>1668</v>
      </c>
      <c r="I663" t="s">
        <v>698</v>
      </c>
      <c r="J663" t="s">
        <v>1665</v>
      </c>
      <c r="K663">
        <v>0</v>
      </c>
      <c r="L663" s="140">
        <v>45565</v>
      </c>
      <c r="M663" s="29" t="s">
        <v>632</v>
      </c>
    </row>
    <row r="664" spans="1:13">
      <c r="A664">
        <v>418571018</v>
      </c>
      <c r="B664" t="e">
        <v>#N/A</v>
      </c>
      <c r="D664" t="s">
        <v>1697</v>
      </c>
      <c r="E664" t="s">
        <v>624</v>
      </c>
      <c r="F664">
        <v>10094608588</v>
      </c>
      <c r="G664" t="s">
        <v>1698</v>
      </c>
      <c r="H664" t="s">
        <v>1668</v>
      </c>
      <c r="I664" t="s">
        <v>698</v>
      </c>
      <c r="J664" t="s">
        <v>1665</v>
      </c>
      <c r="K664">
        <v>0</v>
      </c>
      <c r="L664" s="140">
        <v>45565</v>
      </c>
      <c r="M664" s="29" t="s">
        <v>632</v>
      </c>
    </row>
    <row r="665" spans="1:13">
      <c r="A665">
        <v>418572004</v>
      </c>
      <c r="B665" t="e">
        <v>#N/A</v>
      </c>
      <c r="D665" t="s">
        <v>1699</v>
      </c>
      <c r="E665" t="s">
        <v>624</v>
      </c>
      <c r="F665">
        <v>10001298768</v>
      </c>
      <c r="G665" t="s">
        <v>1700</v>
      </c>
      <c r="H665" t="s">
        <v>1668</v>
      </c>
      <c r="I665" t="s">
        <v>698</v>
      </c>
      <c r="J665" t="s">
        <v>1665</v>
      </c>
      <c r="K665" s="139">
        <v>393120</v>
      </c>
      <c r="L665" s="140">
        <v>45565</v>
      </c>
      <c r="M665" s="29" t="s">
        <v>632</v>
      </c>
    </row>
    <row r="666" spans="1:13">
      <c r="A666">
        <v>418572005</v>
      </c>
      <c r="B666" t="e">
        <v>#N/A</v>
      </c>
      <c r="D666" t="s">
        <v>1701</v>
      </c>
      <c r="E666" t="s">
        <v>624</v>
      </c>
      <c r="F666">
        <v>10001298769</v>
      </c>
      <c r="G666" t="s">
        <v>1702</v>
      </c>
      <c r="H666" t="s">
        <v>1668</v>
      </c>
      <c r="I666" t="s">
        <v>698</v>
      </c>
      <c r="J666" t="s">
        <v>1665</v>
      </c>
      <c r="K666">
        <v>0</v>
      </c>
      <c r="L666" s="140">
        <v>45565</v>
      </c>
      <c r="M666" s="29" t="s">
        <v>632</v>
      </c>
    </row>
    <row r="667" spans="1:13">
      <c r="A667">
        <v>418572006</v>
      </c>
      <c r="B667" t="e">
        <v>#N/A</v>
      </c>
      <c r="D667" t="s">
        <v>1703</v>
      </c>
      <c r="E667" t="s">
        <v>624</v>
      </c>
      <c r="F667">
        <v>10001298770</v>
      </c>
      <c r="G667" t="s">
        <v>1704</v>
      </c>
      <c r="H667" t="s">
        <v>1668</v>
      </c>
      <c r="I667" t="s">
        <v>698</v>
      </c>
      <c r="J667" t="s">
        <v>1665</v>
      </c>
      <c r="K667">
        <v>0</v>
      </c>
      <c r="L667" s="140">
        <v>45565</v>
      </c>
      <c r="M667" s="29" t="s">
        <v>632</v>
      </c>
    </row>
    <row r="668" spans="1:13">
      <c r="A668">
        <v>418572007</v>
      </c>
      <c r="B668" t="e">
        <v>#N/A</v>
      </c>
      <c r="D668" t="s">
        <v>1705</v>
      </c>
      <c r="E668" t="s">
        <v>624</v>
      </c>
      <c r="F668">
        <v>10001298771</v>
      </c>
      <c r="G668" t="s">
        <v>1706</v>
      </c>
      <c r="H668" t="s">
        <v>1668</v>
      </c>
      <c r="I668" t="s">
        <v>698</v>
      </c>
      <c r="J668" t="s">
        <v>1665</v>
      </c>
      <c r="K668">
        <v>0</v>
      </c>
      <c r="L668" s="140">
        <v>45565</v>
      </c>
      <c r="M668" s="29" t="s">
        <v>632</v>
      </c>
    </row>
    <row r="669" spans="1:13">
      <c r="A669">
        <v>418572008</v>
      </c>
      <c r="B669" t="e">
        <v>#N/A</v>
      </c>
      <c r="D669" t="s">
        <v>1707</v>
      </c>
      <c r="E669" t="s">
        <v>624</v>
      </c>
      <c r="F669">
        <v>10001298772</v>
      </c>
      <c r="G669" t="s">
        <v>1708</v>
      </c>
      <c r="H669" t="s">
        <v>1668</v>
      </c>
      <c r="I669" t="s">
        <v>698</v>
      </c>
      <c r="J669" t="s">
        <v>1665</v>
      </c>
      <c r="K669">
        <v>0</v>
      </c>
      <c r="L669" s="140">
        <v>45565</v>
      </c>
      <c r="M669" s="29" t="s">
        <v>632</v>
      </c>
    </row>
    <row r="670" spans="1:13">
      <c r="A670">
        <v>418572009</v>
      </c>
      <c r="B670" t="e">
        <v>#N/A</v>
      </c>
      <c r="D670" t="s">
        <v>1709</v>
      </c>
      <c r="E670" t="s">
        <v>624</v>
      </c>
      <c r="F670">
        <v>10001298773</v>
      </c>
      <c r="G670" t="s">
        <v>1710</v>
      </c>
      <c r="H670" t="s">
        <v>1668</v>
      </c>
      <c r="I670" t="s">
        <v>698</v>
      </c>
      <c r="J670" t="s">
        <v>1665</v>
      </c>
      <c r="K670">
        <v>0</v>
      </c>
      <c r="L670" s="140">
        <v>45565</v>
      </c>
      <c r="M670" s="29" t="s">
        <v>632</v>
      </c>
    </row>
    <row r="671" spans="1:13">
      <c r="A671">
        <v>418572010</v>
      </c>
      <c r="B671" t="e">
        <v>#N/A</v>
      </c>
      <c r="D671" t="s">
        <v>1711</v>
      </c>
      <c r="E671" t="s">
        <v>624</v>
      </c>
      <c r="F671">
        <v>10001298774</v>
      </c>
      <c r="G671" t="s">
        <v>1712</v>
      </c>
      <c r="H671" t="s">
        <v>1668</v>
      </c>
      <c r="I671" t="s">
        <v>698</v>
      </c>
      <c r="J671" t="s">
        <v>1665</v>
      </c>
      <c r="K671">
        <v>0</v>
      </c>
      <c r="L671" s="140">
        <v>45565</v>
      </c>
      <c r="M671" s="29" t="s">
        <v>632</v>
      </c>
    </row>
    <row r="672" spans="1:13">
      <c r="A672">
        <v>418572011</v>
      </c>
      <c r="B672" t="e">
        <v>#N/A</v>
      </c>
      <c r="D672" t="s">
        <v>1713</v>
      </c>
      <c r="E672" t="s">
        <v>624</v>
      </c>
      <c r="F672">
        <v>10001298775</v>
      </c>
      <c r="G672" t="s">
        <v>1714</v>
      </c>
      <c r="H672" t="s">
        <v>1668</v>
      </c>
      <c r="I672" t="s">
        <v>698</v>
      </c>
      <c r="J672" t="s">
        <v>1665</v>
      </c>
      <c r="K672">
        <v>0</v>
      </c>
      <c r="L672" s="140">
        <v>45565</v>
      </c>
      <c r="M672" s="29" t="s">
        <v>632</v>
      </c>
    </row>
    <row r="673" spans="1:13">
      <c r="A673">
        <v>418572012</v>
      </c>
      <c r="B673" t="e">
        <v>#N/A</v>
      </c>
      <c r="D673" t="s">
        <v>1715</v>
      </c>
      <c r="E673" t="s">
        <v>624</v>
      </c>
      <c r="F673">
        <v>10001298776</v>
      </c>
      <c r="G673" t="s">
        <v>1716</v>
      </c>
      <c r="H673" t="s">
        <v>1668</v>
      </c>
      <c r="I673" t="s">
        <v>698</v>
      </c>
      <c r="J673" t="s">
        <v>1665</v>
      </c>
      <c r="K673">
        <v>0</v>
      </c>
      <c r="L673" s="140">
        <v>45565</v>
      </c>
      <c r="M673" s="29" t="s">
        <v>632</v>
      </c>
    </row>
    <row r="674" spans="1:13">
      <c r="A674">
        <v>418572013</v>
      </c>
      <c r="B674" t="e">
        <v>#N/A</v>
      </c>
      <c r="D674" t="s">
        <v>1717</v>
      </c>
      <c r="E674" t="s">
        <v>624</v>
      </c>
      <c r="F674">
        <v>10001298777</v>
      </c>
      <c r="G674" t="s">
        <v>1718</v>
      </c>
      <c r="H674" t="s">
        <v>1668</v>
      </c>
      <c r="I674" t="s">
        <v>698</v>
      </c>
      <c r="J674" t="s">
        <v>1665</v>
      </c>
      <c r="K674">
        <v>0</v>
      </c>
      <c r="L674" s="140">
        <v>45565</v>
      </c>
      <c r="M674" s="29" t="s">
        <v>632</v>
      </c>
    </row>
    <row r="675" spans="1:13">
      <c r="A675">
        <v>418572014</v>
      </c>
      <c r="B675" t="e">
        <v>#N/A</v>
      </c>
      <c r="D675" t="s">
        <v>1719</v>
      </c>
      <c r="E675" t="s">
        <v>624</v>
      </c>
      <c r="F675">
        <v>10001298778</v>
      </c>
      <c r="G675" t="s">
        <v>1720</v>
      </c>
      <c r="H675" t="s">
        <v>1668</v>
      </c>
      <c r="I675" t="s">
        <v>698</v>
      </c>
      <c r="J675" t="s">
        <v>1665</v>
      </c>
      <c r="K675">
        <v>0</v>
      </c>
      <c r="L675" s="140">
        <v>45565</v>
      </c>
      <c r="M675" s="29" t="s">
        <v>632</v>
      </c>
    </row>
    <row r="676" spans="1:13">
      <c r="A676">
        <v>418572015</v>
      </c>
      <c r="B676" t="e">
        <v>#N/A</v>
      </c>
      <c r="D676" t="s">
        <v>1721</v>
      </c>
      <c r="E676" t="s">
        <v>624</v>
      </c>
      <c r="F676">
        <v>10001298779</v>
      </c>
      <c r="G676" t="s">
        <v>1722</v>
      </c>
      <c r="H676" t="s">
        <v>1668</v>
      </c>
      <c r="I676" t="s">
        <v>698</v>
      </c>
      <c r="J676" t="s">
        <v>1665</v>
      </c>
      <c r="K676">
        <v>0</v>
      </c>
      <c r="L676" s="140">
        <v>45565</v>
      </c>
      <c r="M676" s="29" t="s">
        <v>632</v>
      </c>
    </row>
    <row r="677" spans="1:13">
      <c r="A677">
        <v>418572016</v>
      </c>
      <c r="B677" t="e">
        <v>#N/A</v>
      </c>
      <c r="D677" t="s">
        <v>1723</v>
      </c>
      <c r="E677" t="s">
        <v>624</v>
      </c>
      <c r="F677">
        <v>10001298780</v>
      </c>
      <c r="G677" t="s">
        <v>1724</v>
      </c>
      <c r="H677" t="s">
        <v>1668</v>
      </c>
      <c r="I677" t="s">
        <v>698</v>
      </c>
      <c r="J677" t="s">
        <v>1665</v>
      </c>
      <c r="K677">
        <v>0</v>
      </c>
      <c r="L677" s="140">
        <v>45565</v>
      </c>
      <c r="M677" s="29" t="s">
        <v>632</v>
      </c>
    </row>
    <row r="678" spans="1:13">
      <c r="A678">
        <v>418572017</v>
      </c>
      <c r="B678" t="e">
        <v>#N/A</v>
      </c>
      <c r="D678" t="s">
        <v>1725</v>
      </c>
      <c r="E678" t="s">
        <v>624</v>
      </c>
      <c r="F678">
        <v>10001298781</v>
      </c>
      <c r="G678" t="s">
        <v>1726</v>
      </c>
      <c r="H678" t="s">
        <v>1668</v>
      </c>
      <c r="I678" t="s">
        <v>698</v>
      </c>
      <c r="J678" t="s">
        <v>1665</v>
      </c>
      <c r="K678">
        <v>0</v>
      </c>
      <c r="L678" s="140">
        <v>45565</v>
      </c>
      <c r="M678" s="29" t="s">
        <v>632</v>
      </c>
    </row>
    <row r="679" spans="1:13">
      <c r="A679">
        <v>418572018</v>
      </c>
      <c r="B679" t="e">
        <v>#N/A</v>
      </c>
      <c r="D679" t="s">
        <v>1727</v>
      </c>
      <c r="E679" t="s">
        <v>624</v>
      </c>
      <c r="F679">
        <v>10001298782</v>
      </c>
      <c r="G679" t="s">
        <v>1728</v>
      </c>
      <c r="H679" t="s">
        <v>1668</v>
      </c>
      <c r="I679" t="s">
        <v>698</v>
      </c>
      <c r="J679" t="s">
        <v>1665</v>
      </c>
      <c r="K679">
        <v>0</v>
      </c>
      <c r="L679" s="140">
        <v>45565</v>
      </c>
      <c r="M679" s="29" t="s">
        <v>632</v>
      </c>
    </row>
    <row r="680" spans="1:13">
      <c r="A680">
        <v>418572019</v>
      </c>
      <c r="B680" t="e">
        <v>#N/A</v>
      </c>
      <c r="D680" t="s">
        <v>1729</v>
      </c>
      <c r="E680" t="s">
        <v>624</v>
      </c>
      <c r="F680">
        <v>10001298783</v>
      </c>
      <c r="G680" t="s">
        <v>1730</v>
      </c>
      <c r="H680" t="s">
        <v>1668</v>
      </c>
      <c r="I680" t="s">
        <v>698</v>
      </c>
      <c r="J680" t="s">
        <v>1665</v>
      </c>
      <c r="K680">
        <v>0</v>
      </c>
      <c r="L680" s="140">
        <v>45565</v>
      </c>
      <c r="M680" s="29" t="s">
        <v>632</v>
      </c>
    </row>
    <row r="681" spans="1:13">
      <c r="A681">
        <v>418572020</v>
      </c>
      <c r="B681" t="e">
        <v>#N/A</v>
      </c>
      <c r="D681" t="s">
        <v>1731</v>
      </c>
      <c r="E681" t="s">
        <v>624</v>
      </c>
      <c r="F681">
        <v>10001298786</v>
      </c>
      <c r="G681" t="s">
        <v>1732</v>
      </c>
      <c r="H681" t="s">
        <v>1668</v>
      </c>
      <c r="I681" t="s">
        <v>698</v>
      </c>
      <c r="J681" t="s">
        <v>1665</v>
      </c>
      <c r="K681" s="139">
        <v>403800</v>
      </c>
      <c r="L681" s="140">
        <v>45565</v>
      </c>
      <c r="M681" s="29" t="s">
        <v>632</v>
      </c>
    </row>
    <row r="682" spans="1:13">
      <c r="A682">
        <v>418572021</v>
      </c>
      <c r="B682" t="e">
        <v>#N/A</v>
      </c>
      <c r="D682" t="s">
        <v>1733</v>
      </c>
      <c r="E682" t="s">
        <v>624</v>
      </c>
      <c r="F682">
        <v>10001298787</v>
      </c>
      <c r="G682" t="s">
        <v>1734</v>
      </c>
      <c r="H682" t="s">
        <v>1668</v>
      </c>
      <c r="I682" t="s">
        <v>698</v>
      </c>
      <c r="J682" t="s">
        <v>1665</v>
      </c>
      <c r="K682">
        <v>0</v>
      </c>
      <c r="L682" s="140">
        <v>45565</v>
      </c>
      <c r="M682" s="29" t="s">
        <v>632</v>
      </c>
    </row>
    <row r="683" spans="1:13">
      <c r="A683">
        <v>418572022</v>
      </c>
      <c r="B683" t="e">
        <v>#N/A</v>
      </c>
      <c r="D683" t="s">
        <v>1735</v>
      </c>
      <c r="E683" t="s">
        <v>624</v>
      </c>
      <c r="F683">
        <v>10001298788</v>
      </c>
      <c r="G683" t="s">
        <v>1736</v>
      </c>
      <c r="H683" t="s">
        <v>1668</v>
      </c>
      <c r="I683" t="s">
        <v>698</v>
      </c>
      <c r="J683" t="s">
        <v>1665</v>
      </c>
      <c r="K683">
        <v>0</v>
      </c>
      <c r="L683" s="140">
        <v>45565</v>
      </c>
      <c r="M683" s="29" t="s">
        <v>632</v>
      </c>
    </row>
    <row r="684" spans="1:13">
      <c r="A684">
        <v>418572023</v>
      </c>
      <c r="B684" t="e">
        <v>#N/A</v>
      </c>
      <c r="D684" t="s">
        <v>1737</v>
      </c>
      <c r="E684" t="s">
        <v>624</v>
      </c>
      <c r="F684">
        <v>10001298789</v>
      </c>
      <c r="G684" t="s">
        <v>1738</v>
      </c>
      <c r="H684" t="s">
        <v>1668</v>
      </c>
      <c r="I684" t="s">
        <v>698</v>
      </c>
      <c r="J684" t="s">
        <v>1665</v>
      </c>
      <c r="K684">
        <v>0</v>
      </c>
      <c r="L684" s="140">
        <v>45565</v>
      </c>
      <c r="M684" s="29" t="s">
        <v>632</v>
      </c>
    </row>
    <row r="685" spans="1:13">
      <c r="A685">
        <v>418572024</v>
      </c>
      <c r="B685" t="e">
        <v>#N/A</v>
      </c>
      <c r="D685" t="s">
        <v>1739</v>
      </c>
      <c r="E685" t="s">
        <v>624</v>
      </c>
      <c r="F685">
        <v>10001298790</v>
      </c>
      <c r="G685" t="s">
        <v>1740</v>
      </c>
      <c r="H685" t="s">
        <v>1668</v>
      </c>
      <c r="I685" t="s">
        <v>698</v>
      </c>
      <c r="J685" t="s">
        <v>1665</v>
      </c>
      <c r="K685">
        <v>0</v>
      </c>
      <c r="L685" s="140">
        <v>45565</v>
      </c>
      <c r="M685" s="29" t="s">
        <v>632</v>
      </c>
    </row>
    <row r="686" spans="1:13">
      <c r="A686">
        <v>418572025</v>
      </c>
      <c r="B686" t="e">
        <v>#N/A</v>
      </c>
      <c r="D686" t="s">
        <v>1741</v>
      </c>
      <c r="E686" t="s">
        <v>624</v>
      </c>
      <c r="F686">
        <v>10001298791</v>
      </c>
      <c r="G686" t="s">
        <v>1742</v>
      </c>
      <c r="H686" t="s">
        <v>1668</v>
      </c>
      <c r="I686" t="s">
        <v>698</v>
      </c>
      <c r="J686" t="s">
        <v>1665</v>
      </c>
      <c r="K686">
        <v>0</v>
      </c>
      <c r="L686" s="140">
        <v>45565</v>
      </c>
      <c r="M686" s="29" t="s">
        <v>632</v>
      </c>
    </row>
    <row r="687" spans="1:13">
      <c r="A687">
        <v>418572026</v>
      </c>
      <c r="B687" t="e">
        <v>#N/A</v>
      </c>
      <c r="D687" t="s">
        <v>1743</v>
      </c>
      <c r="E687" t="s">
        <v>624</v>
      </c>
      <c r="F687">
        <v>10001298792</v>
      </c>
      <c r="G687" t="s">
        <v>1744</v>
      </c>
      <c r="H687" t="s">
        <v>1668</v>
      </c>
      <c r="I687" t="s">
        <v>698</v>
      </c>
      <c r="J687" t="s">
        <v>1665</v>
      </c>
      <c r="K687">
        <v>0</v>
      </c>
      <c r="L687" s="140">
        <v>45565</v>
      </c>
      <c r="M687" s="29" t="s">
        <v>632</v>
      </c>
    </row>
    <row r="688" spans="1:13">
      <c r="A688">
        <v>418572027</v>
      </c>
      <c r="B688" t="e">
        <v>#N/A</v>
      </c>
      <c r="D688" t="s">
        <v>1745</v>
      </c>
      <c r="E688" t="s">
        <v>624</v>
      </c>
      <c r="F688">
        <v>10001298793</v>
      </c>
      <c r="G688" t="s">
        <v>1746</v>
      </c>
      <c r="H688" t="s">
        <v>1668</v>
      </c>
      <c r="I688" t="s">
        <v>698</v>
      </c>
      <c r="J688" t="s">
        <v>1665</v>
      </c>
      <c r="K688">
        <v>0</v>
      </c>
      <c r="L688" s="140">
        <v>45565</v>
      </c>
      <c r="M688" s="29" t="s">
        <v>632</v>
      </c>
    </row>
    <row r="689" spans="1:13">
      <c r="A689">
        <v>418572028</v>
      </c>
      <c r="B689" t="e">
        <v>#N/A</v>
      </c>
      <c r="D689" t="s">
        <v>1747</v>
      </c>
      <c r="E689" t="s">
        <v>624</v>
      </c>
      <c r="F689">
        <v>10001298794</v>
      </c>
      <c r="G689" t="s">
        <v>1748</v>
      </c>
      <c r="H689" t="s">
        <v>1668</v>
      </c>
      <c r="I689" t="s">
        <v>698</v>
      </c>
      <c r="J689" t="s">
        <v>1665</v>
      </c>
      <c r="K689">
        <v>0</v>
      </c>
      <c r="L689" s="140">
        <v>45565</v>
      </c>
      <c r="M689" s="29" t="s">
        <v>632</v>
      </c>
    </row>
    <row r="690" spans="1:13">
      <c r="A690">
        <v>418572029</v>
      </c>
      <c r="B690" t="e">
        <v>#N/A</v>
      </c>
      <c r="D690" t="s">
        <v>1749</v>
      </c>
      <c r="E690" t="s">
        <v>624</v>
      </c>
      <c r="F690">
        <v>10001298795</v>
      </c>
      <c r="G690" t="s">
        <v>1750</v>
      </c>
      <c r="H690" t="s">
        <v>1668</v>
      </c>
      <c r="I690" t="s">
        <v>698</v>
      </c>
      <c r="J690" t="s">
        <v>1665</v>
      </c>
      <c r="K690">
        <v>0</v>
      </c>
      <c r="L690" s="140">
        <v>45565</v>
      </c>
      <c r="M690" s="29" t="s">
        <v>632</v>
      </c>
    </row>
    <row r="691" spans="1:13">
      <c r="A691">
        <v>418572030</v>
      </c>
      <c r="B691" t="e">
        <v>#N/A</v>
      </c>
      <c r="D691" t="s">
        <v>1751</v>
      </c>
      <c r="E691" t="s">
        <v>624</v>
      </c>
      <c r="F691">
        <v>10001298796</v>
      </c>
      <c r="G691" t="s">
        <v>1752</v>
      </c>
      <c r="H691" t="s">
        <v>1668</v>
      </c>
      <c r="I691" t="s">
        <v>698</v>
      </c>
      <c r="J691" t="s">
        <v>1665</v>
      </c>
      <c r="K691">
        <v>0</v>
      </c>
      <c r="L691" s="140">
        <v>45565</v>
      </c>
      <c r="M691" s="29" t="s">
        <v>632</v>
      </c>
    </row>
    <row r="692" spans="1:13">
      <c r="A692">
        <v>418572031</v>
      </c>
      <c r="B692" t="e">
        <v>#N/A</v>
      </c>
      <c r="D692" t="s">
        <v>1753</v>
      </c>
      <c r="E692" t="s">
        <v>624</v>
      </c>
      <c r="F692">
        <v>10001298797</v>
      </c>
      <c r="G692" t="s">
        <v>1754</v>
      </c>
      <c r="H692" t="s">
        <v>1668</v>
      </c>
      <c r="I692" t="s">
        <v>698</v>
      </c>
      <c r="J692" t="s">
        <v>1665</v>
      </c>
      <c r="K692">
        <v>0</v>
      </c>
      <c r="L692" s="140">
        <v>45565</v>
      </c>
      <c r="M692" s="29" t="s">
        <v>632</v>
      </c>
    </row>
    <row r="693" spans="1:13">
      <c r="A693">
        <v>418572032</v>
      </c>
      <c r="B693" t="e">
        <v>#N/A</v>
      </c>
      <c r="D693" t="s">
        <v>1755</v>
      </c>
      <c r="E693" t="s">
        <v>624</v>
      </c>
      <c r="F693">
        <v>10001298798</v>
      </c>
      <c r="G693" t="s">
        <v>1756</v>
      </c>
      <c r="H693" t="s">
        <v>1668</v>
      </c>
      <c r="I693" t="s">
        <v>698</v>
      </c>
      <c r="J693" t="s">
        <v>1665</v>
      </c>
      <c r="K693">
        <v>0</v>
      </c>
      <c r="L693" s="140">
        <v>45565</v>
      </c>
      <c r="M693" s="29" t="s">
        <v>632</v>
      </c>
    </row>
    <row r="694" spans="1:13">
      <c r="A694">
        <v>418572033</v>
      </c>
      <c r="B694" t="e">
        <v>#N/A</v>
      </c>
      <c r="D694" t="s">
        <v>1757</v>
      </c>
      <c r="E694" t="s">
        <v>624</v>
      </c>
      <c r="F694">
        <v>10001298799</v>
      </c>
      <c r="G694" t="s">
        <v>1758</v>
      </c>
      <c r="H694" t="s">
        <v>1668</v>
      </c>
      <c r="I694" t="s">
        <v>698</v>
      </c>
      <c r="J694" t="s">
        <v>1665</v>
      </c>
      <c r="K694">
        <v>0</v>
      </c>
      <c r="L694" s="140">
        <v>45565</v>
      </c>
      <c r="M694" s="29" t="s">
        <v>632</v>
      </c>
    </row>
    <row r="695" spans="1:13">
      <c r="A695">
        <v>418572034</v>
      </c>
      <c r="B695" t="e">
        <v>#N/A</v>
      </c>
      <c r="D695" t="s">
        <v>1759</v>
      </c>
      <c r="E695" t="s">
        <v>624</v>
      </c>
      <c r="F695">
        <v>10001298800</v>
      </c>
      <c r="G695" t="s">
        <v>1760</v>
      </c>
      <c r="H695" t="s">
        <v>1668</v>
      </c>
      <c r="I695" t="s">
        <v>698</v>
      </c>
      <c r="J695" t="s">
        <v>1665</v>
      </c>
      <c r="K695">
        <v>0</v>
      </c>
      <c r="L695" s="140">
        <v>45565</v>
      </c>
      <c r="M695" s="29" t="s">
        <v>632</v>
      </c>
    </row>
    <row r="696" spans="1:13">
      <c r="A696">
        <v>418572035</v>
      </c>
      <c r="B696" t="e">
        <v>#N/A</v>
      </c>
      <c r="D696" t="s">
        <v>1761</v>
      </c>
      <c r="E696" t="s">
        <v>624</v>
      </c>
      <c r="F696">
        <v>10001298801</v>
      </c>
      <c r="G696" t="s">
        <v>1762</v>
      </c>
      <c r="H696" t="s">
        <v>1668</v>
      </c>
      <c r="I696" t="s">
        <v>698</v>
      </c>
      <c r="J696" t="s">
        <v>1665</v>
      </c>
      <c r="K696">
        <v>0</v>
      </c>
      <c r="L696" s="140">
        <v>45565</v>
      </c>
      <c r="M696" s="29" t="s">
        <v>632</v>
      </c>
    </row>
    <row r="697" spans="1:13">
      <c r="A697">
        <v>418572036</v>
      </c>
      <c r="B697" t="e">
        <v>#N/A</v>
      </c>
      <c r="D697" t="s">
        <v>1763</v>
      </c>
      <c r="E697" t="s">
        <v>624</v>
      </c>
      <c r="F697">
        <v>10001298803</v>
      </c>
      <c r="G697" t="s">
        <v>1764</v>
      </c>
      <c r="H697" t="s">
        <v>1668</v>
      </c>
      <c r="I697" t="s">
        <v>698</v>
      </c>
      <c r="J697" t="s">
        <v>1665</v>
      </c>
      <c r="K697" s="139">
        <v>903240</v>
      </c>
      <c r="L697" s="140">
        <v>45565</v>
      </c>
      <c r="M697" s="29" t="s">
        <v>632</v>
      </c>
    </row>
    <row r="698" spans="1:13">
      <c r="A698">
        <v>418572037</v>
      </c>
      <c r="B698" t="e">
        <v>#N/A</v>
      </c>
      <c r="D698" t="s">
        <v>1765</v>
      </c>
      <c r="E698" t="s">
        <v>624</v>
      </c>
      <c r="F698">
        <v>10001298804</v>
      </c>
      <c r="G698" t="s">
        <v>1766</v>
      </c>
      <c r="H698" t="s">
        <v>1668</v>
      </c>
      <c r="I698" t="s">
        <v>698</v>
      </c>
      <c r="J698" t="s">
        <v>1665</v>
      </c>
      <c r="K698">
        <v>0</v>
      </c>
      <c r="L698" s="140">
        <v>45565</v>
      </c>
      <c r="M698" s="29" t="s">
        <v>632</v>
      </c>
    </row>
    <row r="699" spans="1:13">
      <c r="A699">
        <v>418572038</v>
      </c>
      <c r="B699" t="e">
        <v>#N/A</v>
      </c>
      <c r="D699" t="s">
        <v>1767</v>
      </c>
      <c r="E699" t="s">
        <v>624</v>
      </c>
      <c r="F699">
        <v>10001298805</v>
      </c>
      <c r="G699" t="s">
        <v>1768</v>
      </c>
      <c r="H699" t="s">
        <v>1668</v>
      </c>
      <c r="I699" t="s">
        <v>698</v>
      </c>
      <c r="J699" t="s">
        <v>1665</v>
      </c>
      <c r="K699">
        <v>0</v>
      </c>
      <c r="L699" s="140">
        <v>45565</v>
      </c>
      <c r="M699" s="29" t="s">
        <v>632</v>
      </c>
    </row>
    <row r="700" spans="1:13">
      <c r="A700">
        <v>418572039</v>
      </c>
      <c r="B700" t="e">
        <v>#N/A</v>
      </c>
      <c r="D700" t="s">
        <v>1769</v>
      </c>
      <c r="E700" t="s">
        <v>624</v>
      </c>
      <c r="F700">
        <v>10001298806</v>
      </c>
      <c r="G700" t="s">
        <v>1770</v>
      </c>
      <c r="H700" t="s">
        <v>1668</v>
      </c>
      <c r="I700" t="s">
        <v>698</v>
      </c>
      <c r="J700" t="s">
        <v>1665</v>
      </c>
      <c r="K700">
        <v>0</v>
      </c>
      <c r="L700" s="140">
        <v>45565</v>
      </c>
      <c r="M700" s="29" t="s">
        <v>632</v>
      </c>
    </row>
    <row r="701" spans="1:13">
      <c r="A701">
        <v>418572040</v>
      </c>
      <c r="B701" t="e">
        <v>#N/A</v>
      </c>
      <c r="D701" t="s">
        <v>1771</v>
      </c>
      <c r="E701" t="s">
        <v>624</v>
      </c>
      <c r="F701">
        <v>10001298807</v>
      </c>
      <c r="G701" t="s">
        <v>1772</v>
      </c>
      <c r="H701" t="s">
        <v>1668</v>
      </c>
      <c r="I701" t="s">
        <v>698</v>
      </c>
      <c r="J701" t="s">
        <v>1665</v>
      </c>
      <c r="K701">
        <v>0</v>
      </c>
      <c r="L701" s="140">
        <v>45565</v>
      </c>
      <c r="M701" s="29" t="s">
        <v>632</v>
      </c>
    </row>
    <row r="702" spans="1:13">
      <c r="A702">
        <v>418572041</v>
      </c>
      <c r="B702" t="e">
        <v>#N/A</v>
      </c>
      <c r="D702" t="s">
        <v>1773</v>
      </c>
      <c r="E702" t="s">
        <v>624</v>
      </c>
      <c r="F702">
        <v>10001298808</v>
      </c>
      <c r="G702" t="s">
        <v>1774</v>
      </c>
      <c r="H702" t="s">
        <v>1668</v>
      </c>
      <c r="I702" t="s">
        <v>698</v>
      </c>
      <c r="J702" t="s">
        <v>1665</v>
      </c>
      <c r="K702">
        <v>0</v>
      </c>
      <c r="L702" s="140">
        <v>45565</v>
      </c>
      <c r="M702" s="29" t="s">
        <v>632</v>
      </c>
    </row>
    <row r="703" spans="1:13">
      <c r="A703">
        <v>418572042</v>
      </c>
      <c r="B703" t="e">
        <v>#N/A</v>
      </c>
      <c r="D703" t="s">
        <v>1775</v>
      </c>
      <c r="E703" t="s">
        <v>624</v>
      </c>
      <c r="F703">
        <v>10001298809</v>
      </c>
      <c r="G703" t="s">
        <v>1776</v>
      </c>
      <c r="H703" t="s">
        <v>1668</v>
      </c>
      <c r="I703" t="s">
        <v>698</v>
      </c>
      <c r="J703" t="s">
        <v>1665</v>
      </c>
      <c r="K703">
        <v>0</v>
      </c>
      <c r="L703" s="140">
        <v>45565</v>
      </c>
      <c r="M703" s="29" t="s">
        <v>632</v>
      </c>
    </row>
    <row r="704" spans="1:13">
      <c r="A704">
        <v>418572043</v>
      </c>
      <c r="B704" t="e">
        <v>#N/A</v>
      </c>
      <c r="D704" t="s">
        <v>1777</v>
      </c>
      <c r="E704" t="s">
        <v>624</v>
      </c>
      <c r="F704">
        <v>10001298810</v>
      </c>
      <c r="G704" t="s">
        <v>1778</v>
      </c>
      <c r="H704" t="s">
        <v>1668</v>
      </c>
      <c r="I704" t="s">
        <v>698</v>
      </c>
      <c r="J704" t="s">
        <v>1665</v>
      </c>
      <c r="K704">
        <v>0</v>
      </c>
      <c r="L704" s="140">
        <v>45565</v>
      </c>
      <c r="M704" s="29" t="s">
        <v>632</v>
      </c>
    </row>
    <row r="705" spans="1:13">
      <c r="A705">
        <v>418572044</v>
      </c>
      <c r="B705" t="e">
        <v>#N/A</v>
      </c>
      <c r="D705" t="s">
        <v>1779</v>
      </c>
      <c r="E705" t="s">
        <v>624</v>
      </c>
      <c r="F705">
        <v>10001298811</v>
      </c>
      <c r="G705" t="s">
        <v>1780</v>
      </c>
      <c r="H705" t="s">
        <v>1668</v>
      </c>
      <c r="I705" t="s">
        <v>698</v>
      </c>
      <c r="J705" t="s">
        <v>1665</v>
      </c>
      <c r="K705">
        <v>0</v>
      </c>
      <c r="L705" s="140">
        <v>45565</v>
      </c>
      <c r="M705" s="29" t="s">
        <v>632</v>
      </c>
    </row>
    <row r="706" spans="1:13">
      <c r="A706">
        <v>418572045</v>
      </c>
      <c r="B706" t="e">
        <v>#N/A</v>
      </c>
      <c r="D706" t="s">
        <v>1781</v>
      </c>
      <c r="E706" t="s">
        <v>624</v>
      </c>
      <c r="F706">
        <v>10001298812</v>
      </c>
      <c r="G706" t="s">
        <v>1782</v>
      </c>
      <c r="H706" t="s">
        <v>1668</v>
      </c>
      <c r="I706" t="s">
        <v>698</v>
      </c>
      <c r="J706" t="s">
        <v>1665</v>
      </c>
      <c r="K706">
        <v>0</v>
      </c>
      <c r="L706" s="140">
        <v>45565</v>
      </c>
      <c r="M706" s="29" t="s">
        <v>632</v>
      </c>
    </row>
    <row r="707" spans="1:13">
      <c r="A707">
        <v>418572046</v>
      </c>
      <c r="B707" t="e">
        <v>#N/A</v>
      </c>
      <c r="D707" t="s">
        <v>1783</v>
      </c>
      <c r="E707" t="s">
        <v>624</v>
      </c>
      <c r="F707">
        <v>10001298813</v>
      </c>
      <c r="G707" t="s">
        <v>1784</v>
      </c>
      <c r="H707" t="s">
        <v>1668</v>
      </c>
      <c r="I707" t="s">
        <v>698</v>
      </c>
      <c r="J707" t="s">
        <v>1665</v>
      </c>
      <c r="K707">
        <v>0</v>
      </c>
      <c r="L707" s="140">
        <v>45565</v>
      </c>
      <c r="M707" s="29" t="s">
        <v>632</v>
      </c>
    </row>
    <row r="708" spans="1:13">
      <c r="A708">
        <v>418572047</v>
      </c>
      <c r="B708" t="e">
        <v>#N/A</v>
      </c>
      <c r="D708" t="s">
        <v>1785</v>
      </c>
      <c r="E708" t="s">
        <v>624</v>
      </c>
      <c r="F708">
        <v>10001298814</v>
      </c>
      <c r="G708" t="s">
        <v>1786</v>
      </c>
      <c r="H708" t="s">
        <v>1668</v>
      </c>
      <c r="I708" t="s">
        <v>698</v>
      </c>
      <c r="J708" t="s">
        <v>1665</v>
      </c>
      <c r="K708">
        <v>0</v>
      </c>
      <c r="L708" s="140">
        <v>45565</v>
      </c>
      <c r="M708" s="29" t="s">
        <v>632</v>
      </c>
    </row>
    <row r="709" spans="1:13">
      <c r="A709">
        <v>418572048</v>
      </c>
      <c r="B709" t="e">
        <v>#N/A</v>
      </c>
      <c r="D709" t="s">
        <v>1787</v>
      </c>
      <c r="E709" t="s">
        <v>624</v>
      </c>
      <c r="F709">
        <v>10001298815</v>
      </c>
      <c r="G709" t="s">
        <v>1788</v>
      </c>
      <c r="H709" t="s">
        <v>1668</v>
      </c>
      <c r="I709" t="s">
        <v>698</v>
      </c>
      <c r="J709" t="s">
        <v>1665</v>
      </c>
      <c r="K709">
        <v>0</v>
      </c>
      <c r="L709" s="140">
        <v>45565</v>
      </c>
      <c r="M709" s="29" t="s">
        <v>632</v>
      </c>
    </row>
    <row r="710" spans="1:13">
      <c r="A710">
        <v>418572049</v>
      </c>
      <c r="B710" t="e">
        <v>#N/A</v>
      </c>
      <c r="D710" t="s">
        <v>1789</v>
      </c>
      <c r="E710" t="s">
        <v>624</v>
      </c>
      <c r="F710">
        <v>10001298816</v>
      </c>
      <c r="G710" t="s">
        <v>1790</v>
      </c>
      <c r="H710" t="s">
        <v>1668</v>
      </c>
      <c r="I710" t="s">
        <v>698</v>
      </c>
      <c r="J710" t="s">
        <v>1665</v>
      </c>
      <c r="K710">
        <v>0</v>
      </c>
      <c r="L710" s="140">
        <v>45565</v>
      </c>
      <c r="M710" s="29" t="s">
        <v>632</v>
      </c>
    </row>
    <row r="711" spans="1:13">
      <c r="A711">
        <v>418572050</v>
      </c>
      <c r="B711" t="e">
        <v>#N/A</v>
      </c>
      <c r="D711" t="s">
        <v>1791</v>
      </c>
      <c r="E711" t="s">
        <v>624</v>
      </c>
      <c r="F711">
        <v>10001298817</v>
      </c>
      <c r="G711" t="s">
        <v>1792</v>
      </c>
      <c r="H711" t="s">
        <v>1668</v>
      </c>
      <c r="I711" t="s">
        <v>698</v>
      </c>
      <c r="J711" t="s">
        <v>1665</v>
      </c>
      <c r="K711">
        <v>0</v>
      </c>
      <c r="L711" s="140">
        <v>45565</v>
      </c>
      <c r="M711" s="29" t="s">
        <v>632</v>
      </c>
    </row>
    <row r="712" spans="1:13">
      <c r="A712">
        <v>418572051</v>
      </c>
      <c r="B712" t="e">
        <v>#N/A</v>
      </c>
      <c r="D712" t="s">
        <v>1793</v>
      </c>
      <c r="E712" t="s">
        <v>624</v>
      </c>
      <c r="F712">
        <v>10001298818</v>
      </c>
      <c r="G712" t="s">
        <v>1794</v>
      </c>
      <c r="H712" t="s">
        <v>1668</v>
      </c>
      <c r="I712" t="s">
        <v>698</v>
      </c>
      <c r="J712" t="s">
        <v>1665</v>
      </c>
      <c r="K712">
        <v>0</v>
      </c>
      <c r="L712" s="140">
        <v>45565</v>
      </c>
      <c r="M712" s="29" t="s">
        <v>632</v>
      </c>
    </row>
    <row r="713" spans="1:13">
      <c r="A713">
        <v>418572052</v>
      </c>
      <c r="B713" t="e">
        <v>#N/A</v>
      </c>
      <c r="D713" t="s">
        <v>1795</v>
      </c>
      <c r="E713" t="s">
        <v>624</v>
      </c>
      <c r="F713">
        <v>10001298819</v>
      </c>
      <c r="G713" t="s">
        <v>1796</v>
      </c>
      <c r="H713" t="s">
        <v>1668</v>
      </c>
      <c r="I713" t="s">
        <v>698</v>
      </c>
      <c r="J713" t="s">
        <v>1665</v>
      </c>
      <c r="K713">
        <v>0</v>
      </c>
      <c r="L713" s="140">
        <v>45565</v>
      </c>
      <c r="M713" s="29" t="s">
        <v>632</v>
      </c>
    </row>
    <row r="714" spans="1:13">
      <c r="A714">
        <v>418572053</v>
      </c>
      <c r="B714" t="e">
        <v>#N/A</v>
      </c>
      <c r="D714" t="s">
        <v>1797</v>
      </c>
      <c r="E714" t="s">
        <v>624</v>
      </c>
      <c r="F714">
        <v>10001298820</v>
      </c>
      <c r="G714" t="s">
        <v>1798</v>
      </c>
      <c r="H714" t="s">
        <v>1668</v>
      </c>
      <c r="I714" t="s">
        <v>698</v>
      </c>
      <c r="J714" t="s">
        <v>1665</v>
      </c>
      <c r="K714">
        <v>0</v>
      </c>
      <c r="L714" s="140">
        <v>45565</v>
      </c>
      <c r="M714" s="29" t="s">
        <v>632</v>
      </c>
    </row>
    <row r="715" spans="1:13">
      <c r="A715">
        <v>418572054</v>
      </c>
      <c r="B715" t="e">
        <v>#N/A</v>
      </c>
      <c r="D715" t="s">
        <v>1799</v>
      </c>
      <c r="E715" t="s">
        <v>624</v>
      </c>
      <c r="F715">
        <v>10001298821</v>
      </c>
      <c r="G715" t="s">
        <v>1800</v>
      </c>
      <c r="H715" t="s">
        <v>1668</v>
      </c>
      <c r="I715" t="s">
        <v>698</v>
      </c>
      <c r="J715" t="s">
        <v>1665</v>
      </c>
      <c r="K715">
        <v>0</v>
      </c>
      <c r="L715" s="140">
        <v>45565</v>
      </c>
      <c r="M715" s="29" t="s">
        <v>632</v>
      </c>
    </row>
    <row r="716" spans="1:13">
      <c r="A716">
        <v>418572055</v>
      </c>
      <c r="B716" t="e">
        <v>#N/A</v>
      </c>
      <c r="D716" t="s">
        <v>1801</v>
      </c>
      <c r="E716" t="s">
        <v>624</v>
      </c>
      <c r="F716">
        <v>10001298822</v>
      </c>
      <c r="G716" t="s">
        <v>1802</v>
      </c>
      <c r="H716" t="s">
        <v>1668</v>
      </c>
      <c r="I716" t="s">
        <v>698</v>
      </c>
      <c r="J716" t="s">
        <v>1665</v>
      </c>
      <c r="K716">
        <v>0</v>
      </c>
      <c r="L716" s="140">
        <v>45565</v>
      </c>
      <c r="M716" s="29" t="s">
        <v>632</v>
      </c>
    </row>
    <row r="717" spans="1:13">
      <c r="A717">
        <v>418572056</v>
      </c>
      <c r="B717" t="e">
        <v>#N/A</v>
      </c>
      <c r="D717" t="s">
        <v>1803</v>
      </c>
      <c r="E717" t="s">
        <v>624</v>
      </c>
      <c r="F717">
        <v>10001298823</v>
      </c>
      <c r="G717" t="s">
        <v>1804</v>
      </c>
      <c r="H717" t="s">
        <v>1668</v>
      </c>
      <c r="I717" t="s">
        <v>698</v>
      </c>
      <c r="J717" t="s">
        <v>1665</v>
      </c>
      <c r="K717">
        <v>0</v>
      </c>
      <c r="L717" s="140">
        <v>45565</v>
      </c>
      <c r="M717" s="29" t="s">
        <v>632</v>
      </c>
    </row>
    <row r="718" spans="1:13">
      <c r="A718">
        <v>418572057</v>
      </c>
      <c r="B718" t="e">
        <v>#N/A</v>
      </c>
      <c r="D718" t="s">
        <v>1805</v>
      </c>
      <c r="E718" t="s">
        <v>624</v>
      </c>
      <c r="F718">
        <v>10001298824</v>
      </c>
      <c r="G718" t="s">
        <v>1806</v>
      </c>
      <c r="H718" t="s">
        <v>1668</v>
      </c>
      <c r="I718" t="s">
        <v>698</v>
      </c>
      <c r="J718" t="s">
        <v>1665</v>
      </c>
      <c r="K718">
        <v>0</v>
      </c>
      <c r="L718" s="140">
        <v>45565</v>
      </c>
      <c r="M718" s="29" t="s">
        <v>632</v>
      </c>
    </row>
    <row r="719" spans="1:13">
      <c r="A719">
        <v>418572058</v>
      </c>
      <c r="B719" t="e">
        <v>#N/A</v>
      </c>
      <c r="D719" t="s">
        <v>1807</v>
      </c>
      <c r="E719" t="s">
        <v>624</v>
      </c>
      <c r="F719">
        <v>10001298825</v>
      </c>
      <c r="G719" t="s">
        <v>1808</v>
      </c>
      <c r="H719" t="s">
        <v>1668</v>
      </c>
      <c r="I719" t="s">
        <v>698</v>
      </c>
      <c r="J719" t="s">
        <v>1665</v>
      </c>
      <c r="K719">
        <v>0</v>
      </c>
      <c r="L719" s="140">
        <v>45565</v>
      </c>
      <c r="M719" s="29" t="s">
        <v>632</v>
      </c>
    </row>
    <row r="720" spans="1:13">
      <c r="A720">
        <v>418572059</v>
      </c>
      <c r="B720" t="e">
        <v>#N/A</v>
      </c>
      <c r="D720" t="s">
        <v>1809</v>
      </c>
      <c r="E720" t="s">
        <v>624</v>
      </c>
      <c r="F720">
        <v>10001298826</v>
      </c>
      <c r="G720" t="s">
        <v>1810</v>
      </c>
      <c r="H720" t="s">
        <v>1668</v>
      </c>
      <c r="I720" t="s">
        <v>698</v>
      </c>
      <c r="J720" t="s">
        <v>1665</v>
      </c>
      <c r="K720">
        <v>0</v>
      </c>
      <c r="L720" s="140">
        <v>45565</v>
      </c>
      <c r="M720" s="29" t="s">
        <v>632</v>
      </c>
    </row>
    <row r="721" spans="1:13">
      <c r="A721">
        <v>418572060</v>
      </c>
      <c r="B721" t="e">
        <v>#N/A</v>
      </c>
      <c r="D721" t="s">
        <v>1811</v>
      </c>
      <c r="E721" t="s">
        <v>624</v>
      </c>
      <c r="F721">
        <v>10001298827</v>
      </c>
      <c r="G721" t="s">
        <v>1812</v>
      </c>
      <c r="H721" t="s">
        <v>1668</v>
      </c>
      <c r="I721" t="s">
        <v>698</v>
      </c>
      <c r="J721" t="s">
        <v>1665</v>
      </c>
      <c r="K721">
        <v>0</v>
      </c>
      <c r="L721" s="140">
        <v>45565</v>
      </c>
      <c r="M721" s="29" t="s">
        <v>632</v>
      </c>
    </row>
    <row r="722" spans="1:13">
      <c r="A722">
        <v>418572061</v>
      </c>
      <c r="B722" t="e">
        <v>#N/A</v>
      </c>
      <c r="D722" t="s">
        <v>1813</v>
      </c>
      <c r="E722" t="s">
        <v>624</v>
      </c>
      <c r="F722">
        <v>10001298828</v>
      </c>
      <c r="G722" t="s">
        <v>1814</v>
      </c>
      <c r="H722" t="s">
        <v>1668</v>
      </c>
      <c r="I722" t="s">
        <v>698</v>
      </c>
      <c r="J722" t="s">
        <v>1665</v>
      </c>
      <c r="K722">
        <v>0</v>
      </c>
      <c r="L722" s="140">
        <v>45565</v>
      </c>
      <c r="M722" s="29" t="s">
        <v>632</v>
      </c>
    </row>
    <row r="723" spans="1:13">
      <c r="A723">
        <v>418572062</v>
      </c>
      <c r="B723" t="e">
        <v>#N/A</v>
      </c>
      <c r="D723" t="s">
        <v>1815</v>
      </c>
      <c r="E723" t="s">
        <v>624</v>
      </c>
      <c r="F723">
        <v>10001298829</v>
      </c>
      <c r="G723" t="s">
        <v>1816</v>
      </c>
      <c r="H723" t="s">
        <v>1668</v>
      </c>
      <c r="I723" t="s">
        <v>698</v>
      </c>
      <c r="J723" t="s">
        <v>1665</v>
      </c>
      <c r="K723">
        <v>0</v>
      </c>
      <c r="L723" s="140">
        <v>45565</v>
      </c>
      <c r="M723" s="29" t="s">
        <v>632</v>
      </c>
    </row>
    <row r="724" spans="1:13">
      <c r="A724">
        <v>418572063</v>
      </c>
      <c r="B724" t="e">
        <v>#N/A</v>
      </c>
      <c r="D724" t="s">
        <v>1817</v>
      </c>
      <c r="E724" t="s">
        <v>624</v>
      </c>
      <c r="F724">
        <v>10001298830</v>
      </c>
      <c r="G724" t="s">
        <v>1818</v>
      </c>
      <c r="H724" t="s">
        <v>1668</v>
      </c>
      <c r="I724" t="s">
        <v>698</v>
      </c>
      <c r="J724" t="s">
        <v>1665</v>
      </c>
      <c r="K724">
        <v>0</v>
      </c>
      <c r="L724" s="140">
        <v>45565</v>
      </c>
      <c r="M724" s="29" t="s">
        <v>632</v>
      </c>
    </row>
    <row r="725" spans="1:13">
      <c r="A725">
        <v>418572064</v>
      </c>
      <c r="B725" t="e">
        <v>#N/A</v>
      </c>
      <c r="D725" t="s">
        <v>1819</v>
      </c>
      <c r="E725" t="s">
        <v>624</v>
      </c>
      <c r="F725">
        <v>10001298831</v>
      </c>
      <c r="G725" t="s">
        <v>1820</v>
      </c>
      <c r="H725" t="s">
        <v>1668</v>
      </c>
      <c r="I725" t="s">
        <v>698</v>
      </c>
      <c r="J725" t="s">
        <v>1665</v>
      </c>
      <c r="K725">
        <v>0</v>
      </c>
      <c r="L725" s="140">
        <v>45565</v>
      </c>
      <c r="M725" s="29" t="s">
        <v>632</v>
      </c>
    </row>
    <row r="726" spans="1:13">
      <c r="A726">
        <v>418572065</v>
      </c>
      <c r="B726" t="e">
        <v>#N/A</v>
      </c>
      <c r="D726" t="s">
        <v>1821</v>
      </c>
      <c r="E726" t="s">
        <v>624</v>
      </c>
      <c r="F726">
        <v>10001298832</v>
      </c>
      <c r="G726" t="s">
        <v>1822</v>
      </c>
      <c r="H726" t="s">
        <v>1668</v>
      </c>
      <c r="I726" t="s">
        <v>698</v>
      </c>
      <c r="J726" t="s">
        <v>1665</v>
      </c>
      <c r="K726">
        <v>0</v>
      </c>
      <c r="L726" s="140">
        <v>45565</v>
      </c>
      <c r="M726" s="29" t="s">
        <v>632</v>
      </c>
    </row>
    <row r="727" spans="1:13">
      <c r="A727">
        <v>418572066</v>
      </c>
      <c r="B727" t="e">
        <v>#N/A</v>
      </c>
      <c r="D727" t="s">
        <v>1823</v>
      </c>
      <c r="E727" t="s">
        <v>624</v>
      </c>
      <c r="F727">
        <v>10001298833</v>
      </c>
      <c r="G727" t="s">
        <v>1824</v>
      </c>
      <c r="H727" t="s">
        <v>1668</v>
      </c>
      <c r="I727" t="s">
        <v>698</v>
      </c>
      <c r="J727" t="s">
        <v>1665</v>
      </c>
      <c r="K727">
        <v>0</v>
      </c>
      <c r="L727" s="140">
        <v>45565</v>
      </c>
      <c r="M727" s="29" t="s">
        <v>632</v>
      </c>
    </row>
    <row r="728" spans="1:13">
      <c r="A728">
        <v>418572067</v>
      </c>
      <c r="B728" t="e">
        <v>#N/A</v>
      </c>
      <c r="D728" t="s">
        <v>1825</v>
      </c>
      <c r="E728" t="s">
        <v>624</v>
      </c>
      <c r="F728">
        <v>10001298834</v>
      </c>
      <c r="G728" t="s">
        <v>1826</v>
      </c>
      <c r="H728" t="s">
        <v>1668</v>
      </c>
      <c r="I728" t="s">
        <v>698</v>
      </c>
      <c r="J728" t="s">
        <v>1665</v>
      </c>
      <c r="K728">
        <v>0</v>
      </c>
      <c r="L728" s="140">
        <v>45565</v>
      </c>
      <c r="M728" s="29" t="s">
        <v>632</v>
      </c>
    </row>
    <row r="729" spans="1:13">
      <c r="A729">
        <v>418572068</v>
      </c>
      <c r="B729" t="e">
        <v>#N/A</v>
      </c>
      <c r="D729" t="s">
        <v>1827</v>
      </c>
      <c r="E729" t="s">
        <v>624</v>
      </c>
      <c r="F729">
        <v>10001298835</v>
      </c>
      <c r="G729" t="s">
        <v>1828</v>
      </c>
      <c r="H729" t="s">
        <v>1668</v>
      </c>
      <c r="I729" t="s">
        <v>698</v>
      </c>
      <c r="J729" t="s">
        <v>1665</v>
      </c>
      <c r="K729">
        <v>0</v>
      </c>
      <c r="L729" s="140">
        <v>45565</v>
      </c>
      <c r="M729" s="29" t="s">
        <v>632</v>
      </c>
    </row>
    <row r="730" spans="1:13">
      <c r="A730">
        <v>418572069</v>
      </c>
      <c r="B730" t="e">
        <v>#N/A</v>
      </c>
      <c r="D730" t="s">
        <v>1829</v>
      </c>
      <c r="E730" t="s">
        <v>624</v>
      </c>
      <c r="F730">
        <v>10001298836</v>
      </c>
      <c r="G730" t="s">
        <v>1830</v>
      </c>
      <c r="H730" t="s">
        <v>1668</v>
      </c>
      <c r="I730" t="s">
        <v>698</v>
      </c>
      <c r="J730" t="s">
        <v>1665</v>
      </c>
      <c r="K730">
        <v>0</v>
      </c>
      <c r="L730" s="140">
        <v>45565</v>
      </c>
      <c r="M730" s="29" t="s">
        <v>632</v>
      </c>
    </row>
    <row r="731" spans="1:13">
      <c r="A731">
        <v>418572070</v>
      </c>
      <c r="B731" t="e">
        <v>#N/A</v>
      </c>
      <c r="D731" t="s">
        <v>1831</v>
      </c>
      <c r="E731" t="s">
        <v>624</v>
      </c>
      <c r="F731">
        <v>10001298837</v>
      </c>
      <c r="G731" t="s">
        <v>1832</v>
      </c>
      <c r="H731" t="s">
        <v>1668</v>
      </c>
      <c r="I731" t="s">
        <v>698</v>
      </c>
      <c r="J731" t="s">
        <v>1665</v>
      </c>
      <c r="K731">
        <v>0</v>
      </c>
      <c r="L731" s="140">
        <v>45565</v>
      </c>
      <c r="M731" s="29" t="s">
        <v>632</v>
      </c>
    </row>
    <row r="732" spans="1:13">
      <c r="A732">
        <v>418572071</v>
      </c>
      <c r="B732" t="e">
        <v>#N/A</v>
      </c>
      <c r="D732" t="s">
        <v>1833</v>
      </c>
      <c r="E732" t="s">
        <v>624</v>
      </c>
      <c r="F732">
        <v>10001298838</v>
      </c>
      <c r="G732" t="s">
        <v>1834</v>
      </c>
      <c r="H732" t="s">
        <v>1668</v>
      </c>
      <c r="I732" t="s">
        <v>698</v>
      </c>
      <c r="J732" t="s">
        <v>1665</v>
      </c>
      <c r="K732">
        <v>0</v>
      </c>
      <c r="L732" s="140">
        <v>45565</v>
      </c>
      <c r="M732" s="29" t="s">
        <v>632</v>
      </c>
    </row>
    <row r="733" spans="1:13">
      <c r="A733">
        <v>418572072</v>
      </c>
      <c r="B733" t="e">
        <v>#N/A</v>
      </c>
      <c r="D733" t="s">
        <v>1835</v>
      </c>
      <c r="E733" t="s">
        <v>624</v>
      </c>
      <c r="F733">
        <v>10001298840</v>
      </c>
      <c r="G733" t="s">
        <v>1836</v>
      </c>
      <c r="H733" t="s">
        <v>1668</v>
      </c>
      <c r="I733" t="s">
        <v>698</v>
      </c>
      <c r="J733" t="s">
        <v>1665</v>
      </c>
      <c r="K733" s="139">
        <v>348000</v>
      </c>
      <c r="L733" s="140">
        <v>45565</v>
      </c>
      <c r="M733" s="29" t="s">
        <v>632</v>
      </c>
    </row>
    <row r="734" spans="1:13">
      <c r="A734">
        <v>418572073</v>
      </c>
      <c r="B734" t="e">
        <v>#N/A</v>
      </c>
      <c r="D734" t="s">
        <v>1837</v>
      </c>
      <c r="E734" t="s">
        <v>624</v>
      </c>
      <c r="F734">
        <v>10001298841</v>
      </c>
      <c r="G734" t="s">
        <v>1838</v>
      </c>
      <c r="H734" t="s">
        <v>1668</v>
      </c>
      <c r="I734" t="s">
        <v>698</v>
      </c>
      <c r="J734" t="s">
        <v>1665</v>
      </c>
      <c r="K734">
        <v>0</v>
      </c>
      <c r="L734" s="140">
        <v>45565</v>
      </c>
      <c r="M734" s="29" t="s">
        <v>632</v>
      </c>
    </row>
    <row r="735" spans="1:13">
      <c r="A735">
        <v>418572074</v>
      </c>
      <c r="B735" t="e">
        <v>#N/A</v>
      </c>
      <c r="D735" t="s">
        <v>1839</v>
      </c>
      <c r="E735" t="s">
        <v>624</v>
      </c>
      <c r="F735">
        <v>10001298842</v>
      </c>
      <c r="G735" t="s">
        <v>1840</v>
      </c>
      <c r="H735" t="s">
        <v>1668</v>
      </c>
      <c r="I735" t="s">
        <v>698</v>
      </c>
      <c r="J735" t="s">
        <v>1665</v>
      </c>
      <c r="K735">
        <v>0</v>
      </c>
      <c r="L735" s="140">
        <v>45565</v>
      </c>
      <c r="M735" s="29" t="s">
        <v>632</v>
      </c>
    </row>
    <row r="736" spans="1:13">
      <c r="A736">
        <v>418572075</v>
      </c>
      <c r="B736" t="e">
        <v>#N/A</v>
      </c>
      <c r="D736" t="s">
        <v>1841</v>
      </c>
      <c r="E736" t="s">
        <v>624</v>
      </c>
      <c r="F736">
        <v>10001298843</v>
      </c>
      <c r="G736" t="s">
        <v>1842</v>
      </c>
      <c r="H736" t="s">
        <v>1668</v>
      </c>
      <c r="I736" t="s">
        <v>698</v>
      </c>
      <c r="J736" t="s">
        <v>1665</v>
      </c>
      <c r="K736">
        <v>0</v>
      </c>
      <c r="L736" s="140">
        <v>45565</v>
      </c>
      <c r="M736" s="29" t="s">
        <v>632</v>
      </c>
    </row>
    <row r="737" spans="1:13">
      <c r="A737">
        <v>418572076</v>
      </c>
      <c r="B737" t="e">
        <v>#N/A</v>
      </c>
      <c r="D737" t="s">
        <v>1843</v>
      </c>
      <c r="E737" t="s">
        <v>624</v>
      </c>
      <c r="F737">
        <v>10001298844</v>
      </c>
      <c r="G737" t="s">
        <v>1844</v>
      </c>
      <c r="H737" t="s">
        <v>1668</v>
      </c>
      <c r="I737" t="s">
        <v>698</v>
      </c>
      <c r="J737" t="s">
        <v>1665</v>
      </c>
      <c r="K737">
        <v>0</v>
      </c>
      <c r="L737" s="140">
        <v>45565</v>
      </c>
      <c r="M737" s="29" t="s">
        <v>632</v>
      </c>
    </row>
    <row r="738" spans="1:13">
      <c r="A738">
        <v>418572077</v>
      </c>
      <c r="B738" t="e">
        <v>#N/A</v>
      </c>
      <c r="D738" t="s">
        <v>1845</v>
      </c>
      <c r="E738" t="s">
        <v>624</v>
      </c>
      <c r="F738">
        <v>10001298845</v>
      </c>
      <c r="G738" t="s">
        <v>1846</v>
      </c>
      <c r="H738" t="s">
        <v>1668</v>
      </c>
      <c r="I738" t="s">
        <v>698</v>
      </c>
      <c r="J738" t="s">
        <v>1665</v>
      </c>
      <c r="K738">
        <v>0</v>
      </c>
      <c r="L738" s="140">
        <v>45565</v>
      </c>
      <c r="M738" s="29" t="s">
        <v>632</v>
      </c>
    </row>
    <row r="739" spans="1:13">
      <c r="A739">
        <v>418572078</v>
      </c>
      <c r="B739" t="e">
        <v>#N/A</v>
      </c>
      <c r="D739" t="s">
        <v>1847</v>
      </c>
      <c r="E739" t="s">
        <v>624</v>
      </c>
      <c r="F739">
        <v>10001298846</v>
      </c>
      <c r="G739" t="s">
        <v>1848</v>
      </c>
      <c r="H739" t="s">
        <v>1668</v>
      </c>
      <c r="I739" t="s">
        <v>698</v>
      </c>
      <c r="J739" t="s">
        <v>1665</v>
      </c>
      <c r="K739">
        <v>0</v>
      </c>
      <c r="L739" s="140">
        <v>45565</v>
      </c>
      <c r="M739" s="29" t="s">
        <v>632</v>
      </c>
    </row>
    <row r="740" spans="1:13">
      <c r="A740">
        <v>418572079</v>
      </c>
      <c r="B740" t="e">
        <v>#N/A</v>
      </c>
      <c r="D740" t="s">
        <v>1849</v>
      </c>
      <c r="E740" t="s">
        <v>624</v>
      </c>
      <c r="F740">
        <v>10001298847</v>
      </c>
      <c r="G740" t="s">
        <v>1850</v>
      </c>
      <c r="H740" t="s">
        <v>1668</v>
      </c>
      <c r="I740" t="s">
        <v>698</v>
      </c>
      <c r="J740" t="s">
        <v>1665</v>
      </c>
      <c r="K740">
        <v>0</v>
      </c>
      <c r="L740" s="140">
        <v>45565</v>
      </c>
      <c r="M740" s="29" t="s">
        <v>632</v>
      </c>
    </row>
    <row r="741" spans="1:13">
      <c r="A741">
        <v>418572080</v>
      </c>
      <c r="B741" t="e">
        <v>#N/A</v>
      </c>
      <c r="D741" t="s">
        <v>1851</v>
      </c>
      <c r="E741" t="s">
        <v>624</v>
      </c>
      <c r="F741">
        <v>10001298848</v>
      </c>
      <c r="G741" t="s">
        <v>1852</v>
      </c>
      <c r="H741" t="s">
        <v>1668</v>
      </c>
      <c r="I741" t="s">
        <v>698</v>
      </c>
      <c r="J741" t="s">
        <v>1665</v>
      </c>
      <c r="K741">
        <v>0</v>
      </c>
      <c r="L741" s="140">
        <v>45565</v>
      </c>
      <c r="M741" s="29" t="s">
        <v>632</v>
      </c>
    </row>
    <row r="742" spans="1:13">
      <c r="A742">
        <v>418572081</v>
      </c>
      <c r="B742" t="e">
        <v>#N/A</v>
      </c>
      <c r="D742" t="s">
        <v>1853</v>
      </c>
      <c r="E742" t="s">
        <v>624</v>
      </c>
      <c r="F742">
        <v>10001298849</v>
      </c>
      <c r="G742" t="s">
        <v>1854</v>
      </c>
      <c r="H742" t="s">
        <v>1668</v>
      </c>
      <c r="I742" t="s">
        <v>698</v>
      </c>
      <c r="J742" t="s">
        <v>1665</v>
      </c>
      <c r="K742">
        <v>0</v>
      </c>
      <c r="L742" s="140">
        <v>45565</v>
      </c>
      <c r="M742" s="29" t="s">
        <v>632</v>
      </c>
    </row>
    <row r="743" spans="1:13">
      <c r="A743">
        <v>418572082</v>
      </c>
      <c r="B743" t="e">
        <v>#N/A</v>
      </c>
      <c r="D743" t="s">
        <v>1855</v>
      </c>
      <c r="E743" t="s">
        <v>624</v>
      </c>
      <c r="F743">
        <v>10001298850</v>
      </c>
      <c r="G743" t="s">
        <v>1856</v>
      </c>
      <c r="H743" t="s">
        <v>1668</v>
      </c>
      <c r="I743" t="s">
        <v>698</v>
      </c>
      <c r="J743" t="s">
        <v>1665</v>
      </c>
      <c r="K743">
        <v>0</v>
      </c>
      <c r="L743" s="140">
        <v>45565</v>
      </c>
      <c r="M743" s="29" t="s">
        <v>632</v>
      </c>
    </row>
    <row r="744" spans="1:13">
      <c r="A744">
        <v>418572083</v>
      </c>
      <c r="B744" t="e">
        <v>#N/A</v>
      </c>
      <c r="D744" t="s">
        <v>1857</v>
      </c>
      <c r="E744" t="s">
        <v>624</v>
      </c>
      <c r="F744">
        <v>10001298851</v>
      </c>
      <c r="G744" t="s">
        <v>1858</v>
      </c>
      <c r="H744" t="s">
        <v>1668</v>
      </c>
      <c r="I744" t="s">
        <v>698</v>
      </c>
      <c r="J744" t="s">
        <v>1665</v>
      </c>
      <c r="K744">
        <v>0</v>
      </c>
      <c r="L744" s="140">
        <v>45565</v>
      </c>
      <c r="M744" s="29" t="s">
        <v>632</v>
      </c>
    </row>
    <row r="745" spans="1:13">
      <c r="A745">
        <v>418572084</v>
      </c>
      <c r="B745" t="e">
        <v>#N/A</v>
      </c>
      <c r="D745" t="s">
        <v>1859</v>
      </c>
      <c r="E745" t="s">
        <v>624</v>
      </c>
      <c r="F745">
        <v>10001298852</v>
      </c>
      <c r="G745" t="s">
        <v>1860</v>
      </c>
      <c r="H745" t="s">
        <v>1668</v>
      </c>
      <c r="I745" t="s">
        <v>698</v>
      </c>
      <c r="J745" t="s">
        <v>1665</v>
      </c>
      <c r="K745">
        <v>0</v>
      </c>
      <c r="L745" s="140">
        <v>45565</v>
      </c>
      <c r="M745" s="29" t="s">
        <v>632</v>
      </c>
    </row>
    <row r="746" spans="1:13">
      <c r="A746">
        <v>418572085</v>
      </c>
      <c r="B746" t="e">
        <v>#N/A</v>
      </c>
      <c r="D746" t="s">
        <v>1861</v>
      </c>
      <c r="E746" t="s">
        <v>624</v>
      </c>
      <c r="F746">
        <v>10001298853</v>
      </c>
      <c r="G746" t="s">
        <v>1862</v>
      </c>
      <c r="H746" t="s">
        <v>1668</v>
      </c>
      <c r="I746" t="s">
        <v>698</v>
      </c>
      <c r="J746" t="s">
        <v>1665</v>
      </c>
      <c r="K746">
        <v>0</v>
      </c>
      <c r="L746" s="140">
        <v>45565</v>
      </c>
      <c r="M746" s="29" t="s">
        <v>632</v>
      </c>
    </row>
    <row r="747" spans="1:13">
      <c r="A747">
        <v>418572086</v>
      </c>
      <c r="B747" t="e">
        <v>#N/A</v>
      </c>
      <c r="D747" t="s">
        <v>1863</v>
      </c>
      <c r="E747" t="s">
        <v>624</v>
      </c>
      <c r="F747">
        <v>10001298854</v>
      </c>
      <c r="G747" t="s">
        <v>1864</v>
      </c>
      <c r="H747" t="s">
        <v>1668</v>
      </c>
      <c r="I747" t="s">
        <v>698</v>
      </c>
      <c r="J747" t="s">
        <v>1665</v>
      </c>
      <c r="K747">
        <v>0</v>
      </c>
      <c r="L747" s="140">
        <v>45565</v>
      </c>
      <c r="M747" s="29" t="s">
        <v>632</v>
      </c>
    </row>
    <row r="748" spans="1:13">
      <c r="A748">
        <v>418572094</v>
      </c>
      <c r="B748" t="e">
        <v>#N/A</v>
      </c>
      <c r="D748" t="s">
        <v>1865</v>
      </c>
      <c r="E748" t="s">
        <v>624</v>
      </c>
      <c r="F748">
        <v>10001298768</v>
      </c>
      <c r="G748" t="s">
        <v>1866</v>
      </c>
      <c r="H748" t="s">
        <v>1668</v>
      </c>
      <c r="I748" t="s">
        <v>698</v>
      </c>
      <c r="J748" t="s">
        <v>1665</v>
      </c>
      <c r="K748" s="139">
        <v>195000</v>
      </c>
      <c r="L748" s="140">
        <v>45565</v>
      </c>
      <c r="M748" s="29" t="s">
        <v>632</v>
      </c>
    </row>
    <row r="749" spans="1:13">
      <c r="A749">
        <v>418572095</v>
      </c>
      <c r="B749" t="e">
        <v>#N/A</v>
      </c>
      <c r="D749" t="s">
        <v>1867</v>
      </c>
      <c r="E749" t="s">
        <v>624</v>
      </c>
      <c r="F749">
        <v>10090549969</v>
      </c>
      <c r="G749" t="s">
        <v>1868</v>
      </c>
      <c r="H749" t="s">
        <v>1668</v>
      </c>
      <c r="I749" t="s">
        <v>698</v>
      </c>
      <c r="J749" t="s">
        <v>1665</v>
      </c>
      <c r="K749">
        <v>0</v>
      </c>
      <c r="L749" s="140">
        <v>45565</v>
      </c>
      <c r="M749" s="29" t="s">
        <v>632</v>
      </c>
    </row>
    <row r="750" spans="1:13">
      <c r="A750">
        <v>418572096</v>
      </c>
      <c r="B750" t="e">
        <v>#N/A</v>
      </c>
      <c r="D750" t="s">
        <v>1869</v>
      </c>
      <c r="E750" t="s">
        <v>624</v>
      </c>
      <c r="F750">
        <v>10090549970</v>
      </c>
      <c r="G750" t="s">
        <v>1870</v>
      </c>
      <c r="H750" t="s">
        <v>1668</v>
      </c>
      <c r="I750" t="s">
        <v>698</v>
      </c>
      <c r="J750" t="s">
        <v>1665</v>
      </c>
      <c r="K750">
        <v>0</v>
      </c>
      <c r="L750" s="140">
        <v>45565</v>
      </c>
      <c r="M750" s="29" t="s">
        <v>632</v>
      </c>
    </row>
    <row r="751" spans="1:13">
      <c r="A751">
        <v>418572097</v>
      </c>
      <c r="B751" t="e">
        <v>#N/A</v>
      </c>
      <c r="D751" t="s">
        <v>1871</v>
      </c>
      <c r="E751" t="s">
        <v>624</v>
      </c>
      <c r="F751">
        <v>10090549971</v>
      </c>
      <c r="G751" t="s">
        <v>1872</v>
      </c>
      <c r="H751" t="s">
        <v>1668</v>
      </c>
      <c r="I751" t="s">
        <v>698</v>
      </c>
      <c r="J751" t="s">
        <v>1665</v>
      </c>
      <c r="K751">
        <v>0</v>
      </c>
      <c r="L751" s="140">
        <v>45565</v>
      </c>
      <c r="M751" s="29" t="s">
        <v>632</v>
      </c>
    </row>
    <row r="752" spans="1:13">
      <c r="A752">
        <v>418572098</v>
      </c>
      <c r="B752" t="e">
        <v>#N/A</v>
      </c>
      <c r="D752" t="s">
        <v>1873</v>
      </c>
      <c r="E752" t="s">
        <v>624</v>
      </c>
      <c r="F752">
        <v>10090549972</v>
      </c>
      <c r="G752" t="s">
        <v>1874</v>
      </c>
      <c r="H752" t="s">
        <v>1668</v>
      </c>
      <c r="I752" t="s">
        <v>698</v>
      </c>
      <c r="J752" t="s">
        <v>1665</v>
      </c>
      <c r="K752">
        <v>0</v>
      </c>
      <c r="L752" s="140">
        <v>45565</v>
      </c>
      <c r="M752" s="29" t="s">
        <v>632</v>
      </c>
    </row>
    <row r="753" spans="1:13">
      <c r="A753">
        <v>418572099</v>
      </c>
      <c r="B753" t="e">
        <v>#N/A</v>
      </c>
      <c r="D753" t="s">
        <v>1875</v>
      </c>
      <c r="E753" t="s">
        <v>624</v>
      </c>
      <c r="F753">
        <v>10090549973</v>
      </c>
      <c r="G753" t="s">
        <v>1876</v>
      </c>
      <c r="H753" t="s">
        <v>1668</v>
      </c>
      <c r="I753" t="s">
        <v>698</v>
      </c>
      <c r="J753" t="s">
        <v>1665</v>
      </c>
      <c r="K753">
        <v>0</v>
      </c>
      <c r="L753" s="140">
        <v>45565</v>
      </c>
      <c r="M753" s="29" t="s">
        <v>632</v>
      </c>
    </row>
    <row r="754" spans="1:13">
      <c r="A754">
        <v>418572100</v>
      </c>
      <c r="B754" t="e">
        <v>#N/A</v>
      </c>
      <c r="D754" t="s">
        <v>1877</v>
      </c>
      <c r="E754" t="s">
        <v>624</v>
      </c>
      <c r="F754">
        <v>10090549974</v>
      </c>
      <c r="G754" t="s">
        <v>1878</v>
      </c>
      <c r="H754" t="s">
        <v>1668</v>
      </c>
      <c r="I754" t="s">
        <v>698</v>
      </c>
      <c r="J754" t="s">
        <v>1665</v>
      </c>
      <c r="K754">
        <v>0</v>
      </c>
      <c r="L754" s="140">
        <v>45565</v>
      </c>
      <c r="M754" s="29" t="s">
        <v>632</v>
      </c>
    </row>
  </sheetData>
  <autoFilter ref="A2:L754" xr:uid="{305A27DE-174E-4A0F-A6C5-355D95F06726}"/>
  <sortState xmlns:xlrd2="http://schemas.microsoft.com/office/spreadsheetml/2017/richdata2" ref="A3:L178">
    <sortCondition ref="I3:I17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DBE8-0C67-47DE-9756-1DB91CB78469}">
  <dimension ref="A1:Y578"/>
  <sheetViews>
    <sheetView workbookViewId="0">
      <selection activeCell="C16" sqref="C16"/>
    </sheetView>
  </sheetViews>
  <sheetFormatPr defaultRowHeight="15"/>
  <cols>
    <col min="1" max="1" width="15.5703125" style="154" customWidth="1"/>
    <col min="2" max="2" width="43.28515625" bestFit="1" customWidth="1"/>
    <col min="3" max="3" width="13.42578125" bestFit="1" customWidth="1"/>
    <col min="4" max="4" width="11.140625" bestFit="1" customWidth="1"/>
    <col min="5" max="5" width="13.7109375" customWidth="1"/>
    <col min="6" max="6" width="25.42578125" customWidth="1"/>
    <col min="7" max="7" width="38.28515625" style="155" customWidth="1"/>
    <col min="8" max="8" width="40.28515625" customWidth="1"/>
    <col min="9" max="9" width="40.28515625" style="155" customWidth="1"/>
    <col min="10" max="10" width="18.28515625" customWidth="1"/>
    <col min="11" max="11" width="20.28515625" customWidth="1"/>
    <col min="12" max="12" width="17.5703125" style="155" customWidth="1"/>
    <col min="13" max="13" width="14.5703125" style="155" customWidth="1"/>
    <col min="14" max="14" width="14" style="155" customWidth="1"/>
    <col min="15" max="15" width="14.28515625" style="155" customWidth="1"/>
    <col min="16" max="16" width="14.5703125" style="155" customWidth="1"/>
    <col min="17" max="17" width="14.28515625" style="155" customWidth="1"/>
    <col min="18" max="18" width="17.5703125" style="155" customWidth="1"/>
    <col min="19" max="19" width="26.5703125" style="155" customWidth="1"/>
    <col min="20" max="20" width="17.7109375" style="156" customWidth="1"/>
    <col min="21" max="21" width="16.42578125" style="155" customWidth="1"/>
    <col min="22" max="22" width="15.5703125" style="155" customWidth="1"/>
    <col min="23" max="23" width="12" style="155" customWidth="1"/>
    <col min="24" max="24" width="15.28515625" style="155" customWidth="1"/>
    <col min="25" max="25" width="18.7109375" customWidth="1"/>
  </cols>
  <sheetData>
    <row r="1" spans="1:25" s="150" customFormat="1">
      <c r="A1" s="151" t="s">
        <v>1879</v>
      </c>
      <c r="G1" s="152"/>
      <c r="I1" s="152"/>
      <c r="L1" s="152"/>
      <c r="M1" s="152"/>
      <c r="N1" s="152"/>
      <c r="O1" s="152"/>
      <c r="P1" s="152"/>
      <c r="Q1" s="152"/>
      <c r="R1" s="152"/>
      <c r="S1" s="152"/>
      <c r="T1" s="153"/>
      <c r="U1" s="152"/>
      <c r="V1" s="152"/>
      <c r="W1" s="152"/>
      <c r="X1" s="152"/>
    </row>
    <row r="2" spans="1:25" s="150" customFormat="1">
      <c r="A2" s="151" t="s">
        <v>1880</v>
      </c>
      <c r="G2" s="152"/>
      <c r="I2" s="152"/>
      <c r="L2" s="152"/>
      <c r="M2" s="152"/>
      <c r="N2" s="152"/>
      <c r="O2" s="152"/>
      <c r="P2" s="152"/>
      <c r="Q2" s="152"/>
      <c r="R2" s="152"/>
      <c r="S2" s="152"/>
      <c r="T2" s="153"/>
      <c r="U2" s="152"/>
      <c r="V2" s="152"/>
      <c r="W2" s="152"/>
      <c r="X2" s="152"/>
    </row>
    <row r="3" spans="1:25" ht="15.75" thickBot="1"/>
    <row r="4" spans="1:25" s="150" customFormat="1" ht="15.75" thickBot="1">
      <c r="A4" s="151"/>
      <c r="G4" s="152"/>
      <c r="I4" s="152"/>
      <c r="J4" s="249" t="s">
        <v>1881</v>
      </c>
      <c r="K4" s="250"/>
      <c r="L4" s="250"/>
      <c r="M4" s="250"/>
      <c r="N4" s="250"/>
      <c r="O4" s="250"/>
      <c r="P4" s="251"/>
      <c r="Q4" s="249" t="s">
        <v>1882</v>
      </c>
      <c r="R4" s="250"/>
      <c r="S4" s="251"/>
      <c r="T4" s="252" t="s">
        <v>1883</v>
      </c>
      <c r="U4" s="253"/>
      <c r="V4" s="253"/>
      <c r="W4" s="253"/>
      <c r="X4" s="253"/>
      <c r="Y4" s="254"/>
    </row>
    <row r="5" spans="1:25" s="150" customFormat="1" ht="60.75" thickBot="1">
      <c r="A5" s="157" t="s">
        <v>1884</v>
      </c>
      <c r="B5" s="158" t="s">
        <v>1885</v>
      </c>
      <c r="C5" s="158" t="s">
        <v>607</v>
      </c>
      <c r="D5" s="158" t="s">
        <v>608</v>
      </c>
      <c r="E5" s="158" t="s">
        <v>14</v>
      </c>
      <c r="F5" s="159" t="s">
        <v>1886</v>
      </c>
      <c r="G5" s="160" t="s">
        <v>1887</v>
      </c>
      <c r="H5" s="158" t="s">
        <v>1888</v>
      </c>
      <c r="I5" s="160" t="s">
        <v>1889</v>
      </c>
      <c r="J5" s="161" t="s">
        <v>1890</v>
      </c>
      <c r="K5" s="160" t="s">
        <v>1891</v>
      </c>
      <c r="L5" s="160" t="s">
        <v>1892</v>
      </c>
      <c r="M5" s="160" t="s">
        <v>1893</v>
      </c>
      <c r="N5" s="160" t="s">
        <v>1894</v>
      </c>
      <c r="O5" s="160" t="s">
        <v>1895</v>
      </c>
      <c r="P5" s="162" t="s">
        <v>1896</v>
      </c>
      <c r="Q5" s="161" t="s">
        <v>1897</v>
      </c>
      <c r="R5" s="160" t="s">
        <v>1898</v>
      </c>
      <c r="S5" s="162" t="s">
        <v>1899</v>
      </c>
      <c r="T5" s="163" t="s">
        <v>1900</v>
      </c>
      <c r="U5" s="160" t="s">
        <v>1901</v>
      </c>
      <c r="V5" s="160" t="s">
        <v>1902</v>
      </c>
      <c r="W5" s="160" t="s">
        <v>1903</v>
      </c>
      <c r="X5" s="160" t="s">
        <v>1904</v>
      </c>
      <c r="Y5" s="162" t="s">
        <v>1905</v>
      </c>
    </row>
    <row r="6" spans="1:25" s="150" customFormat="1" ht="15.75" thickBot="1">
      <c r="A6" s="164"/>
      <c r="B6" s="165"/>
      <c r="C6" s="165" t="s">
        <v>1906</v>
      </c>
      <c r="D6" s="165"/>
      <c r="E6" s="165"/>
      <c r="F6" s="165"/>
      <c r="G6" s="166"/>
      <c r="H6" s="165"/>
      <c r="I6" s="167"/>
      <c r="J6" s="168" t="s">
        <v>1907</v>
      </c>
      <c r="K6" s="169" t="s">
        <v>1908</v>
      </c>
      <c r="L6" s="169" t="s">
        <v>1909</v>
      </c>
      <c r="M6" s="169" t="s">
        <v>1910</v>
      </c>
      <c r="N6" s="169" t="s">
        <v>1911</v>
      </c>
      <c r="O6" s="169" t="s">
        <v>1912</v>
      </c>
      <c r="P6" s="170" t="s">
        <v>1913</v>
      </c>
      <c r="Q6" s="168" t="s">
        <v>1914</v>
      </c>
      <c r="R6" s="169" t="s">
        <v>1915</v>
      </c>
      <c r="S6" s="170"/>
      <c r="T6" s="171" t="s">
        <v>1916</v>
      </c>
      <c r="U6" s="169" t="s">
        <v>1917</v>
      </c>
      <c r="V6" s="169" t="s">
        <v>1918</v>
      </c>
      <c r="W6" s="169" t="s">
        <v>1919</v>
      </c>
      <c r="X6" s="169" t="s">
        <v>1920</v>
      </c>
      <c r="Y6" s="172" t="s">
        <v>1921</v>
      </c>
    </row>
    <row r="7" spans="1:25" s="150" customFormat="1" ht="80.45" customHeight="1">
      <c r="A7" s="173"/>
      <c r="C7" s="150" t="s">
        <v>1922</v>
      </c>
      <c r="G7" s="152"/>
      <c r="I7" s="174"/>
      <c r="J7" s="175"/>
      <c r="K7" s="152"/>
      <c r="L7" s="152"/>
      <c r="M7" s="152"/>
      <c r="N7" s="152"/>
      <c r="O7" s="155" t="s">
        <v>1923</v>
      </c>
      <c r="P7" s="176" t="s">
        <v>1923</v>
      </c>
      <c r="Q7" s="175"/>
      <c r="R7" s="152"/>
      <c r="S7" s="174"/>
      <c r="T7" s="177"/>
      <c r="U7" s="152"/>
      <c r="V7" s="152"/>
      <c r="W7" s="152"/>
      <c r="X7" s="152"/>
      <c r="Y7" s="178"/>
    </row>
    <row r="8" spans="1:25" ht="30">
      <c r="A8" s="179">
        <v>109866001</v>
      </c>
      <c r="B8" t="s">
        <v>756</v>
      </c>
      <c r="C8" t="s">
        <v>618</v>
      </c>
      <c r="D8" t="s">
        <v>753</v>
      </c>
      <c r="E8" t="s">
        <v>698</v>
      </c>
      <c r="F8" t="s">
        <v>1924</v>
      </c>
      <c r="G8" t="s">
        <v>756</v>
      </c>
      <c r="H8" s="155" t="s">
        <v>1925</v>
      </c>
      <c r="I8" s="176" t="s">
        <v>1926</v>
      </c>
      <c r="J8" s="181">
        <v>40505</v>
      </c>
      <c r="K8" s="140">
        <v>131815</v>
      </c>
      <c r="L8" s="155">
        <v>250</v>
      </c>
      <c r="M8" s="155">
        <v>0</v>
      </c>
      <c r="N8" s="155">
        <v>0</v>
      </c>
      <c r="O8" s="155" t="s">
        <v>730</v>
      </c>
      <c r="P8" s="176" t="s">
        <v>730</v>
      </c>
      <c r="Q8" s="184" t="s">
        <v>730</v>
      </c>
      <c r="R8" s="155">
        <v>0</v>
      </c>
      <c r="S8" s="176">
        <v>0</v>
      </c>
      <c r="T8" s="182" t="e">
        <f>VLOOKUP(A8,#REF!,9,FALSE)</f>
        <v>#REF!</v>
      </c>
      <c r="U8" s="155" t="s">
        <v>632</v>
      </c>
      <c r="V8" s="155" t="s">
        <v>632</v>
      </c>
      <c r="W8" s="155">
        <v>0</v>
      </c>
      <c r="X8" s="155">
        <v>6</v>
      </c>
      <c r="Y8" s="183">
        <v>0</v>
      </c>
    </row>
    <row r="9" spans="1:25">
      <c r="A9" s="179">
        <v>109918015</v>
      </c>
      <c r="B9" t="s">
        <v>758</v>
      </c>
      <c r="C9" t="s">
        <v>618</v>
      </c>
      <c r="D9" t="s">
        <v>753</v>
      </c>
      <c r="E9" t="s">
        <v>698</v>
      </c>
      <c r="F9" s="180" t="s">
        <v>1927</v>
      </c>
      <c r="G9" s="155" t="e">
        <v>#N/A</v>
      </c>
      <c r="H9" t="e">
        <v>#N/A</v>
      </c>
      <c r="I9" s="176" t="s">
        <v>1928</v>
      </c>
      <c r="J9" s="181">
        <v>45426</v>
      </c>
      <c r="K9" s="140">
        <v>47251</v>
      </c>
      <c r="L9" s="155">
        <v>5</v>
      </c>
      <c r="M9" s="155">
        <v>0</v>
      </c>
      <c r="N9" s="155">
        <v>0</v>
      </c>
      <c r="O9" s="155" t="s">
        <v>730</v>
      </c>
      <c r="P9" s="176" t="s">
        <v>730</v>
      </c>
      <c r="Q9" s="182">
        <v>46204</v>
      </c>
      <c r="R9" s="155">
        <v>0</v>
      </c>
      <c r="S9" s="176">
        <v>0</v>
      </c>
      <c r="T9" s="182" t="e">
        <f>VLOOKUP(A9,#REF!,9,FALSE)</f>
        <v>#REF!</v>
      </c>
      <c r="U9" s="155" t="s">
        <v>518</v>
      </c>
      <c r="V9" s="155" t="s">
        <v>518</v>
      </c>
      <c r="W9" s="155">
        <v>0</v>
      </c>
      <c r="X9" s="155">
        <v>6</v>
      </c>
      <c r="Y9" s="183">
        <v>0</v>
      </c>
    </row>
    <row r="10" spans="1:25">
      <c r="A10" s="179">
        <v>109918017</v>
      </c>
      <c r="B10" t="s">
        <v>759</v>
      </c>
      <c r="C10" t="s">
        <v>618</v>
      </c>
      <c r="D10" t="s">
        <v>753</v>
      </c>
      <c r="E10" t="s">
        <v>698</v>
      </c>
      <c r="F10" t="s">
        <v>1929</v>
      </c>
      <c r="G10" s="155" t="e">
        <v>#N/A</v>
      </c>
      <c r="H10" t="e">
        <v>#N/A</v>
      </c>
      <c r="I10" s="176" t="s">
        <v>1928</v>
      </c>
      <c r="J10" s="181">
        <v>38467</v>
      </c>
      <c r="K10" t="s">
        <v>730</v>
      </c>
      <c r="L10" s="155">
        <v>0</v>
      </c>
      <c r="M10" s="155">
        <v>0</v>
      </c>
      <c r="N10" s="155">
        <v>0</v>
      </c>
      <c r="O10" s="155" t="s">
        <v>730</v>
      </c>
      <c r="P10" s="176" t="s">
        <v>730</v>
      </c>
      <c r="Q10" s="184" t="s">
        <v>730</v>
      </c>
      <c r="R10" s="155">
        <v>0</v>
      </c>
      <c r="S10" s="176">
        <v>0</v>
      </c>
      <c r="T10" s="182" t="e">
        <f>VLOOKUP(A10,#REF!,9,FALSE)</f>
        <v>#REF!</v>
      </c>
      <c r="U10" s="155" t="s">
        <v>632</v>
      </c>
      <c r="V10" s="155" t="s">
        <v>632</v>
      </c>
      <c r="W10" s="155">
        <v>0</v>
      </c>
      <c r="X10" s="155">
        <v>0</v>
      </c>
      <c r="Y10" s="183">
        <v>0</v>
      </c>
    </row>
    <row r="11" spans="1:25">
      <c r="A11" s="179">
        <v>109956007</v>
      </c>
      <c r="B11" t="s">
        <v>761</v>
      </c>
      <c r="C11" t="s">
        <v>618</v>
      </c>
      <c r="D11" t="s">
        <v>753</v>
      </c>
      <c r="E11" t="s">
        <v>698</v>
      </c>
      <c r="F11" t="s">
        <v>1930</v>
      </c>
      <c r="G11" s="155" t="e">
        <v>#N/A</v>
      </c>
      <c r="H11" t="e">
        <v>#N/A</v>
      </c>
      <c r="I11" s="176" t="s">
        <v>1928</v>
      </c>
      <c r="J11" s="181">
        <v>37728</v>
      </c>
      <c r="K11" s="140">
        <v>45032</v>
      </c>
      <c r="L11" s="155">
        <v>20</v>
      </c>
      <c r="M11" s="155">
        <v>0</v>
      </c>
      <c r="N11" s="155">
        <v>0</v>
      </c>
      <c r="O11" s="155" t="s">
        <v>730</v>
      </c>
      <c r="P11" s="176" t="s">
        <v>730</v>
      </c>
      <c r="Q11" s="184" t="s">
        <v>730</v>
      </c>
      <c r="R11" s="155">
        <v>0</v>
      </c>
      <c r="S11" s="176">
        <v>0</v>
      </c>
      <c r="T11" s="182" t="e">
        <f>VLOOKUP(A11,#REF!,9,FALSE)</f>
        <v>#REF!</v>
      </c>
      <c r="U11" s="155" t="s">
        <v>632</v>
      </c>
      <c r="V11" s="155" t="s">
        <v>632</v>
      </c>
      <c r="W11" s="155">
        <v>0</v>
      </c>
      <c r="X11" s="155">
        <v>0</v>
      </c>
      <c r="Y11" s="183">
        <v>0</v>
      </c>
    </row>
    <row r="12" spans="1:25" ht="14.45" customHeight="1">
      <c r="A12" s="179">
        <v>109961004</v>
      </c>
      <c r="B12" t="s">
        <v>763</v>
      </c>
      <c r="C12" t="s">
        <v>635</v>
      </c>
      <c r="D12" t="s">
        <v>753</v>
      </c>
      <c r="E12" t="s">
        <v>698</v>
      </c>
      <c r="F12" t="s">
        <v>1931</v>
      </c>
      <c r="G12" s="189" t="s">
        <v>763</v>
      </c>
      <c r="H12" s="180" t="s">
        <v>1932</v>
      </c>
      <c r="I12" s="176" t="s">
        <v>1926</v>
      </c>
      <c r="J12" s="181">
        <v>44859</v>
      </c>
      <c r="K12" s="140">
        <v>45589</v>
      </c>
      <c r="L12" s="155">
        <v>2</v>
      </c>
      <c r="M12" s="155">
        <v>0</v>
      </c>
      <c r="N12" s="155">
        <v>0</v>
      </c>
      <c r="O12" s="155" t="s">
        <v>730</v>
      </c>
      <c r="P12" s="176" t="s">
        <v>730</v>
      </c>
      <c r="Q12" s="184" t="s">
        <v>730</v>
      </c>
      <c r="R12" s="155">
        <v>0</v>
      </c>
      <c r="S12" s="176">
        <v>0</v>
      </c>
      <c r="T12" s="182" t="e">
        <f>VLOOKUP(A12,#REF!,9,FALSE)</f>
        <v>#REF!</v>
      </c>
      <c r="U12" s="155" t="s">
        <v>632</v>
      </c>
      <c r="V12" s="155" t="s">
        <v>632</v>
      </c>
      <c r="W12" s="155">
        <v>0</v>
      </c>
      <c r="X12" s="155">
        <v>0</v>
      </c>
      <c r="Y12" s="183">
        <v>0</v>
      </c>
    </row>
    <row r="13" spans="1:25" ht="14.45" customHeight="1">
      <c r="A13" s="179">
        <v>109961005</v>
      </c>
      <c r="B13" t="s">
        <v>765</v>
      </c>
      <c r="C13" t="s">
        <v>635</v>
      </c>
      <c r="D13" t="s">
        <v>753</v>
      </c>
      <c r="E13" t="s">
        <v>698</v>
      </c>
      <c r="F13" t="s">
        <v>1933</v>
      </c>
      <c r="G13" s="189" t="s">
        <v>765</v>
      </c>
      <c r="H13" s="180" t="s">
        <v>1934</v>
      </c>
      <c r="I13" s="176" t="s">
        <v>1926</v>
      </c>
      <c r="J13" s="181">
        <v>42669</v>
      </c>
      <c r="K13" s="140">
        <v>46320</v>
      </c>
      <c r="L13" s="155">
        <v>10</v>
      </c>
      <c r="M13" s="155">
        <v>0</v>
      </c>
      <c r="N13" s="155">
        <v>0</v>
      </c>
      <c r="O13" s="155" t="s">
        <v>730</v>
      </c>
      <c r="P13" s="176" t="s">
        <v>730</v>
      </c>
      <c r="Q13" s="182">
        <v>44495</v>
      </c>
      <c r="R13" s="155">
        <v>0</v>
      </c>
      <c r="S13" s="176">
        <v>3</v>
      </c>
      <c r="T13" s="182" t="e">
        <f>VLOOKUP(A13,#REF!,9,FALSE)</f>
        <v>#REF!</v>
      </c>
      <c r="U13" s="155" t="s">
        <v>518</v>
      </c>
      <c r="V13" s="155" t="s">
        <v>632</v>
      </c>
      <c r="W13" s="155">
        <v>0</v>
      </c>
      <c r="X13" s="155">
        <v>0</v>
      </c>
      <c r="Y13" s="183">
        <v>3</v>
      </c>
    </row>
    <row r="14" spans="1:25">
      <c r="A14" s="179">
        <v>112179001</v>
      </c>
      <c r="B14" t="s">
        <v>767</v>
      </c>
      <c r="C14" t="s">
        <v>618</v>
      </c>
      <c r="D14" t="s">
        <v>753</v>
      </c>
      <c r="E14" t="s">
        <v>698</v>
      </c>
      <c r="F14" t="s">
        <v>1935</v>
      </c>
      <c r="G14" s="155" t="e">
        <v>#N/A</v>
      </c>
      <c r="H14" t="e">
        <v>#N/A</v>
      </c>
      <c r="I14" s="176" t="s">
        <v>1928</v>
      </c>
      <c r="J14" s="181">
        <v>43739</v>
      </c>
      <c r="K14" s="140">
        <v>44834</v>
      </c>
      <c r="L14" s="155">
        <v>3</v>
      </c>
      <c r="M14" s="155">
        <v>0</v>
      </c>
      <c r="N14" s="155">
        <v>0</v>
      </c>
      <c r="O14" s="155" t="s">
        <v>730</v>
      </c>
      <c r="P14" s="176" t="s">
        <v>730</v>
      </c>
      <c r="Q14" s="184" t="s">
        <v>730</v>
      </c>
      <c r="R14" s="155">
        <v>0</v>
      </c>
      <c r="S14" s="176">
        <v>0</v>
      </c>
      <c r="T14" s="182" t="e">
        <f>VLOOKUP(A14,#REF!,9,FALSE)</f>
        <v>#REF!</v>
      </c>
      <c r="U14" s="155" t="s">
        <v>632</v>
      </c>
      <c r="V14" s="155" t="s">
        <v>632</v>
      </c>
      <c r="W14" s="155">
        <v>0</v>
      </c>
      <c r="X14" s="155">
        <v>0</v>
      </c>
      <c r="Y14" s="183">
        <v>0</v>
      </c>
    </row>
    <row r="15" spans="1:25">
      <c r="A15" s="179">
        <v>112179002</v>
      </c>
      <c r="B15" t="s">
        <v>769</v>
      </c>
      <c r="C15" t="s">
        <v>618</v>
      </c>
      <c r="D15" t="s">
        <v>753</v>
      </c>
      <c r="E15" t="s">
        <v>698</v>
      </c>
      <c r="F15" t="s">
        <v>1936</v>
      </c>
      <c r="G15" s="155" t="e">
        <v>#N/A</v>
      </c>
      <c r="H15" t="e">
        <v>#N/A</v>
      </c>
      <c r="I15" s="176" t="s">
        <v>1928</v>
      </c>
      <c r="J15" s="181">
        <v>42370</v>
      </c>
      <c r="K15" s="140">
        <v>43100</v>
      </c>
      <c r="L15" s="155">
        <v>2</v>
      </c>
      <c r="M15" s="155">
        <v>0</v>
      </c>
      <c r="N15" s="155">
        <v>0</v>
      </c>
      <c r="O15" s="155" t="s">
        <v>730</v>
      </c>
      <c r="P15" s="176" t="s">
        <v>730</v>
      </c>
      <c r="Q15" s="184" t="s">
        <v>730</v>
      </c>
      <c r="R15" s="155">
        <v>0</v>
      </c>
      <c r="S15" s="176">
        <v>0</v>
      </c>
      <c r="T15" s="182" t="e">
        <f>VLOOKUP(A15,#REF!,9,FALSE)</f>
        <v>#REF!</v>
      </c>
      <c r="U15" s="155" t="s">
        <v>632</v>
      </c>
      <c r="V15" s="155" t="s">
        <v>632</v>
      </c>
      <c r="W15" s="155">
        <v>0</v>
      </c>
      <c r="X15" s="155">
        <v>0</v>
      </c>
      <c r="Y15" s="183">
        <v>0</v>
      </c>
    </row>
    <row r="16" spans="1:25" ht="30">
      <c r="A16" s="179">
        <v>113352001</v>
      </c>
      <c r="B16" t="s">
        <v>771</v>
      </c>
      <c r="C16" t="s">
        <v>618</v>
      </c>
      <c r="D16" t="s">
        <v>753</v>
      </c>
      <c r="E16" t="s">
        <v>698</v>
      </c>
      <c r="F16" t="s">
        <v>1937</v>
      </c>
      <c r="G16" s="189" t="s">
        <v>771</v>
      </c>
      <c r="H16" s="180" t="s">
        <v>1938</v>
      </c>
      <c r="I16" s="176" t="s">
        <v>1926</v>
      </c>
      <c r="J16" s="181">
        <v>44697</v>
      </c>
      <c r="K16" s="140">
        <v>53827</v>
      </c>
      <c r="L16" s="155">
        <v>25</v>
      </c>
      <c r="M16" s="155">
        <v>0</v>
      </c>
      <c r="N16" s="155">
        <v>0</v>
      </c>
      <c r="O16" s="155" t="s">
        <v>730</v>
      </c>
      <c r="P16" s="176" t="s">
        <v>730</v>
      </c>
      <c r="Q16" s="182">
        <v>46522</v>
      </c>
      <c r="R16" s="155">
        <v>0</v>
      </c>
      <c r="S16" s="176">
        <v>12</v>
      </c>
      <c r="T16" s="182" t="e">
        <f>VLOOKUP(A16,#REF!,9,FALSE)</f>
        <v>#REF!</v>
      </c>
      <c r="U16" s="155" t="s">
        <v>518</v>
      </c>
      <c r="V16" s="155" t="s">
        <v>632</v>
      </c>
      <c r="W16" s="155">
        <v>0</v>
      </c>
      <c r="X16" s="155">
        <v>6</v>
      </c>
      <c r="Y16" s="183">
        <v>6</v>
      </c>
    </row>
    <row r="17" spans="1:25" ht="30">
      <c r="A17" s="179">
        <v>113352002</v>
      </c>
      <c r="B17" t="s">
        <v>773</v>
      </c>
      <c r="C17" t="s">
        <v>635</v>
      </c>
      <c r="D17" t="s">
        <v>753</v>
      </c>
      <c r="E17" t="s">
        <v>698</v>
      </c>
      <c r="F17" t="s">
        <v>1939</v>
      </c>
      <c r="G17" s="189" t="s">
        <v>773</v>
      </c>
      <c r="H17" s="180" t="s">
        <v>1940</v>
      </c>
      <c r="I17" s="176" t="s">
        <v>1926</v>
      </c>
      <c r="J17" s="181">
        <v>42324</v>
      </c>
      <c r="K17" s="140">
        <v>45976</v>
      </c>
      <c r="L17" s="155">
        <v>10</v>
      </c>
      <c r="M17" s="155">
        <v>0</v>
      </c>
      <c r="N17" s="155">
        <v>0</v>
      </c>
      <c r="O17" s="155" t="s">
        <v>730</v>
      </c>
      <c r="P17" s="176" t="s">
        <v>730</v>
      </c>
      <c r="Q17" s="182">
        <v>43420</v>
      </c>
      <c r="R17" s="155">
        <v>3</v>
      </c>
      <c r="S17" s="176">
        <v>6</v>
      </c>
      <c r="T17" s="182" t="e">
        <f>VLOOKUP(A17,#REF!,9,FALSE)</f>
        <v>#REF!</v>
      </c>
      <c r="U17" s="155" t="s">
        <v>632</v>
      </c>
      <c r="V17" s="155" t="s">
        <v>632</v>
      </c>
      <c r="W17" s="155">
        <v>0</v>
      </c>
      <c r="X17" s="155">
        <v>0</v>
      </c>
      <c r="Y17" s="183">
        <v>0</v>
      </c>
    </row>
    <row r="18" spans="1:25" ht="14.45" customHeight="1">
      <c r="A18" s="179">
        <v>122489021</v>
      </c>
      <c r="B18" t="s">
        <v>775</v>
      </c>
      <c r="C18" t="s">
        <v>618</v>
      </c>
      <c r="D18" t="s">
        <v>753</v>
      </c>
      <c r="E18" t="s">
        <v>698</v>
      </c>
      <c r="F18" t="s">
        <v>1941</v>
      </c>
      <c r="G18" s="155" t="s">
        <v>775</v>
      </c>
      <c r="H18" t="s">
        <v>1942</v>
      </c>
      <c r="I18" s="176" t="s">
        <v>1926</v>
      </c>
      <c r="J18" s="181">
        <v>45383</v>
      </c>
      <c r="K18" s="140">
        <v>46477</v>
      </c>
      <c r="L18" s="155">
        <v>3</v>
      </c>
      <c r="M18" s="155">
        <v>0</v>
      </c>
      <c r="N18" s="155">
        <v>0</v>
      </c>
      <c r="O18" s="155" t="s">
        <v>730</v>
      </c>
      <c r="P18" s="176" t="s">
        <v>730</v>
      </c>
      <c r="Q18" s="184" t="s">
        <v>730</v>
      </c>
      <c r="R18" s="155">
        <v>0</v>
      </c>
      <c r="S18" s="176">
        <v>3</v>
      </c>
      <c r="T18" s="182" t="e">
        <f>VLOOKUP(A18,#REF!,9,FALSE)</f>
        <v>#REF!</v>
      </c>
      <c r="U18" s="155" t="s">
        <v>518</v>
      </c>
      <c r="V18" s="155" t="s">
        <v>632</v>
      </c>
      <c r="W18" s="155">
        <v>0</v>
      </c>
      <c r="X18" s="155">
        <v>0</v>
      </c>
      <c r="Y18" s="183">
        <v>6</v>
      </c>
    </row>
    <row r="19" spans="1:25" ht="14.45" customHeight="1">
      <c r="A19" s="179">
        <v>122489022</v>
      </c>
      <c r="B19" t="s">
        <v>777</v>
      </c>
      <c r="C19" t="s">
        <v>618</v>
      </c>
      <c r="D19" t="s">
        <v>753</v>
      </c>
      <c r="E19" t="s">
        <v>698</v>
      </c>
      <c r="F19" s="180" t="s">
        <v>1943</v>
      </c>
      <c r="G19" s="189" t="s">
        <v>777</v>
      </c>
      <c r="H19" s="180" t="s">
        <v>1944</v>
      </c>
      <c r="I19" s="176" t="s">
        <v>1926</v>
      </c>
      <c r="J19" s="181">
        <v>45292</v>
      </c>
      <c r="K19" s="140">
        <v>46022</v>
      </c>
      <c r="L19" s="155">
        <v>2</v>
      </c>
      <c r="M19" s="155">
        <v>0</v>
      </c>
      <c r="N19" s="155">
        <v>0</v>
      </c>
      <c r="O19" s="155" t="s">
        <v>730</v>
      </c>
      <c r="P19" s="176" t="s">
        <v>730</v>
      </c>
      <c r="Q19" s="184" t="s">
        <v>730</v>
      </c>
      <c r="R19" s="155">
        <v>0</v>
      </c>
      <c r="S19" s="176">
        <v>3</v>
      </c>
      <c r="T19" s="182" t="e">
        <f>VLOOKUP(A19,#REF!,9,FALSE)</f>
        <v>#REF!</v>
      </c>
      <c r="U19" s="155" t="s">
        <v>518</v>
      </c>
      <c r="V19" s="155" t="s">
        <v>518</v>
      </c>
      <c r="W19" s="155">
        <v>0</v>
      </c>
      <c r="X19" s="155">
        <v>0</v>
      </c>
      <c r="Y19" s="183">
        <v>6</v>
      </c>
    </row>
    <row r="20" spans="1:25">
      <c r="A20" s="179">
        <v>122489023</v>
      </c>
      <c r="B20" t="s">
        <v>778</v>
      </c>
      <c r="C20" t="s">
        <v>618</v>
      </c>
      <c r="D20" t="s">
        <v>753</v>
      </c>
      <c r="E20" t="s">
        <v>698</v>
      </c>
      <c r="F20" t="s">
        <v>1945</v>
      </c>
      <c r="G20" s="155" t="e">
        <v>#N/A</v>
      </c>
      <c r="H20" t="e">
        <v>#N/A</v>
      </c>
      <c r="I20" s="176" t="s">
        <v>1928</v>
      </c>
      <c r="J20" s="181">
        <v>42430</v>
      </c>
      <c r="K20" t="s">
        <v>730</v>
      </c>
      <c r="L20" s="155">
        <v>0</v>
      </c>
      <c r="M20" s="155">
        <v>0</v>
      </c>
      <c r="N20" s="155">
        <v>0</v>
      </c>
      <c r="O20" s="155" t="s">
        <v>730</v>
      </c>
      <c r="P20" s="176" t="s">
        <v>730</v>
      </c>
      <c r="Q20" s="184" t="s">
        <v>730</v>
      </c>
      <c r="R20" s="155">
        <v>0</v>
      </c>
      <c r="S20" s="176">
        <v>0</v>
      </c>
      <c r="T20" s="182" t="e">
        <f>VLOOKUP(A20,#REF!,9,FALSE)</f>
        <v>#REF!</v>
      </c>
      <c r="U20" s="155" t="s">
        <v>632</v>
      </c>
      <c r="V20" s="155" t="s">
        <v>632</v>
      </c>
      <c r="W20" s="155">
        <v>0</v>
      </c>
      <c r="X20" s="155">
        <v>0</v>
      </c>
      <c r="Y20" s="183">
        <v>0</v>
      </c>
    </row>
    <row r="21" spans="1:25">
      <c r="A21" s="179">
        <v>122489024</v>
      </c>
      <c r="B21" t="s">
        <v>779</v>
      </c>
      <c r="C21" t="s">
        <v>618</v>
      </c>
      <c r="D21" t="s">
        <v>753</v>
      </c>
      <c r="E21" t="s">
        <v>698</v>
      </c>
      <c r="F21" t="s">
        <v>1946</v>
      </c>
      <c r="G21" s="155" t="e">
        <v>#N/A</v>
      </c>
      <c r="H21" t="e">
        <v>#N/A</v>
      </c>
      <c r="I21" s="176" t="s">
        <v>1928</v>
      </c>
      <c r="J21" s="181">
        <v>45292</v>
      </c>
      <c r="K21" s="140">
        <v>46387</v>
      </c>
      <c r="L21" s="155">
        <v>3</v>
      </c>
      <c r="M21" s="155">
        <v>0</v>
      </c>
      <c r="N21" s="155">
        <v>0</v>
      </c>
      <c r="O21" s="155" t="s">
        <v>730</v>
      </c>
      <c r="P21" s="176" t="s">
        <v>730</v>
      </c>
      <c r="Q21" s="184" t="s">
        <v>730</v>
      </c>
      <c r="R21" s="155">
        <v>0</v>
      </c>
      <c r="S21" s="176">
        <v>0</v>
      </c>
      <c r="T21" s="182" t="e">
        <f>VLOOKUP(A21,#REF!,9,FALSE)</f>
        <v>#REF!</v>
      </c>
      <c r="U21" s="155" t="s">
        <v>632</v>
      </c>
      <c r="V21" s="155" t="s">
        <v>632</v>
      </c>
      <c r="W21" s="155">
        <v>0</v>
      </c>
      <c r="X21" s="155">
        <v>6</v>
      </c>
      <c r="Y21" s="183">
        <v>0</v>
      </c>
    </row>
    <row r="22" spans="1:25" ht="14.45" customHeight="1">
      <c r="A22" s="179">
        <v>122489025</v>
      </c>
      <c r="B22" t="s">
        <v>781</v>
      </c>
      <c r="C22" t="s">
        <v>618</v>
      </c>
      <c r="D22" t="s">
        <v>753</v>
      </c>
      <c r="E22" t="s">
        <v>698</v>
      </c>
      <c r="F22" s="180" t="s">
        <v>1947</v>
      </c>
      <c r="G22" s="189" t="s">
        <v>781</v>
      </c>
      <c r="H22" s="180" t="s">
        <v>1948</v>
      </c>
      <c r="I22" s="176" t="s">
        <v>1926</v>
      </c>
      <c r="J22" s="181">
        <v>45658</v>
      </c>
      <c r="K22" s="140">
        <v>46477</v>
      </c>
      <c r="L22" s="155">
        <v>2</v>
      </c>
      <c r="M22" s="155">
        <v>3</v>
      </c>
      <c r="N22" s="155">
        <v>0</v>
      </c>
      <c r="O22" s="155" t="s">
        <v>730</v>
      </c>
      <c r="P22" s="176" t="s">
        <v>730</v>
      </c>
      <c r="Q22" s="184" t="s">
        <v>730</v>
      </c>
      <c r="R22" s="155">
        <v>0</v>
      </c>
      <c r="S22" s="176">
        <v>0</v>
      </c>
      <c r="T22" s="182" t="e">
        <f>VLOOKUP(A22,#REF!,9,FALSE)</f>
        <v>#REF!</v>
      </c>
      <c r="U22" s="155" t="s">
        <v>518</v>
      </c>
      <c r="V22" s="155" t="s">
        <v>518</v>
      </c>
      <c r="W22" s="155">
        <v>0</v>
      </c>
      <c r="X22" s="155">
        <v>6</v>
      </c>
      <c r="Y22" s="183">
        <v>0</v>
      </c>
    </row>
    <row r="23" spans="1:25">
      <c r="A23" s="179">
        <v>122489028</v>
      </c>
      <c r="B23" t="s">
        <v>783</v>
      </c>
      <c r="C23" t="s">
        <v>618</v>
      </c>
      <c r="D23" t="s">
        <v>753</v>
      </c>
      <c r="E23" t="s">
        <v>698</v>
      </c>
      <c r="F23" t="s">
        <v>1949</v>
      </c>
      <c r="G23" s="155" t="e">
        <v>#N/A</v>
      </c>
      <c r="H23" t="e">
        <v>#N/A</v>
      </c>
      <c r="I23" s="176" t="s">
        <v>1928</v>
      </c>
      <c r="J23" s="181">
        <v>44743</v>
      </c>
      <c r="K23" s="140">
        <v>45838</v>
      </c>
      <c r="L23" s="155">
        <v>3</v>
      </c>
      <c r="M23" s="155">
        <v>0</v>
      </c>
      <c r="N23" s="155">
        <v>0</v>
      </c>
      <c r="O23" s="155" t="s">
        <v>730</v>
      </c>
      <c r="P23" s="176" t="s">
        <v>730</v>
      </c>
      <c r="Q23" s="182">
        <v>45658</v>
      </c>
      <c r="R23" s="155">
        <v>0</v>
      </c>
      <c r="S23" s="176">
        <v>0</v>
      </c>
      <c r="T23" s="182" t="e">
        <f>VLOOKUP(A23,#REF!,9,FALSE)</f>
        <v>#REF!</v>
      </c>
      <c r="U23" s="155" t="s">
        <v>518</v>
      </c>
      <c r="V23" s="155" t="s">
        <v>518</v>
      </c>
      <c r="W23" s="155">
        <v>0</v>
      </c>
      <c r="X23" s="155">
        <v>6</v>
      </c>
      <c r="Y23" s="183">
        <v>0</v>
      </c>
    </row>
    <row r="24" spans="1:25" ht="14.45" customHeight="1">
      <c r="A24" s="179">
        <v>122489032</v>
      </c>
      <c r="B24" t="s">
        <v>785</v>
      </c>
      <c r="C24" t="s">
        <v>618</v>
      </c>
      <c r="D24" t="s">
        <v>753</v>
      </c>
      <c r="E24" t="s">
        <v>698</v>
      </c>
      <c r="F24" t="s">
        <v>1950</v>
      </c>
      <c r="G24" s="189" t="s">
        <v>785</v>
      </c>
      <c r="H24" s="180" t="s">
        <v>1951</v>
      </c>
      <c r="I24" s="176" t="s">
        <v>1926</v>
      </c>
      <c r="J24" s="181">
        <v>44927</v>
      </c>
      <c r="K24" s="140">
        <v>45657</v>
      </c>
      <c r="L24" s="155">
        <v>2</v>
      </c>
      <c r="M24" s="155">
        <v>0</v>
      </c>
      <c r="N24" s="155">
        <v>0</v>
      </c>
      <c r="O24" s="155" t="s">
        <v>730</v>
      </c>
      <c r="P24" s="176" t="s">
        <v>730</v>
      </c>
      <c r="Q24" s="184" t="s">
        <v>730</v>
      </c>
      <c r="R24" s="155">
        <v>0</v>
      </c>
      <c r="S24" s="176">
        <v>0</v>
      </c>
      <c r="T24" s="182" t="e">
        <f>VLOOKUP(A24,#REF!,9,FALSE)</f>
        <v>#REF!</v>
      </c>
      <c r="U24" s="155" t="s">
        <v>518</v>
      </c>
      <c r="V24" s="155" t="s">
        <v>518</v>
      </c>
      <c r="W24" s="155">
        <v>0</v>
      </c>
      <c r="X24" s="155">
        <v>6</v>
      </c>
      <c r="Y24" s="183">
        <v>0</v>
      </c>
    </row>
    <row r="25" spans="1:25" ht="30">
      <c r="A25" s="179">
        <v>122494014</v>
      </c>
      <c r="B25" t="s">
        <v>787</v>
      </c>
      <c r="C25" t="s">
        <v>618</v>
      </c>
      <c r="D25" t="s">
        <v>753</v>
      </c>
      <c r="E25" t="s">
        <v>698</v>
      </c>
      <c r="F25" t="s">
        <v>1952</v>
      </c>
      <c r="G25" s="189" t="s">
        <v>787</v>
      </c>
      <c r="H25" s="180" t="s">
        <v>1953</v>
      </c>
      <c r="I25" s="176" t="s">
        <v>1926</v>
      </c>
      <c r="J25" s="181">
        <v>45292</v>
      </c>
      <c r="K25" s="140">
        <v>46022</v>
      </c>
      <c r="L25" s="155">
        <v>2</v>
      </c>
      <c r="M25" s="155">
        <v>0</v>
      </c>
      <c r="N25" s="155">
        <v>0</v>
      </c>
      <c r="O25" s="155" t="s">
        <v>730</v>
      </c>
      <c r="P25" s="176" t="s">
        <v>730</v>
      </c>
      <c r="Q25" s="184" t="s">
        <v>730</v>
      </c>
      <c r="R25" s="155">
        <v>0</v>
      </c>
      <c r="S25" s="176">
        <v>0</v>
      </c>
      <c r="T25" s="182" t="e">
        <f>VLOOKUP(A25,#REF!,9,FALSE)</f>
        <v>#REF!</v>
      </c>
      <c r="U25" s="155" t="s">
        <v>518</v>
      </c>
      <c r="V25" s="155" t="s">
        <v>518</v>
      </c>
      <c r="W25" s="155">
        <v>0</v>
      </c>
      <c r="X25" s="155">
        <v>6</v>
      </c>
      <c r="Y25" s="183">
        <v>0</v>
      </c>
    </row>
    <row r="26" spans="1:25" ht="14.45" customHeight="1">
      <c r="A26" s="179">
        <v>122494018</v>
      </c>
      <c r="B26" t="s">
        <v>789</v>
      </c>
      <c r="C26" t="s">
        <v>618</v>
      </c>
      <c r="D26" t="s">
        <v>753</v>
      </c>
      <c r="E26" t="s">
        <v>698</v>
      </c>
      <c r="F26" s="180" t="s">
        <v>1954</v>
      </c>
      <c r="G26" s="189" t="s">
        <v>804</v>
      </c>
      <c r="H26" s="180" t="s">
        <v>1955</v>
      </c>
      <c r="I26" s="176" t="s">
        <v>1926</v>
      </c>
      <c r="J26" s="181">
        <v>45292</v>
      </c>
      <c r="K26" s="140">
        <v>46112</v>
      </c>
      <c r="L26" s="155">
        <v>2</v>
      </c>
      <c r="M26" s="155">
        <v>3</v>
      </c>
      <c r="N26" s="155">
        <v>0</v>
      </c>
      <c r="O26" s="155" t="s">
        <v>730</v>
      </c>
      <c r="P26" s="176" t="s">
        <v>730</v>
      </c>
      <c r="Q26" s="182">
        <v>45658</v>
      </c>
      <c r="R26" s="155">
        <v>0</v>
      </c>
      <c r="S26" s="176">
        <v>0</v>
      </c>
      <c r="T26" s="182" t="e">
        <f>VLOOKUP(A26,#REF!,9,FALSE)</f>
        <v>#REF!</v>
      </c>
      <c r="U26" s="155" t="s">
        <v>518</v>
      </c>
      <c r="V26" s="155" t="s">
        <v>518</v>
      </c>
      <c r="W26" s="155">
        <v>0</v>
      </c>
      <c r="X26" s="155">
        <v>6</v>
      </c>
      <c r="Y26" s="183">
        <v>6</v>
      </c>
    </row>
    <row r="27" spans="1:25" ht="14.45" customHeight="1">
      <c r="A27" s="179">
        <v>122494019</v>
      </c>
      <c r="B27" t="s">
        <v>791</v>
      </c>
      <c r="C27" t="s">
        <v>618</v>
      </c>
      <c r="D27" t="s">
        <v>753</v>
      </c>
      <c r="E27" t="s">
        <v>698</v>
      </c>
      <c r="F27" s="180" t="s">
        <v>1956</v>
      </c>
      <c r="G27" s="189" t="s">
        <v>791</v>
      </c>
      <c r="H27" s="180" t="s">
        <v>1957</v>
      </c>
      <c r="I27" s="176" t="s">
        <v>1926</v>
      </c>
      <c r="J27" s="181">
        <v>44442</v>
      </c>
      <c r="K27" s="140">
        <v>45291</v>
      </c>
      <c r="L27" s="155">
        <v>2</v>
      </c>
      <c r="M27" s="155">
        <v>3</v>
      </c>
      <c r="N27" s="155">
        <v>29</v>
      </c>
      <c r="O27" s="155" t="s">
        <v>730</v>
      </c>
      <c r="P27" s="176" t="s">
        <v>730</v>
      </c>
      <c r="Q27" s="184" t="s">
        <v>730</v>
      </c>
      <c r="R27" s="155">
        <v>0</v>
      </c>
      <c r="S27" s="176">
        <v>0</v>
      </c>
      <c r="T27" s="182" t="e">
        <f>VLOOKUP(A27,#REF!,9,FALSE)</f>
        <v>#REF!</v>
      </c>
      <c r="U27" s="155" t="s">
        <v>518</v>
      </c>
      <c r="V27" s="155" t="s">
        <v>632</v>
      </c>
      <c r="W27" s="155">
        <v>0</v>
      </c>
      <c r="X27" s="155">
        <v>6</v>
      </c>
      <c r="Y27" s="183">
        <v>3</v>
      </c>
    </row>
    <row r="28" spans="1:25">
      <c r="A28" s="179">
        <v>122494021</v>
      </c>
      <c r="B28" t="s">
        <v>792</v>
      </c>
      <c r="C28" t="s">
        <v>618</v>
      </c>
      <c r="D28" t="s">
        <v>753</v>
      </c>
      <c r="E28" t="s">
        <v>698</v>
      </c>
      <c r="F28" t="s">
        <v>1958</v>
      </c>
      <c r="G28" s="155" t="e">
        <v>#N/A</v>
      </c>
      <c r="H28" t="e">
        <v>#N/A</v>
      </c>
      <c r="I28" s="176" t="s">
        <v>1928</v>
      </c>
      <c r="J28" s="181">
        <v>45292</v>
      </c>
      <c r="K28" s="140">
        <v>46112</v>
      </c>
      <c r="L28" s="155">
        <v>2</v>
      </c>
      <c r="M28" s="155">
        <v>3</v>
      </c>
      <c r="N28" s="155">
        <v>0</v>
      </c>
      <c r="O28" s="155" t="s">
        <v>730</v>
      </c>
      <c r="P28" s="176" t="s">
        <v>730</v>
      </c>
      <c r="Q28" s="184" t="s">
        <v>730</v>
      </c>
      <c r="R28" s="155">
        <v>0</v>
      </c>
      <c r="S28" s="176">
        <v>0</v>
      </c>
      <c r="T28" s="182" t="e">
        <f>VLOOKUP(A28,#REF!,9,FALSE)</f>
        <v>#REF!</v>
      </c>
      <c r="U28" s="155" t="s">
        <v>518</v>
      </c>
      <c r="V28" s="155" t="s">
        <v>518</v>
      </c>
      <c r="W28" s="155">
        <v>0</v>
      </c>
      <c r="X28" s="155">
        <v>0</v>
      </c>
      <c r="Y28" s="183">
        <v>3</v>
      </c>
    </row>
    <row r="29" spans="1:25">
      <c r="A29" s="179">
        <v>122494022</v>
      </c>
      <c r="B29" t="s">
        <v>793</v>
      </c>
      <c r="C29" t="s">
        <v>618</v>
      </c>
      <c r="D29" t="s">
        <v>753</v>
      </c>
      <c r="E29" t="s">
        <v>698</v>
      </c>
      <c r="F29" t="s">
        <v>1958</v>
      </c>
      <c r="G29" s="155" t="e">
        <v>#N/A</v>
      </c>
      <c r="H29" t="e">
        <v>#N/A</v>
      </c>
      <c r="I29" s="176" t="s">
        <v>1928</v>
      </c>
      <c r="J29" s="181">
        <v>43831</v>
      </c>
      <c r="K29" s="140">
        <v>45291</v>
      </c>
      <c r="L29" s="155">
        <v>4</v>
      </c>
      <c r="M29" s="155">
        <v>0</v>
      </c>
      <c r="N29" s="155">
        <v>0</v>
      </c>
      <c r="O29" s="155" t="s">
        <v>730</v>
      </c>
      <c r="P29" s="176" t="s">
        <v>730</v>
      </c>
      <c r="Q29" s="184" t="s">
        <v>730</v>
      </c>
      <c r="R29" s="155">
        <v>0</v>
      </c>
      <c r="S29" s="176">
        <v>0</v>
      </c>
      <c r="T29" s="182" t="e">
        <f>VLOOKUP(A29,#REF!,9,FALSE)</f>
        <v>#REF!</v>
      </c>
      <c r="U29" s="155" t="s">
        <v>632</v>
      </c>
      <c r="V29" s="155" t="s">
        <v>632</v>
      </c>
      <c r="W29" s="155">
        <v>0</v>
      </c>
      <c r="X29" s="155">
        <v>0</v>
      </c>
      <c r="Y29" s="183">
        <v>0</v>
      </c>
    </row>
    <row r="30" spans="1:25">
      <c r="A30" s="179">
        <v>122494025</v>
      </c>
      <c r="B30" t="s">
        <v>795</v>
      </c>
      <c r="C30" t="s">
        <v>618</v>
      </c>
      <c r="D30" t="s">
        <v>753</v>
      </c>
      <c r="E30" t="s">
        <v>698</v>
      </c>
      <c r="F30" t="s">
        <v>1959</v>
      </c>
      <c r="G30" s="155" t="e">
        <v>#N/A</v>
      </c>
      <c r="H30" t="e">
        <v>#N/A</v>
      </c>
      <c r="I30" s="176" t="s">
        <v>1928</v>
      </c>
      <c r="J30" s="181">
        <v>44927</v>
      </c>
      <c r="K30" s="140">
        <v>46022</v>
      </c>
      <c r="L30" s="155">
        <v>3</v>
      </c>
      <c r="M30" s="155">
        <v>0</v>
      </c>
      <c r="N30" s="155">
        <v>0</v>
      </c>
      <c r="O30" s="155" t="s">
        <v>730</v>
      </c>
      <c r="P30" s="176" t="s">
        <v>730</v>
      </c>
      <c r="Q30" s="184" t="s">
        <v>730</v>
      </c>
      <c r="R30" s="155">
        <v>0</v>
      </c>
      <c r="S30" s="176">
        <v>0</v>
      </c>
      <c r="T30" s="182" t="e">
        <f>VLOOKUP(A30,#REF!,9,FALSE)</f>
        <v>#REF!</v>
      </c>
      <c r="U30" s="155" t="s">
        <v>632</v>
      </c>
      <c r="V30" s="155" t="s">
        <v>632</v>
      </c>
      <c r="W30" s="155">
        <v>0</v>
      </c>
      <c r="X30" s="155">
        <v>0</v>
      </c>
      <c r="Y30" s="183">
        <v>0</v>
      </c>
    </row>
    <row r="31" spans="1:25">
      <c r="A31" s="179">
        <v>122494026</v>
      </c>
      <c r="B31" t="s">
        <v>796</v>
      </c>
      <c r="C31" t="s">
        <v>618</v>
      </c>
      <c r="D31" t="s">
        <v>753</v>
      </c>
      <c r="E31" t="s">
        <v>698</v>
      </c>
      <c r="F31" t="s">
        <v>1960</v>
      </c>
      <c r="G31" s="155" t="e">
        <v>#N/A</v>
      </c>
      <c r="H31" t="e">
        <v>#N/A</v>
      </c>
      <c r="I31" s="176" t="s">
        <v>1928</v>
      </c>
      <c r="J31" s="181">
        <v>45149</v>
      </c>
      <c r="K31" s="140">
        <v>45879</v>
      </c>
      <c r="L31" s="155">
        <v>2</v>
      </c>
      <c r="M31" s="155">
        <v>0</v>
      </c>
      <c r="N31" s="155">
        <v>0</v>
      </c>
      <c r="O31" s="155" t="s">
        <v>730</v>
      </c>
      <c r="P31" s="176" t="s">
        <v>730</v>
      </c>
      <c r="Q31" s="184" t="s">
        <v>730</v>
      </c>
      <c r="R31" s="155">
        <v>0</v>
      </c>
      <c r="S31" s="176">
        <v>0</v>
      </c>
      <c r="T31" s="182" t="e">
        <f>VLOOKUP(A31,#REF!,9,FALSE)</f>
        <v>#REF!</v>
      </c>
      <c r="U31" s="155" t="s">
        <v>518</v>
      </c>
      <c r="V31" s="155" t="s">
        <v>518</v>
      </c>
      <c r="W31" s="155">
        <v>0</v>
      </c>
      <c r="X31" s="155">
        <v>6</v>
      </c>
      <c r="Y31" s="183">
        <v>3</v>
      </c>
    </row>
    <row r="32" spans="1:25" ht="14.45" customHeight="1">
      <c r="A32" s="179">
        <v>122494027</v>
      </c>
      <c r="B32" t="s">
        <v>798</v>
      </c>
      <c r="C32" t="s">
        <v>618</v>
      </c>
      <c r="D32" t="s">
        <v>753</v>
      </c>
      <c r="E32" t="s">
        <v>698</v>
      </c>
      <c r="F32" s="180" t="s">
        <v>1961</v>
      </c>
      <c r="G32" s="189" t="s">
        <v>798</v>
      </c>
      <c r="I32" s="176" t="s">
        <v>1928</v>
      </c>
      <c r="J32" s="181">
        <v>45658</v>
      </c>
      <c r="K32" s="140">
        <v>46112</v>
      </c>
      <c r="L32" s="155">
        <v>1</v>
      </c>
      <c r="M32" s="155">
        <v>3</v>
      </c>
      <c r="N32" s="155">
        <v>0</v>
      </c>
      <c r="O32" s="155" t="s">
        <v>730</v>
      </c>
      <c r="P32" s="176" t="s">
        <v>730</v>
      </c>
      <c r="Q32" s="184" t="s">
        <v>730</v>
      </c>
      <c r="R32" s="155">
        <v>0</v>
      </c>
      <c r="S32" s="176">
        <v>0</v>
      </c>
      <c r="T32" s="182" t="e">
        <f>VLOOKUP(A32,#REF!,9,FALSE)</f>
        <v>#REF!</v>
      </c>
      <c r="U32" s="155" t="s">
        <v>518</v>
      </c>
      <c r="V32" s="155" t="s">
        <v>518</v>
      </c>
      <c r="W32" s="155">
        <v>0</v>
      </c>
      <c r="X32" s="155">
        <v>6</v>
      </c>
      <c r="Y32" s="183">
        <v>0</v>
      </c>
    </row>
    <row r="33" spans="1:25">
      <c r="A33" s="179">
        <v>122494028</v>
      </c>
      <c r="B33" t="s">
        <v>799</v>
      </c>
      <c r="C33" t="s">
        <v>618</v>
      </c>
      <c r="D33" t="s">
        <v>753</v>
      </c>
      <c r="E33" t="s">
        <v>698</v>
      </c>
      <c r="F33" t="s">
        <v>1962</v>
      </c>
      <c r="G33" s="155" t="e">
        <v>#N/A</v>
      </c>
      <c r="H33" t="e">
        <v>#N/A</v>
      </c>
      <c r="I33" s="176" t="s">
        <v>1928</v>
      </c>
      <c r="J33" s="181">
        <v>45177</v>
      </c>
      <c r="K33" s="140">
        <v>46082</v>
      </c>
      <c r="L33" s="155">
        <v>2</v>
      </c>
      <c r="M33" s="155">
        <v>5</v>
      </c>
      <c r="N33" s="155">
        <v>22</v>
      </c>
      <c r="O33" s="155" t="s">
        <v>730</v>
      </c>
      <c r="P33" s="176" t="s">
        <v>730</v>
      </c>
      <c r="Q33" s="182">
        <v>45908</v>
      </c>
      <c r="R33" s="155">
        <v>0</v>
      </c>
      <c r="S33" s="176">
        <v>0</v>
      </c>
      <c r="T33" s="182" t="e">
        <f>VLOOKUP(A33,#REF!,9,FALSE)</f>
        <v>#REF!</v>
      </c>
      <c r="U33" s="155" t="s">
        <v>518</v>
      </c>
      <c r="V33" s="155" t="s">
        <v>518</v>
      </c>
      <c r="W33" s="155">
        <v>0</v>
      </c>
      <c r="X33" s="155">
        <v>6</v>
      </c>
      <c r="Y33" s="183">
        <v>0</v>
      </c>
    </row>
    <row r="34" spans="1:25" ht="14.45" customHeight="1">
      <c r="A34" s="179">
        <v>122494029</v>
      </c>
      <c r="B34" t="s">
        <v>801</v>
      </c>
      <c r="C34" t="s">
        <v>618</v>
      </c>
      <c r="D34" t="s">
        <v>753</v>
      </c>
      <c r="E34" t="s">
        <v>698</v>
      </c>
      <c r="F34" t="s">
        <v>1963</v>
      </c>
      <c r="G34" s="189" t="s">
        <v>801</v>
      </c>
      <c r="H34" s="180" t="s">
        <v>1964</v>
      </c>
      <c r="I34" s="176" t="s">
        <v>1926</v>
      </c>
      <c r="J34" s="181">
        <v>42200</v>
      </c>
      <c r="K34" t="s">
        <v>730</v>
      </c>
      <c r="L34" s="155">
        <v>0</v>
      </c>
      <c r="M34" s="155">
        <v>0</v>
      </c>
      <c r="N34" s="155">
        <v>0</v>
      </c>
      <c r="O34" s="155" t="s">
        <v>730</v>
      </c>
      <c r="P34" s="176" t="s">
        <v>730</v>
      </c>
      <c r="Q34" s="184" t="s">
        <v>730</v>
      </c>
      <c r="R34" s="155">
        <v>0</v>
      </c>
      <c r="S34" s="176">
        <v>0</v>
      </c>
      <c r="T34" s="182" t="e">
        <f>VLOOKUP(A34,#REF!,9,FALSE)</f>
        <v>#REF!</v>
      </c>
      <c r="U34" s="155" t="s">
        <v>632</v>
      </c>
      <c r="V34" s="155" t="s">
        <v>632</v>
      </c>
      <c r="W34" s="155">
        <v>0</v>
      </c>
      <c r="X34" s="155">
        <v>0</v>
      </c>
      <c r="Y34" s="183">
        <v>0</v>
      </c>
    </row>
    <row r="35" spans="1:25">
      <c r="A35" s="179">
        <v>122494036</v>
      </c>
      <c r="B35" t="s">
        <v>802</v>
      </c>
      <c r="C35" t="s">
        <v>618</v>
      </c>
      <c r="D35" t="s">
        <v>753</v>
      </c>
      <c r="E35" t="s">
        <v>698</v>
      </c>
      <c r="F35" t="s">
        <v>1965</v>
      </c>
      <c r="G35" s="155" t="e">
        <v>#N/A</v>
      </c>
      <c r="H35" t="e">
        <v>#N/A</v>
      </c>
      <c r="I35" s="176" t="s">
        <v>1928</v>
      </c>
      <c r="J35" s="181">
        <v>45292</v>
      </c>
      <c r="K35" s="140">
        <v>46112</v>
      </c>
      <c r="L35" s="155">
        <v>2</v>
      </c>
      <c r="M35" s="155">
        <v>3</v>
      </c>
      <c r="N35" s="155">
        <v>0</v>
      </c>
      <c r="O35" s="155" t="s">
        <v>730</v>
      </c>
      <c r="P35" s="176" t="s">
        <v>730</v>
      </c>
      <c r="Q35" s="184" t="s">
        <v>730</v>
      </c>
      <c r="R35" s="155">
        <v>0</v>
      </c>
      <c r="S35" s="176">
        <v>0</v>
      </c>
      <c r="T35" s="182" t="e">
        <f>VLOOKUP(A35,#REF!,9,FALSE)</f>
        <v>#REF!</v>
      </c>
      <c r="U35" s="155" t="s">
        <v>518</v>
      </c>
      <c r="V35" s="155" t="s">
        <v>632</v>
      </c>
      <c r="W35" s="155">
        <v>0</v>
      </c>
      <c r="X35" s="155">
        <v>6</v>
      </c>
      <c r="Y35" s="183">
        <v>3</v>
      </c>
    </row>
    <row r="36" spans="1:25" ht="30">
      <c r="A36" s="179">
        <v>122494041</v>
      </c>
      <c r="B36" t="s">
        <v>804</v>
      </c>
      <c r="C36" t="s">
        <v>618</v>
      </c>
      <c r="D36" t="s">
        <v>753</v>
      </c>
      <c r="E36" t="s">
        <v>698</v>
      </c>
      <c r="F36" s="180" t="s">
        <v>1966</v>
      </c>
      <c r="G36" s="189" t="s">
        <v>804</v>
      </c>
      <c r="H36" s="180" t="s">
        <v>1955</v>
      </c>
      <c r="I36" s="176" t="s">
        <v>1926</v>
      </c>
      <c r="J36" s="181">
        <v>43261</v>
      </c>
      <c r="K36" s="140">
        <v>44721</v>
      </c>
      <c r="L36" s="155">
        <v>4</v>
      </c>
      <c r="M36" s="155">
        <v>0</v>
      </c>
      <c r="N36" s="155">
        <v>0</v>
      </c>
      <c r="O36" s="155" t="s">
        <v>730</v>
      </c>
      <c r="P36" s="176" t="s">
        <v>730</v>
      </c>
      <c r="Q36" s="184" t="s">
        <v>730</v>
      </c>
      <c r="R36" s="155">
        <v>0</v>
      </c>
      <c r="S36" s="176">
        <v>0</v>
      </c>
      <c r="T36" s="182" t="e">
        <f>VLOOKUP(A36,#REF!,9,FALSE)</f>
        <v>#REF!</v>
      </c>
      <c r="U36" s="155" t="s">
        <v>632</v>
      </c>
      <c r="V36" s="155" t="s">
        <v>632</v>
      </c>
      <c r="W36" s="155">
        <v>0</v>
      </c>
      <c r="X36" s="155">
        <v>0</v>
      </c>
      <c r="Y36" s="183">
        <v>0</v>
      </c>
    </row>
    <row r="37" spans="1:25">
      <c r="A37" s="179">
        <v>122494044</v>
      </c>
      <c r="B37" t="s">
        <v>795</v>
      </c>
      <c r="C37" t="s">
        <v>618</v>
      </c>
      <c r="D37" t="s">
        <v>753</v>
      </c>
      <c r="E37" t="s">
        <v>698</v>
      </c>
      <c r="F37" t="s">
        <v>1967</v>
      </c>
      <c r="G37" s="155" t="e">
        <v>#N/A</v>
      </c>
      <c r="H37" t="e">
        <v>#N/A</v>
      </c>
      <c r="I37" s="176" t="s">
        <v>1928</v>
      </c>
      <c r="J37" s="181">
        <v>45292</v>
      </c>
      <c r="K37" s="140">
        <v>46112</v>
      </c>
      <c r="L37" s="155">
        <v>2</v>
      </c>
      <c r="M37" s="155">
        <v>3</v>
      </c>
      <c r="N37" s="155">
        <v>0</v>
      </c>
      <c r="O37" s="155" t="s">
        <v>730</v>
      </c>
      <c r="P37" s="176" t="s">
        <v>730</v>
      </c>
      <c r="Q37" s="182">
        <v>45658</v>
      </c>
      <c r="R37" s="155">
        <v>0</v>
      </c>
      <c r="S37" s="176">
        <v>0</v>
      </c>
      <c r="T37" s="182" t="e">
        <f>VLOOKUP(A37,#REF!,9,FALSE)</f>
        <v>#REF!</v>
      </c>
      <c r="U37" s="155" t="s">
        <v>518</v>
      </c>
      <c r="V37" s="155" t="s">
        <v>632</v>
      </c>
      <c r="W37" s="155">
        <v>0</v>
      </c>
      <c r="X37" s="155">
        <v>3</v>
      </c>
      <c r="Y37" s="183">
        <v>0</v>
      </c>
    </row>
    <row r="38" spans="1:25" ht="14.45" customHeight="1">
      <c r="A38" s="179">
        <v>122495021</v>
      </c>
      <c r="B38" t="s">
        <v>806</v>
      </c>
      <c r="C38" t="s">
        <v>618</v>
      </c>
      <c r="D38" t="s">
        <v>753</v>
      </c>
      <c r="E38" t="s">
        <v>698</v>
      </c>
      <c r="F38" t="s">
        <v>1968</v>
      </c>
      <c r="G38" s="189" t="s">
        <v>806</v>
      </c>
      <c r="H38" s="180" t="s">
        <v>1969</v>
      </c>
      <c r="I38" s="176" t="s">
        <v>1926</v>
      </c>
      <c r="J38" s="181">
        <v>45658</v>
      </c>
      <c r="K38" s="140">
        <v>46022</v>
      </c>
      <c r="L38" s="155">
        <v>1</v>
      </c>
      <c r="M38" s="155">
        <v>0</v>
      </c>
      <c r="N38" s="155">
        <v>0</v>
      </c>
      <c r="O38" s="155" t="s">
        <v>730</v>
      </c>
      <c r="P38" s="176" t="s">
        <v>730</v>
      </c>
      <c r="Q38" s="184" t="s">
        <v>730</v>
      </c>
      <c r="R38" s="155">
        <v>0</v>
      </c>
      <c r="S38" s="176">
        <v>0</v>
      </c>
      <c r="T38" s="182" t="e">
        <f>VLOOKUP(A38,#REF!,9,FALSE)</f>
        <v>#REF!</v>
      </c>
      <c r="U38" s="155" t="s">
        <v>518</v>
      </c>
      <c r="V38" s="155" t="s">
        <v>518</v>
      </c>
      <c r="W38" s="155">
        <v>0</v>
      </c>
      <c r="X38" s="155">
        <v>1</v>
      </c>
      <c r="Y38" s="183">
        <v>0</v>
      </c>
    </row>
    <row r="39" spans="1:25" ht="14.45" customHeight="1">
      <c r="A39" s="179">
        <v>122495023</v>
      </c>
      <c r="B39" t="s">
        <v>808</v>
      </c>
      <c r="C39" t="s">
        <v>618</v>
      </c>
      <c r="D39" t="s">
        <v>753</v>
      </c>
      <c r="E39" t="s">
        <v>698</v>
      </c>
      <c r="F39" t="s">
        <v>1970</v>
      </c>
      <c r="G39" s="189" t="s">
        <v>808</v>
      </c>
      <c r="H39" s="180" t="s">
        <v>1971</v>
      </c>
      <c r="I39" s="176" t="s">
        <v>1926</v>
      </c>
      <c r="J39" s="181">
        <v>45139</v>
      </c>
      <c r="K39" s="140">
        <v>45657</v>
      </c>
      <c r="L39" s="155">
        <v>1</v>
      </c>
      <c r="M39" s="155">
        <v>5</v>
      </c>
      <c r="N39" s="155">
        <v>0</v>
      </c>
      <c r="O39" s="155" t="s">
        <v>730</v>
      </c>
      <c r="P39" s="176" t="s">
        <v>730</v>
      </c>
      <c r="Q39" s="184" t="s">
        <v>730</v>
      </c>
      <c r="R39" s="155">
        <v>0</v>
      </c>
      <c r="S39" s="176">
        <v>0</v>
      </c>
      <c r="T39" s="182" t="e">
        <f>VLOOKUP(A39,#REF!,9,FALSE)</f>
        <v>#REF!</v>
      </c>
      <c r="U39" s="155" t="s">
        <v>518</v>
      </c>
      <c r="V39" s="155" t="s">
        <v>518</v>
      </c>
      <c r="W39" s="155">
        <v>0</v>
      </c>
      <c r="X39" s="155">
        <v>0</v>
      </c>
      <c r="Y39" s="183">
        <v>0</v>
      </c>
    </row>
    <row r="40" spans="1:25">
      <c r="A40" s="179">
        <v>122495025</v>
      </c>
      <c r="B40" t="s">
        <v>810</v>
      </c>
      <c r="C40" t="s">
        <v>618</v>
      </c>
      <c r="D40" t="s">
        <v>753</v>
      </c>
      <c r="E40" t="s">
        <v>698</v>
      </c>
      <c r="F40" t="s">
        <v>1958</v>
      </c>
      <c r="G40" s="155" t="e">
        <v>#N/A</v>
      </c>
      <c r="H40" t="e">
        <v>#N/A</v>
      </c>
      <c r="I40" s="176" t="s">
        <v>1928</v>
      </c>
      <c r="J40" s="181">
        <v>45292</v>
      </c>
      <c r="K40" s="140">
        <v>45930</v>
      </c>
      <c r="L40" s="155">
        <v>1</v>
      </c>
      <c r="M40" s="155">
        <v>9</v>
      </c>
      <c r="N40" s="155">
        <v>0</v>
      </c>
      <c r="O40" s="155" t="s">
        <v>730</v>
      </c>
      <c r="P40" s="176" t="s">
        <v>730</v>
      </c>
      <c r="Q40" s="184" t="s">
        <v>730</v>
      </c>
      <c r="R40" s="155">
        <v>0</v>
      </c>
      <c r="S40" s="176">
        <v>0</v>
      </c>
      <c r="T40" s="182" t="e">
        <f>VLOOKUP(A40,#REF!,9,FALSE)</f>
        <v>#REF!</v>
      </c>
      <c r="U40" s="155" t="s">
        <v>518</v>
      </c>
      <c r="V40" s="155" t="s">
        <v>518</v>
      </c>
      <c r="W40" s="155">
        <v>0</v>
      </c>
      <c r="X40" s="155">
        <v>0</v>
      </c>
      <c r="Y40" s="183">
        <v>3</v>
      </c>
    </row>
    <row r="41" spans="1:25">
      <c r="A41" s="179">
        <v>122495033</v>
      </c>
      <c r="B41" t="s">
        <v>988</v>
      </c>
      <c r="C41" t="s">
        <v>618</v>
      </c>
      <c r="D41" t="s">
        <v>989</v>
      </c>
      <c r="E41" t="s">
        <v>698</v>
      </c>
      <c r="F41" t="s">
        <v>1972</v>
      </c>
      <c r="G41" s="155" t="e">
        <v>#N/A</v>
      </c>
      <c r="H41" t="e">
        <v>#N/A</v>
      </c>
      <c r="I41" s="176" t="s">
        <v>1928</v>
      </c>
      <c r="J41" s="181">
        <v>45658</v>
      </c>
      <c r="K41" s="140">
        <v>46022</v>
      </c>
      <c r="L41" s="155">
        <v>1</v>
      </c>
      <c r="M41" s="155">
        <v>0</v>
      </c>
      <c r="N41" s="155">
        <v>0</v>
      </c>
      <c r="O41" s="155" t="s">
        <v>730</v>
      </c>
      <c r="P41" s="176" t="s">
        <v>730</v>
      </c>
      <c r="Q41" s="184" t="s">
        <v>730</v>
      </c>
      <c r="R41" s="155">
        <v>0</v>
      </c>
      <c r="S41" s="176">
        <v>0</v>
      </c>
      <c r="T41" s="182" t="e">
        <f>VLOOKUP(A41,#REF!,9,FALSE)</f>
        <v>#REF!</v>
      </c>
      <c r="U41" s="155" t="s">
        <v>518</v>
      </c>
      <c r="V41" s="155" t="s">
        <v>518</v>
      </c>
      <c r="W41" s="155">
        <v>0</v>
      </c>
      <c r="X41" s="155">
        <v>3</v>
      </c>
      <c r="Y41" s="183">
        <v>0</v>
      </c>
    </row>
    <row r="42" spans="1:25" ht="14.45" customHeight="1">
      <c r="A42" s="179">
        <v>122497011</v>
      </c>
      <c r="B42" t="s">
        <v>812</v>
      </c>
      <c r="C42" t="s">
        <v>618</v>
      </c>
      <c r="D42" t="s">
        <v>753</v>
      </c>
      <c r="E42" t="s">
        <v>698</v>
      </c>
      <c r="F42" t="s">
        <v>1973</v>
      </c>
      <c r="G42" s="189" t="s">
        <v>1974</v>
      </c>
      <c r="H42" s="180" t="s">
        <v>1975</v>
      </c>
      <c r="I42" s="176" t="s">
        <v>1926</v>
      </c>
      <c r="J42" s="181">
        <v>45383</v>
      </c>
      <c r="K42" s="140">
        <v>46064</v>
      </c>
      <c r="L42" s="155">
        <v>1</v>
      </c>
      <c r="M42" s="155">
        <v>10</v>
      </c>
      <c r="N42" s="155">
        <v>11</v>
      </c>
      <c r="O42" s="155" t="s">
        <v>730</v>
      </c>
      <c r="P42" s="176" t="s">
        <v>730</v>
      </c>
      <c r="Q42" s="182">
        <v>45700</v>
      </c>
      <c r="R42" s="155">
        <v>0</v>
      </c>
      <c r="S42" s="176">
        <v>0</v>
      </c>
      <c r="T42" s="182" t="e">
        <f>VLOOKUP(A42,#REF!,9,FALSE)</f>
        <v>#REF!</v>
      </c>
      <c r="U42" s="155" t="s">
        <v>518</v>
      </c>
      <c r="V42" s="155" t="s">
        <v>518</v>
      </c>
      <c r="W42" s="155">
        <v>0</v>
      </c>
      <c r="X42" s="155">
        <v>0</v>
      </c>
      <c r="Y42" s="183">
        <v>0</v>
      </c>
    </row>
    <row r="43" spans="1:25">
      <c r="A43" s="179">
        <v>122498004</v>
      </c>
      <c r="B43" t="s">
        <v>814</v>
      </c>
      <c r="C43" t="s">
        <v>618</v>
      </c>
      <c r="D43" t="s">
        <v>753</v>
      </c>
      <c r="E43" t="s">
        <v>698</v>
      </c>
      <c r="F43" t="s">
        <v>1976</v>
      </c>
      <c r="G43" s="155" t="e">
        <v>#N/A</v>
      </c>
      <c r="H43" t="e">
        <v>#N/A</v>
      </c>
      <c r="I43" s="176" t="s">
        <v>1928</v>
      </c>
      <c r="J43" s="181">
        <v>44549</v>
      </c>
      <c r="K43" s="140">
        <v>46374</v>
      </c>
      <c r="L43" s="155">
        <v>5</v>
      </c>
      <c r="M43" s="155">
        <v>0</v>
      </c>
      <c r="N43" s="155">
        <v>0</v>
      </c>
      <c r="O43" s="155" t="s">
        <v>730</v>
      </c>
      <c r="P43" s="176" t="s">
        <v>730</v>
      </c>
      <c r="Q43" s="182">
        <v>45645</v>
      </c>
      <c r="R43" s="155">
        <v>1</v>
      </c>
      <c r="S43" s="176">
        <v>6</v>
      </c>
      <c r="T43" s="182" t="e">
        <f>VLOOKUP(A43,#REF!,9,FALSE)</f>
        <v>#REF!</v>
      </c>
      <c r="U43" s="155" t="s">
        <v>518</v>
      </c>
      <c r="V43" s="155" t="s">
        <v>518</v>
      </c>
      <c r="W43" s="155">
        <v>0</v>
      </c>
      <c r="X43" s="155">
        <v>6</v>
      </c>
      <c r="Y43" s="183">
        <v>6</v>
      </c>
    </row>
    <row r="44" spans="1:25">
      <c r="A44" s="179">
        <v>122501007</v>
      </c>
      <c r="B44" t="s">
        <v>815</v>
      </c>
      <c r="C44" t="s">
        <v>618</v>
      </c>
      <c r="D44" t="s">
        <v>753</v>
      </c>
      <c r="E44" t="s">
        <v>698</v>
      </c>
      <c r="F44" t="s">
        <v>1977</v>
      </c>
      <c r="G44" s="155" t="e">
        <v>#N/A</v>
      </c>
      <c r="H44" t="e">
        <v>#N/A</v>
      </c>
      <c r="I44" s="176" t="s">
        <v>1928</v>
      </c>
      <c r="J44" s="181">
        <v>45658</v>
      </c>
      <c r="K44" s="140">
        <v>46022</v>
      </c>
      <c r="L44" s="155">
        <v>1</v>
      </c>
      <c r="M44" s="155">
        <v>0</v>
      </c>
      <c r="N44" s="155">
        <v>0</v>
      </c>
      <c r="O44" s="155" t="s">
        <v>730</v>
      </c>
      <c r="P44" s="176" t="s">
        <v>730</v>
      </c>
      <c r="Q44" s="184" t="s">
        <v>730</v>
      </c>
      <c r="R44" s="155">
        <v>0</v>
      </c>
      <c r="S44" s="176">
        <v>0</v>
      </c>
      <c r="T44" s="182" t="e">
        <f>VLOOKUP(A44,#REF!,9,FALSE)</f>
        <v>#REF!</v>
      </c>
      <c r="U44" s="155" t="s">
        <v>518</v>
      </c>
      <c r="V44" s="155" t="s">
        <v>518</v>
      </c>
      <c r="W44" s="155">
        <v>0</v>
      </c>
      <c r="X44" s="155">
        <v>6</v>
      </c>
      <c r="Y44" s="183">
        <v>0</v>
      </c>
    </row>
    <row r="45" spans="1:25">
      <c r="A45" s="179">
        <v>122503001</v>
      </c>
      <c r="B45" t="s">
        <v>817</v>
      </c>
      <c r="C45" t="s">
        <v>618</v>
      </c>
      <c r="D45" t="s">
        <v>753</v>
      </c>
      <c r="E45" t="s">
        <v>698</v>
      </c>
      <c r="F45" t="s">
        <v>1978</v>
      </c>
      <c r="G45" s="155" t="e">
        <v>#N/A</v>
      </c>
      <c r="H45" t="e">
        <v>#N/A</v>
      </c>
      <c r="I45" s="176" t="s">
        <v>1928</v>
      </c>
      <c r="J45" s="181">
        <v>44897</v>
      </c>
      <c r="K45" s="140">
        <v>45656</v>
      </c>
      <c r="L45" s="155">
        <v>2</v>
      </c>
      <c r="M45" s="155">
        <v>0</v>
      </c>
      <c r="N45" s="155">
        <v>29</v>
      </c>
      <c r="O45" s="155" t="s">
        <v>730</v>
      </c>
      <c r="P45" s="176" t="s">
        <v>730</v>
      </c>
      <c r="Q45" s="184" t="s">
        <v>730</v>
      </c>
      <c r="R45" s="155">
        <v>0</v>
      </c>
      <c r="S45" s="176">
        <v>0</v>
      </c>
      <c r="T45" s="182" t="e">
        <f>VLOOKUP(A45,#REF!,9,FALSE)</f>
        <v>#REF!</v>
      </c>
      <c r="U45" s="155" t="s">
        <v>518</v>
      </c>
      <c r="V45" s="155" t="s">
        <v>518</v>
      </c>
      <c r="W45" s="155">
        <v>0</v>
      </c>
      <c r="X45" s="155">
        <v>3</v>
      </c>
      <c r="Y45" s="183">
        <v>6</v>
      </c>
    </row>
    <row r="46" spans="1:25" ht="14.45" customHeight="1">
      <c r="A46" s="179">
        <v>122503002</v>
      </c>
      <c r="B46" t="s">
        <v>819</v>
      </c>
      <c r="C46" t="s">
        <v>618</v>
      </c>
      <c r="D46" t="s">
        <v>753</v>
      </c>
      <c r="E46" t="s">
        <v>698</v>
      </c>
      <c r="F46" t="s">
        <v>1979</v>
      </c>
      <c r="G46" s="189" t="s">
        <v>819</v>
      </c>
      <c r="H46" s="180" t="s">
        <v>1980</v>
      </c>
      <c r="I46" s="176" t="s">
        <v>1926</v>
      </c>
      <c r="J46" s="181">
        <v>45306</v>
      </c>
      <c r="K46" s="140">
        <v>46401</v>
      </c>
      <c r="L46" s="155">
        <v>3</v>
      </c>
      <c r="M46" s="155">
        <v>0</v>
      </c>
      <c r="N46" s="155">
        <v>0</v>
      </c>
      <c r="O46" s="155" t="s">
        <v>730</v>
      </c>
      <c r="P46" s="176" t="s">
        <v>730</v>
      </c>
      <c r="Q46" s="182">
        <v>46022</v>
      </c>
      <c r="R46" s="155">
        <v>0</v>
      </c>
      <c r="S46" s="176">
        <v>0</v>
      </c>
      <c r="T46" s="182" t="e">
        <f>VLOOKUP(A46,#REF!,9,FALSE)</f>
        <v>#REF!</v>
      </c>
      <c r="U46" s="155" t="s">
        <v>518</v>
      </c>
      <c r="V46" s="155" t="s">
        <v>518</v>
      </c>
      <c r="W46" s="155">
        <v>0</v>
      </c>
      <c r="X46" s="155">
        <v>6</v>
      </c>
      <c r="Y46" s="183">
        <v>6</v>
      </c>
    </row>
    <row r="47" spans="1:25">
      <c r="A47" s="179">
        <v>122505001</v>
      </c>
      <c r="B47" t="s">
        <v>820</v>
      </c>
      <c r="C47" t="s">
        <v>618</v>
      </c>
      <c r="D47" t="s">
        <v>753</v>
      </c>
      <c r="E47" t="s">
        <v>698</v>
      </c>
      <c r="F47" t="s">
        <v>1981</v>
      </c>
      <c r="G47" s="155" t="e">
        <v>#N/A</v>
      </c>
      <c r="H47" t="e">
        <v>#N/A</v>
      </c>
      <c r="I47" s="176" t="s">
        <v>1928</v>
      </c>
      <c r="J47" s="181">
        <v>43644</v>
      </c>
      <c r="K47" t="s">
        <v>730</v>
      </c>
      <c r="L47" s="155">
        <v>0</v>
      </c>
      <c r="M47" s="155">
        <v>0</v>
      </c>
      <c r="N47" s="155">
        <v>0</v>
      </c>
      <c r="O47" s="155" t="s">
        <v>730</v>
      </c>
      <c r="P47" s="176" t="s">
        <v>730</v>
      </c>
      <c r="Q47" s="184" t="s">
        <v>730</v>
      </c>
      <c r="R47" s="155">
        <v>0</v>
      </c>
      <c r="S47" s="176">
        <v>0</v>
      </c>
      <c r="T47" s="182" t="e">
        <f>VLOOKUP(A47,#REF!,9,FALSE)</f>
        <v>#REF!</v>
      </c>
      <c r="U47" s="155" t="s">
        <v>632</v>
      </c>
      <c r="V47" s="155" t="s">
        <v>632</v>
      </c>
      <c r="W47" s="155">
        <v>0</v>
      </c>
      <c r="X47" s="155">
        <v>0</v>
      </c>
      <c r="Y47" s="183">
        <v>0</v>
      </c>
    </row>
    <row r="48" spans="1:25" ht="30">
      <c r="A48" s="179">
        <v>127057246</v>
      </c>
      <c r="B48" t="s">
        <v>822</v>
      </c>
      <c r="C48" t="s">
        <v>618</v>
      </c>
      <c r="D48" t="s">
        <v>753</v>
      </c>
      <c r="E48" t="s">
        <v>698</v>
      </c>
      <c r="F48" t="s">
        <v>1982</v>
      </c>
      <c r="G48" t="s">
        <v>822</v>
      </c>
      <c r="H48" s="155" t="s">
        <v>1983</v>
      </c>
      <c r="I48" s="176" t="s">
        <v>1926</v>
      </c>
      <c r="J48" s="181">
        <v>39420</v>
      </c>
      <c r="K48" s="140">
        <v>94203</v>
      </c>
      <c r="L48" s="155">
        <v>149</v>
      </c>
      <c r="M48" s="155">
        <v>11</v>
      </c>
      <c r="N48" s="155">
        <v>27</v>
      </c>
      <c r="O48" s="155" t="s">
        <v>730</v>
      </c>
      <c r="P48" s="176" t="s">
        <v>730</v>
      </c>
      <c r="Q48" s="184" t="s">
        <v>730</v>
      </c>
      <c r="R48" s="155">
        <v>0</v>
      </c>
      <c r="S48" s="176">
        <v>0</v>
      </c>
      <c r="T48" s="182" t="e">
        <f>VLOOKUP(A48,#REF!,9,FALSE)</f>
        <v>#REF!</v>
      </c>
      <c r="U48" s="155" t="s">
        <v>632</v>
      </c>
      <c r="V48" s="155" t="s">
        <v>632</v>
      </c>
      <c r="W48" s="155">
        <v>0</v>
      </c>
      <c r="X48" s="155">
        <v>0</v>
      </c>
      <c r="Y48" s="183">
        <v>0</v>
      </c>
    </row>
    <row r="49" spans="1:25">
      <c r="A49" s="179">
        <v>127139001</v>
      </c>
      <c r="B49" t="s">
        <v>1663</v>
      </c>
      <c r="C49" t="s">
        <v>1664</v>
      </c>
      <c r="D49" t="s">
        <v>1665</v>
      </c>
      <c r="E49" t="s">
        <v>698</v>
      </c>
      <c r="F49" t="s">
        <v>1984</v>
      </c>
      <c r="G49" s="155" t="e">
        <v>#N/A</v>
      </c>
      <c r="H49" t="e">
        <v>#N/A</v>
      </c>
      <c r="I49" s="176" t="s">
        <v>1928</v>
      </c>
      <c r="J49" s="185" t="s">
        <v>730</v>
      </c>
      <c r="K49" t="s">
        <v>730</v>
      </c>
      <c r="L49" s="155">
        <v>0</v>
      </c>
      <c r="M49" s="155">
        <v>0</v>
      </c>
      <c r="N49" s="155">
        <v>0</v>
      </c>
      <c r="O49" s="155" t="s">
        <v>730</v>
      </c>
      <c r="P49" s="176" t="s">
        <v>730</v>
      </c>
      <c r="Q49" s="184" t="s">
        <v>730</v>
      </c>
      <c r="R49" s="155">
        <v>0</v>
      </c>
      <c r="S49" s="176">
        <v>0</v>
      </c>
      <c r="T49" s="182" t="e">
        <f>VLOOKUP(A49,#REF!,9,FALSE)</f>
        <v>#REF!</v>
      </c>
      <c r="U49" s="155" t="s">
        <v>632</v>
      </c>
      <c r="V49" s="155" t="s">
        <v>632</v>
      </c>
      <c r="W49" s="155">
        <v>0</v>
      </c>
      <c r="X49" s="155">
        <v>0</v>
      </c>
      <c r="Y49" s="183">
        <v>0</v>
      </c>
    </row>
    <row r="50" spans="1:25" ht="14.45" customHeight="1">
      <c r="A50" s="179">
        <v>127771003</v>
      </c>
      <c r="B50" t="s">
        <v>824</v>
      </c>
      <c r="C50" t="s">
        <v>635</v>
      </c>
      <c r="D50" t="s">
        <v>753</v>
      </c>
      <c r="E50" t="s">
        <v>698</v>
      </c>
      <c r="F50" t="s">
        <v>1985</v>
      </c>
      <c r="G50" s="189" t="s">
        <v>824</v>
      </c>
      <c r="H50" s="180" t="s">
        <v>1986</v>
      </c>
      <c r="I50" s="176" t="s">
        <v>1926</v>
      </c>
      <c r="J50" s="181">
        <v>44998</v>
      </c>
      <c r="K50" s="140">
        <v>46824</v>
      </c>
      <c r="L50" s="155">
        <v>5</v>
      </c>
      <c r="M50" s="155">
        <v>0</v>
      </c>
      <c r="N50" s="155">
        <v>0</v>
      </c>
      <c r="O50" s="155" t="s">
        <v>730</v>
      </c>
      <c r="P50" s="176" t="s">
        <v>730</v>
      </c>
      <c r="Q50" s="182">
        <v>45729</v>
      </c>
      <c r="R50" s="155">
        <v>0</v>
      </c>
      <c r="S50" s="176">
        <v>0</v>
      </c>
      <c r="T50" s="182" t="e">
        <f>VLOOKUP(A50,#REF!,9,FALSE)</f>
        <v>#REF!</v>
      </c>
      <c r="U50" s="155" t="s">
        <v>518</v>
      </c>
      <c r="V50" s="155" t="s">
        <v>518</v>
      </c>
      <c r="W50" s="155">
        <v>0</v>
      </c>
      <c r="X50" s="155">
        <v>6</v>
      </c>
      <c r="Y50" s="183">
        <v>0</v>
      </c>
    </row>
    <row r="51" spans="1:25" ht="14.45" customHeight="1">
      <c r="A51" s="179">
        <v>127771004</v>
      </c>
      <c r="B51" t="s">
        <v>826</v>
      </c>
      <c r="C51" t="s">
        <v>635</v>
      </c>
      <c r="D51" t="s">
        <v>753</v>
      </c>
      <c r="E51" t="s">
        <v>698</v>
      </c>
      <c r="F51" t="s">
        <v>1987</v>
      </c>
      <c r="G51" s="189" t="s">
        <v>826</v>
      </c>
      <c r="H51" s="180" t="s">
        <v>1988</v>
      </c>
      <c r="I51" s="176" t="s">
        <v>1926</v>
      </c>
      <c r="J51" s="181">
        <v>45568</v>
      </c>
      <c r="K51" s="140">
        <v>45718</v>
      </c>
      <c r="L51" s="155">
        <v>0</v>
      </c>
      <c r="M51" s="155">
        <v>5</v>
      </c>
      <c r="N51" s="155">
        <v>0</v>
      </c>
      <c r="O51" s="155" t="s">
        <v>730</v>
      </c>
      <c r="P51" s="176" t="s">
        <v>730</v>
      </c>
      <c r="Q51" s="184" t="s">
        <v>730</v>
      </c>
      <c r="R51" s="155">
        <v>0</v>
      </c>
      <c r="S51" s="176">
        <v>0</v>
      </c>
      <c r="T51" s="182" t="e">
        <f>VLOOKUP(A51,#REF!,9,FALSE)</f>
        <v>#REF!</v>
      </c>
      <c r="U51" s="155" t="s">
        <v>632</v>
      </c>
      <c r="V51" s="155" t="s">
        <v>632</v>
      </c>
      <c r="W51" s="155">
        <v>0</v>
      </c>
      <c r="X51" s="155">
        <v>3</v>
      </c>
      <c r="Y51" s="183">
        <v>0</v>
      </c>
    </row>
    <row r="52" spans="1:25" ht="45">
      <c r="A52" s="179">
        <v>222577001</v>
      </c>
      <c r="B52" t="s">
        <v>69</v>
      </c>
      <c r="C52" t="s">
        <v>618</v>
      </c>
      <c r="D52" t="s">
        <v>753</v>
      </c>
      <c r="E52" t="s">
        <v>698</v>
      </c>
      <c r="F52" t="s">
        <v>1989</v>
      </c>
      <c r="G52" t="s">
        <v>69</v>
      </c>
      <c r="H52" s="155" t="s">
        <v>1990</v>
      </c>
      <c r="I52" s="176" t="s">
        <v>1926</v>
      </c>
      <c r="J52" s="181">
        <v>43616</v>
      </c>
      <c r="K52" s="140">
        <v>49094</v>
      </c>
      <c r="L52" s="155">
        <v>15</v>
      </c>
      <c r="M52" s="155">
        <v>0</v>
      </c>
      <c r="N52" s="155">
        <v>0</v>
      </c>
      <c r="O52" s="155" t="s">
        <v>730</v>
      </c>
      <c r="P52" s="176" t="s">
        <v>730</v>
      </c>
      <c r="Q52" s="182">
        <v>47269</v>
      </c>
      <c r="R52" s="155">
        <v>5</v>
      </c>
      <c r="S52" s="176">
        <v>3</v>
      </c>
      <c r="T52" s="182" t="e">
        <f>VLOOKUP(A52,#REF!,9,FALSE)</f>
        <v>#REF!</v>
      </c>
      <c r="U52" s="155" t="s">
        <v>632</v>
      </c>
      <c r="V52" s="155" t="s">
        <v>632</v>
      </c>
      <c r="W52" s="155">
        <v>0</v>
      </c>
      <c r="X52" s="155">
        <v>0</v>
      </c>
      <c r="Y52" s="183">
        <v>3</v>
      </c>
    </row>
    <row r="53" spans="1:25" ht="14.45" customHeight="1">
      <c r="A53" s="179">
        <v>222577002</v>
      </c>
      <c r="B53" t="s">
        <v>55</v>
      </c>
      <c r="C53" t="s">
        <v>618</v>
      </c>
      <c r="D53" t="s">
        <v>753</v>
      </c>
      <c r="E53" t="s">
        <v>698</v>
      </c>
      <c r="F53" t="s">
        <v>1991</v>
      </c>
      <c r="G53" s="189" t="s">
        <v>1992</v>
      </c>
      <c r="H53" s="180" t="s">
        <v>1993</v>
      </c>
      <c r="I53" s="176" t="s">
        <v>1926</v>
      </c>
      <c r="J53" s="181">
        <v>45449</v>
      </c>
      <c r="K53" s="140">
        <v>49100</v>
      </c>
      <c r="L53" s="155">
        <v>10</v>
      </c>
      <c r="M53" s="155">
        <v>0</v>
      </c>
      <c r="N53" s="155">
        <v>0</v>
      </c>
      <c r="O53" s="155" t="s">
        <v>730</v>
      </c>
      <c r="P53" s="176" t="s">
        <v>730</v>
      </c>
      <c r="Q53" s="182">
        <v>47275</v>
      </c>
      <c r="R53" s="155">
        <v>0</v>
      </c>
      <c r="S53" s="176">
        <v>0</v>
      </c>
      <c r="T53" s="182" t="e">
        <f>VLOOKUP(A53,#REF!,9,FALSE)</f>
        <v>#REF!</v>
      </c>
      <c r="U53" s="155" t="s">
        <v>632</v>
      </c>
      <c r="V53" s="155" t="s">
        <v>518</v>
      </c>
      <c r="W53" s="155">
        <v>0</v>
      </c>
      <c r="X53" s="155">
        <v>6</v>
      </c>
      <c r="Y53" s="183">
        <v>0</v>
      </c>
    </row>
    <row r="54" spans="1:25" ht="30">
      <c r="A54" s="179">
        <v>222577003</v>
      </c>
      <c r="B54" t="s">
        <v>64</v>
      </c>
      <c r="C54" t="s">
        <v>618</v>
      </c>
      <c r="D54" t="s">
        <v>753</v>
      </c>
      <c r="E54" t="s">
        <v>698</v>
      </c>
      <c r="F54" t="s">
        <v>1994</v>
      </c>
      <c r="G54" t="s">
        <v>64</v>
      </c>
      <c r="H54" s="155" t="s">
        <v>1995</v>
      </c>
      <c r="I54" s="176" t="s">
        <v>1926</v>
      </c>
      <c r="J54" s="181">
        <v>43817</v>
      </c>
      <c r="K54" s="140">
        <v>47469</v>
      </c>
      <c r="L54" s="155">
        <v>10</v>
      </c>
      <c r="M54" s="155">
        <v>0</v>
      </c>
      <c r="N54" s="155">
        <v>0</v>
      </c>
      <c r="O54" s="155" t="s">
        <v>730</v>
      </c>
      <c r="P54" s="176" t="s">
        <v>730</v>
      </c>
      <c r="Q54" s="182">
        <v>45644</v>
      </c>
      <c r="R54" s="155">
        <v>0</v>
      </c>
      <c r="S54" s="176">
        <v>0</v>
      </c>
      <c r="T54" s="182" t="e">
        <f>VLOOKUP(A54,#REF!,9,FALSE)</f>
        <v>#REF!</v>
      </c>
      <c r="U54" s="155" t="s">
        <v>632</v>
      </c>
      <c r="V54" s="155" t="s">
        <v>518</v>
      </c>
      <c r="W54" s="155">
        <v>0</v>
      </c>
      <c r="X54" s="155">
        <v>0</v>
      </c>
      <c r="Y54" s="183">
        <v>3</v>
      </c>
    </row>
    <row r="55" spans="1:25" ht="45">
      <c r="A55" s="179">
        <v>222577004</v>
      </c>
      <c r="B55" t="s">
        <v>77</v>
      </c>
      <c r="C55" t="s">
        <v>618</v>
      </c>
      <c r="D55" t="s">
        <v>753</v>
      </c>
      <c r="E55" t="s">
        <v>698</v>
      </c>
      <c r="F55" t="s">
        <v>1996</v>
      </c>
      <c r="G55" t="s">
        <v>77</v>
      </c>
      <c r="H55" s="155" t="s">
        <v>1997</v>
      </c>
      <c r="I55" s="176" t="s">
        <v>1926</v>
      </c>
      <c r="J55" s="181">
        <v>44124</v>
      </c>
      <c r="K55" s="140">
        <v>45949</v>
      </c>
      <c r="L55" s="155">
        <v>5</v>
      </c>
      <c r="M55" s="155">
        <v>0</v>
      </c>
      <c r="N55" s="155">
        <v>0</v>
      </c>
      <c r="O55" s="155" t="s">
        <v>730</v>
      </c>
      <c r="P55" s="176" t="s">
        <v>730</v>
      </c>
      <c r="Q55" s="184" t="s">
        <v>730</v>
      </c>
      <c r="R55" s="155">
        <v>0</v>
      </c>
      <c r="S55" s="176">
        <v>0</v>
      </c>
      <c r="T55" s="182" t="e">
        <f>VLOOKUP(A55,#REF!,9,FALSE)</f>
        <v>#REF!</v>
      </c>
      <c r="U55" s="155" t="s">
        <v>632</v>
      </c>
      <c r="V55" s="155" t="s">
        <v>632</v>
      </c>
      <c r="W55" s="155">
        <v>0</v>
      </c>
      <c r="X55" s="155">
        <v>0</v>
      </c>
      <c r="Y55" s="183">
        <v>0</v>
      </c>
    </row>
    <row r="56" spans="1:25" ht="45">
      <c r="A56" s="179">
        <v>222577005</v>
      </c>
      <c r="B56" t="s">
        <v>74</v>
      </c>
      <c r="C56" t="s">
        <v>618</v>
      </c>
      <c r="D56" t="s">
        <v>753</v>
      </c>
      <c r="E56" t="s">
        <v>698</v>
      </c>
      <c r="F56" t="s">
        <v>1996</v>
      </c>
      <c r="G56" t="s">
        <v>74</v>
      </c>
      <c r="H56" s="155" t="s">
        <v>1998</v>
      </c>
      <c r="I56" s="176" t="s">
        <v>1926</v>
      </c>
      <c r="J56" s="181">
        <v>44133</v>
      </c>
      <c r="K56" s="140">
        <v>45958</v>
      </c>
      <c r="L56" s="155">
        <v>5</v>
      </c>
      <c r="M56" s="155">
        <v>0</v>
      </c>
      <c r="N56" s="155">
        <v>0</v>
      </c>
      <c r="O56" s="155" t="s">
        <v>730</v>
      </c>
      <c r="P56" s="176" t="s">
        <v>730</v>
      </c>
      <c r="Q56" s="184" t="s">
        <v>730</v>
      </c>
      <c r="R56" s="155">
        <v>0</v>
      </c>
      <c r="S56" s="176">
        <v>0</v>
      </c>
      <c r="T56" s="182" t="e">
        <f>VLOOKUP(A56,#REF!,9,FALSE)</f>
        <v>#REF!</v>
      </c>
      <c r="U56" s="155" t="s">
        <v>632</v>
      </c>
      <c r="V56" s="155" t="s">
        <v>632</v>
      </c>
      <c r="W56" s="155">
        <v>0</v>
      </c>
      <c r="X56" s="155">
        <v>0</v>
      </c>
      <c r="Y56" s="183">
        <v>0</v>
      </c>
    </row>
    <row r="57" spans="1:25" ht="30">
      <c r="A57" s="179">
        <v>222577006</v>
      </c>
      <c r="B57" t="s">
        <v>81</v>
      </c>
      <c r="C57" t="s">
        <v>618</v>
      </c>
      <c r="D57" t="s">
        <v>753</v>
      </c>
      <c r="E57" t="s">
        <v>698</v>
      </c>
      <c r="F57" t="s">
        <v>1999</v>
      </c>
      <c r="G57" t="s">
        <v>81</v>
      </c>
      <c r="H57" s="155" t="s">
        <v>2000</v>
      </c>
      <c r="I57" s="176" t="s">
        <v>1926</v>
      </c>
      <c r="J57" s="181">
        <v>43472</v>
      </c>
      <c r="K57" s="140">
        <v>48950</v>
      </c>
      <c r="L57" s="155">
        <v>15</v>
      </c>
      <c r="M57" s="155">
        <v>0</v>
      </c>
      <c r="N57" s="155">
        <v>0</v>
      </c>
      <c r="O57" s="155" t="s">
        <v>730</v>
      </c>
      <c r="P57" s="176" t="s">
        <v>730</v>
      </c>
      <c r="Q57" s="182">
        <v>45298</v>
      </c>
      <c r="R57" s="155">
        <v>5</v>
      </c>
      <c r="S57" s="176">
        <v>6</v>
      </c>
      <c r="T57" s="182" t="e">
        <f>VLOOKUP(A57,#REF!,9,FALSE)</f>
        <v>#REF!</v>
      </c>
      <c r="U57" s="155" t="s">
        <v>632</v>
      </c>
      <c r="V57" s="155" t="s">
        <v>518</v>
      </c>
      <c r="W57" s="155">
        <v>0</v>
      </c>
      <c r="X57" s="155">
        <v>0</v>
      </c>
      <c r="Y57" s="183">
        <v>6</v>
      </c>
    </row>
    <row r="58" spans="1:25" ht="14.45" customHeight="1">
      <c r="A58" s="179">
        <v>222625002</v>
      </c>
      <c r="B58" t="s">
        <v>94</v>
      </c>
      <c r="C58" t="s">
        <v>618</v>
      </c>
      <c r="D58" t="s">
        <v>753</v>
      </c>
      <c r="E58" t="s">
        <v>698</v>
      </c>
      <c r="F58" t="s">
        <v>2001</v>
      </c>
      <c r="G58" s="189" t="s">
        <v>94</v>
      </c>
      <c r="H58" s="180" t="s">
        <v>2002</v>
      </c>
      <c r="I58" s="176" t="s">
        <v>1926</v>
      </c>
      <c r="J58" s="181">
        <v>44867</v>
      </c>
      <c r="K58" s="140">
        <v>48519</v>
      </c>
      <c r="L58" s="155">
        <v>10</v>
      </c>
      <c r="M58" s="155">
        <v>0</v>
      </c>
      <c r="N58" s="155">
        <v>0</v>
      </c>
      <c r="O58" s="155" t="s">
        <v>730</v>
      </c>
      <c r="P58" s="176" t="s">
        <v>730</v>
      </c>
      <c r="Q58" s="182">
        <v>46693</v>
      </c>
      <c r="R58" s="155">
        <v>0</v>
      </c>
      <c r="S58" s="176">
        <v>0</v>
      </c>
      <c r="T58" s="182" t="e">
        <f>VLOOKUP(A58,#REF!,9,FALSE)</f>
        <v>#REF!</v>
      </c>
      <c r="U58" s="155" t="s">
        <v>518</v>
      </c>
      <c r="V58" s="155" t="s">
        <v>518</v>
      </c>
      <c r="W58" s="155">
        <v>0</v>
      </c>
      <c r="X58" s="155">
        <v>6</v>
      </c>
      <c r="Y58" s="183">
        <v>0</v>
      </c>
    </row>
    <row r="59" spans="1:25" ht="14.45" customHeight="1">
      <c r="A59" s="179">
        <v>222632001</v>
      </c>
      <c r="B59" t="s">
        <v>144</v>
      </c>
      <c r="C59" t="s">
        <v>618</v>
      </c>
      <c r="D59" t="s">
        <v>753</v>
      </c>
      <c r="E59" t="s">
        <v>698</v>
      </c>
      <c r="F59" s="180" t="s">
        <v>2003</v>
      </c>
      <c r="G59" s="189" t="s">
        <v>144</v>
      </c>
      <c r="H59" s="180" t="s">
        <v>2004</v>
      </c>
      <c r="I59" s="176" t="s">
        <v>1926</v>
      </c>
      <c r="J59" s="181">
        <v>44326</v>
      </c>
      <c r="K59" s="140">
        <v>47977</v>
      </c>
      <c r="L59" s="155">
        <v>10</v>
      </c>
      <c r="M59" s="155">
        <v>0</v>
      </c>
      <c r="N59" s="155">
        <v>0</v>
      </c>
      <c r="O59" s="155" t="s">
        <v>730</v>
      </c>
      <c r="P59" s="176" t="s">
        <v>730</v>
      </c>
      <c r="Q59" s="182">
        <v>46152</v>
      </c>
      <c r="R59" s="155">
        <v>5</v>
      </c>
      <c r="S59" s="176">
        <v>6</v>
      </c>
      <c r="T59" s="182" t="e">
        <f>VLOOKUP(A59,#REF!,9,FALSE)</f>
        <v>#REF!</v>
      </c>
      <c r="U59" s="155" t="s">
        <v>632</v>
      </c>
      <c r="V59" s="155" t="s">
        <v>518</v>
      </c>
      <c r="W59" s="155">
        <v>0</v>
      </c>
      <c r="X59" s="155">
        <v>0</v>
      </c>
      <c r="Y59" s="183">
        <v>6</v>
      </c>
    </row>
    <row r="60" spans="1:25" ht="14.45" customHeight="1">
      <c r="A60" s="179">
        <v>222632002</v>
      </c>
      <c r="B60" t="s">
        <v>149</v>
      </c>
      <c r="C60" t="s">
        <v>618</v>
      </c>
      <c r="D60" t="s">
        <v>753</v>
      </c>
      <c r="E60" t="s">
        <v>698</v>
      </c>
      <c r="F60" s="180" t="s">
        <v>2003</v>
      </c>
      <c r="G60" s="189" t="s">
        <v>149</v>
      </c>
      <c r="H60" s="180" t="s">
        <v>2005</v>
      </c>
      <c r="I60" s="176" t="s">
        <v>1926</v>
      </c>
      <c r="J60" s="181">
        <v>44326</v>
      </c>
      <c r="K60" s="140">
        <v>47977</v>
      </c>
      <c r="L60" s="155">
        <v>10</v>
      </c>
      <c r="M60" s="155">
        <v>0</v>
      </c>
      <c r="N60" s="155">
        <v>0</v>
      </c>
      <c r="O60" s="155" t="s">
        <v>730</v>
      </c>
      <c r="P60" s="176" t="s">
        <v>730</v>
      </c>
      <c r="Q60" s="184" t="s">
        <v>730</v>
      </c>
      <c r="R60" s="155">
        <v>0</v>
      </c>
      <c r="S60" s="176">
        <v>0</v>
      </c>
      <c r="T60" s="182" t="e">
        <f>VLOOKUP(A60,#REF!,9,FALSE)</f>
        <v>#REF!</v>
      </c>
      <c r="U60" s="155" t="s">
        <v>632</v>
      </c>
      <c r="V60" s="155" t="s">
        <v>632</v>
      </c>
      <c r="W60" s="155">
        <v>0</v>
      </c>
      <c r="X60" s="155">
        <v>0</v>
      </c>
      <c r="Y60" s="183">
        <v>0</v>
      </c>
    </row>
    <row r="61" spans="1:25" ht="14.45" customHeight="1">
      <c r="A61" s="179">
        <v>222632003</v>
      </c>
      <c r="B61" t="s">
        <v>152</v>
      </c>
      <c r="C61" t="s">
        <v>618</v>
      </c>
      <c r="D61" t="s">
        <v>753</v>
      </c>
      <c r="E61" t="s">
        <v>698</v>
      </c>
      <c r="F61" t="s">
        <v>2006</v>
      </c>
      <c r="G61" s="189" t="s">
        <v>152</v>
      </c>
      <c r="H61" s="180" t="s">
        <v>2007</v>
      </c>
      <c r="I61" s="176" t="s">
        <v>1926</v>
      </c>
      <c r="J61" s="181">
        <v>44729</v>
      </c>
      <c r="K61" s="140">
        <v>48381</v>
      </c>
      <c r="L61" s="155">
        <v>10</v>
      </c>
      <c r="M61" s="155">
        <v>0</v>
      </c>
      <c r="N61" s="155">
        <v>0</v>
      </c>
      <c r="O61" s="155" t="s">
        <v>730</v>
      </c>
      <c r="P61" s="176" t="s">
        <v>730</v>
      </c>
      <c r="Q61" s="182">
        <v>46555</v>
      </c>
      <c r="R61" s="155">
        <v>0</v>
      </c>
      <c r="S61" s="176">
        <v>0</v>
      </c>
      <c r="T61" s="182" t="e">
        <f>VLOOKUP(A61,#REF!,9,FALSE)</f>
        <v>#REF!</v>
      </c>
      <c r="U61" s="155" t="s">
        <v>632</v>
      </c>
      <c r="V61" s="155" t="s">
        <v>632</v>
      </c>
      <c r="W61" s="155">
        <v>0</v>
      </c>
      <c r="X61" s="155">
        <v>6</v>
      </c>
      <c r="Y61" s="183">
        <v>0</v>
      </c>
    </row>
    <row r="62" spans="1:25" ht="14.45" customHeight="1">
      <c r="A62" s="179">
        <v>222641001</v>
      </c>
      <c r="B62" t="s">
        <v>158</v>
      </c>
      <c r="C62" t="s">
        <v>618</v>
      </c>
      <c r="D62" t="s">
        <v>753</v>
      </c>
      <c r="E62" t="s">
        <v>698</v>
      </c>
      <c r="F62" t="s">
        <v>160</v>
      </c>
      <c r="G62" s="189" t="s">
        <v>158</v>
      </c>
      <c r="H62" s="180" t="s">
        <v>2008</v>
      </c>
      <c r="I62" s="176" t="s">
        <v>1926</v>
      </c>
      <c r="J62" s="181">
        <v>44448</v>
      </c>
      <c r="K62" s="140">
        <v>49865</v>
      </c>
      <c r="L62" s="155">
        <v>14</v>
      </c>
      <c r="M62" s="155">
        <v>10</v>
      </c>
      <c r="N62" s="155">
        <v>1</v>
      </c>
      <c r="O62" s="155" t="s">
        <v>730</v>
      </c>
      <c r="P62" s="176" t="s">
        <v>730</v>
      </c>
      <c r="Q62" s="182">
        <v>46274</v>
      </c>
      <c r="R62" s="155">
        <v>0</v>
      </c>
      <c r="S62" s="176">
        <v>0</v>
      </c>
      <c r="T62" s="182" t="e">
        <f>VLOOKUP(A62,#REF!,9,FALSE)</f>
        <v>#REF!</v>
      </c>
      <c r="U62" s="155" t="s">
        <v>632</v>
      </c>
      <c r="V62" s="155" t="s">
        <v>632</v>
      </c>
      <c r="W62" s="155">
        <v>0</v>
      </c>
      <c r="X62" s="155">
        <v>5</v>
      </c>
      <c r="Y62" s="183">
        <v>0</v>
      </c>
    </row>
    <row r="63" spans="1:25" ht="14.45" customHeight="1">
      <c r="A63" s="179">
        <v>222641002</v>
      </c>
      <c r="B63" t="s">
        <v>161</v>
      </c>
      <c r="C63" t="s">
        <v>618</v>
      </c>
      <c r="D63" t="s">
        <v>753</v>
      </c>
      <c r="E63" t="s">
        <v>698</v>
      </c>
      <c r="F63" t="s">
        <v>160</v>
      </c>
      <c r="G63" s="189" t="s">
        <v>161</v>
      </c>
      <c r="H63" s="180" t="s">
        <v>2009</v>
      </c>
      <c r="I63" s="176" t="s">
        <v>1926</v>
      </c>
      <c r="J63" s="181">
        <v>44448</v>
      </c>
      <c r="K63" s="140">
        <v>49865</v>
      </c>
      <c r="L63" s="155">
        <v>14</v>
      </c>
      <c r="M63" s="155">
        <v>10</v>
      </c>
      <c r="N63" s="155">
        <v>1</v>
      </c>
      <c r="O63" s="155" t="s">
        <v>730</v>
      </c>
      <c r="P63" s="176" t="s">
        <v>730</v>
      </c>
      <c r="Q63" s="184" t="s">
        <v>730</v>
      </c>
      <c r="R63" s="155">
        <v>0</v>
      </c>
      <c r="S63" s="176">
        <v>0</v>
      </c>
      <c r="T63" s="182" t="e">
        <f>VLOOKUP(A63,#REF!,9,FALSE)</f>
        <v>#REF!</v>
      </c>
      <c r="U63" s="155" t="s">
        <v>632</v>
      </c>
      <c r="V63" s="155" t="s">
        <v>632</v>
      </c>
      <c r="W63" s="155">
        <v>0</v>
      </c>
      <c r="X63" s="155">
        <v>0</v>
      </c>
      <c r="Y63" s="183">
        <v>0</v>
      </c>
    </row>
    <row r="64" spans="1:25">
      <c r="A64" s="179">
        <v>222644002</v>
      </c>
      <c r="B64" t="s">
        <v>223</v>
      </c>
      <c r="C64" t="s">
        <v>618</v>
      </c>
      <c r="D64" t="s">
        <v>753</v>
      </c>
      <c r="E64" t="s">
        <v>698</v>
      </c>
      <c r="F64" t="s">
        <v>2010</v>
      </c>
      <c r="G64" s="189" t="s">
        <v>223</v>
      </c>
      <c r="H64" t="e">
        <v>#N/A</v>
      </c>
      <c r="I64" s="176" t="s">
        <v>1928</v>
      </c>
      <c r="J64" s="181">
        <v>45194</v>
      </c>
      <c r="K64" s="140">
        <v>50672</v>
      </c>
      <c r="L64" s="155">
        <v>15</v>
      </c>
      <c r="M64" s="155">
        <v>0</v>
      </c>
      <c r="N64" s="155">
        <v>0</v>
      </c>
      <c r="O64" s="155" t="s">
        <v>730</v>
      </c>
      <c r="P64" s="176" t="s">
        <v>730</v>
      </c>
      <c r="Q64" s="184" t="s">
        <v>730</v>
      </c>
      <c r="R64" s="155">
        <v>0</v>
      </c>
      <c r="S64" s="176">
        <v>0</v>
      </c>
      <c r="T64" s="182" t="e">
        <f>VLOOKUP(A64,#REF!,9,FALSE)</f>
        <v>#REF!</v>
      </c>
      <c r="U64" s="155" t="s">
        <v>632</v>
      </c>
      <c r="V64" s="155" t="s">
        <v>632</v>
      </c>
      <c r="W64" s="155">
        <v>0</v>
      </c>
      <c r="X64" s="155">
        <v>0</v>
      </c>
      <c r="Y64" s="183">
        <v>0</v>
      </c>
    </row>
    <row r="65" spans="1:25">
      <c r="A65" s="179">
        <v>222644003</v>
      </c>
      <c r="B65" t="s">
        <v>227</v>
      </c>
      <c r="C65" t="s">
        <v>618</v>
      </c>
      <c r="D65" t="s">
        <v>753</v>
      </c>
      <c r="E65" t="s">
        <v>698</v>
      </c>
      <c r="F65" t="s">
        <v>2010</v>
      </c>
      <c r="G65" s="189" t="s">
        <v>227</v>
      </c>
      <c r="H65" t="e">
        <v>#N/A</v>
      </c>
      <c r="I65" s="176" t="s">
        <v>1928</v>
      </c>
      <c r="J65" s="181">
        <v>45194</v>
      </c>
      <c r="K65" s="140">
        <v>50672</v>
      </c>
      <c r="L65" s="155">
        <v>15</v>
      </c>
      <c r="M65" s="155">
        <v>0</v>
      </c>
      <c r="N65" s="155">
        <v>0</v>
      </c>
      <c r="O65" s="155" t="s">
        <v>730</v>
      </c>
      <c r="P65" s="176" t="s">
        <v>730</v>
      </c>
      <c r="Q65" s="184" t="s">
        <v>730</v>
      </c>
      <c r="R65" s="155">
        <v>0</v>
      </c>
      <c r="S65" s="176">
        <v>0</v>
      </c>
      <c r="T65" s="182" t="e">
        <f>VLOOKUP(A65,#REF!,9,FALSE)</f>
        <v>#REF!</v>
      </c>
      <c r="U65" s="155" t="s">
        <v>632</v>
      </c>
      <c r="V65" s="155" t="s">
        <v>632</v>
      </c>
      <c r="W65" s="155">
        <v>0</v>
      </c>
      <c r="X65" s="155">
        <v>0</v>
      </c>
      <c r="Y65" s="183">
        <v>0</v>
      </c>
    </row>
    <row r="66" spans="1:25" ht="14.45" customHeight="1">
      <c r="A66" s="179">
        <v>222644004</v>
      </c>
      <c r="B66" t="s">
        <v>229</v>
      </c>
      <c r="C66" t="s">
        <v>618</v>
      </c>
      <c r="D66" t="s">
        <v>753</v>
      </c>
      <c r="E66" t="s">
        <v>698</v>
      </c>
      <c r="F66" t="s">
        <v>2010</v>
      </c>
      <c r="G66" s="189" t="s">
        <v>229</v>
      </c>
      <c r="H66" s="180" t="s">
        <v>2011</v>
      </c>
      <c r="I66" s="176" t="s">
        <v>1926</v>
      </c>
      <c r="J66" s="181">
        <v>45194</v>
      </c>
      <c r="K66" s="140">
        <v>50672</v>
      </c>
      <c r="L66" s="155">
        <v>15</v>
      </c>
      <c r="M66" s="155">
        <v>0</v>
      </c>
      <c r="N66" s="155">
        <v>0</v>
      </c>
      <c r="O66" s="155" t="s">
        <v>730</v>
      </c>
      <c r="P66" s="176" t="s">
        <v>730</v>
      </c>
      <c r="Q66" s="182">
        <v>45559</v>
      </c>
      <c r="R66" s="155">
        <v>0</v>
      </c>
      <c r="S66" s="176">
        <v>0</v>
      </c>
      <c r="T66" s="182" t="e">
        <f>VLOOKUP(A66,#REF!,9,FALSE)</f>
        <v>#REF!</v>
      </c>
      <c r="U66" s="155" t="s">
        <v>632</v>
      </c>
      <c r="V66" s="155" t="s">
        <v>632</v>
      </c>
      <c r="W66" s="155">
        <v>0</v>
      </c>
      <c r="X66" s="155">
        <v>6</v>
      </c>
      <c r="Y66" s="183">
        <v>0</v>
      </c>
    </row>
    <row r="67" spans="1:25">
      <c r="A67" s="179">
        <v>222644005</v>
      </c>
      <c r="B67" t="s">
        <v>231</v>
      </c>
      <c r="C67" t="s">
        <v>618</v>
      </c>
      <c r="D67" t="s">
        <v>753</v>
      </c>
      <c r="E67" t="s">
        <v>698</v>
      </c>
      <c r="F67" t="s">
        <v>2010</v>
      </c>
      <c r="G67" s="189" t="s">
        <v>231</v>
      </c>
      <c r="H67" t="e">
        <v>#N/A</v>
      </c>
      <c r="I67" s="176" t="s">
        <v>1928</v>
      </c>
      <c r="J67" s="181">
        <v>45194</v>
      </c>
      <c r="K67" s="140">
        <v>50672</v>
      </c>
      <c r="L67" s="155">
        <v>15</v>
      </c>
      <c r="M67" s="155">
        <v>0</v>
      </c>
      <c r="N67" s="155">
        <v>0</v>
      </c>
      <c r="O67" s="155" t="s">
        <v>730</v>
      </c>
      <c r="P67" s="176" t="s">
        <v>730</v>
      </c>
      <c r="Q67" s="184" t="s">
        <v>730</v>
      </c>
      <c r="R67" s="155">
        <v>0</v>
      </c>
      <c r="S67" s="176">
        <v>0</v>
      </c>
      <c r="T67" s="182" t="e">
        <f>VLOOKUP(A67,#REF!,9,FALSE)</f>
        <v>#REF!</v>
      </c>
      <c r="U67" s="155" t="s">
        <v>632</v>
      </c>
      <c r="V67" s="155" t="s">
        <v>632</v>
      </c>
      <c r="W67" s="155">
        <v>0</v>
      </c>
      <c r="X67" s="155">
        <v>0</v>
      </c>
      <c r="Y67" s="183">
        <v>0</v>
      </c>
    </row>
    <row r="68" spans="1:25">
      <c r="A68" s="179">
        <v>222644006</v>
      </c>
      <c r="B68" t="s">
        <v>233</v>
      </c>
      <c r="C68" t="s">
        <v>618</v>
      </c>
      <c r="D68" t="s">
        <v>753</v>
      </c>
      <c r="E68" t="s">
        <v>698</v>
      </c>
      <c r="F68" t="s">
        <v>2010</v>
      </c>
      <c r="G68" s="189" t="s">
        <v>233</v>
      </c>
      <c r="H68" t="e">
        <v>#N/A</v>
      </c>
      <c r="I68" s="176" t="s">
        <v>1928</v>
      </c>
      <c r="J68" s="181">
        <v>45194</v>
      </c>
      <c r="K68" s="140">
        <v>50672</v>
      </c>
      <c r="L68" s="155">
        <v>15</v>
      </c>
      <c r="M68" s="155">
        <v>0</v>
      </c>
      <c r="N68" s="155">
        <v>0</v>
      </c>
      <c r="O68" s="155" t="s">
        <v>730</v>
      </c>
      <c r="P68" s="176" t="s">
        <v>730</v>
      </c>
      <c r="Q68" s="184" t="s">
        <v>730</v>
      </c>
      <c r="R68" s="155">
        <v>0</v>
      </c>
      <c r="S68" s="176">
        <v>0</v>
      </c>
      <c r="T68" s="182" t="e">
        <f>VLOOKUP(A68,#REF!,9,FALSE)</f>
        <v>#REF!</v>
      </c>
      <c r="U68" s="155" t="s">
        <v>632</v>
      </c>
      <c r="V68" s="155" t="s">
        <v>632</v>
      </c>
      <c r="W68" s="155">
        <v>0</v>
      </c>
      <c r="X68" s="155">
        <v>0</v>
      </c>
      <c r="Y68" s="183">
        <v>0</v>
      </c>
    </row>
    <row r="69" spans="1:25" ht="14.45" customHeight="1">
      <c r="A69" s="179">
        <v>222653002</v>
      </c>
      <c r="B69" t="s">
        <v>190</v>
      </c>
      <c r="C69" t="s">
        <v>625</v>
      </c>
      <c r="D69" t="s">
        <v>753</v>
      </c>
      <c r="E69" t="s">
        <v>698</v>
      </c>
      <c r="F69" t="s">
        <v>2012</v>
      </c>
      <c r="G69" s="189" t="s">
        <v>190</v>
      </c>
      <c r="H69" s="180" t="s">
        <v>2013</v>
      </c>
      <c r="I69" s="176" t="s">
        <v>1926</v>
      </c>
      <c r="J69" s="181">
        <v>44642</v>
      </c>
      <c r="K69" s="140">
        <v>47198</v>
      </c>
      <c r="L69" s="155">
        <v>7</v>
      </c>
      <c r="M69" s="155">
        <v>0</v>
      </c>
      <c r="N69" s="155">
        <v>0</v>
      </c>
      <c r="O69" s="155" t="s">
        <v>730</v>
      </c>
      <c r="P69" s="176" t="s">
        <v>730</v>
      </c>
      <c r="Q69" s="182">
        <v>46468</v>
      </c>
      <c r="R69" s="155">
        <v>0</v>
      </c>
      <c r="S69" s="176">
        <v>0</v>
      </c>
      <c r="T69" s="182" t="e">
        <f>VLOOKUP(A69,#REF!,9,FALSE)</f>
        <v>#REF!</v>
      </c>
      <c r="U69" s="155" t="s">
        <v>632</v>
      </c>
      <c r="V69" s="155" t="s">
        <v>632</v>
      </c>
      <c r="W69" s="155">
        <v>0</v>
      </c>
      <c r="X69" s="155">
        <v>6</v>
      </c>
      <c r="Y69" s="183">
        <v>0</v>
      </c>
    </row>
    <row r="70" spans="1:25" ht="14.45" customHeight="1">
      <c r="A70" s="179">
        <v>222653003</v>
      </c>
      <c r="B70" t="s">
        <v>196</v>
      </c>
      <c r="C70" t="s">
        <v>618</v>
      </c>
      <c r="D70" t="s">
        <v>753</v>
      </c>
      <c r="E70" t="s">
        <v>698</v>
      </c>
      <c r="F70" s="180" t="s">
        <v>2014</v>
      </c>
      <c r="G70" s="189" t="s">
        <v>196</v>
      </c>
      <c r="H70" s="180" t="s">
        <v>2015</v>
      </c>
      <c r="I70" s="176" t="s">
        <v>1926</v>
      </c>
      <c r="J70" s="181">
        <v>44470</v>
      </c>
      <c r="K70" s="140">
        <v>46295</v>
      </c>
      <c r="L70" s="155">
        <v>5</v>
      </c>
      <c r="M70" s="155">
        <v>0</v>
      </c>
      <c r="N70" s="155">
        <v>0</v>
      </c>
      <c r="O70" s="155" t="s">
        <v>730</v>
      </c>
      <c r="P70" s="176" t="s">
        <v>730</v>
      </c>
      <c r="Q70" s="182">
        <v>45566</v>
      </c>
      <c r="R70" s="155">
        <v>0</v>
      </c>
      <c r="S70" s="176">
        <v>0</v>
      </c>
      <c r="T70" s="182" t="e">
        <f>VLOOKUP(A70,#REF!,9,FALSE)</f>
        <v>#REF!</v>
      </c>
      <c r="U70" s="155" t="s">
        <v>632</v>
      </c>
      <c r="V70" s="155" t="s">
        <v>632</v>
      </c>
      <c r="W70" s="155">
        <v>0</v>
      </c>
      <c r="X70" s="155">
        <v>6</v>
      </c>
      <c r="Y70" s="183">
        <v>0</v>
      </c>
    </row>
    <row r="71" spans="1:25" ht="14.45" customHeight="1">
      <c r="A71" s="179">
        <v>222653004</v>
      </c>
      <c r="B71" t="s">
        <v>201</v>
      </c>
      <c r="C71" t="s">
        <v>625</v>
      </c>
      <c r="D71" t="s">
        <v>753</v>
      </c>
      <c r="E71" t="s">
        <v>698</v>
      </c>
      <c r="F71" t="s">
        <v>2016</v>
      </c>
      <c r="G71" s="189" t="s">
        <v>201</v>
      </c>
      <c r="H71" s="180" t="s">
        <v>2017</v>
      </c>
      <c r="I71" s="176" t="s">
        <v>1926</v>
      </c>
      <c r="J71" s="181">
        <v>44992</v>
      </c>
      <c r="K71" s="140">
        <v>48645</v>
      </c>
      <c r="L71" s="155">
        <v>10</v>
      </c>
      <c r="M71" s="155">
        <v>0</v>
      </c>
      <c r="N71" s="155">
        <v>1</v>
      </c>
      <c r="O71" s="155" t="s">
        <v>730</v>
      </c>
      <c r="P71" s="176" t="s">
        <v>730</v>
      </c>
      <c r="Q71" s="182">
        <v>46819</v>
      </c>
      <c r="R71" s="155">
        <v>0</v>
      </c>
      <c r="S71" s="176">
        <v>0</v>
      </c>
      <c r="T71" s="182" t="e">
        <f>VLOOKUP(A71,#REF!,9,FALSE)</f>
        <v>#REF!</v>
      </c>
      <c r="U71" s="155" t="s">
        <v>632</v>
      </c>
      <c r="V71" s="155" t="s">
        <v>632</v>
      </c>
      <c r="W71" s="155">
        <v>0</v>
      </c>
      <c r="X71" s="155">
        <v>0</v>
      </c>
      <c r="Y71" s="183">
        <v>0</v>
      </c>
    </row>
    <row r="72" spans="1:25" ht="14.45" customHeight="1">
      <c r="A72" s="179">
        <v>222653005</v>
      </c>
      <c r="B72" t="s">
        <v>207</v>
      </c>
      <c r="C72" t="s">
        <v>625</v>
      </c>
      <c r="D72" t="s">
        <v>753</v>
      </c>
      <c r="E72" t="s">
        <v>698</v>
      </c>
      <c r="F72" t="s">
        <v>2018</v>
      </c>
      <c r="G72" s="189" t="s">
        <v>207</v>
      </c>
      <c r="H72" s="180" t="s">
        <v>2019</v>
      </c>
      <c r="I72" s="176" t="s">
        <v>1926</v>
      </c>
      <c r="J72" s="181">
        <v>45064</v>
      </c>
      <c r="K72" s="140">
        <v>48716</v>
      </c>
      <c r="L72" s="155">
        <v>10</v>
      </c>
      <c r="M72" s="155">
        <v>0</v>
      </c>
      <c r="N72" s="155">
        <v>0</v>
      </c>
      <c r="O72" s="155" t="s">
        <v>730</v>
      </c>
      <c r="P72" s="176" t="s">
        <v>730</v>
      </c>
      <c r="Q72" s="182">
        <v>46905</v>
      </c>
      <c r="R72" s="155">
        <v>0</v>
      </c>
      <c r="S72" s="176">
        <v>0</v>
      </c>
      <c r="T72" s="182" t="e">
        <f>VLOOKUP(A72,#REF!,9,FALSE)</f>
        <v>#REF!</v>
      </c>
      <c r="U72" s="155" t="s">
        <v>632</v>
      </c>
      <c r="V72" s="155" t="s">
        <v>632</v>
      </c>
      <c r="W72" s="155">
        <v>0</v>
      </c>
      <c r="X72" s="155">
        <v>6</v>
      </c>
      <c r="Y72" s="183">
        <v>0</v>
      </c>
    </row>
    <row r="73" spans="1:25" ht="14.45" customHeight="1">
      <c r="A73" s="179">
        <v>222653006</v>
      </c>
      <c r="B73" t="s">
        <v>212</v>
      </c>
      <c r="C73" t="s">
        <v>625</v>
      </c>
      <c r="D73" t="s">
        <v>753</v>
      </c>
      <c r="E73" t="s">
        <v>698</v>
      </c>
      <c r="F73" s="180" t="s">
        <v>2020</v>
      </c>
      <c r="G73" s="189" t="s">
        <v>212</v>
      </c>
      <c r="H73" s="180" t="s">
        <v>2021</v>
      </c>
      <c r="I73" s="176" t="s">
        <v>1926</v>
      </c>
      <c r="J73" s="181">
        <v>45156</v>
      </c>
      <c r="K73" s="140">
        <v>48808</v>
      </c>
      <c r="L73" s="155">
        <v>10</v>
      </c>
      <c r="M73" s="155">
        <v>0</v>
      </c>
      <c r="N73" s="155">
        <v>0</v>
      </c>
      <c r="O73" s="155" t="s">
        <v>730</v>
      </c>
      <c r="P73" s="176" t="s">
        <v>730</v>
      </c>
      <c r="Q73" s="182">
        <v>46983</v>
      </c>
      <c r="R73" s="155">
        <v>0</v>
      </c>
      <c r="S73" s="176">
        <v>0</v>
      </c>
      <c r="T73" s="182" t="e">
        <f>VLOOKUP(A73,#REF!,9,FALSE)</f>
        <v>#REF!</v>
      </c>
      <c r="U73" s="155" t="s">
        <v>518</v>
      </c>
      <c r="V73" s="155" t="s">
        <v>518</v>
      </c>
      <c r="W73" s="155">
        <v>0</v>
      </c>
      <c r="X73" s="155">
        <v>0</v>
      </c>
      <c r="Y73" s="183">
        <v>0</v>
      </c>
    </row>
    <row r="74" spans="1:25" ht="14.45" customHeight="1">
      <c r="A74" s="179">
        <v>222662001</v>
      </c>
      <c r="B74" t="s">
        <v>262</v>
      </c>
      <c r="C74" t="s">
        <v>625</v>
      </c>
      <c r="D74" t="s">
        <v>753</v>
      </c>
      <c r="E74" t="s">
        <v>698</v>
      </c>
      <c r="F74" s="180" t="s">
        <v>2022</v>
      </c>
      <c r="G74" s="189" t="s">
        <v>262</v>
      </c>
      <c r="H74" s="180" t="s">
        <v>2023</v>
      </c>
      <c r="I74" s="176" t="s">
        <v>1926</v>
      </c>
      <c r="J74" s="181">
        <v>44494</v>
      </c>
      <c r="K74" s="140">
        <v>48145</v>
      </c>
      <c r="L74" s="155">
        <v>10</v>
      </c>
      <c r="M74" s="155">
        <v>0</v>
      </c>
      <c r="N74" s="155">
        <v>0</v>
      </c>
      <c r="O74" s="155" t="s">
        <v>730</v>
      </c>
      <c r="P74" s="176" t="s">
        <v>730</v>
      </c>
      <c r="Q74" s="182">
        <v>46320</v>
      </c>
      <c r="R74" s="155">
        <v>0</v>
      </c>
      <c r="S74" s="176">
        <v>0</v>
      </c>
      <c r="T74" s="182" t="e">
        <f>VLOOKUP(A74,#REF!,9,FALSE)</f>
        <v>#REF!</v>
      </c>
      <c r="U74" s="155" t="s">
        <v>632</v>
      </c>
      <c r="V74" s="155" t="s">
        <v>632</v>
      </c>
      <c r="W74" s="155">
        <v>0</v>
      </c>
      <c r="X74" s="155">
        <v>6</v>
      </c>
      <c r="Y74" s="183">
        <v>0</v>
      </c>
    </row>
    <row r="75" spans="1:25" ht="14.45" customHeight="1">
      <c r="A75" s="179">
        <v>222669001</v>
      </c>
      <c r="B75" t="s">
        <v>275</v>
      </c>
      <c r="C75" t="s">
        <v>625</v>
      </c>
      <c r="D75" t="s">
        <v>753</v>
      </c>
      <c r="E75" t="s">
        <v>698</v>
      </c>
      <c r="F75" t="s">
        <v>2024</v>
      </c>
      <c r="G75" s="189" t="s">
        <v>275</v>
      </c>
      <c r="H75" s="180" t="s">
        <v>2025</v>
      </c>
      <c r="I75" s="176" t="s">
        <v>1926</v>
      </c>
      <c r="J75" s="181">
        <v>44756</v>
      </c>
      <c r="K75" s="140">
        <v>48408</v>
      </c>
      <c r="L75" s="155">
        <v>10</v>
      </c>
      <c r="M75" s="155">
        <v>0</v>
      </c>
      <c r="N75" s="155">
        <v>0</v>
      </c>
      <c r="O75" s="155" t="s">
        <v>730</v>
      </c>
      <c r="P75" s="176" t="s">
        <v>730</v>
      </c>
      <c r="Q75" s="182">
        <v>46582</v>
      </c>
      <c r="R75" s="155">
        <v>0</v>
      </c>
      <c r="S75" s="176">
        <v>0</v>
      </c>
      <c r="T75" s="182" t="e">
        <f>VLOOKUP(A75,#REF!,9,FALSE)</f>
        <v>#REF!</v>
      </c>
      <c r="U75" s="155" t="s">
        <v>518</v>
      </c>
      <c r="V75" s="155" t="s">
        <v>518</v>
      </c>
      <c r="W75" s="155">
        <v>0</v>
      </c>
      <c r="X75" s="155">
        <v>6</v>
      </c>
      <c r="Y75" s="183">
        <v>0</v>
      </c>
    </row>
    <row r="76" spans="1:25" ht="14.45" customHeight="1">
      <c r="A76" s="179">
        <v>222690001</v>
      </c>
      <c r="B76" t="s">
        <v>250</v>
      </c>
      <c r="C76" t="s">
        <v>625</v>
      </c>
      <c r="D76" t="s">
        <v>753</v>
      </c>
      <c r="E76" t="s">
        <v>698</v>
      </c>
      <c r="F76" t="s">
        <v>2026</v>
      </c>
      <c r="G76" s="189" t="s">
        <v>250</v>
      </c>
      <c r="H76" s="180" t="s">
        <v>2027</v>
      </c>
      <c r="I76" s="176" t="s">
        <v>1926</v>
      </c>
      <c r="J76" s="181">
        <v>45107</v>
      </c>
      <c r="K76" s="140">
        <v>50585</v>
      </c>
      <c r="L76" s="155">
        <v>15</v>
      </c>
      <c r="M76" s="155">
        <v>0</v>
      </c>
      <c r="N76" s="155">
        <v>0</v>
      </c>
      <c r="O76" s="155" t="s">
        <v>730</v>
      </c>
      <c r="P76" s="176" t="s">
        <v>730</v>
      </c>
      <c r="Q76" s="182">
        <v>46934</v>
      </c>
      <c r="R76" s="155">
        <v>0</v>
      </c>
      <c r="S76" s="176">
        <v>0</v>
      </c>
      <c r="T76" s="182" t="e">
        <f>VLOOKUP(A76,#REF!,9,FALSE)</f>
        <v>#REF!</v>
      </c>
      <c r="U76" s="155" t="s">
        <v>632</v>
      </c>
      <c r="V76" s="155" t="s">
        <v>632</v>
      </c>
      <c r="W76" s="155">
        <v>0</v>
      </c>
      <c r="X76" s="155">
        <v>6</v>
      </c>
      <c r="Y76" s="183">
        <v>0</v>
      </c>
    </row>
    <row r="77" spans="1:25" ht="14.45" customHeight="1">
      <c r="A77" s="179">
        <v>222690002</v>
      </c>
      <c r="B77" t="s">
        <v>244</v>
      </c>
      <c r="C77" t="s">
        <v>625</v>
      </c>
      <c r="D77" t="s">
        <v>753</v>
      </c>
      <c r="E77" t="s">
        <v>698</v>
      </c>
      <c r="F77" t="s">
        <v>2028</v>
      </c>
      <c r="G77" s="189" t="s">
        <v>2029</v>
      </c>
      <c r="H77" s="180" t="s">
        <v>2030</v>
      </c>
      <c r="I77" s="176" t="s">
        <v>1926</v>
      </c>
      <c r="J77" s="181">
        <v>45037</v>
      </c>
      <c r="K77" s="140">
        <v>48689</v>
      </c>
      <c r="L77" s="155">
        <v>10</v>
      </c>
      <c r="M77" s="155">
        <v>0</v>
      </c>
      <c r="N77" s="155">
        <v>0</v>
      </c>
      <c r="O77" s="155" t="s">
        <v>730</v>
      </c>
      <c r="P77" s="176" t="s">
        <v>730</v>
      </c>
      <c r="Q77" s="182">
        <v>46864</v>
      </c>
      <c r="R77" s="155">
        <v>0</v>
      </c>
      <c r="S77" s="176">
        <v>0</v>
      </c>
      <c r="T77" s="182" t="e">
        <f>VLOOKUP(A77,#REF!,9,FALSE)</f>
        <v>#REF!</v>
      </c>
      <c r="U77" s="155" t="s">
        <v>632</v>
      </c>
      <c r="V77" s="155" t="s">
        <v>632</v>
      </c>
      <c r="W77" s="155">
        <v>0</v>
      </c>
      <c r="X77" s="155">
        <v>6</v>
      </c>
      <c r="Y77" s="183">
        <v>0</v>
      </c>
    </row>
    <row r="78" spans="1:25" ht="14.45" customHeight="1">
      <c r="A78" s="179">
        <v>222690004</v>
      </c>
      <c r="B78" t="s">
        <v>256</v>
      </c>
      <c r="C78" t="s">
        <v>625</v>
      </c>
      <c r="D78" t="s">
        <v>753</v>
      </c>
      <c r="E78" t="s">
        <v>698</v>
      </c>
      <c r="F78" t="s">
        <v>2031</v>
      </c>
      <c r="G78" s="189" t="s">
        <v>256</v>
      </c>
      <c r="H78" s="180" t="s">
        <v>2032</v>
      </c>
      <c r="I78" s="176" t="s">
        <v>1926</v>
      </c>
      <c r="J78" s="181">
        <v>45223</v>
      </c>
      <c r="K78" s="140">
        <v>47049</v>
      </c>
      <c r="L78" s="155">
        <v>5</v>
      </c>
      <c r="M78" s="155">
        <v>0</v>
      </c>
      <c r="N78" s="155">
        <v>0</v>
      </c>
      <c r="O78" s="155" t="s">
        <v>730</v>
      </c>
      <c r="P78" s="176" t="s">
        <v>730</v>
      </c>
      <c r="Q78" s="184" t="s">
        <v>730</v>
      </c>
      <c r="R78" s="155">
        <v>0</v>
      </c>
      <c r="S78" s="176">
        <v>0</v>
      </c>
      <c r="T78" s="182" t="e">
        <f>VLOOKUP(A78,#REF!,9,FALSE)</f>
        <v>#REF!</v>
      </c>
      <c r="U78" s="155" t="s">
        <v>632</v>
      </c>
      <c r="V78" s="155" t="s">
        <v>632</v>
      </c>
      <c r="W78" s="155">
        <v>0</v>
      </c>
      <c r="X78" s="155">
        <v>6</v>
      </c>
      <c r="Y78" s="183">
        <v>0</v>
      </c>
    </row>
    <row r="79" spans="1:25" ht="14.45" customHeight="1">
      <c r="A79" s="179">
        <v>222707002</v>
      </c>
      <c r="B79" t="s">
        <v>110</v>
      </c>
      <c r="C79" t="s">
        <v>625</v>
      </c>
      <c r="D79" t="s">
        <v>753</v>
      </c>
      <c r="E79" t="s">
        <v>698</v>
      </c>
      <c r="F79" t="s">
        <v>2033</v>
      </c>
      <c r="G79" s="189" t="s">
        <v>110</v>
      </c>
      <c r="H79" s="180" t="s">
        <v>2034</v>
      </c>
      <c r="I79" s="176" t="s">
        <v>1926</v>
      </c>
      <c r="J79" s="181">
        <v>45541</v>
      </c>
      <c r="K79" s="140">
        <v>49192</v>
      </c>
      <c r="L79" s="155">
        <v>10</v>
      </c>
      <c r="M79" s="155">
        <v>0</v>
      </c>
      <c r="N79" s="155">
        <v>0</v>
      </c>
      <c r="O79" s="155" t="s">
        <v>730</v>
      </c>
      <c r="P79" s="176" t="s">
        <v>730</v>
      </c>
      <c r="Q79" s="182">
        <v>47367</v>
      </c>
      <c r="R79" s="155">
        <v>0</v>
      </c>
      <c r="S79" s="176">
        <v>0</v>
      </c>
      <c r="T79" s="182" t="e">
        <f>VLOOKUP(A79,#REF!,9,FALSE)</f>
        <v>#REF!</v>
      </c>
      <c r="U79" s="155" t="s">
        <v>518</v>
      </c>
      <c r="V79" s="155" t="s">
        <v>518</v>
      </c>
      <c r="W79" s="155">
        <v>0</v>
      </c>
      <c r="X79" s="155">
        <v>6</v>
      </c>
      <c r="Y79" s="183">
        <v>0</v>
      </c>
    </row>
    <row r="80" spans="1:25" ht="14.45" customHeight="1">
      <c r="A80" s="179">
        <v>222707003</v>
      </c>
      <c r="B80" t="s">
        <v>114</v>
      </c>
      <c r="C80" t="s">
        <v>625</v>
      </c>
      <c r="D80" t="s">
        <v>753</v>
      </c>
      <c r="E80" t="s">
        <v>698</v>
      </c>
      <c r="F80" t="s">
        <v>2035</v>
      </c>
      <c r="G80" s="189" t="s">
        <v>114</v>
      </c>
      <c r="H80" s="180" t="s">
        <v>2036</v>
      </c>
      <c r="I80" s="176" t="s">
        <v>1926</v>
      </c>
      <c r="J80" s="181">
        <v>45607</v>
      </c>
      <c r="K80" s="140">
        <v>47432</v>
      </c>
      <c r="L80" s="155">
        <v>5</v>
      </c>
      <c r="M80" s="155">
        <v>0</v>
      </c>
      <c r="N80" s="155">
        <v>0</v>
      </c>
      <c r="O80" s="155" t="s">
        <v>730</v>
      </c>
      <c r="P80" s="176" t="s">
        <v>730</v>
      </c>
      <c r="Q80" s="184" t="s">
        <v>730</v>
      </c>
      <c r="R80" s="155">
        <v>0</v>
      </c>
      <c r="S80" s="176">
        <v>0</v>
      </c>
      <c r="T80" s="182" t="e">
        <f>VLOOKUP(A80,#REF!,9,FALSE)</f>
        <v>#REF!</v>
      </c>
      <c r="U80" s="155" t="s">
        <v>632</v>
      </c>
      <c r="V80" s="155" t="s">
        <v>632</v>
      </c>
      <c r="W80" s="155">
        <v>0</v>
      </c>
      <c r="X80" s="155">
        <v>6</v>
      </c>
      <c r="Y80" s="183">
        <v>0</v>
      </c>
    </row>
    <row r="81" spans="1:25" ht="14.45" customHeight="1">
      <c r="A81" s="179">
        <v>222710019</v>
      </c>
      <c r="B81" t="s">
        <v>828</v>
      </c>
      <c r="C81" t="s">
        <v>750</v>
      </c>
      <c r="D81" t="s">
        <v>753</v>
      </c>
      <c r="E81" t="s">
        <v>698</v>
      </c>
      <c r="F81" s="180" t="s">
        <v>349</v>
      </c>
      <c r="G81" s="189" t="s">
        <v>828</v>
      </c>
      <c r="H81" s="180" t="s">
        <v>2037</v>
      </c>
      <c r="I81" s="176" t="s">
        <v>1926</v>
      </c>
      <c r="J81" s="181">
        <v>45645</v>
      </c>
      <c r="K81" s="140">
        <v>51122</v>
      </c>
      <c r="L81" s="155">
        <v>15</v>
      </c>
      <c r="M81" s="155">
        <v>0</v>
      </c>
      <c r="N81" s="155">
        <v>0</v>
      </c>
      <c r="O81" s="156">
        <v>45511</v>
      </c>
      <c r="P81" s="176" t="s">
        <v>730</v>
      </c>
      <c r="Q81" s="184" t="s">
        <v>730</v>
      </c>
      <c r="R81" s="155">
        <v>0</v>
      </c>
      <c r="S81" s="176">
        <v>0</v>
      </c>
      <c r="T81" s="182" t="e">
        <f>VLOOKUP(A81,#REF!,9,FALSE)</f>
        <v>#REF!</v>
      </c>
      <c r="U81" s="155" t="s">
        <v>632</v>
      </c>
      <c r="V81" s="155" t="s">
        <v>632</v>
      </c>
      <c r="W81" s="155">
        <v>0</v>
      </c>
      <c r="X81" s="155">
        <v>3</v>
      </c>
      <c r="Y81" s="183">
        <v>0</v>
      </c>
    </row>
    <row r="82" spans="1:25">
      <c r="A82" s="179">
        <v>222710030</v>
      </c>
      <c r="B82" t="s">
        <v>830</v>
      </c>
      <c r="C82" t="s">
        <v>750</v>
      </c>
      <c r="D82" t="s">
        <v>753</v>
      </c>
      <c r="E82" t="s">
        <v>698</v>
      </c>
      <c r="F82" s="180" t="s">
        <v>349</v>
      </c>
      <c r="G82" s="189" t="s">
        <v>830</v>
      </c>
      <c r="H82" t="e">
        <v>#N/A</v>
      </c>
      <c r="I82" s="176" t="s">
        <v>1928</v>
      </c>
      <c r="J82" s="181">
        <v>45645</v>
      </c>
      <c r="K82" s="140">
        <v>51122</v>
      </c>
      <c r="L82" s="155">
        <v>15</v>
      </c>
      <c r="M82" s="155">
        <v>0</v>
      </c>
      <c r="N82" s="155">
        <v>0</v>
      </c>
      <c r="O82" s="155" t="s">
        <v>730</v>
      </c>
      <c r="P82" s="176" t="s">
        <v>730</v>
      </c>
      <c r="Q82" s="184" t="s">
        <v>730</v>
      </c>
      <c r="R82" s="155">
        <v>0</v>
      </c>
      <c r="S82" s="176">
        <v>0</v>
      </c>
      <c r="T82" s="182" t="e">
        <f>VLOOKUP(A82,#REF!,9,FALSE)</f>
        <v>#REF!</v>
      </c>
      <c r="U82" s="155" t="s">
        <v>632</v>
      </c>
      <c r="V82" s="155" t="s">
        <v>632</v>
      </c>
      <c r="W82" s="155">
        <v>0</v>
      </c>
      <c r="X82" s="155">
        <v>3</v>
      </c>
      <c r="Y82" s="183">
        <v>0</v>
      </c>
    </row>
    <row r="83" spans="1:25" ht="14.45" customHeight="1">
      <c r="A83" s="179">
        <v>222710037</v>
      </c>
      <c r="B83" t="s">
        <v>832</v>
      </c>
      <c r="C83" t="s">
        <v>750</v>
      </c>
      <c r="D83" t="s">
        <v>753</v>
      </c>
      <c r="E83" t="s">
        <v>698</v>
      </c>
      <c r="F83" s="180" t="s">
        <v>349</v>
      </c>
      <c r="G83" s="189" t="s">
        <v>832</v>
      </c>
      <c r="H83" s="180" t="s">
        <v>2038</v>
      </c>
      <c r="I83" s="176" t="s">
        <v>1926</v>
      </c>
      <c r="J83" s="181">
        <v>45645</v>
      </c>
      <c r="K83" s="140">
        <v>51122</v>
      </c>
      <c r="L83" s="155">
        <v>15</v>
      </c>
      <c r="M83" s="155">
        <v>0</v>
      </c>
      <c r="N83" s="155">
        <v>0</v>
      </c>
      <c r="O83" s="156">
        <v>45352</v>
      </c>
      <c r="P83" s="176" t="s">
        <v>730</v>
      </c>
      <c r="Q83" s="184" t="s">
        <v>730</v>
      </c>
      <c r="R83" s="155">
        <v>0</v>
      </c>
      <c r="S83" s="176">
        <v>0</v>
      </c>
      <c r="T83" s="182" t="e">
        <f>VLOOKUP(A83,#REF!,9,FALSE)</f>
        <v>#REF!</v>
      </c>
      <c r="U83" s="155" t="s">
        <v>632</v>
      </c>
      <c r="V83" s="155" t="s">
        <v>632</v>
      </c>
      <c r="W83" s="155">
        <v>0</v>
      </c>
      <c r="X83" s="155">
        <v>3</v>
      </c>
      <c r="Y83" s="183">
        <v>2</v>
      </c>
    </row>
    <row r="84" spans="1:25" ht="14.45" customHeight="1">
      <c r="A84" s="179">
        <v>222710102</v>
      </c>
      <c r="B84" t="s">
        <v>834</v>
      </c>
      <c r="C84" t="s">
        <v>750</v>
      </c>
      <c r="D84" t="s">
        <v>753</v>
      </c>
      <c r="E84" t="s">
        <v>698</v>
      </c>
      <c r="F84" s="180" t="s">
        <v>349</v>
      </c>
      <c r="G84" s="189" t="s">
        <v>834</v>
      </c>
      <c r="H84" s="180" t="s">
        <v>2039</v>
      </c>
      <c r="I84" s="176" t="s">
        <v>1926</v>
      </c>
      <c r="J84" s="181">
        <v>45645</v>
      </c>
      <c r="K84" s="140">
        <v>51122</v>
      </c>
      <c r="L84" s="155">
        <v>15</v>
      </c>
      <c r="M84" s="155">
        <v>0</v>
      </c>
      <c r="N84" s="155">
        <v>0</v>
      </c>
      <c r="O84" s="155" t="s">
        <v>730</v>
      </c>
      <c r="P84" s="190">
        <v>45633</v>
      </c>
      <c r="Q84" s="184" t="s">
        <v>730</v>
      </c>
      <c r="R84" s="155">
        <v>0</v>
      </c>
      <c r="S84" s="176">
        <v>0</v>
      </c>
      <c r="T84" s="182" t="e">
        <f>VLOOKUP(A84,#REF!,9,FALSE)</f>
        <v>#REF!</v>
      </c>
      <c r="U84" s="155" t="s">
        <v>632</v>
      </c>
      <c r="V84" s="155" t="s">
        <v>632</v>
      </c>
      <c r="W84" s="155">
        <v>0</v>
      </c>
      <c r="X84" s="155">
        <v>3</v>
      </c>
      <c r="Y84" s="183">
        <v>0</v>
      </c>
    </row>
    <row r="85" spans="1:25" ht="14.45" customHeight="1">
      <c r="A85" s="179">
        <v>222710107</v>
      </c>
      <c r="B85" t="s">
        <v>836</v>
      </c>
      <c r="C85" t="s">
        <v>750</v>
      </c>
      <c r="D85" t="s">
        <v>753</v>
      </c>
      <c r="E85" t="s">
        <v>698</v>
      </c>
      <c r="F85" s="180" t="s">
        <v>349</v>
      </c>
      <c r="G85" s="189" t="s">
        <v>836</v>
      </c>
      <c r="H85" s="180" t="s">
        <v>2040</v>
      </c>
      <c r="I85" s="176" t="s">
        <v>1926</v>
      </c>
      <c r="J85" s="181">
        <v>45645</v>
      </c>
      <c r="K85" s="140">
        <v>51122</v>
      </c>
      <c r="L85" s="155">
        <v>15</v>
      </c>
      <c r="M85" s="155">
        <v>0</v>
      </c>
      <c r="N85" s="155">
        <v>0</v>
      </c>
      <c r="O85" s="156">
        <v>45510</v>
      </c>
      <c r="P85" s="176" t="s">
        <v>730</v>
      </c>
      <c r="Q85" s="184" t="s">
        <v>730</v>
      </c>
      <c r="R85" s="155">
        <v>0</v>
      </c>
      <c r="S85" s="176">
        <v>0</v>
      </c>
      <c r="T85" s="182" t="e">
        <f>VLOOKUP(A85,#REF!,9,FALSE)</f>
        <v>#REF!</v>
      </c>
      <c r="U85" s="155" t="s">
        <v>632</v>
      </c>
      <c r="V85" s="155" t="s">
        <v>632</v>
      </c>
      <c r="W85" s="155">
        <v>0</v>
      </c>
      <c r="X85" s="155">
        <v>3</v>
      </c>
      <c r="Y85" s="183">
        <v>0</v>
      </c>
    </row>
    <row r="86" spans="1:25" ht="14.45" customHeight="1">
      <c r="A86" s="179">
        <v>222710108</v>
      </c>
      <c r="B86" t="s">
        <v>838</v>
      </c>
      <c r="C86" t="s">
        <v>750</v>
      </c>
      <c r="D86" t="s">
        <v>753</v>
      </c>
      <c r="E86" t="s">
        <v>698</v>
      </c>
      <c r="F86" s="180" t="s">
        <v>349</v>
      </c>
      <c r="G86" s="189" t="s">
        <v>838</v>
      </c>
      <c r="H86" s="180" t="s">
        <v>2041</v>
      </c>
      <c r="I86" s="176" t="s">
        <v>1926</v>
      </c>
      <c r="J86" s="181">
        <v>45645</v>
      </c>
      <c r="K86" s="140">
        <v>51122</v>
      </c>
      <c r="L86" s="155">
        <v>15</v>
      </c>
      <c r="M86" s="155">
        <v>0</v>
      </c>
      <c r="N86" s="155">
        <v>0</v>
      </c>
      <c r="O86" s="156">
        <v>45510</v>
      </c>
      <c r="P86" s="176" t="s">
        <v>730</v>
      </c>
      <c r="Q86" s="184" t="s">
        <v>730</v>
      </c>
      <c r="R86" s="155">
        <v>0</v>
      </c>
      <c r="S86" s="176">
        <v>0</v>
      </c>
      <c r="T86" s="182" t="e">
        <f>VLOOKUP(A86,#REF!,9,FALSE)</f>
        <v>#REF!</v>
      </c>
      <c r="U86" s="155" t="s">
        <v>632</v>
      </c>
      <c r="V86" s="155" t="s">
        <v>632</v>
      </c>
      <c r="W86" s="155">
        <v>0</v>
      </c>
      <c r="X86" s="155">
        <v>3</v>
      </c>
      <c r="Y86" s="183">
        <v>0</v>
      </c>
    </row>
    <row r="87" spans="1:25">
      <c r="A87" s="179">
        <v>222710112</v>
      </c>
      <c r="B87" t="s">
        <v>840</v>
      </c>
      <c r="C87" t="s">
        <v>750</v>
      </c>
      <c r="D87" t="s">
        <v>753</v>
      </c>
      <c r="E87" t="s">
        <v>698</v>
      </c>
      <c r="F87" s="180" t="s">
        <v>349</v>
      </c>
      <c r="G87" s="189" t="s">
        <v>840</v>
      </c>
      <c r="H87" s="180" t="s">
        <v>2042</v>
      </c>
      <c r="I87" s="176" t="s">
        <v>1926</v>
      </c>
      <c r="J87" s="181">
        <v>45645</v>
      </c>
      <c r="K87" s="140">
        <v>51122</v>
      </c>
      <c r="L87" s="155">
        <v>15</v>
      </c>
      <c r="M87" s="155">
        <v>0</v>
      </c>
      <c r="N87" s="155">
        <v>0</v>
      </c>
      <c r="O87" s="156">
        <v>45473</v>
      </c>
      <c r="P87" s="176" t="s">
        <v>730</v>
      </c>
      <c r="Q87" s="184" t="s">
        <v>730</v>
      </c>
      <c r="R87" s="155">
        <v>0</v>
      </c>
      <c r="S87" s="176">
        <v>0</v>
      </c>
      <c r="T87" s="182" t="e">
        <f>VLOOKUP(A87,#REF!,9,FALSE)</f>
        <v>#REF!</v>
      </c>
      <c r="U87" s="155" t="s">
        <v>632</v>
      </c>
      <c r="V87" s="155" t="s">
        <v>632</v>
      </c>
      <c r="W87" s="155">
        <v>0</v>
      </c>
      <c r="X87" s="155">
        <v>3</v>
      </c>
      <c r="Y87" s="183">
        <v>2</v>
      </c>
    </row>
    <row r="88" spans="1:25" ht="14.45" customHeight="1">
      <c r="A88" s="179">
        <v>222710153</v>
      </c>
      <c r="B88" t="s">
        <v>842</v>
      </c>
      <c r="C88" t="s">
        <v>750</v>
      </c>
      <c r="D88" t="s">
        <v>753</v>
      </c>
      <c r="E88" t="s">
        <v>698</v>
      </c>
      <c r="F88" s="180" t="s">
        <v>349</v>
      </c>
      <c r="G88" s="189" t="s">
        <v>842</v>
      </c>
      <c r="H88" s="180" t="s">
        <v>2043</v>
      </c>
      <c r="I88" s="176" t="s">
        <v>1926</v>
      </c>
      <c r="J88" s="181">
        <v>45645</v>
      </c>
      <c r="K88" s="140">
        <v>51122</v>
      </c>
      <c r="L88" s="155">
        <v>15</v>
      </c>
      <c r="M88" s="155">
        <v>0</v>
      </c>
      <c r="N88" s="155">
        <v>0</v>
      </c>
      <c r="O88" s="155" t="s">
        <v>730</v>
      </c>
      <c r="P88" s="176" t="s">
        <v>730</v>
      </c>
      <c r="Q88" s="184" t="s">
        <v>730</v>
      </c>
      <c r="R88" s="155">
        <v>0</v>
      </c>
      <c r="S88" s="176">
        <v>0</v>
      </c>
      <c r="T88" s="182" t="e">
        <f>VLOOKUP(A88,#REF!,9,FALSE)</f>
        <v>#REF!</v>
      </c>
      <c r="U88" s="155" t="s">
        <v>632</v>
      </c>
      <c r="V88" s="155" t="s">
        <v>632</v>
      </c>
      <c r="W88" s="155">
        <v>0</v>
      </c>
      <c r="X88" s="155">
        <v>0</v>
      </c>
      <c r="Y88" s="183">
        <v>0</v>
      </c>
    </row>
    <row r="89" spans="1:25" ht="14.45" customHeight="1">
      <c r="A89" s="179">
        <v>222710154</v>
      </c>
      <c r="B89" t="s">
        <v>844</v>
      </c>
      <c r="C89" t="s">
        <v>750</v>
      </c>
      <c r="D89" t="s">
        <v>753</v>
      </c>
      <c r="E89" t="s">
        <v>698</v>
      </c>
      <c r="F89" s="180" t="s">
        <v>349</v>
      </c>
      <c r="G89" s="189" t="s">
        <v>844</v>
      </c>
      <c r="H89" s="180" t="s">
        <v>2044</v>
      </c>
      <c r="I89" s="176" t="s">
        <v>1926</v>
      </c>
      <c r="J89" s="181">
        <v>45645</v>
      </c>
      <c r="K89" s="140">
        <v>51122</v>
      </c>
      <c r="L89" s="155">
        <v>15</v>
      </c>
      <c r="M89" s="155">
        <v>0</v>
      </c>
      <c r="N89" s="155">
        <v>0</v>
      </c>
      <c r="O89" s="156">
        <v>45484</v>
      </c>
      <c r="P89" s="176" t="s">
        <v>730</v>
      </c>
      <c r="Q89" s="184" t="s">
        <v>730</v>
      </c>
      <c r="R89" s="155">
        <v>0</v>
      </c>
      <c r="S89" s="176">
        <v>0</v>
      </c>
      <c r="T89" s="182" t="e">
        <f>VLOOKUP(A89,#REF!,9,FALSE)</f>
        <v>#REF!</v>
      </c>
      <c r="U89" s="155" t="s">
        <v>632</v>
      </c>
      <c r="V89" s="155" t="s">
        <v>632</v>
      </c>
      <c r="W89" s="155">
        <v>0</v>
      </c>
      <c r="X89" s="155">
        <v>3</v>
      </c>
      <c r="Y89" s="183">
        <v>0</v>
      </c>
    </row>
    <row r="90" spans="1:25" ht="14.45" customHeight="1">
      <c r="A90" s="179">
        <v>222710162</v>
      </c>
      <c r="B90" t="s">
        <v>846</v>
      </c>
      <c r="C90" t="s">
        <v>750</v>
      </c>
      <c r="D90" t="s">
        <v>753</v>
      </c>
      <c r="E90" t="s">
        <v>698</v>
      </c>
      <c r="F90" s="180" t="s">
        <v>349</v>
      </c>
      <c r="G90" s="189" t="s">
        <v>846</v>
      </c>
      <c r="H90" s="180" t="s">
        <v>2045</v>
      </c>
      <c r="I90" s="176" t="s">
        <v>1926</v>
      </c>
      <c r="J90" s="181">
        <v>45645</v>
      </c>
      <c r="K90" s="140">
        <v>51122</v>
      </c>
      <c r="L90" s="155">
        <v>15</v>
      </c>
      <c r="M90" s="155">
        <v>0</v>
      </c>
      <c r="N90" s="155">
        <v>0</v>
      </c>
      <c r="O90" s="155" t="s">
        <v>730</v>
      </c>
      <c r="P90" s="176" t="s">
        <v>730</v>
      </c>
      <c r="Q90" s="184" t="s">
        <v>730</v>
      </c>
      <c r="R90" s="155">
        <v>0</v>
      </c>
      <c r="S90" s="176">
        <v>0</v>
      </c>
      <c r="T90" s="182" t="e">
        <f>VLOOKUP(A90,#REF!,9,FALSE)</f>
        <v>#REF!</v>
      </c>
      <c r="U90" s="155" t="s">
        <v>632</v>
      </c>
      <c r="V90" s="155" t="s">
        <v>632</v>
      </c>
      <c r="W90" s="155">
        <v>0</v>
      </c>
      <c r="X90" s="155">
        <v>0</v>
      </c>
      <c r="Y90" s="183">
        <v>2</v>
      </c>
    </row>
    <row r="91" spans="1:25" ht="14.45" customHeight="1">
      <c r="A91" s="179">
        <v>222711001</v>
      </c>
      <c r="B91" t="s">
        <v>347</v>
      </c>
      <c r="C91" t="s">
        <v>625</v>
      </c>
      <c r="D91" t="s">
        <v>753</v>
      </c>
      <c r="E91" t="s">
        <v>698</v>
      </c>
      <c r="F91" t="s">
        <v>349</v>
      </c>
      <c r="G91" s="189" t="s">
        <v>347</v>
      </c>
      <c r="H91" s="180" t="s">
        <v>2046</v>
      </c>
      <c r="I91" s="176" t="s">
        <v>1926</v>
      </c>
      <c r="J91" s="181">
        <v>45645</v>
      </c>
      <c r="K91" s="140">
        <v>51122</v>
      </c>
      <c r="L91" s="155">
        <v>15</v>
      </c>
      <c r="M91" s="155">
        <v>0</v>
      </c>
      <c r="N91" s="155">
        <v>0</v>
      </c>
      <c r="O91" s="155" t="s">
        <v>730</v>
      </c>
      <c r="P91" s="176" t="s">
        <v>730</v>
      </c>
      <c r="Q91" s="182">
        <v>47471</v>
      </c>
      <c r="R91" s="155">
        <v>0</v>
      </c>
      <c r="S91" s="176">
        <v>0</v>
      </c>
      <c r="T91" s="182" t="e">
        <f>VLOOKUP(A91,#REF!,9,FALSE)</f>
        <v>#REF!</v>
      </c>
      <c r="U91" s="155" t="s">
        <v>632</v>
      </c>
      <c r="V91" s="155" t="s">
        <v>632</v>
      </c>
      <c r="W91" s="155">
        <v>0</v>
      </c>
      <c r="X91" s="155">
        <v>6</v>
      </c>
      <c r="Y91" s="183">
        <v>0</v>
      </c>
    </row>
    <row r="92" spans="1:25" ht="14.45" customHeight="1">
      <c r="A92" s="179">
        <v>222740001</v>
      </c>
      <c r="B92" t="s">
        <v>412</v>
      </c>
      <c r="C92" t="s">
        <v>625</v>
      </c>
      <c r="D92" t="s">
        <v>753</v>
      </c>
      <c r="E92" t="s">
        <v>698</v>
      </c>
      <c r="F92" s="180" t="s">
        <v>2047</v>
      </c>
      <c r="G92" s="189" t="s">
        <v>412</v>
      </c>
      <c r="H92" s="180" t="s">
        <v>2048</v>
      </c>
      <c r="I92" s="176" t="s">
        <v>1926</v>
      </c>
      <c r="J92" s="181">
        <v>45471</v>
      </c>
      <c r="K92" s="140">
        <v>50948</v>
      </c>
      <c r="L92" s="155">
        <v>15</v>
      </c>
      <c r="M92" s="155">
        <v>0</v>
      </c>
      <c r="N92" s="155">
        <v>0</v>
      </c>
      <c r="O92" s="155" t="s">
        <v>730</v>
      </c>
      <c r="P92" s="176" t="s">
        <v>730</v>
      </c>
      <c r="Q92" s="182">
        <v>47297</v>
      </c>
      <c r="R92" s="155">
        <v>0</v>
      </c>
      <c r="S92" s="176">
        <v>0</v>
      </c>
      <c r="T92" s="182" t="e">
        <f>VLOOKUP(A92,#REF!,9,FALSE)</f>
        <v>#REF!</v>
      </c>
      <c r="U92" s="155" t="s">
        <v>632</v>
      </c>
      <c r="V92" s="155" t="s">
        <v>632</v>
      </c>
      <c r="W92" s="155">
        <v>0</v>
      </c>
      <c r="X92" s="155">
        <v>0</v>
      </c>
      <c r="Y92" s="183">
        <v>0</v>
      </c>
    </row>
    <row r="93" spans="1:25" ht="14.45" customHeight="1">
      <c r="A93" s="179">
        <v>222740002</v>
      </c>
      <c r="B93" t="s">
        <v>418</v>
      </c>
      <c r="C93" t="s">
        <v>625</v>
      </c>
      <c r="D93" t="s">
        <v>753</v>
      </c>
      <c r="E93" t="s">
        <v>698</v>
      </c>
      <c r="F93" t="s">
        <v>2049</v>
      </c>
      <c r="G93" s="189" t="s">
        <v>418</v>
      </c>
      <c r="H93" s="180" t="s">
        <v>2050</v>
      </c>
      <c r="I93" s="176" t="s">
        <v>1926</v>
      </c>
      <c r="J93" s="181">
        <v>45229</v>
      </c>
      <c r="K93" s="140">
        <v>48881</v>
      </c>
      <c r="L93" s="155">
        <v>10</v>
      </c>
      <c r="M93" s="155">
        <v>0</v>
      </c>
      <c r="N93" s="155">
        <v>0</v>
      </c>
      <c r="O93" s="155" t="s">
        <v>730</v>
      </c>
      <c r="P93" s="176" t="s">
        <v>730</v>
      </c>
      <c r="Q93" s="182">
        <v>47056</v>
      </c>
      <c r="R93" s="155">
        <v>0</v>
      </c>
      <c r="S93" s="176">
        <v>0</v>
      </c>
      <c r="T93" s="182" t="e">
        <f>VLOOKUP(A93,#REF!,9,FALSE)</f>
        <v>#REF!</v>
      </c>
      <c r="U93" s="155" t="s">
        <v>518</v>
      </c>
      <c r="V93" s="155" t="s">
        <v>518</v>
      </c>
      <c r="W93" s="155">
        <v>0</v>
      </c>
      <c r="X93" s="155">
        <v>6</v>
      </c>
      <c r="Y93" s="183">
        <v>0</v>
      </c>
    </row>
    <row r="94" spans="1:25" ht="14.45" customHeight="1">
      <c r="A94" s="179">
        <v>222797001</v>
      </c>
      <c r="B94" t="s">
        <v>991</v>
      </c>
      <c r="C94" t="s">
        <v>750</v>
      </c>
      <c r="D94" t="s">
        <v>989</v>
      </c>
      <c r="E94" t="s">
        <v>698</v>
      </c>
      <c r="F94" t="s">
        <v>2051</v>
      </c>
      <c r="G94" s="189" t="s">
        <v>991</v>
      </c>
      <c r="H94" s="180" t="s">
        <v>2052</v>
      </c>
      <c r="I94" s="176" t="s">
        <v>1926</v>
      </c>
      <c r="J94" s="181">
        <v>42552</v>
      </c>
      <c r="K94" s="140">
        <v>46934</v>
      </c>
      <c r="L94" s="155">
        <v>0</v>
      </c>
      <c r="M94" s="155">
        <v>0</v>
      </c>
      <c r="N94" s="155">
        <v>0</v>
      </c>
      <c r="O94" s="155" t="s">
        <v>730</v>
      </c>
      <c r="P94" s="176" t="s">
        <v>730</v>
      </c>
      <c r="Q94" s="184" t="s">
        <v>730</v>
      </c>
      <c r="R94" s="155">
        <v>0</v>
      </c>
      <c r="S94" s="176">
        <v>0</v>
      </c>
      <c r="T94" s="182" t="e">
        <f>VLOOKUP(A94,#REF!,9,FALSE)</f>
        <v>#REF!</v>
      </c>
      <c r="U94" s="155" t="s">
        <v>632</v>
      </c>
      <c r="V94" s="155" t="s">
        <v>632</v>
      </c>
      <c r="W94" s="155">
        <v>0</v>
      </c>
      <c r="X94" s="155">
        <v>0</v>
      </c>
      <c r="Y94" s="183">
        <v>0</v>
      </c>
    </row>
    <row r="95" spans="1:25" ht="14.45" customHeight="1">
      <c r="A95" s="179">
        <v>222797002</v>
      </c>
      <c r="B95" t="s">
        <v>993</v>
      </c>
      <c r="C95" t="s">
        <v>750</v>
      </c>
      <c r="D95" t="s">
        <v>989</v>
      </c>
      <c r="E95" t="s">
        <v>698</v>
      </c>
      <c r="F95" t="s">
        <v>2051</v>
      </c>
      <c r="G95" s="189" t="s">
        <v>993</v>
      </c>
      <c r="H95" s="180" t="s">
        <v>2053</v>
      </c>
      <c r="I95" s="176" t="s">
        <v>1926</v>
      </c>
      <c r="J95" s="181">
        <v>42552</v>
      </c>
      <c r="K95" s="140">
        <v>46934</v>
      </c>
      <c r="L95" s="155">
        <v>0</v>
      </c>
      <c r="M95" s="155">
        <v>0</v>
      </c>
      <c r="N95" s="155">
        <v>0</v>
      </c>
      <c r="O95" s="155" t="s">
        <v>730</v>
      </c>
      <c r="P95" s="176" t="s">
        <v>730</v>
      </c>
      <c r="Q95" s="184" t="s">
        <v>730</v>
      </c>
      <c r="R95" s="155">
        <v>0</v>
      </c>
      <c r="S95" s="176">
        <v>0</v>
      </c>
      <c r="T95" s="182" t="e">
        <f>VLOOKUP(A95,#REF!,9,FALSE)</f>
        <v>#REF!</v>
      </c>
      <c r="U95" s="155" t="s">
        <v>632</v>
      </c>
      <c r="V95" s="155" t="s">
        <v>632</v>
      </c>
      <c r="W95" s="155">
        <v>0</v>
      </c>
      <c r="X95" s="155">
        <v>0</v>
      </c>
      <c r="Y95" s="183">
        <v>0</v>
      </c>
    </row>
    <row r="96" spans="1:25">
      <c r="A96" s="179">
        <v>222797003</v>
      </c>
      <c r="B96" t="s">
        <v>995</v>
      </c>
      <c r="C96" t="s">
        <v>750</v>
      </c>
      <c r="D96" t="s">
        <v>989</v>
      </c>
      <c r="E96" t="s">
        <v>698</v>
      </c>
      <c r="F96" t="s">
        <v>2051</v>
      </c>
      <c r="G96" s="180" t="s">
        <v>995</v>
      </c>
      <c r="H96" s="180" t="s">
        <v>2054</v>
      </c>
      <c r="I96" s="176" t="s">
        <v>1926</v>
      </c>
      <c r="J96" s="181">
        <v>42552</v>
      </c>
      <c r="K96" s="140">
        <v>46934</v>
      </c>
      <c r="L96" s="155">
        <v>0</v>
      </c>
      <c r="M96" s="155">
        <v>0</v>
      </c>
      <c r="N96" s="155">
        <v>0</v>
      </c>
      <c r="O96" s="155" t="s">
        <v>730</v>
      </c>
      <c r="P96" s="176" t="s">
        <v>730</v>
      </c>
      <c r="Q96" s="184" t="s">
        <v>730</v>
      </c>
      <c r="R96" s="155">
        <v>0</v>
      </c>
      <c r="S96" s="176">
        <v>0</v>
      </c>
      <c r="T96" s="182" t="e">
        <f>VLOOKUP(A96,#REF!,9,FALSE)</f>
        <v>#REF!</v>
      </c>
      <c r="U96" s="155" t="s">
        <v>632</v>
      </c>
      <c r="V96" s="155" t="s">
        <v>632</v>
      </c>
      <c r="W96" s="155">
        <v>0</v>
      </c>
      <c r="X96" s="155">
        <v>0</v>
      </c>
      <c r="Y96" s="183">
        <v>0</v>
      </c>
    </row>
    <row r="97" spans="1:25">
      <c r="A97" s="179">
        <v>222797005</v>
      </c>
      <c r="B97" t="s">
        <v>997</v>
      </c>
      <c r="C97" t="s">
        <v>750</v>
      </c>
      <c r="D97" t="s">
        <v>989</v>
      </c>
      <c r="E97" t="s">
        <v>698</v>
      </c>
      <c r="F97" t="s">
        <v>2055</v>
      </c>
      <c r="G97" s="180" t="s">
        <v>997</v>
      </c>
      <c r="H97" s="180" t="s">
        <v>2056</v>
      </c>
      <c r="I97" s="176" t="s">
        <v>1926</v>
      </c>
      <c r="J97" s="185" t="s">
        <v>730</v>
      </c>
      <c r="K97" t="s">
        <v>730</v>
      </c>
      <c r="L97" s="155">
        <v>0</v>
      </c>
      <c r="M97" s="155">
        <v>0</v>
      </c>
      <c r="N97" s="155">
        <v>0</v>
      </c>
      <c r="O97" s="155" t="s">
        <v>730</v>
      </c>
      <c r="P97" s="176" t="s">
        <v>730</v>
      </c>
      <c r="Q97" s="184" t="s">
        <v>730</v>
      </c>
      <c r="R97" s="155">
        <v>0</v>
      </c>
      <c r="S97" s="176">
        <v>0</v>
      </c>
      <c r="T97" s="182" t="e">
        <f>VLOOKUP(A97,#REF!,9,FALSE)</f>
        <v>#REF!</v>
      </c>
      <c r="U97" s="155" t="s">
        <v>632</v>
      </c>
      <c r="V97" s="155" t="s">
        <v>632</v>
      </c>
      <c r="W97" s="155">
        <v>0</v>
      </c>
      <c r="X97" s="155">
        <v>0</v>
      </c>
      <c r="Y97" s="183">
        <v>0</v>
      </c>
    </row>
    <row r="98" spans="1:25">
      <c r="A98" s="179">
        <v>222797006</v>
      </c>
      <c r="B98" t="s">
        <v>999</v>
      </c>
      <c r="C98" t="s">
        <v>750</v>
      </c>
      <c r="D98" t="s">
        <v>989</v>
      </c>
      <c r="E98" t="s">
        <v>698</v>
      </c>
      <c r="F98" t="s">
        <v>2055</v>
      </c>
      <c r="G98" s="180" t="s">
        <v>999</v>
      </c>
      <c r="H98" s="180" t="s">
        <v>2057</v>
      </c>
      <c r="I98" s="176" t="s">
        <v>1926</v>
      </c>
      <c r="J98" s="185" t="s">
        <v>730</v>
      </c>
      <c r="K98" t="s">
        <v>730</v>
      </c>
      <c r="L98" s="155">
        <v>0</v>
      </c>
      <c r="M98" s="155">
        <v>0</v>
      </c>
      <c r="N98" s="155">
        <v>0</v>
      </c>
      <c r="O98" s="155" t="s">
        <v>730</v>
      </c>
      <c r="P98" s="176" t="s">
        <v>730</v>
      </c>
      <c r="Q98" s="184" t="s">
        <v>730</v>
      </c>
      <c r="R98" s="155">
        <v>0</v>
      </c>
      <c r="S98" s="176">
        <v>0</v>
      </c>
      <c r="T98" s="182" t="e">
        <f>VLOOKUP(A98,#REF!,9,FALSE)</f>
        <v>#REF!</v>
      </c>
      <c r="U98" s="155" t="s">
        <v>632</v>
      </c>
      <c r="V98" s="155" t="s">
        <v>632</v>
      </c>
      <c r="W98" s="155">
        <v>0</v>
      </c>
      <c r="X98" s="155">
        <v>0</v>
      </c>
      <c r="Y98" s="183">
        <v>0</v>
      </c>
    </row>
    <row r="99" spans="1:25">
      <c r="A99" s="179">
        <v>222797007</v>
      </c>
      <c r="B99" t="s">
        <v>1001</v>
      </c>
      <c r="C99" t="s">
        <v>750</v>
      </c>
      <c r="D99" t="s">
        <v>989</v>
      </c>
      <c r="E99" t="s">
        <v>698</v>
      </c>
      <c r="F99" t="s">
        <v>2058</v>
      </c>
      <c r="G99" s="180" t="s">
        <v>1001</v>
      </c>
      <c r="H99" s="180" t="s">
        <v>2059</v>
      </c>
      <c r="I99" s="176" t="s">
        <v>1926</v>
      </c>
      <c r="J99" s="181">
        <v>44954</v>
      </c>
      <c r="K99" s="140">
        <v>46052</v>
      </c>
      <c r="L99" s="155">
        <v>0</v>
      </c>
      <c r="M99" s="155">
        <v>0</v>
      </c>
      <c r="N99" s="155">
        <v>0</v>
      </c>
      <c r="O99" s="155" t="s">
        <v>730</v>
      </c>
      <c r="P99" s="176" t="s">
        <v>730</v>
      </c>
      <c r="Q99" s="184" t="s">
        <v>730</v>
      </c>
      <c r="R99" s="155">
        <v>0</v>
      </c>
      <c r="S99" s="176">
        <v>0</v>
      </c>
      <c r="T99" s="182" t="e">
        <f>VLOOKUP(A99,#REF!,9,FALSE)</f>
        <v>#REF!</v>
      </c>
      <c r="U99" s="155" t="s">
        <v>632</v>
      </c>
      <c r="V99" s="155" t="s">
        <v>632</v>
      </c>
      <c r="W99" s="155">
        <v>0</v>
      </c>
      <c r="X99" s="155">
        <v>0</v>
      </c>
      <c r="Y99" s="183">
        <v>0</v>
      </c>
    </row>
    <row r="100" spans="1:25">
      <c r="A100" s="179">
        <v>222797008</v>
      </c>
      <c r="B100" t="s">
        <v>1003</v>
      </c>
      <c r="C100" t="s">
        <v>750</v>
      </c>
      <c r="D100" t="s">
        <v>989</v>
      </c>
      <c r="E100" t="s">
        <v>698</v>
      </c>
      <c r="F100" t="s">
        <v>2058</v>
      </c>
      <c r="G100" s="180" t="s">
        <v>1003</v>
      </c>
      <c r="H100" s="180" t="s">
        <v>2060</v>
      </c>
      <c r="I100" s="176" t="s">
        <v>1926</v>
      </c>
      <c r="J100" s="181">
        <v>44954</v>
      </c>
      <c r="K100" s="140">
        <v>46052</v>
      </c>
      <c r="L100" s="155">
        <v>0</v>
      </c>
      <c r="M100" s="155">
        <v>0</v>
      </c>
      <c r="N100" s="155">
        <v>0</v>
      </c>
      <c r="O100" s="155" t="s">
        <v>730</v>
      </c>
      <c r="P100" s="176" t="s">
        <v>730</v>
      </c>
      <c r="Q100" s="184" t="s">
        <v>730</v>
      </c>
      <c r="R100" s="155">
        <v>0</v>
      </c>
      <c r="S100" s="176">
        <v>0</v>
      </c>
      <c r="T100" s="182" t="e">
        <f>VLOOKUP(A100,#REF!,9,FALSE)</f>
        <v>#REF!</v>
      </c>
      <c r="U100" s="155" t="s">
        <v>632</v>
      </c>
      <c r="V100" s="155" t="s">
        <v>632</v>
      </c>
      <c r="W100" s="155">
        <v>0</v>
      </c>
      <c r="X100" s="155">
        <v>0</v>
      </c>
      <c r="Y100" s="183">
        <v>0</v>
      </c>
    </row>
    <row r="101" spans="1:25">
      <c r="A101" s="179">
        <v>222797009</v>
      </c>
      <c r="B101" t="s">
        <v>1005</v>
      </c>
      <c r="C101" t="s">
        <v>750</v>
      </c>
      <c r="D101" t="s">
        <v>989</v>
      </c>
      <c r="E101" t="s">
        <v>698</v>
      </c>
      <c r="F101" t="s">
        <v>2058</v>
      </c>
      <c r="G101" s="180" t="s">
        <v>1005</v>
      </c>
      <c r="H101" s="180" t="s">
        <v>2061</v>
      </c>
      <c r="I101" s="176" t="s">
        <v>1926</v>
      </c>
      <c r="J101" s="181">
        <v>44954</v>
      </c>
      <c r="K101" s="140">
        <v>46052</v>
      </c>
      <c r="L101" s="155">
        <v>0</v>
      </c>
      <c r="M101" s="155">
        <v>0</v>
      </c>
      <c r="N101" s="155">
        <v>0</v>
      </c>
      <c r="O101" s="155" t="s">
        <v>730</v>
      </c>
      <c r="P101" s="176" t="s">
        <v>730</v>
      </c>
      <c r="Q101" s="184" t="s">
        <v>730</v>
      </c>
      <c r="R101" s="155">
        <v>0</v>
      </c>
      <c r="S101" s="176">
        <v>0</v>
      </c>
      <c r="T101" s="182" t="e">
        <f>VLOOKUP(A101,#REF!,9,FALSE)</f>
        <v>#REF!</v>
      </c>
      <c r="U101" s="155" t="s">
        <v>632</v>
      </c>
      <c r="V101" s="155" t="s">
        <v>632</v>
      </c>
      <c r="W101" s="155">
        <v>0</v>
      </c>
      <c r="X101" s="155">
        <v>0</v>
      </c>
      <c r="Y101" s="183">
        <v>0</v>
      </c>
    </row>
    <row r="102" spans="1:25">
      <c r="A102" s="179">
        <v>222797010</v>
      </c>
      <c r="B102" t="s">
        <v>1007</v>
      </c>
      <c r="C102" t="s">
        <v>750</v>
      </c>
      <c r="D102" t="s">
        <v>989</v>
      </c>
      <c r="E102" t="s">
        <v>698</v>
      </c>
      <c r="F102" t="s">
        <v>2058</v>
      </c>
      <c r="G102" s="180" t="s">
        <v>1007</v>
      </c>
      <c r="H102" s="180" t="s">
        <v>2062</v>
      </c>
      <c r="I102" s="176" t="s">
        <v>1926</v>
      </c>
      <c r="J102" s="181">
        <v>44954</v>
      </c>
      <c r="K102" s="140">
        <v>46052</v>
      </c>
      <c r="L102" s="155">
        <v>0</v>
      </c>
      <c r="M102" s="155">
        <v>0</v>
      </c>
      <c r="N102" s="155">
        <v>0</v>
      </c>
      <c r="O102" s="155" t="s">
        <v>730</v>
      </c>
      <c r="P102" s="176" t="s">
        <v>730</v>
      </c>
      <c r="Q102" s="184" t="s">
        <v>730</v>
      </c>
      <c r="R102" s="155">
        <v>0</v>
      </c>
      <c r="S102" s="176">
        <v>0</v>
      </c>
      <c r="T102" s="182" t="e">
        <f>VLOOKUP(A102,#REF!,9,FALSE)</f>
        <v>#REF!</v>
      </c>
      <c r="U102" s="155" t="s">
        <v>632</v>
      </c>
      <c r="V102" s="155" t="s">
        <v>632</v>
      </c>
      <c r="W102" s="155">
        <v>0</v>
      </c>
      <c r="X102" s="155">
        <v>0</v>
      </c>
      <c r="Y102" s="183">
        <v>0</v>
      </c>
    </row>
    <row r="103" spans="1:25">
      <c r="A103" s="179">
        <v>222797011</v>
      </c>
      <c r="B103" t="s">
        <v>1009</v>
      </c>
      <c r="C103" t="s">
        <v>750</v>
      </c>
      <c r="D103" t="s">
        <v>989</v>
      </c>
      <c r="E103" t="s">
        <v>698</v>
      </c>
      <c r="F103" t="s">
        <v>2058</v>
      </c>
      <c r="G103" s="180" t="s">
        <v>1009</v>
      </c>
      <c r="H103" s="180" t="s">
        <v>2063</v>
      </c>
      <c r="I103" s="176" t="s">
        <v>1926</v>
      </c>
      <c r="J103" s="181">
        <v>44954</v>
      </c>
      <c r="K103" s="140">
        <v>46052</v>
      </c>
      <c r="L103" s="155">
        <v>0</v>
      </c>
      <c r="M103" s="155">
        <v>0</v>
      </c>
      <c r="N103" s="155">
        <v>0</v>
      </c>
      <c r="O103" s="155" t="s">
        <v>730</v>
      </c>
      <c r="P103" s="176" t="s">
        <v>730</v>
      </c>
      <c r="Q103" s="184" t="s">
        <v>730</v>
      </c>
      <c r="R103" s="155">
        <v>0</v>
      </c>
      <c r="S103" s="176">
        <v>0</v>
      </c>
      <c r="T103" s="182" t="e">
        <f>VLOOKUP(A103,#REF!,9,FALSE)</f>
        <v>#REF!</v>
      </c>
      <c r="U103" s="155" t="s">
        <v>632</v>
      </c>
      <c r="V103" s="155" t="s">
        <v>632</v>
      </c>
      <c r="W103" s="155">
        <v>0</v>
      </c>
      <c r="X103" s="155">
        <v>0</v>
      </c>
      <c r="Y103" s="183">
        <v>0</v>
      </c>
    </row>
    <row r="104" spans="1:25">
      <c r="A104" s="179">
        <v>222797012</v>
      </c>
      <c r="B104" t="s">
        <v>1011</v>
      </c>
      <c r="C104" t="s">
        <v>750</v>
      </c>
      <c r="D104" t="s">
        <v>989</v>
      </c>
      <c r="E104" t="s">
        <v>698</v>
      </c>
      <c r="F104" t="s">
        <v>2058</v>
      </c>
      <c r="G104" s="180" t="s">
        <v>1011</v>
      </c>
      <c r="H104" s="180" t="s">
        <v>2064</v>
      </c>
      <c r="I104" s="176" t="s">
        <v>1926</v>
      </c>
      <c r="J104" s="181">
        <v>44954</v>
      </c>
      <c r="K104" s="140">
        <v>46052</v>
      </c>
      <c r="L104" s="155">
        <v>0</v>
      </c>
      <c r="M104" s="155">
        <v>0</v>
      </c>
      <c r="N104" s="155">
        <v>0</v>
      </c>
      <c r="O104" s="155" t="s">
        <v>730</v>
      </c>
      <c r="P104" s="176" t="s">
        <v>730</v>
      </c>
      <c r="Q104" s="184" t="s">
        <v>730</v>
      </c>
      <c r="R104" s="155">
        <v>0</v>
      </c>
      <c r="S104" s="176">
        <v>0</v>
      </c>
      <c r="T104" s="182" t="e">
        <f>VLOOKUP(A104,#REF!,9,FALSE)</f>
        <v>#REF!</v>
      </c>
      <c r="U104" s="155" t="s">
        <v>632</v>
      </c>
      <c r="V104" s="155" t="s">
        <v>632</v>
      </c>
      <c r="W104" s="155">
        <v>0</v>
      </c>
      <c r="X104" s="155">
        <v>0</v>
      </c>
      <c r="Y104" s="183">
        <v>0</v>
      </c>
    </row>
    <row r="105" spans="1:25">
      <c r="A105" s="179">
        <v>222797013</v>
      </c>
      <c r="B105" t="s">
        <v>1013</v>
      </c>
      <c r="C105" t="s">
        <v>750</v>
      </c>
      <c r="D105" t="s">
        <v>989</v>
      </c>
      <c r="E105" t="s">
        <v>698</v>
      </c>
      <c r="F105" t="s">
        <v>2058</v>
      </c>
      <c r="G105" s="180" t="s">
        <v>1013</v>
      </c>
      <c r="H105" s="180" t="s">
        <v>2065</v>
      </c>
      <c r="I105" s="176" t="s">
        <v>1926</v>
      </c>
      <c r="J105" s="181">
        <v>44954</v>
      </c>
      <c r="K105" s="140">
        <v>46052</v>
      </c>
      <c r="L105" s="155">
        <v>0</v>
      </c>
      <c r="M105" s="155">
        <v>0</v>
      </c>
      <c r="N105" s="155">
        <v>0</v>
      </c>
      <c r="O105" s="155" t="s">
        <v>730</v>
      </c>
      <c r="P105" s="176" t="s">
        <v>730</v>
      </c>
      <c r="Q105" s="184" t="s">
        <v>730</v>
      </c>
      <c r="R105" s="155">
        <v>0</v>
      </c>
      <c r="S105" s="176">
        <v>0</v>
      </c>
      <c r="T105" s="182" t="e">
        <f>VLOOKUP(A105,#REF!,9,FALSE)</f>
        <v>#REF!</v>
      </c>
      <c r="U105" s="155" t="s">
        <v>632</v>
      </c>
      <c r="V105" s="155" t="s">
        <v>632</v>
      </c>
      <c r="W105" s="155">
        <v>0</v>
      </c>
      <c r="X105" s="155">
        <v>0</v>
      </c>
      <c r="Y105" s="183">
        <v>0</v>
      </c>
    </row>
    <row r="106" spans="1:25">
      <c r="A106" s="179">
        <v>222797014</v>
      </c>
      <c r="B106" t="s">
        <v>1015</v>
      </c>
      <c r="C106" t="s">
        <v>750</v>
      </c>
      <c r="D106" t="s">
        <v>989</v>
      </c>
      <c r="E106" t="s">
        <v>698</v>
      </c>
      <c r="F106" t="s">
        <v>2066</v>
      </c>
      <c r="G106" s="180" t="s">
        <v>1015</v>
      </c>
      <c r="H106" s="180" t="s">
        <v>2067</v>
      </c>
      <c r="I106" s="176" t="s">
        <v>1926</v>
      </c>
      <c r="J106" s="181">
        <v>44655</v>
      </c>
      <c r="K106" s="140">
        <v>46480</v>
      </c>
      <c r="L106" s="155">
        <v>0</v>
      </c>
      <c r="M106" s="155">
        <v>0</v>
      </c>
      <c r="N106" s="155">
        <v>0</v>
      </c>
      <c r="O106" s="155" t="s">
        <v>730</v>
      </c>
      <c r="P106" s="176" t="s">
        <v>730</v>
      </c>
      <c r="Q106" s="184" t="s">
        <v>730</v>
      </c>
      <c r="R106" s="155">
        <v>0</v>
      </c>
      <c r="S106" s="176">
        <v>0</v>
      </c>
      <c r="T106" s="182" t="e">
        <f>VLOOKUP(A106,#REF!,9,FALSE)</f>
        <v>#REF!</v>
      </c>
      <c r="U106" s="155" t="s">
        <v>632</v>
      </c>
      <c r="V106" s="155" t="s">
        <v>632</v>
      </c>
      <c r="W106" s="155">
        <v>0</v>
      </c>
      <c r="X106" s="155">
        <v>0</v>
      </c>
      <c r="Y106" s="183">
        <v>0</v>
      </c>
    </row>
    <row r="107" spans="1:25">
      <c r="A107" s="179">
        <v>222797015</v>
      </c>
      <c r="B107" t="s">
        <v>1017</v>
      </c>
      <c r="C107" t="s">
        <v>750</v>
      </c>
      <c r="D107" t="s">
        <v>989</v>
      </c>
      <c r="E107" t="s">
        <v>698</v>
      </c>
      <c r="F107" t="s">
        <v>2058</v>
      </c>
      <c r="G107" s="180" t="s">
        <v>1017</v>
      </c>
      <c r="H107" s="180" t="s">
        <v>2068</v>
      </c>
      <c r="I107" s="176" t="s">
        <v>1926</v>
      </c>
      <c r="J107" s="181">
        <v>44954</v>
      </c>
      <c r="K107" s="140">
        <v>46052</v>
      </c>
      <c r="L107" s="155">
        <v>0</v>
      </c>
      <c r="M107" s="155">
        <v>0</v>
      </c>
      <c r="N107" s="155">
        <v>0</v>
      </c>
      <c r="O107" s="155" t="s">
        <v>730</v>
      </c>
      <c r="P107" s="176" t="s">
        <v>730</v>
      </c>
      <c r="Q107" s="184" t="s">
        <v>730</v>
      </c>
      <c r="R107" s="155">
        <v>0</v>
      </c>
      <c r="S107" s="176">
        <v>0</v>
      </c>
      <c r="T107" s="182" t="e">
        <f>VLOOKUP(A107,#REF!,9,FALSE)</f>
        <v>#REF!</v>
      </c>
      <c r="U107" s="155" t="s">
        <v>632</v>
      </c>
      <c r="V107" s="155" t="s">
        <v>632</v>
      </c>
      <c r="W107" s="155">
        <v>0</v>
      </c>
      <c r="X107" s="155">
        <v>0</v>
      </c>
      <c r="Y107" s="183">
        <v>0</v>
      </c>
    </row>
    <row r="108" spans="1:25">
      <c r="A108" s="179">
        <v>222797016</v>
      </c>
      <c r="B108" t="s">
        <v>1019</v>
      </c>
      <c r="C108" t="s">
        <v>750</v>
      </c>
      <c r="D108" t="s">
        <v>989</v>
      </c>
      <c r="E108" t="s">
        <v>698</v>
      </c>
      <c r="F108" t="s">
        <v>2069</v>
      </c>
      <c r="G108" s="180" t="s">
        <v>1019</v>
      </c>
      <c r="H108" s="180" t="s">
        <v>2070</v>
      </c>
      <c r="I108" s="176" t="s">
        <v>1926</v>
      </c>
      <c r="J108" s="181">
        <v>43531</v>
      </c>
      <c r="K108" s="140">
        <v>49009</v>
      </c>
      <c r="L108" s="155">
        <v>0</v>
      </c>
      <c r="M108" s="155">
        <v>0</v>
      </c>
      <c r="N108" s="155">
        <v>0</v>
      </c>
      <c r="O108" s="155" t="s">
        <v>730</v>
      </c>
      <c r="P108" s="176" t="s">
        <v>730</v>
      </c>
      <c r="Q108" s="184" t="s">
        <v>730</v>
      </c>
      <c r="R108" s="155">
        <v>0</v>
      </c>
      <c r="S108" s="176">
        <v>0</v>
      </c>
      <c r="T108" s="182" t="e">
        <f>VLOOKUP(A108,#REF!,9,FALSE)</f>
        <v>#REF!</v>
      </c>
      <c r="U108" s="155" t="s">
        <v>632</v>
      </c>
      <c r="V108" s="155" t="s">
        <v>632</v>
      </c>
      <c r="W108" s="155">
        <v>0</v>
      </c>
      <c r="X108" s="155">
        <v>0</v>
      </c>
      <c r="Y108" s="183">
        <v>0</v>
      </c>
    </row>
    <row r="109" spans="1:25">
      <c r="A109" s="179">
        <v>222797017</v>
      </c>
      <c r="B109" t="s">
        <v>1021</v>
      </c>
      <c r="C109" t="s">
        <v>750</v>
      </c>
      <c r="D109" t="s">
        <v>989</v>
      </c>
      <c r="E109" t="s">
        <v>698</v>
      </c>
      <c r="F109" t="s">
        <v>2066</v>
      </c>
      <c r="G109" s="180" t="s">
        <v>1021</v>
      </c>
      <c r="H109" s="180" t="s">
        <v>2071</v>
      </c>
      <c r="I109" s="176" t="s">
        <v>1926</v>
      </c>
      <c r="J109" s="181">
        <v>44655</v>
      </c>
      <c r="K109" s="140">
        <v>46480</v>
      </c>
      <c r="L109" s="155">
        <v>0</v>
      </c>
      <c r="M109" s="155">
        <v>0</v>
      </c>
      <c r="N109" s="155">
        <v>0</v>
      </c>
      <c r="O109" s="155" t="s">
        <v>730</v>
      </c>
      <c r="P109" s="176" t="s">
        <v>730</v>
      </c>
      <c r="Q109" s="184" t="s">
        <v>730</v>
      </c>
      <c r="R109" s="155">
        <v>0</v>
      </c>
      <c r="S109" s="176">
        <v>0</v>
      </c>
      <c r="T109" s="182" t="e">
        <f>VLOOKUP(A109,#REF!,9,FALSE)</f>
        <v>#REF!</v>
      </c>
      <c r="U109" s="155" t="s">
        <v>632</v>
      </c>
      <c r="V109" s="155" t="s">
        <v>632</v>
      </c>
      <c r="W109" s="155">
        <v>0</v>
      </c>
      <c r="X109" s="155">
        <v>0</v>
      </c>
      <c r="Y109" s="183">
        <v>0</v>
      </c>
    </row>
    <row r="110" spans="1:25">
      <c r="A110" s="179">
        <v>222797018</v>
      </c>
      <c r="B110" t="s">
        <v>1023</v>
      </c>
      <c r="C110" t="s">
        <v>750</v>
      </c>
      <c r="D110" t="s">
        <v>989</v>
      </c>
      <c r="E110" t="s">
        <v>698</v>
      </c>
      <c r="F110" t="s">
        <v>2066</v>
      </c>
      <c r="G110" s="180" t="s">
        <v>1023</v>
      </c>
      <c r="H110" s="180" t="s">
        <v>2072</v>
      </c>
      <c r="I110" s="176" t="s">
        <v>1926</v>
      </c>
      <c r="J110" s="181">
        <v>44655</v>
      </c>
      <c r="K110" s="140">
        <v>46480</v>
      </c>
      <c r="L110" s="155">
        <v>0</v>
      </c>
      <c r="M110" s="155">
        <v>0</v>
      </c>
      <c r="N110" s="155">
        <v>0</v>
      </c>
      <c r="O110" s="155" t="s">
        <v>730</v>
      </c>
      <c r="P110" s="176" t="s">
        <v>730</v>
      </c>
      <c r="Q110" s="184" t="s">
        <v>730</v>
      </c>
      <c r="R110" s="155">
        <v>0</v>
      </c>
      <c r="S110" s="176">
        <v>0</v>
      </c>
      <c r="T110" s="182" t="e">
        <f>VLOOKUP(A110,#REF!,9,FALSE)</f>
        <v>#REF!</v>
      </c>
      <c r="U110" s="155" t="s">
        <v>632</v>
      </c>
      <c r="V110" s="155" t="s">
        <v>632</v>
      </c>
      <c r="W110" s="155">
        <v>0</v>
      </c>
      <c r="X110" s="155">
        <v>0</v>
      </c>
      <c r="Y110" s="183">
        <v>0</v>
      </c>
    </row>
    <row r="111" spans="1:25">
      <c r="A111" s="179">
        <v>222797019</v>
      </c>
      <c r="B111" t="s">
        <v>1025</v>
      </c>
      <c r="C111" t="s">
        <v>750</v>
      </c>
      <c r="D111" t="s">
        <v>989</v>
      </c>
      <c r="E111" t="s">
        <v>698</v>
      </c>
      <c r="F111" t="s">
        <v>2073</v>
      </c>
      <c r="G111" s="180" t="s">
        <v>1025</v>
      </c>
      <c r="H111" s="180" t="s">
        <v>2074</v>
      </c>
      <c r="I111" s="176" t="s">
        <v>1926</v>
      </c>
      <c r="J111" s="181">
        <v>43837</v>
      </c>
      <c r="K111" s="140">
        <v>47573</v>
      </c>
      <c r="L111" s="155">
        <v>0</v>
      </c>
      <c r="M111" s="155">
        <v>0</v>
      </c>
      <c r="N111" s="155">
        <v>0</v>
      </c>
      <c r="O111" s="155" t="s">
        <v>730</v>
      </c>
      <c r="P111" s="176" t="s">
        <v>730</v>
      </c>
      <c r="Q111" s="184" t="s">
        <v>730</v>
      </c>
      <c r="R111" s="155">
        <v>0</v>
      </c>
      <c r="S111" s="176">
        <v>0</v>
      </c>
      <c r="T111" s="182" t="e">
        <f>VLOOKUP(A111,#REF!,9,FALSE)</f>
        <v>#REF!</v>
      </c>
      <c r="U111" s="155" t="s">
        <v>632</v>
      </c>
      <c r="V111" s="155" t="s">
        <v>632</v>
      </c>
      <c r="W111" s="155">
        <v>0</v>
      </c>
      <c r="X111" s="155">
        <v>0</v>
      </c>
      <c r="Y111" s="183">
        <v>0</v>
      </c>
    </row>
    <row r="112" spans="1:25">
      <c r="A112" s="179">
        <v>222797020</v>
      </c>
      <c r="B112" t="s">
        <v>1027</v>
      </c>
      <c r="C112" t="s">
        <v>750</v>
      </c>
      <c r="D112" t="s">
        <v>989</v>
      </c>
      <c r="E112" t="s">
        <v>698</v>
      </c>
      <c r="F112" t="s">
        <v>2073</v>
      </c>
      <c r="G112" s="180" t="s">
        <v>1027</v>
      </c>
      <c r="H112" s="180" t="s">
        <v>2075</v>
      </c>
      <c r="I112" s="176" t="s">
        <v>1926</v>
      </c>
      <c r="J112" s="181">
        <v>43837</v>
      </c>
      <c r="K112" s="140">
        <v>47573</v>
      </c>
      <c r="L112" s="155">
        <v>0</v>
      </c>
      <c r="M112" s="155">
        <v>0</v>
      </c>
      <c r="N112" s="155">
        <v>0</v>
      </c>
      <c r="O112" s="155" t="s">
        <v>730</v>
      </c>
      <c r="P112" s="176" t="s">
        <v>730</v>
      </c>
      <c r="Q112" s="184" t="s">
        <v>730</v>
      </c>
      <c r="R112" s="155">
        <v>0</v>
      </c>
      <c r="S112" s="176">
        <v>0</v>
      </c>
      <c r="T112" s="182" t="e">
        <f>VLOOKUP(A112,#REF!,9,FALSE)</f>
        <v>#REF!</v>
      </c>
      <c r="U112" s="155" t="s">
        <v>632</v>
      </c>
      <c r="V112" s="155" t="s">
        <v>632</v>
      </c>
      <c r="W112" s="155">
        <v>0</v>
      </c>
      <c r="X112" s="155">
        <v>0</v>
      </c>
      <c r="Y112" s="183">
        <v>0</v>
      </c>
    </row>
    <row r="113" spans="1:25">
      <c r="A113" s="179">
        <v>222797021</v>
      </c>
      <c r="B113" t="s">
        <v>1029</v>
      </c>
      <c r="C113" t="s">
        <v>750</v>
      </c>
      <c r="D113" t="s">
        <v>989</v>
      </c>
      <c r="E113" t="s">
        <v>698</v>
      </c>
      <c r="F113" t="s">
        <v>2073</v>
      </c>
      <c r="G113" s="180" t="s">
        <v>1029</v>
      </c>
      <c r="H113" s="180" t="s">
        <v>2076</v>
      </c>
      <c r="I113" s="176" t="s">
        <v>1926</v>
      </c>
      <c r="J113" s="181">
        <v>43837</v>
      </c>
      <c r="K113" s="140">
        <v>47573</v>
      </c>
      <c r="L113" s="155">
        <v>0</v>
      </c>
      <c r="M113" s="155">
        <v>0</v>
      </c>
      <c r="N113" s="155">
        <v>0</v>
      </c>
      <c r="O113" s="155" t="s">
        <v>730</v>
      </c>
      <c r="P113" s="176" t="s">
        <v>730</v>
      </c>
      <c r="Q113" s="184" t="s">
        <v>730</v>
      </c>
      <c r="R113" s="155">
        <v>0</v>
      </c>
      <c r="S113" s="176">
        <v>0</v>
      </c>
      <c r="T113" s="182" t="e">
        <f>VLOOKUP(A113,#REF!,9,FALSE)</f>
        <v>#REF!</v>
      </c>
      <c r="U113" s="155" t="s">
        <v>632</v>
      </c>
      <c r="V113" s="155" t="s">
        <v>632</v>
      </c>
      <c r="W113" s="155">
        <v>0</v>
      </c>
      <c r="X113" s="155">
        <v>0</v>
      </c>
      <c r="Y113" s="183">
        <v>0</v>
      </c>
    </row>
    <row r="114" spans="1:25">
      <c r="A114" s="179">
        <v>222797022</v>
      </c>
      <c r="B114" t="s">
        <v>1031</v>
      </c>
      <c r="C114" t="s">
        <v>750</v>
      </c>
      <c r="D114" t="s">
        <v>989</v>
      </c>
      <c r="E114" t="s">
        <v>698</v>
      </c>
      <c r="F114" t="s">
        <v>2073</v>
      </c>
      <c r="G114" s="180" t="s">
        <v>1031</v>
      </c>
      <c r="H114" s="180" t="s">
        <v>2077</v>
      </c>
      <c r="I114" s="176" t="s">
        <v>1926</v>
      </c>
      <c r="J114" s="181">
        <v>43837</v>
      </c>
      <c r="K114" s="140">
        <v>47573</v>
      </c>
      <c r="L114" s="155">
        <v>0</v>
      </c>
      <c r="M114" s="155">
        <v>0</v>
      </c>
      <c r="N114" s="155">
        <v>0</v>
      </c>
      <c r="O114" s="155" t="s">
        <v>730</v>
      </c>
      <c r="P114" s="176" t="s">
        <v>730</v>
      </c>
      <c r="Q114" s="184" t="s">
        <v>730</v>
      </c>
      <c r="R114" s="155">
        <v>0</v>
      </c>
      <c r="S114" s="176">
        <v>0</v>
      </c>
      <c r="T114" s="182" t="e">
        <f>VLOOKUP(A114,#REF!,9,FALSE)</f>
        <v>#REF!</v>
      </c>
      <c r="U114" s="155" t="s">
        <v>632</v>
      </c>
      <c r="V114" s="155" t="s">
        <v>632</v>
      </c>
      <c r="W114" s="155">
        <v>0</v>
      </c>
      <c r="X114" s="155">
        <v>0</v>
      </c>
      <c r="Y114" s="183">
        <v>0</v>
      </c>
    </row>
    <row r="115" spans="1:25">
      <c r="A115" s="179">
        <v>222797023</v>
      </c>
      <c r="B115" t="s">
        <v>1033</v>
      </c>
      <c r="C115" t="s">
        <v>750</v>
      </c>
      <c r="D115" t="s">
        <v>989</v>
      </c>
      <c r="E115" t="s">
        <v>698</v>
      </c>
      <c r="F115" t="s">
        <v>2078</v>
      </c>
      <c r="G115" s="180" t="s">
        <v>1033</v>
      </c>
      <c r="H115" s="180" t="s">
        <v>2079</v>
      </c>
      <c r="I115" s="176" t="s">
        <v>1926</v>
      </c>
      <c r="J115" s="181">
        <v>43560</v>
      </c>
      <c r="K115" s="140">
        <v>47211</v>
      </c>
      <c r="L115" s="155">
        <v>0</v>
      </c>
      <c r="M115" s="155">
        <v>0</v>
      </c>
      <c r="N115" s="155">
        <v>0</v>
      </c>
      <c r="O115" s="155" t="s">
        <v>730</v>
      </c>
      <c r="P115" s="176" t="s">
        <v>730</v>
      </c>
      <c r="Q115" s="184" t="s">
        <v>730</v>
      </c>
      <c r="R115" s="155">
        <v>0</v>
      </c>
      <c r="S115" s="176">
        <v>0</v>
      </c>
      <c r="T115" s="182" t="e">
        <f>VLOOKUP(A115,#REF!,9,FALSE)</f>
        <v>#REF!</v>
      </c>
      <c r="U115" s="155" t="s">
        <v>632</v>
      </c>
      <c r="V115" s="155" t="s">
        <v>632</v>
      </c>
      <c r="W115" s="155">
        <v>0</v>
      </c>
      <c r="X115" s="155">
        <v>0</v>
      </c>
      <c r="Y115" s="183">
        <v>0</v>
      </c>
    </row>
    <row r="116" spans="1:25">
      <c r="A116" s="179">
        <v>222797024</v>
      </c>
      <c r="B116" t="s">
        <v>1035</v>
      </c>
      <c r="C116" t="s">
        <v>750</v>
      </c>
      <c r="D116" t="s">
        <v>989</v>
      </c>
      <c r="E116" t="s">
        <v>698</v>
      </c>
      <c r="F116" t="s">
        <v>2078</v>
      </c>
      <c r="G116" s="180" t="s">
        <v>1035</v>
      </c>
      <c r="H116" s="180" t="s">
        <v>2080</v>
      </c>
      <c r="I116" s="176" t="s">
        <v>1926</v>
      </c>
      <c r="J116" s="181">
        <v>43560</v>
      </c>
      <c r="K116" s="140">
        <v>47211</v>
      </c>
      <c r="L116" s="155">
        <v>0</v>
      </c>
      <c r="M116" s="155">
        <v>0</v>
      </c>
      <c r="N116" s="155">
        <v>0</v>
      </c>
      <c r="O116" s="155" t="s">
        <v>730</v>
      </c>
      <c r="P116" s="176" t="s">
        <v>730</v>
      </c>
      <c r="Q116" s="184" t="s">
        <v>730</v>
      </c>
      <c r="R116" s="155">
        <v>0</v>
      </c>
      <c r="S116" s="176">
        <v>0</v>
      </c>
      <c r="T116" s="182" t="e">
        <f>VLOOKUP(A116,#REF!,9,FALSE)</f>
        <v>#REF!</v>
      </c>
      <c r="U116" s="155" t="s">
        <v>632</v>
      </c>
      <c r="V116" s="155" t="s">
        <v>632</v>
      </c>
      <c r="W116" s="155">
        <v>0</v>
      </c>
      <c r="X116" s="155">
        <v>0</v>
      </c>
      <c r="Y116" s="183">
        <v>0</v>
      </c>
    </row>
    <row r="117" spans="1:25">
      <c r="A117" s="179">
        <v>222797025</v>
      </c>
      <c r="B117" t="s">
        <v>1037</v>
      </c>
      <c r="C117" t="s">
        <v>750</v>
      </c>
      <c r="D117" t="s">
        <v>989</v>
      </c>
      <c r="E117" t="s">
        <v>698</v>
      </c>
      <c r="F117" t="s">
        <v>2078</v>
      </c>
      <c r="G117" s="180" t="s">
        <v>1037</v>
      </c>
      <c r="H117" s="180" t="s">
        <v>2081</v>
      </c>
      <c r="I117" s="176" t="s">
        <v>1926</v>
      </c>
      <c r="J117" s="181">
        <v>43560</v>
      </c>
      <c r="K117" s="140">
        <v>47211</v>
      </c>
      <c r="L117" s="155">
        <v>0</v>
      </c>
      <c r="M117" s="155">
        <v>0</v>
      </c>
      <c r="N117" s="155">
        <v>0</v>
      </c>
      <c r="O117" s="155" t="s">
        <v>730</v>
      </c>
      <c r="P117" s="176" t="s">
        <v>730</v>
      </c>
      <c r="Q117" s="184" t="s">
        <v>730</v>
      </c>
      <c r="R117" s="155">
        <v>0</v>
      </c>
      <c r="S117" s="176">
        <v>0</v>
      </c>
      <c r="T117" s="182" t="e">
        <f>VLOOKUP(A117,#REF!,9,FALSE)</f>
        <v>#REF!</v>
      </c>
      <c r="U117" s="155" t="s">
        <v>632</v>
      </c>
      <c r="V117" s="155" t="s">
        <v>632</v>
      </c>
      <c r="W117" s="155">
        <v>0</v>
      </c>
      <c r="X117" s="155">
        <v>0</v>
      </c>
      <c r="Y117" s="183">
        <v>0</v>
      </c>
    </row>
    <row r="118" spans="1:25">
      <c r="A118" s="179">
        <v>222797026</v>
      </c>
      <c r="B118" t="s">
        <v>1039</v>
      </c>
      <c r="C118" t="s">
        <v>750</v>
      </c>
      <c r="D118" t="s">
        <v>989</v>
      </c>
      <c r="E118" t="s">
        <v>698</v>
      </c>
      <c r="F118" t="s">
        <v>2078</v>
      </c>
      <c r="G118" s="180" t="s">
        <v>1039</v>
      </c>
      <c r="H118" s="180" t="s">
        <v>2082</v>
      </c>
      <c r="I118" s="176" t="s">
        <v>1926</v>
      </c>
      <c r="J118" s="181">
        <v>43560</v>
      </c>
      <c r="K118" s="140">
        <v>47211</v>
      </c>
      <c r="L118" s="155">
        <v>0</v>
      </c>
      <c r="M118" s="155">
        <v>0</v>
      </c>
      <c r="N118" s="155">
        <v>0</v>
      </c>
      <c r="O118" s="155" t="s">
        <v>730</v>
      </c>
      <c r="P118" s="176" t="s">
        <v>730</v>
      </c>
      <c r="Q118" s="184" t="s">
        <v>730</v>
      </c>
      <c r="R118" s="155">
        <v>0</v>
      </c>
      <c r="S118" s="176">
        <v>0</v>
      </c>
      <c r="T118" s="182" t="e">
        <f>VLOOKUP(A118,#REF!,9,FALSE)</f>
        <v>#REF!</v>
      </c>
      <c r="U118" s="155" t="s">
        <v>632</v>
      </c>
      <c r="V118" s="155" t="s">
        <v>632</v>
      </c>
      <c r="W118" s="155">
        <v>0</v>
      </c>
      <c r="X118" s="155">
        <v>0</v>
      </c>
      <c r="Y118" s="183">
        <v>0</v>
      </c>
    </row>
    <row r="119" spans="1:25">
      <c r="A119" s="179">
        <v>222797027</v>
      </c>
      <c r="B119" t="s">
        <v>1041</v>
      </c>
      <c r="C119" t="s">
        <v>750</v>
      </c>
      <c r="D119" t="s">
        <v>989</v>
      </c>
      <c r="E119" t="s">
        <v>698</v>
      </c>
      <c r="F119" t="s">
        <v>2069</v>
      </c>
      <c r="G119" s="180" t="s">
        <v>1041</v>
      </c>
      <c r="H119" s="180" t="s">
        <v>2083</v>
      </c>
      <c r="I119" s="176" t="s">
        <v>1926</v>
      </c>
      <c r="J119" s="181">
        <v>43531</v>
      </c>
      <c r="K119" s="140">
        <v>49009</v>
      </c>
      <c r="L119" s="155">
        <v>0</v>
      </c>
      <c r="M119" s="155">
        <v>0</v>
      </c>
      <c r="N119" s="155">
        <v>0</v>
      </c>
      <c r="O119" s="155" t="s">
        <v>730</v>
      </c>
      <c r="P119" s="176" t="s">
        <v>730</v>
      </c>
      <c r="Q119" s="184" t="s">
        <v>730</v>
      </c>
      <c r="R119" s="155">
        <v>0</v>
      </c>
      <c r="S119" s="176">
        <v>0</v>
      </c>
      <c r="T119" s="182" t="e">
        <f>VLOOKUP(A119,#REF!,9,FALSE)</f>
        <v>#REF!</v>
      </c>
      <c r="U119" s="155" t="s">
        <v>632</v>
      </c>
      <c r="V119" s="155" t="s">
        <v>632</v>
      </c>
      <c r="W119" s="155">
        <v>0</v>
      </c>
      <c r="X119" s="155">
        <v>0</v>
      </c>
      <c r="Y119" s="183">
        <v>0</v>
      </c>
    </row>
    <row r="120" spans="1:25">
      <c r="A120" s="179">
        <v>222797028</v>
      </c>
      <c r="B120" t="s">
        <v>1043</v>
      </c>
      <c r="C120" t="s">
        <v>750</v>
      </c>
      <c r="D120" t="s">
        <v>989</v>
      </c>
      <c r="E120" t="s">
        <v>698</v>
      </c>
      <c r="F120" t="s">
        <v>2066</v>
      </c>
      <c r="G120" s="180" t="s">
        <v>1043</v>
      </c>
      <c r="H120" s="180" t="s">
        <v>2084</v>
      </c>
      <c r="I120" s="176" t="s">
        <v>1926</v>
      </c>
      <c r="J120" s="181">
        <v>44655</v>
      </c>
      <c r="K120" s="140">
        <v>46480</v>
      </c>
      <c r="L120" s="155">
        <v>0</v>
      </c>
      <c r="M120" s="155">
        <v>0</v>
      </c>
      <c r="N120" s="155">
        <v>0</v>
      </c>
      <c r="O120" s="155" t="s">
        <v>730</v>
      </c>
      <c r="P120" s="176" t="s">
        <v>730</v>
      </c>
      <c r="Q120" s="184" t="s">
        <v>730</v>
      </c>
      <c r="R120" s="155">
        <v>0</v>
      </c>
      <c r="S120" s="176">
        <v>0</v>
      </c>
      <c r="T120" s="182" t="e">
        <f>VLOOKUP(A120,#REF!,9,FALSE)</f>
        <v>#REF!</v>
      </c>
      <c r="U120" s="155" t="s">
        <v>632</v>
      </c>
      <c r="V120" s="155" t="s">
        <v>632</v>
      </c>
      <c r="W120" s="155">
        <v>0</v>
      </c>
      <c r="X120" s="155">
        <v>0</v>
      </c>
      <c r="Y120" s="183">
        <v>0</v>
      </c>
    </row>
    <row r="121" spans="1:25">
      <c r="A121" s="179">
        <v>222797029</v>
      </c>
      <c r="B121" t="s">
        <v>1045</v>
      </c>
      <c r="C121" t="s">
        <v>750</v>
      </c>
      <c r="D121" t="s">
        <v>989</v>
      </c>
      <c r="E121" t="s">
        <v>698</v>
      </c>
      <c r="F121" t="s">
        <v>2066</v>
      </c>
      <c r="G121" s="180" t="s">
        <v>1045</v>
      </c>
      <c r="H121" s="180" t="s">
        <v>2085</v>
      </c>
      <c r="I121" s="176" t="s">
        <v>1926</v>
      </c>
      <c r="J121" s="181">
        <v>44655</v>
      </c>
      <c r="K121" s="140">
        <v>46480</v>
      </c>
      <c r="L121" s="155">
        <v>0</v>
      </c>
      <c r="M121" s="155">
        <v>0</v>
      </c>
      <c r="N121" s="155">
        <v>0</v>
      </c>
      <c r="O121" s="155" t="s">
        <v>730</v>
      </c>
      <c r="P121" s="176" t="s">
        <v>730</v>
      </c>
      <c r="Q121" s="184" t="s">
        <v>730</v>
      </c>
      <c r="R121" s="155">
        <v>0</v>
      </c>
      <c r="S121" s="176">
        <v>0</v>
      </c>
      <c r="T121" s="182" t="e">
        <f>VLOOKUP(A121,#REF!,9,FALSE)</f>
        <v>#REF!</v>
      </c>
      <c r="U121" s="155" t="s">
        <v>632</v>
      </c>
      <c r="V121" s="155" t="s">
        <v>632</v>
      </c>
      <c r="W121" s="155">
        <v>0</v>
      </c>
      <c r="X121" s="155">
        <v>0</v>
      </c>
      <c r="Y121" s="183">
        <v>0</v>
      </c>
    </row>
    <row r="122" spans="1:25">
      <c r="A122" s="179">
        <v>222797030</v>
      </c>
      <c r="B122" t="s">
        <v>1047</v>
      </c>
      <c r="C122" t="s">
        <v>750</v>
      </c>
      <c r="D122" t="s">
        <v>989</v>
      </c>
      <c r="E122" t="s">
        <v>698</v>
      </c>
      <c r="F122" t="s">
        <v>2086</v>
      </c>
      <c r="G122" s="180" t="s">
        <v>1047</v>
      </c>
      <c r="H122" s="180" t="s">
        <v>2087</v>
      </c>
      <c r="I122" s="176" t="s">
        <v>1926</v>
      </c>
      <c r="J122" s="181">
        <v>43392</v>
      </c>
      <c r="K122" s="140">
        <v>47177</v>
      </c>
      <c r="L122" s="155">
        <v>0</v>
      </c>
      <c r="M122" s="155">
        <v>0</v>
      </c>
      <c r="N122" s="155">
        <v>0</v>
      </c>
      <c r="O122" s="155" t="s">
        <v>730</v>
      </c>
      <c r="P122" s="176" t="s">
        <v>730</v>
      </c>
      <c r="Q122" s="184" t="s">
        <v>730</v>
      </c>
      <c r="R122" s="155">
        <v>0</v>
      </c>
      <c r="S122" s="176">
        <v>0</v>
      </c>
      <c r="T122" s="182" t="e">
        <f>VLOOKUP(A122,#REF!,9,FALSE)</f>
        <v>#REF!</v>
      </c>
      <c r="U122" s="155" t="s">
        <v>632</v>
      </c>
      <c r="V122" s="155" t="s">
        <v>632</v>
      </c>
      <c r="W122" s="155">
        <v>0</v>
      </c>
      <c r="X122" s="155">
        <v>0</v>
      </c>
      <c r="Y122" s="183">
        <v>0</v>
      </c>
    </row>
    <row r="123" spans="1:25">
      <c r="A123" s="179">
        <v>222797031</v>
      </c>
      <c r="B123" t="s">
        <v>1049</v>
      </c>
      <c r="C123" t="s">
        <v>750</v>
      </c>
      <c r="D123" t="s">
        <v>989</v>
      </c>
      <c r="E123" t="s">
        <v>698</v>
      </c>
      <c r="F123" t="s">
        <v>2086</v>
      </c>
      <c r="G123" s="180" t="s">
        <v>1049</v>
      </c>
      <c r="H123" s="180" t="s">
        <v>2088</v>
      </c>
      <c r="I123" s="176" t="s">
        <v>1926</v>
      </c>
      <c r="J123" s="181">
        <v>43392</v>
      </c>
      <c r="K123" s="140">
        <v>47177</v>
      </c>
      <c r="L123" s="155">
        <v>0</v>
      </c>
      <c r="M123" s="155">
        <v>0</v>
      </c>
      <c r="N123" s="155">
        <v>0</v>
      </c>
      <c r="O123" s="155" t="s">
        <v>730</v>
      </c>
      <c r="P123" s="176" t="s">
        <v>730</v>
      </c>
      <c r="Q123" s="184" t="s">
        <v>730</v>
      </c>
      <c r="R123" s="155">
        <v>0</v>
      </c>
      <c r="S123" s="176">
        <v>0</v>
      </c>
      <c r="T123" s="182" t="e">
        <f>VLOOKUP(A123,#REF!,9,FALSE)</f>
        <v>#REF!</v>
      </c>
      <c r="U123" s="155" t="s">
        <v>632</v>
      </c>
      <c r="V123" s="155" t="s">
        <v>632</v>
      </c>
      <c r="W123" s="155">
        <v>0</v>
      </c>
      <c r="X123" s="155">
        <v>0</v>
      </c>
      <c r="Y123" s="183">
        <v>0</v>
      </c>
    </row>
    <row r="124" spans="1:25">
      <c r="A124" s="179">
        <v>222797032</v>
      </c>
      <c r="B124" t="s">
        <v>1051</v>
      </c>
      <c r="C124" t="s">
        <v>750</v>
      </c>
      <c r="D124" t="s">
        <v>989</v>
      </c>
      <c r="E124" t="s">
        <v>698</v>
      </c>
      <c r="F124" t="s">
        <v>2086</v>
      </c>
      <c r="G124" s="180" t="s">
        <v>1051</v>
      </c>
      <c r="H124" s="180" t="s">
        <v>2089</v>
      </c>
      <c r="I124" s="176" t="s">
        <v>1926</v>
      </c>
      <c r="J124" s="181">
        <v>43392</v>
      </c>
      <c r="K124" s="140">
        <v>47177</v>
      </c>
      <c r="L124" s="155">
        <v>0</v>
      </c>
      <c r="M124" s="155">
        <v>0</v>
      </c>
      <c r="N124" s="155">
        <v>0</v>
      </c>
      <c r="O124" s="155" t="s">
        <v>730</v>
      </c>
      <c r="P124" s="176" t="s">
        <v>730</v>
      </c>
      <c r="Q124" s="184" t="s">
        <v>730</v>
      </c>
      <c r="R124" s="155">
        <v>0</v>
      </c>
      <c r="S124" s="176">
        <v>0</v>
      </c>
      <c r="T124" s="182" t="e">
        <f>VLOOKUP(A124,#REF!,9,FALSE)</f>
        <v>#REF!</v>
      </c>
      <c r="U124" s="155" t="s">
        <v>632</v>
      </c>
      <c r="V124" s="155" t="s">
        <v>632</v>
      </c>
      <c r="W124" s="155">
        <v>0</v>
      </c>
      <c r="X124" s="155">
        <v>0</v>
      </c>
      <c r="Y124" s="183">
        <v>0</v>
      </c>
    </row>
    <row r="125" spans="1:25">
      <c r="A125" s="179">
        <v>222797033</v>
      </c>
      <c r="B125" t="s">
        <v>1053</v>
      </c>
      <c r="C125" t="s">
        <v>750</v>
      </c>
      <c r="D125" t="s">
        <v>989</v>
      </c>
      <c r="E125" t="s">
        <v>698</v>
      </c>
      <c r="F125" t="s">
        <v>2086</v>
      </c>
      <c r="G125" s="180" t="s">
        <v>1053</v>
      </c>
      <c r="H125" s="180" t="s">
        <v>2090</v>
      </c>
      <c r="I125" s="176" t="s">
        <v>1926</v>
      </c>
      <c r="J125" s="181">
        <v>43392</v>
      </c>
      <c r="K125" s="140">
        <v>47177</v>
      </c>
      <c r="L125" s="155">
        <v>0</v>
      </c>
      <c r="M125" s="155">
        <v>0</v>
      </c>
      <c r="N125" s="155">
        <v>0</v>
      </c>
      <c r="O125" s="155" t="s">
        <v>730</v>
      </c>
      <c r="P125" s="176" t="s">
        <v>730</v>
      </c>
      <c r="Q125" s="184" t="s">
        <v>730</v>
      </c>
      <c r="R125" s="155">
        <v>0</v>
      </c>
      <c r="S125" s="176">
        <v>0</v>
      </c>
      <c r="T125" s="182" t="e">
        <f>VLOOKUP(A125,#REF!,9,FALSE)</f>
        <v>#REF!</v>
      </c>
      <c r="U125" s="155" t="s">
        <v>632</v>
      </c>
      <c r="V125" s="155" t="s">
        <v>632</v>
      </c>
      <c r="W125" s="155">
        <v>0</v>
      </c>
      <c r="X125" s="155">
        <v>0</v>
      </c>
      <c r="Y125" s="183">
        <v>0</v>
      </c>
    </row>
    <row r="126" spans="1:25">
      <c r="A126" s="179">
        <v>222797034</v>
      </c>
      <c r="B126" t="s">
        <v>1055</v>
      </c>
      <c r="C126" t="s">
        <v>750</v>
      </c>
      <c r="D126" t="s">
        <v>989</v>
      </c>
      <c r="E126" t="s">
        <v>698</v>
      </c>
      <c r="F126" t="s">
        <v>2086</v>
      </c>
      <c r="G126" s="180" t="s">
        <v>1055</v>
      </c>
      <c r="H126" s="180" t="s">
        <v>2091</v>
      </c>
      <c r="I126" s="176" t="s">
        <v>1926</v>
      </c>
      <c r="J126" s="181">
        <v>43392</v>
      </c>
      <c r="K126" s="140">
        <v>47177</v>
      </c>
      <c r="L126" s="155">
        <v>0</v>
      </c>
      <c r="M126" s="155">
        <v>0</v>
      </c>
      <c r="N126" s="155">
        <v>0</v>
      </c>
      <c r="O126" s="155" t="s">
        <v>730</v>
      </c>
      <c r="P126" s="176" t="s">
        <v>730</v>
      </c>
      <c r="Q126" s="184" t="s">
        <v>730</v>
      </c>
      <c r="R126" s="155">
        <v>0</v>
      </c>
      <c r="S126" s="176">
        <v>0</v>
      </c>
      <c r="T126" s="182" t="e">
        <f>VLOOKUP(A126,#REF!,9,FALSE)</f>
        <v>#REF!</v>
      </c>
      <c r="U126" s="155" t="s">
        <v>632</v>
      </c>
      <c r="V126" s="155" t="s">
        <v>632</v>
      </c>
      <c r="W126" s="155">
        <v>0</v>
      </c>
      <c r="X126" s="155">
        <v>0</v>
      </c>
      <c r="Y126" s="183">
        <v>0</v>
      </c>
    </row>
    <row r="127" spans="1:25">
      <c r="A127" s="179">
        <v>222797035</v>
      </c>
      <c r="B127" t="s">
        <v>1057</v>
      </c>
      <c r="C127" t="s">
        <v>750</v>
      </c>
      <c r="D127" t="s">
        <v>989</v>
      </c>
      <c r="E127" t="s">
        <v>698</v>
      </c>
      <c r="F127" t="s">
        <v>2092</v>
      </c>
      <c r="G127" s="180" t="s">
        <v>1057</v>
      </c>
      <c r="H127" s="180" t="s">
        <v>2093</v>
      </c>
      <c r="I127" s="176" t="s">
        <v>1926</v>
      </c>
      <c r="J127" s="181">
        <v>43291</v>
      </c>
      <c r="K127" s="140">
        <v>48769</v>
      </c>
      <c r="L127" s="155">
        <v>0</v>
      </c>
      <c r="M127" s="155">
        <v>0</v>
      </c>
      <c r="N127" s="155">
        <v>0</v>
      </c>
      <c r="O127" s="155" t="s">
        <v>730</v>
      </c>
      <c r="P127" s="176" t="s">
        <v>730</v>
      </c>
      <c r="Q127" s="184" t="s">
        <v>730</v>
      </c>
      <c r="R127" s="155">
        <v>0</v>
      </c>
      <c r="S127" s="176">
        <v>0</v>
      </c>
      <c r="T127" s="182" t="e">
        <f>VLOOKUP(A127,#REF!,9,FALSE)</f>
        <v>#REF!</v>
      </c>
      <c r="U127" s="155" t="s">
        <v>632</v>
      </c>
      <c r="V127" s="155" t="s">
        <v>632</v>
      </c>
      <c r="W127" s="155">
        <v>0</v>
      </c>
      <c r="X127" s="155">
        <v>0</v>
      </c>
      <c r="Y127" s="183">
        <v>0</v>
      </c>
    </row>
    <row r="128" spans="1:25">
      <c r="A128" s="179">
        <v>222797036</v>
      </c>
      <c r="B128" t="s">
        <v>1059</v>
      </c>
      <c r="C128" t="s">
        <v>750</v>
      </c>
      <c r="D128" t="s">
        <v>989</v>
      </c>
      <c r="E128" t="s">
        <v>698</v>
      </c>
      <c r="F128" t="s">
        <v>2092</v>
      </c>
      <c r="G128" s="180" t="s">
        <v>1059</v>
      </c>
      <c r="H128" s="180" t="s">
        <v>2094</v>
      </c>
      <c r="I128" s="176" t="s">
        <v>1926</v>
      </c>
      <c r="J128" s="181">
        <v>43291</v>
      </c>
      <c r="K128" s="140">
        <v>48769</v>
      </c>
      <c r="L128" s="155">
        <v>0</v>
      </c>
      <c r="M128" s="155">
        <v>0</v>
      </c>
      <c r="N128" s="155">
        <v>0</v>
      </c>
      <c r="O128" s="155" t="s">
        <v>730</v>
      </c>
      <c r="P128" s="176" t="s">
        <v>730</v>
      </c>
      <c r="Q128" s="184" t="s">
        <v>730</v>
      </c>
      <c r="R128" s="155">
        <v>0</v>
      </c>
      <c r="S128" s="176">
        <v>0</v>
      </c>
      <c r="T128" s="182" t="e">
        <f>VLOOKUP(A128,#REF!,9,FALSE)</f>
        <v>#REF!</v>
      </c>
      <c r="U128" s="155" t="s">
        <v>632</v>
      </c>
      <c r="V128" s="155" t="s">
        <v>632</v>
      </c>
      <c r="W128" s="155">
        <v>0</v>
      </c>
      <c r="X128" s="155">
        <v>0</v>
      </c>
      <c r="Y128" s="183">
        <v>0</v>
      </c>
    </row>
    <row r="129" spans="1:25">
      <c r="A129" s="179">
        <v>222797037</v>
      </c>
      <c r="B129" t="s">
        <v>1061</v>
      </c>
      <c r="C129" t="s">
        <v>750</v>
      </c>
      <c r="D129" t="s">
        <v>989</v>
      </c>
      <c r="E129" t="s">
        <v>698</v>
      </c>
      <c r="F129" t="s">
        <v>2092</v>
      </c>
      <c r="G129" s="180" t="s">
        <v>1061</v>
      </c>
      <c r="H129" s="180" t="s">
        <v>2095</v>
      </c>
      <c r="I129" s="176" t="s">
        <v>1926</v>
      </c>
      <c r="J129" s="181">
        <v>43291</v>
      </c>
      <c r="K129" s="140">
        <v>48769</v>
      </c>
      <c r="L129" s="155">
        <v>0</v>
      </c>
      <c r="M129" s="155">
        <v>0</v>
      </c>
      <c r="N129" s="155">
        <v>0</v>
      </c>
      <c r="O129" s="155" t="s">
        <v>730</v>
      </c>
      <c r="P129" s="176" t="s">
        <v>730</v>
      </c>
      <c r="Q129" s="184" t="s">
        <v>730</v>
      </c>
      <c r="R129" s="155">
        <v>0</v>
      </c>
      <c r="S129" s="176">
        <v>0</v>
      </c>
      <c r="T129" s="182" t="e">
        <f>VLOOKUP(A129,#REF!,9,FALSE)</f>
        <v>#REF!</v>
      </c>
      <c r="U129" s="155" t="s">
        <v>632</v>
      </c>
      <c r="V129" s="155" t="s">
        <v>632</v>
      </c>
      <c r="W129" s="155">
        <v>0</v>
      </c>
      <c r="X129" s="155">
        <v>0</v>
      </c>
      <c r="Y129" s="183">
        <v>0</v>
      </c>
    </row>
    <row r="130" spans="1:25">
      <c r="A130" s="179">
        <v>222797038</v>
      </c>
      <c r="B130" t="s">
        <v>1063</v>
      </c>
      <c r="C130" t="s">
        <v>750</v>
      </c>
      <c r="D130" t="s">
        <v>989</v>
      </c>
      <c r="E130" t="s">
        <v>698</v>
      </c>
      <c r="F130" t="s">
        <v>2092</v>
      </c>
      <c r="G130" s="180" t="s">
        <v>1063</v>
      </c>
      <c r="H130" s="180" t="s">
        <v>2096</v>
      </c>
      <c r="I130" s="176" t="s">
        <v>1926</v>
      </c>
      <c r="J130" s="181">
        <v>43291</v>
      </c>
      <c r="K130" s="140">
        <v>48769</v>
      </c>
      <c r="L130" s="155">
        <v>0</v>
      </c>
      <c r="M130" s="155">
        <v>0</v>
      </c>
      <c r="N130" s="155">
        <v>0</v>
      </c>
      <c r="O130" s="155" t="s">
        <v>730</v>
      </c>
      <c r="P130" s="176" t="s">
        <v>730</v>
      </c>
      <c r="Q130" s="184" t="s">
        <v>730</v>
      </c>
      <c r="R130" s="155">
        <v>0</v>
      </c>
      <c r="S130" s="176">
        <v>0</v>
      </c>
      <c r="T130" s="182" t="e">
        <f>VLOOKUP(A130,#REF!,9,FALSE)</f>
        <v>#REF!</v>
      </c>
      <c r="U130" s="155" t="s">
        <v>632</v>
      </c>
      <c r="V130" s="155" t="s">
        <v>632</v>
      </c>
      <c r="W130" s="155">
        <v>0</v>
      </c>
      <c r="X130" s="155">
        <v>0</v>
      </c>
      <c r="Y130" s="183">
        <v>0</v>
      </c>
    </row>
    <row r="131" spans="1:25">
      <c r="A131" s="179">
        <v>222797039</v>
      </c>
      <c r="B131" t="s">
        <v>1065</v>
      </c>
      <c r="C131" t="s">
        <v>750</v>
      </c>
      <c r="D131" t="s">
        <v>989</v>
      </c>
      <c r="E131" t="s">
        <v>698</v>
      </c>
      <c r="F131" t="s">
        <v>2086</v>
      </c>
      <c r="G131" s="180" t="s">
        <v>1065</v>
      </c>
      <c r="H131" s="180" t="s">
        <v>2097</v>
      </c>
      <c r="I131" s="176" t="s">
        <v>1926</v>
      </c>
      <c r="J131" s="181">
        <v>43392</v>
      </c>
      <c r="K131" s="140">
        <v>47177</v>
      </c>
      <c r="L131" s="155">
        <v>0</v>
      </c>
      <c r="M131" s="155">
        <v>0</v>
      </c>
      <c r="N131" s="155">
        <v>0</v>
      </c>
      <c r="O131" s="155" t="s">
        <v>730</v>
      </c>
      <c r="P131" s="176" t="s">
        <v>730</v>
      </c>
      <c r="Q131" s="184" t="s">
        <v>730</v>
      </c>
      <c r="R131" s="155">
        <v>0</v>
      </c>
      <c r="S131" s="176">
        <v>0</v>
      </c>
      <c r="T131" s="182" t="e">
        <f>VLOOKUP(A131,#REF!,9,FALSE)</f>
        <v>#REF!</v>
      </c>
      <c r="U131" s="155" t="s">
        <v>632</v>
      </c>
      <c r="V131" s="155" t="s">
        <v>632</v>
      </c>
      <c r="W131" s="155">
        <v>0</v>
      </c>
      <c r="X131" s="155">
        <v>0</v>
      </c>
      <c r="Y131" s="183">
        <v>0</v>
      </c>
    </row>
    <row r="132" spans="1:25">
      <c r="A132" s="179">
        <v>222797040</v>
      </c>
      <c r="B132" t="s">
        <v>1067</v>
      </c>
      <c r="C132" t="s">
        <v>750</v>
      </c>
      <c r="D132" t="s">
        <v>989</v>
      </c>
      <c r="E132" t="s">
        <v>698</v>
      </c>
      <c r="F132" t="s">
        <v>2086</v>
      </c>
      <c r="G132" s="180" t="s">
        <v>1067</v>
      </c>
      <c r="H132" s="180" t="s">
        <v>2098</v>
      </c>
      <c r="I132" s="176" t="s">
        <v>1926</v>
      </c>
      <c r="J132" s="181">
        <v>43392</v>
      </c>
      <c r="K132" s="140">
        <v>47177</v>
      </c>
      <c r="L132" s="155">
        <v>0</v>
      </c>
      <c r="M132" s="155">
        <v>0</v>
      </c>
      <c r="N132" s="155">
        <v>0</v>
      </c>
      <c r="O132" s="155" t="s">
        <v>730</v>
      </c>
      <c r="P132" s="176" t="s">
        <v>730</v>
      </c>
      <c r="Q132" s="184" t="s">
        <v>730</v>
      </c>
      <c r="R132" s="155">
        <v>0</v>
      </c>
      <c r="S132" s="176">
        <v>0</v>
      </c>
      <c r="T132" s="182" t="e">
        <f>VLOOKUP(A132,#REF!,9,FALSE)</f>
        <v>#REF!</v>
      </c>
      <c r="U132" s="155" t="s">
        <v>632</v>
      </c>
      <c r="V132" s="155" t="s">
        <v>632</v>
      </c>
      <c r="W132" s="155">
        <v>0</v>
      </c>
      <c r="X132" s="155">
        <v>0</v>
      </c>
      <c r="Y132" s="183">
        <v>0</v>
      </c>
    </row>
    <row r="133" spans="1:25">
      <c r="A133" s="179">
        <v>222797041</v>
      </c>
      <c r="B133" t="s">
        <v>1069</v>
      </c>
      <c r="C133" t="s">
        <v>750</v>
      </c>
      <c r="D133" t="s">
        <v>989</v>
      </c>
      <c r="E133" t="s">
        <v>698</v>
      </c>
      <c r="F133" t="s">
        <v>2086</v>
      </c>
      <c r="G133" s="180" t="s">
        <v>1069</v>
      </c>
      <c r="H133" s="180" t="s">
        <v>2099</v>
      </c>
      <c r="I133" s="176" t="s">
        <v>1926</v>
      </c>
      <c r="J133" s="181">
        <v>43392</v>
      </c>
      <c r="K133" s="140">
        <v>47177</v>
      </c>
      <c r="L133" s="155">
        <v>0</v>
      </c>
      <c r="M133" s="155">
        <v>0</v>
      </c>
      <c r="N133" s="155">
        <v>0</v>
      </c>
      <c r="O133" s="155" t="s">
        <v>730</v>
      </c>
      <c r="P133" s="176" t="s">
        <v>730</v>
      </c>
      <c r="Q133" s="184" t="s">
        <v>730</v>
      </c>
      <c r="R133" s="155">
        <v>0</v>
      </c>
      <c r="S133" s="176">
        <v>0</v>
      </c>
      <c r="T133" s="182" t="e">
        <f>VLOOKUP(A133,#REF!,9,FALSE)</f>
        <v>#REF!</v>
      </c>
      <c r="U133" s="155" t="s">
        <v>632</v>
      </c>
      <c r="V133" s="155" t="s">
        <v>632</v>
      </c>
      <c r="W133" s="155">
        <v>0</v>
      </c>
      <c r="X133" s="155">
        <v>0</v>
      </c>
      <c r="Y133" s="183">
        <v>0</v>
      </c>
    </row>
    <row r="134" spans="1:25">
      <c r="A134" s="179">
        <v>222797042</v>
      </c>
      <c r="B134" t="s">
        <v>1071</v>
      </c>
      <c r="C134" t="s">
        <v>750</v>
      </c>
      <c r="D134" t="s">
        <v>989</v>
      </c>
      <c r="E134" t="s">
        <v>698</v>
      </c>
      <c r="F134" t="s">
        <v>2086</v>
      </c>
      <c r="G134" s="180" t="s">
        <v>1071</v>
      </c>
      <c r="H134" s="180" t="s">
        <v>2100</v>
      </c>
      <c r="I134" s="176" t="s">
        <v>1926</v>
      </c>
      <c r="J134" s="181">
        <v>43392</v>
      </c>
      <c r="K134" s="140">
        <v>47177</v>
      </c>
      <c r="L134" s="155">
        <v>0</v>
      </c>
      <c r="M134" s="155">
        <v>0</v>
      </c>
      <c r="N134" s="155">
        <v>0</v>
      </c>
      <c r="O134" s="155" t="s">
        <v>730</v>
      </c>
      <c r="P134" s="176" t="s">
        <v>730</v>
      </c>
      <c r="Q134" s="184" t="s">
        <v>730</v>
      </c>
      <c r="R134" s="155">
        <v>0</v>
      </c>
      <c r="S134" s="176">
        <v>0</v>
      </c>
      <c r="T134" s="182" t="e">
        <f>VLOOKUP(A134,#REF!,9,FALSE)</f>
        <v>#REF!</v>
      </c>
      <c r="U134" s="155" t="s">
        <v>632</v>
      </c>
      <c r="V134" s="155" t="s">
        <v>632</v>
      </c>
      <c r="W134" s="155">
        <v>0</v>
      </c>
      <c r="X134" s="155">
        <v>0</v>
      </c>
      <c r="Y134" s="183">
        <v>0</v>
      </c>
    </row>
    <row r="135" spans="1:25">
      <c r="A135" s="179">
        <v>222797043</v>
      </c>
      <c r="B135" t="s">
        <v>1073</v>
      </c>
      <c r="C135" t="s">
        <v>750</v>
      </c>
      <c r="D135" t="s">
        <v>989</v>
      </c>
      <c r="E135" t="s">
        <v>698</v>
      </c>
      <c r="F135" t="s">
        <v>2086</v>
      </c>
      <c r="G135" s="180" t="s">
        <v>1073</v>
      </c>
      <c r="H135" s="180" t="s">
        <v>2101</v>
      </c>
      <c r="I135" s="176" t="s">
        <v>1926</v>
      </c>
      <c r="J135" s="181">
        <v>43392</v>
      </c>
      <c r="K135" s="140">
        <v>47177</v>
      </c>
      <c r="L135" s="155">
        <v>0</v>
      </c>
      <c r="M135" s="155">
        <v>0</v>
      </c>
      <c r="N135" s="155">
        <v>0</v>
      </c>
      <c r="O135" s="155" t="s">
        <v>730</v>
      </c>
      <c r="P135" s="176" t="s">
        <v>730</v>
      </c>
      <c r="Q135" s="184" t="s">
        <v>730</v>
      </c>
      <c r="R135" s="155">
        <v>0</v>
      </c>
      <c r="S135" s="176">
        <v>0</v>
      </c>
      <c r="T135" s="182" t="e">
        <f>VLOOKUP(A135,#REF!,9,FALSE)</f>
        <v>#REF!</v>
      </c>
      <c r="U135" s="155" t="s">
        <v>632</v>
      </c>
      <c r="V135" s="155" t="s">
        <v>632</v>
      </c>
      <c r="W135" s="155">
        <v>0</v>
      </c>
      <c r="X135" s="155">
        <v>0</v>
      </c>
      <c r="Y135" s="183">
        <v>0</v>
      </c>
    </row>
    <row r="136" spans="1:25">
      <c r="A136" s="179">
        <v>222797044</v>
      </c>
      <c r="B136" t="s">
        <v>1075</v>
      </c>
      <c r="C136" t="s">
        <v>750</v>
      </c>
      <c r="D136" t="s">
        <v>989</v>
      </c>
      <c r="E136" t="s">
        <v>698</v>
      </c>
      <c r="F136" t="s">
        <v>2086</v>
      </c>
      <c r="G136" s="180" t="s">
        <v>1075</v>
      </c>
      <c r="H136" s="180" t="s">
        <v>2102</v>
      </c>
      <c r="I136" s="176" t="s">
        <v>1926</v>
      </c>
      <c r="J136" s="181">
        <v>43392</v>
      </c>
      <c r="K136" s="140">
        <v>47177</v>
      </c>
      <c r="L136" s="155">
        <v>0</v>
      </c>
      <c r="M136" s="155">
        <v>0</v>
      </c>
      <c r="N136" s="155">
        <v>0</v>
      </c>
      <c r="O136" s="155" t="s">
        <v>730</v>
      </c>
      <c r="P136" s="176" t="s">
        <v>730</v>
      </c>
      <c r="Q136" s="184" t="s">
        <v>730</v>
      </c>
      <c r="R136" s="155">
        <v>0</v>
      </c>
      <c r="S136" s="176">
        <v>0</v>
      </c>
      <c r="T136" s="182" t="e">
        <f>VLOOKUP(A136,#REF!,9,FALSE)</f>
        <v>#REF!</v>
      </c>
      <c r="U136" s="155" t="s">
        <v>632</v>
      </c>
      <c r="V136" s="155" t="s">
        <v>632</v>
      </c>
      <c r="W136" s="155">
        <v>0</v>
      </c>
      <c r="X136" s="155">
        <v>0</v>
      </c>
      <c r="Y136" s="183">
        <v>0</v>
      </c>
    </row>
    <row r="137" spans="1:25">
      <c r="A137" s="179">
        <v>222797045</v>
      </c>
      <c r="B137" t="s">
        <v>1077</v>
      </c>
      <c r="C137" t="s">
        <v>750</v>
      </c>
      <c r="D137" t="s">
        <v>989</v>
      </c>
      <c r="E137" t="s">
        <v>698</v>
      </c>
      <c r="F137" t="s">
        <v>2086</v>
      </c>
      <c r="G137" s="180" t="s">
        <v>1077</v>
      </c>
      <c r="H137" s="180" t="s">
        <v>2103</v>
      </c>
      <c r="I137" s="176" t="s">
        <v>1926</v>
      </c>
      <c r="J137" s="181">
        <v>43392</v>
      </c>
      <c r="K137" s="140">
        <v>47177</v>
      </c>
      <c r="L137" s="155">
        <v>0</v>
      </c>
      <c r="M137" s="155">
        <v>0</v>
      </c>
      <c r="N137" s="155">
        <v>0</v>
      </c>
      <c r="O137" s="155" t="s">
        <v>730</v>
      </c>
      <c r="P137" s="176" t="s">
        <v>730</v>
      </c>
      <c r="Q137" s="184" t="s">
        <v>730</v>
      </c>
      <c r="R137" s="155">
        <v>0</v>
      </c>
      <c r="S137" s="176">
        <v>0</v>
      </c>
      <c r="T137" s="182" t="e">
        <f>VLOOKUP(A137,#REF!,9,FALSE)</f>
        <v>#REF!</v>
      </c>
      <c r="U137" s="155" t="s">
        <v>632</v>
      </c>
      <c r="V137" s="155" t="s">
        <v>632</v>
      </c>
      <c r="W137" s="155">
        <v>0</v>
      </c>
      <c r="X137" s="155">
        <v>0</v>
      </c>
      <c r="Y137" s="183">
        <v>0</v>
      </c>
    </row>
    <row r="138" spans="1:25">
      <c r="A138" s="179">
        <v>222797046</v>
      </c>
      <c r="B138" t="s">
        <v>1079</v>
      </c>
      <c r="C138" t="s">
        <v>750</v>
      </c>
      <c r="D138" t="s">
        <v>989</v>
      </c>
      <c r="E138" t="s">
        <v>698</v>
      </c>
      <c r="F138" t="s">
        <v>2086</v>
      </c>
      <c r="G138" s="180" t="s">
        <v>1079</v>
      </c>
      <c r="H138" s="180" t="s">
        <v>2104</v>
      </c>
      <c r="I138" s="176" t="s">
        <v>1926</v>
      </c>
      <c r="J138" s="181">
        <v>43392</v>
      </c>
      <c r="K138" s="140">
        <v>47177</v>
      </c>
      <c r="L138" s="155">
        <v>0</v>
      </c>
      <c r="M138" s="155">
        <v>0</v>
      </c>
      <c r="N138" s="155">
        <v>0</v>
      </c>
      <c r="O138" s="155" t="s">
        <v>730</v>
      </c>
      <c r="P138" s="176" t="s">
        <v>730</v>
      </c>
      <c r="Q138" s="184" t="s">
        <v>730</v>
      </c>
      <c r="R138" s="155">
        <v>0</v>
      </c>
      <c r="S138" s="176">
        <v>0</v>
      </c>
      <c r="T138" s="182" t="e">
        <f>VLOOKUP(A138,#REF!,9,FALSE)</f>
        <v>#REF!</v>
      </c>
      <c r="U138" s="155" t="s">
        <v>632</v>
      </c>
      <c r="V138" s="155" t="s">
        <v>632</v>
      </c>
      <c r="W138" s="155">
        <v>0</v>
      </c>
      <c r="X138" s="155">
        <v>0</v>
      </c>
      <c r="Y138" s="183">
        <v>0</v>
      </c>
    </row>
    <row r="139" spans="1:25">
      <c r="A139" s="179">
        <v>222797047</v>
      </c>
      <c r="B139" t="s">
        <v>1081</v>
      </c>
      <c r="C139" t="s">
        <v>750</v>
      </c>
      <c r="D139" t="s">
        <v>989</v>
      </c>
      <c r="E139" t="s">
        <v>698</v>
      </c>
      <c r="F139" t="s">
        <v>2086</v>
      </c>
      <c r="G139" s="180" t="s">
        <v>1081</v>
      </c>
      <c r="H139" s="180" t="s">
        <v>2105</v>
      </c>
      <c r="I139" s="176" t="s">
        <v>1926</v>
      </c>
      <c r="J139" s="181">
        <v>43392</v>
      </c>
      <c r="K139" s="140">
        <v>47177</v>
      </c>
      <c r="L139" s="155">
        <v>0</v>
      </c>
      <c r="M139" s="155">
        <v>0</v>
      </c>
      <c r="N139" s="155">
        <v>0</v>
      </c>
      <c r="O139" s="155" t="s">
        <v>730</v>
      </c>
      <c r="P139" s="176" t="s">
        <v>730</v>
      </c>
      <c r="Q139" s="184" t="s">
        <v>730</v>
      </c>
      <c r="R139" s="155">
        <v>0</v>
      </c>
      <c r="S139" s="176">
        <v>0</v>
      </c>
      <c r="T139" s="182" t="e">
        <f>VLOOKUP(A139,#REF!,9,FALSE)</f>
        <v>#REF!</v>
      </c>
      <c r="U139" s="155" t="s">
        <v>632</v>
      </c>
      <c r="V139" s="155" t="s">
        <v>632</v>
      </c>
      <c r="W139" s="155">
        <v>0</v>
      </c>
      <c r="X139" s="155">
        <v>0</v>
      </c>
      <c r="Y139" s="183">
        <v>0</v>
      </c>
    </row>
    <row r="140" spans="1:25">
      <c r="A140" s="179">
        <v>222797048</v>
      </c>
      <c r="B140" t="s">
        <v>1083</v>
      </c>
      <c r="C140" t="s">
        <v>750</v>
      </c>
      <c r="D140" t="s">
        <v>989</v>
      </c>
      <c r="E140" t="s">
        <v>698</v>
      </c>
      <c r="F140" t="s">
        <v>2086</v>
      </c>
      <c r="G140" s="180" t="s">
        <v>1083</v>
      </c>
      <c r="H140" s="180" t="s">
        <v>2106</v>
      </c>
      <c r="I140" s="176" t="s">
        <v>1926</v>
      </c>
      <c r="J140" s="181">
        <v>43392</v>
      </c>
      <c r="K140" s="140">
        <v>47177</v>
      </c>
      <c r="L140" s="155">
        <v>0</v>
      </c>
      <c r="M140" s="155">
        <v>0</v>
      </c>
      <c r="N140" s="155">
        <v>0</v>
      </c>
      <c r="O140" s="155" t="s">
        <v>730</v>
      </c>
      <c r="P140" s="176" t="s">
        <v>730</v>
      </c>
      <c r="Q140" s="184" t="s">
        <v>730</v>
      </c>
      <c r="R140" s="155">
        <v>0</v>
      </c>
      <c r="S140" s="176">
        <v>0</v>
      </c>
      <c r="T140" s="182" t="e">
        <f>VLOOKUP(A140,#REF!,9,FALSE)</f>
        <v>#REF!</v>
      </c>
      <c r="U140" s="155" t="s">
        <v>632</v>
      </c>
      <c r="V140" s="155" t="s">
        <v>632</v>
      </c>
      <c r="W140" s="155">
        <v>0</v>
      </c>
      <c r="X140" s="155">
        <v>0</v>
      </c>
      <c r="Y140" s="183">
        <v>0</v>
      </c>
    </row>
    <row r="141" spans="1:25">
      <c r="A141" s="179">
        <v>222797049</v>
      </c>
      <c r="B141" t="s">
        <v>1085</v>
      </c>
      <c r="C141" t="s">
        <v>750</v>
      </c>
      <c r="D141" t="s">
        <v>989</v>
      </c>
      <c r="E141" t="s">
        <v>698</v>
      </c>
      <c r="F141" t="s">
        <v>2086</v>
      </c>
      <c r="G141" s="180" t="s">
        <v>1085</v>
      </c>
      <c r="H141" s="180" t="s">
        <v>2107</v>
      </c>
      <c r="I141" s="176" t="s">
        <v>1926</v>
      </c>
      <c r="J141" s="181">
        <v>43392</v>
      </c>
      <c r="K141" s="140">
        <v>47177</v>
      </c>
      <c r="L141" s="155">
        <v>0</v>
      </c>
      <c r="M141" s="155">
        <v>0</v>
      </c>
      <c r="N141" s="155">
        <v>0</v>
      </c>
      <c r="O141" s="155" t="s">
        <v>730</v>
      </c>
      <c r="P141" s="176" t="s">
        <v>730</v>
      </c>
      <c r="Q141" s="184" t="s">
        <v>730</v>
      </c>
      <c r="R141" s="155">
        <v>0</v>
      </c>
      <c r="S141" s="176">
        <v>0</v>
      </c>
      <c r="T141" s="182" t="e">
        <f>VLOOKUP(A141,#REF!,9,FALSE)</f>
        <v>#REF!</v>
      </c>
      <c r="U141" s="155" t="s">
        <v>632</v>
      </c>
      <c r="V141" s="155" t="s">
        <v>632</v>
      </c>
      <c r="W141" s="155">
        <v>0</v>
      </c>
      <c r="X141" s="155">
        <v>0</v>
      </c>
      <c r="Y141" s="183">
        <v>0</v>
      </c>
    </row>
    <row r="142" spans="1:25">
      <c r="A142" s="179">
        <v>222797050</v>
      </c>
      <c r="B142" t="s">
        <v>1087</v>
      </c>
      <c r="C142" t="s">
        <v>750</v>
      </c>
      <c r="D142" t="s">
        <v>989</v>
      </c>
      <c r="E142" t="s">
        <v>698</v>
      </c>
      <c r="F142" t="s">
        <v>2086</v>
      </c>
      <c r="G142" s="180" t="s">
        <v>1087</v>
      </c>
      <c r="H142" s="180" t="s">
        <v>2108</v>
      </c>
      <c r="I142" s="176" t="s">
        <v>1926</v>
      </c>
      <c r="J142" s="181">
        <v>43392</v>
      </c>
      <c r="K142" s="140">
        <v>47177</v>
      </c>
      <c r="L142" s="155">
        <v>0</v>
      </c>
      <c r="M142" s="155">
        <v>0</v>
      </c>
      <c r="N142" s="155">
        <v>0</v>
      </c>
      <c r="O142" s="155" t="s">
        <v>730</v>
      </c>
      <c r="P142" s="176" t="s">
        <v>730</v>
      </c>
      <c r="Q142" s="184" t="s">
        <v>730</v>
      </c>
      <c r="R142" s="155">
        <v>0</v>
      </c>
      <c r="S142" s="176">
        <v>0</v>
      </c>
      <c r="T142" s="182" t="e">
        <f>VLOOKUP(A142,#REF!,9,FALSE)</f>
        <v>#REF!</v>
      </c>
      <c r="U142" s="155" t="s">
        <v>632</v>
      </c>
      <c r="V142" s="155" t="s">
        <v>632</v>
      </c>
      <c r="W142" s="155">
        <v>0</v>
      </c>
      <c r="X142" s="155">
        <v>0</v>
      </c>
      <c r="Y142" s="183">
        <v>0</v>
      </c>
    </row>
    <row r="143" spans="1:25">
      <c r="A143" s="179">
        <v>222797051</v>
      </c>
      <c r="B143" t="s">
        <v>1089</v>
      </c>
      <c r="C143" t="s">
        <v>750</v>
      </c>
      <c r="D143" t="s">
        <v>989</v>
      </c>
      <c r="E143" t="s">
        <v>698</v>
      </c>
      <c r="F143" t="s">
        <v>2078</v>
      </c>
      <c r="G143" s="180" t="s">
        <v>1089</v>
      </c>
      <c r="H143" s="180" t="s">
        <v>2109</v>
      </c>
      <c r="I143" s="176" t="s">
        <v>1926</v>
      </c>
      <c r="J143" s="181">
        <v>43560</v>
      </c>
      <c r="K143" s="140">
        <v>47211</v>
      </c>
      <c r="L143" s="155">
        <v>0</v>
      </c>
      <c r="M143" s="155">
        <v>0</v>
      </c>
      <c r="N143" s="155">
        <v>0</v>
      </c>
      <c r="O143" s="155" t="s">
        <v>730</v>
      </c>
      <c r="P143" s="176" t="s">
        <v>730</v>
      </c>
      <c r="Q143" s="184" t="s">
        <v>730</v>
      </c>
      <c r="R143" s="155">
        <v>0</v>
      </c>
      <c r="S143" s="176">
        <v>0</v>
      </c>
      <c r="T143" s="182" t="e">
        <f>VLOOKUP(A143,#REF!,9,FALSE)</f>
        <v>#REF!</v>
      </c>
      <c r="U143" s="155" t="s">
        <v>632</v>
      </c>
      <c r="V143" s="155" t="s">
        <v>632</v>
      </c>
      <c r="W143" s="155">
        <v>0</v>
      </c>
      <c r="X143" s="155">
        <v>0</v>
      </c>
      <c r="Y143" s="183">
        <v>0</v>
      </c>
    </row>
    <row r="144" spans="1:25">
      <c r="A144" s="179">
        <v>222797052</v>
      </c>
      <c r="B144" t="s">
        <v>1091</v>
      </c>
      <c r="C144" t="s">
        <v>750</v>
      </c>
      <c r="D144" t="s">
        <v>989</v>
      </c>
      <c r="E144" t="s">
        <v>698</v>
      </c>
      <c r="F144" t="s">
        <v>2078</v>
      </c>
      <c r="G144" s="180" t="s">
        <v>1091</v>
      </c>
      <c r="H144" s="180" t="s">
        <v>2110</v>
      </c>
      <c r="I144" s="176" t="s">
        <v>1926</v>
      </c>
      <c r="J144" s="181">
        <v>43560</v>
      </c>
      <c r="K144" s="140">
        <v>47211</v>
      </c>
      <c r="L144" s="155">
        <v>0</v>
      </c>
      <c r="M144" s="155">
        <v>0</v>
      </c>
      <c r="N144" s="155">
        <v>0</v>
      </c>
      <c r="O144" s="155" t="s">
        <v>730</v>
      </c>
      <c r="P144" s="176" t="s">
        <v>730</v>
      </c>
      <c r="Q144" s="184" t="s">
        <v>730</v>
      </c>
      <c r="R144" s="155">
        <v>0</v>
      </c>
      <c r="S144" s="176">
        <v>0</v>
      </c>
      <c r="T144" s="182" t="e">
        <f>VLOOKUP(A144,#REF!,9,FALSE)</f>
        <v>#REF!</v>
      </c>
      <c r="U144" s="155" t="s">
        <v>632</v>
      </c>
      <c r="V144" s="155" t="s">
        <v>632</v>
      </c>
      <c r="W144" s="155">
        <v>0</v>
      </c>
      <c r="X144" s="155">
        <v>0</v>
      </c>
      <c r="Y144" s="183">
        <v>0</v>
      </c>
    </row>
    <row r="145" spans="1:25">
      <c r="A145" s="179">
        <v>222797053</v>
      </c>
      <c r="B145" t="s">
        <v>1093</v>
      </c>
      <c r="C145" t="s">
        <v>750</v>
      </c>
      <c r="D145" t="s">
        <v>989</v>
      </c>
      <c r="E145" t="s">
        <v>698</v>
      </c>
      <c r="F145" t="s">
        <v>2078</v>
      </c>
      <c r="G145" s="180" t="s">
        <v>1093</v>
      </c>
      <c r="H145" s="180" t="s">
        <v>2111</v>
      </c>
      <c r="I145" s="176" t="s">
        <v>1926</v>
      </c>
      <c r="J145" s="181">
        <v>43560</v>
      </c>
      <c r="K145" s="140">
        <v>47211</v>
      </c>
      <c r="L145" s="155">
        <v>0</v>
      </c>
      <c r="M145" s="155">
        <v>0</v>
      </c>
      <c r="N145" s="155">
        <v>0</v>
      </c>
      <c r="O145" s="155" t="s">
        <v>730</v>
      </c>
      <c r="P145" s="176" t="s">
        <v>730</v>
      </c>
      <c r="Q145" s="184" t="s">
        <v>730</v>
      </c>
      <c r="R145" s="155">
        <v>0</v>
      </c>
      <c r="S145" s="176">
        <v>0</v>
      </c>
      <c r="T145" s="182" t="e">
        <f>VLOOKUP(A145,#REF!,9,FALSE)</f>
        <v>#REF!</v>
      </c>
      <c r="U145" s="155" t="s">
        <v>632</v>
      </c>
      <c r="V145" s="155" t="s">
        <v>632</v>
      </c>
      <c r="W145" s="155">
        <v>0</v>
      </c>
      <c r="X145" s="155">
        <v>0</v>
      </c>
      <c r="Y145" s="183">
        <v>0</v>
      </c>
    </row>
    <row r="146" spans="1:25">
      <c r="A146" s="179">
        <v>222797054</v>
      </c>
      <c r="B146" t="s">
        <v>1095</v>
      </c>
      <c r="C146" t="s">
        <v>750</v>
      </c>
      <c r="D146" t="s">
        <v>989</v>
      </c>
      <c r="E146" t="s">
        <v>698</v>
      </c>
      <c r="F146" t="s">
        <v>2086</v>
      </c>
      <c r="G146" s="180" t="s">
        <v>1095</v>
      </c>
      <c r="H146" s="180" t="s">
        <v>2112</v>
      </c>
      <c r="I146" s="176" t="s">
        <v>1926</v>
      </c>
      <c r="J146" s="181">
        <v>43392</v>
      </c>
      <c r="K146" s="140">
        <v>47177</v>
      </c>
      <c r="L146" s="155">
        <v>0</v>
      </c>
      <c r="M146" s="155">
        <v>0</v>
      </c>
      <c r="N146" s="155">
        <v>0</v>
      </c>
      <c r="O146" s="155" t="s">
        <v>730</v>
      </c>
      <c r="P146" s="176" t="s">
        <v>730</v>
      </c>
      <c r="Q146" s="184" t="s">
        <v>730</v>
      </c>
      <c r="R146" s="155">
        <v>0</v>
      </c>
      <c r="S146" s="176">
        <v>0</v>
      </c>
      <c r="T146" s="182" t="e">
        <f>VLOOKUP(A146,#REF!,9,FALSE)</f>
        <v>#REF!</v>
      </c>
      <c r="U146" s="155" t="s">
        <v>632</v>
      </c>
      <c r="V146" s="155" t="s">
        <v>632</v>
      </c>
      <c r="W146" s="155">
        <v>0</v>
      </c>
      <c r="X146" s="155">
        <v>0</v>
      </c>
      <c r="Y146" s="183">
        <v>0</v>
      </c>
    </row>
    <row r="147" spans="1:25">
      <c r="A147" s="179">
        <v>222797055</v>
      </c>
      <c r="B147" t="s">
        <v>1097</v>
      </c>
      <c r="C147" t="s">
        <v>750</v>
      </c>
      <c r="D147" t="s">
        <v>989</v>
      </c>
      <c r="E147" t="s">
        <v>698</v>
      </c>
      <c r="F147" t="s">
        <v>2086</v>
      </c>
      <c r="G147" s="180" t="s">
        <v>1097</v>
      </c>
      <c r="H147" s="180" t="s">
        <v>2113</v>
      </c>
      <c r="I147" s="176" t="s">
        <v>1926</v>
      </c>
      <c r="J147" s="181">
        <v>43392</v>
      </c>
      <c r="K147" s="140">
        <v>47177</v>
      </c>
      <c r="L147" s="155">
        <v>0</v>
      </c>
      <c r="M147" s="155">
        <v>0</v>
      </c>
      <c r="N147" s="155">
        <v>0</v>
      </c>
      <c r="O147" s="155" t="s">
        <v>730</v>
      </c>
      <c r="P147" s="176" t="s">
        <v>730</v>
      </c>
      <c r="Q147" s="184" t="s">
        <v>730</v>
      </c>
      <c r="R147" s="155">
        <v>0</v>
      </c>
      <c r="S147" s="176">
        <v>0</v>
      </c>
      <c r="T147" s="182" t="e">
        <f>VLOOKUP(A147,#REF!,9,FALSE)</f>
        <v>#REF!</v>
      </c>
      <c r="U147" s="155" t="s">
        <v>632</v>
      </c>
      <c r="V147" s="155" t="s">
        <v>632</v>
      </c>
      <c r="W147" s="155">
        <v>0</v>
      </c>
      <c r="X147" s="155">
        <v>0</v>
      </c>
      <c r="Y147" s="183">
        <v>0</v>
      </c>
    </row>
    <row r="148" spans="1:25">
      <c r="A148" s="179">
        <v>222797056</v>
      </c>
      <c r="B148" t="s">
        <v>1099</v>
      </c>
      <c r="C148" t="s">
        <v>750</v>
      </c>
      <c r="D148" t="s">
        <v>989</v>
      </c>
      <c r="E148" t="s">
        <v>698</v>
      </c>
      <c r="F148" t="s">
        <v>2086</v>
      </c>
      <c r="G148" s="180" t="s">
        <v>1099</v>
      </c>
      <c r="H148" s="180" t="s">
        <v>2114</v>
      </c>
      <c r="I148" s="176" t="s">
        <v>1926</v>
      </c>
      <c r="J148" s="181">
        <v>43392</v>
      </c>
      <c r="K148" s="140">
        <v>47177</v>
      </c>
      <c r="L148" s="155">
        <v>0</v>
      </c>
      <c r="M148" s="155">
        <v>0</v>
      </c>
      <c r="N148" s="155">
        <v>0</v>
      </c>
      <c r="O148" s="155" t="s">
        <v>730</v>
      </c>
      <c r="P148" s="176" t="s">
        <v>730</v>
      </c>
      <c r="Q148" s="184" t="s">
        <v>730</v>
      </c>
      <c r="R148" s="155">
        <v>0</v>
      </c>
      <c r="S148" s="176">
        <v>0</v>
      </c>
      <c r="T148" s="182" t="e">
        <f>VLOOKUP(A148,#REF!,9,FALSE)</f>
        <v>#REF!</v>
      </c>
      <c r="U148" s="155" t="s">
        <v>632</v>
      </c>
      <c r="V148" s="155" t="s">
        <v>632</v>
      </c>
      <c r="W148" s="155">
        <v>0</v>
      </c>
      <c r="X148" s="155">
        <v>0</v>
      </c>
      <c r="Y148" s="183">
        <v>0</v>
      </c>
    </row>
    <row r="149" spans="1:25">
      <c r="A149" s="179">
        <v>222797057</v>
      </c>
      <c r="B149" t="s">
        <v>1101</v>
      </c>
      <c r="C149" t="s">
        <v>750</v>
      </c>
      <c r="D149" t="s">
        <v>989</v>
      </c>
      <c r="E149" t="s">
        <v>698</v>
      </c>
      <c r="F149" t="s">
        <v>2086</v>
      </c>
      <c r="G149" s="180" t="s">
        <v>1101</v>
      </c>
      <c r="H149" s="180" t="s">
        <v>2115</v>
      </c>
      <c r="I149" s="176" t="s">
        <v>1926</v>
      </c>
      <c r="J149" s="181">
        <v>43392</v>
      </c>
      <c r="K149" s="140">
        <v>47177</v>
      </c>
      <c r="L149" s="155">
        <v>0</v>
      </c>
      <c r="M149" s="155">
        <v>0</v>
      </c>
      <c r="N149" s="155">
        <v>0</v>
      </c>
      <c r="O149" s="155" t="s">
        <v>730</v>
      </c>
      <c r="P149" s="176" t="s">
        <v>730</v>
      </c>
      <c r="Q149" s="184" t="s">
        <v>730</v>
      </c>
      <c r="R149" s="155">
        <v>0</v>
      </c>
      <c r="S149" s="176">
        <v>0</v>
      </c>
      <c r="T149" s="182" t="e">
        <f>VLOOKUP(A149,#REF!,9,FALSE)</f>
        <v>#REF!</v>
      </c>
      <c r="U149" s="155" t="s">
        <v>632</v>
      </c>
      <c r="V149" s="155" t="s">
        <v>632</v>
      </c>
      <c r="W149" s="155">
        <v>0</v>
      </c>
      <c r="X149" s="155">
        <v>0</v>
      </c>
      <c r="Y149" s="183">
        <v>0</v>
      </c>
    </row>
    <row r="150" spans="1:25">
      <c r="A150" s="179">
        <v>222797058</v>
      </c>
      <c r="B150" t="s">
        <v>1103</v>
      </c>
      <c r="C150" t="s">
        <v>750</v>
      </c>
      <c r="D150" t="s">
        <v>989</v>
      </c>
      <c r="E150" t="s">
        <v>698</v>
      </c>
      <c r="F150" t="s">
        <v>2086</v>
      </c>
      <c r="G150" s="180" t="s">
        <v>1103</v>
      </c>
      <c r="H150" s="180" t="s">
        <v>2116</v>
      </c>
      <c r="I150" s="176" t="s">
        <v>1926</v>
      </c>
      <c r="J150" s="181">
        <v>43392</v>
      </c>
      <c r="K150" s="140">
        <v>47177</v>
      </c>
      <c r="L150" s="155">
        <v>0</v>
      </c>
      <c r="M150" s="155">
        <v>0</v>
      </c>
      <c r="N150" s="155">
        <v>0</v>
      </c>
      <c r="O150" s="155" t="s">
        <v>730</v>
      </c>
      <c r="P150" s="176" t="s">
        <v>730</v>
      </c>
      <c r="Q150" s="184" t="s">
        <v>730</v>
      </c>
      <c r="R150" s="155">
        <v>0</v>
      </c>
      <c r="S150" s="176">
        <v>0</v>
      </c>
      <c r="T150" s="182" t="e">
        <f>VLOOKUP(A150,#REF!,9,FALSE)</f>
        <v>#REF!</v>
      </c>
      <c r="U150" s="155" t="s">
        <v>632</v>
      </c>
      <c r="V150" s="155" t="s">
        <v>632</v>
      </c>
      <c r="W150" s="155">
        <v>0</v>
      </c>
      <c r="X150" s="155">
        <v>0</v>
      </c>
      <c r="Y150" s="183">
        <v>0</v>
      </c>
    </row>
    <row r="151" spans="1:25">
      <c r="A151" s="179">
        <v>222797059</v>
      </c>
      <c r="B151" t="s">
        <v>1105</v>
      </c>
      <c r="C151" t="s">
        <v>750</v>
      </c>
      <c r="D151" t="s">
        <v>989</v>
      </c>
      <c r="E151" t="s">
        <v>698</v>
      </c>
      <c r="F151" t="s">
        <v>2086</v>
      </c>
      <c r="G151" s="180" t="s">
        <v>1105</v>
      </c>
      <c r="H151" s="180" t="s">
        <v>2117</v>
      </c>
      <c r="I151" s="176" t="s">
        <v>1926</v>
      </c>
      <c r="J151" s="181">
        <v>43392</v>
      </c>
      <c r="K151" s="140">
        <v>47177</v>
      </c>
      <c r="L151" s="155">
        <v>0</v>
      </c>
      <c r="M151" s="155">
        <v>0</v>
      </c>
      <c r="N151" s="155">
        <v>0</v>
      </c>
      <c r="O151" s="155" t="s">
        <v>730</v>
      </c>
      <c r="P151" s="176" t="s">
        <v>730</v>
      </c>
      <c r="Q151" s="184" t="s">
        <v>730</v>
      </c>
      <c r="R151" s="155">
        <v>0</v>
      </c>
      <c r="S151" s="176">
        <v>0</v>
      </c>
      <c r="T151" s="182" t="e">
        <f>VLOOKUP(A151,#REF!,9,FALSE)</f>
        <v>#REF!</v>
      </c>
      <c r="U151" s="155" t="s">
        <v>632</v>
      </c>
      <c r="V151" s="155" t="s">
        <v>632</v>
      </c>
      <c r="W151" s="155">
        <v>0</v>
      </c>
      <c r="X151" s="155">
        <v>0</v>
      </c>
      <c r="Y151" s="183">
        <v>0</v>
      </c>
    </row>
    <row r="152" spans="1:25">
      <c r="A152" s="179">
        <v>222797060</v>
      </c>
      <c r="B152" t="s">
        <v>1107</v>
      </c>
      <c r="C152" t="s">
        <v>750</v>
      </c>
      <c r="D152" t="s">
        <v>989</v>
      </c>
      <c r="E152" t="s">
        <v>698</v>
      </c>
      <c r="F152" t="s">
        <v>2086</v>
      </c>
      <c r="G152" s="180" t="s">
        <v>1107</v>
      </c>
      <c r="H152" s="180" t="s">
        <v>2118</v>
      </c>
      <c r="I152" s="176" t="s">
        <v>1926</v>
      </c>
      <c r="J152" s="181">
        <v>43392</v>
      </c>
      <c r="K152" s="140">
        <v>47177</v>
      </c>
      <c r="L152" s="155">
        <v>0</v>
      </c>
      <c r="M152" s="155">
        <v>0</v>
      </c>
      <c r="N152" s="155">
        <v>0</v>
      </c>
      <c r="O152" s="155" t="s">
        <v>730</v>
      </c>
      <c r="P152" s="176" t="s">
        <v>730</v>
      </c>
      <c r="Q152" s="184" t="s">
        <v>730</v>
      </c>
      <c r="R152" s="155">
        <v>0</v>
      </c>
      <c r="S152" s="176">
        <v>0</v>
      </c>
      <c r="T152" s="182" t="e">
        <f>VLOOKUP(A152,#REF!,9,FALSE)</f>
        <v>#REF!</v>
      </c>
      <c r="U152" s="155" t="s">
        <v>632</v>
      </c>
      <c r="V152" s="155" t="s">
        <v>632</v>
      </c>
      <c r="W152" s="155">
        <v>0</v>
      </c>
      <c r="X152" s="155">
        <v>0</v>
      </c>
      <c r="Y152" s="183">
        <v>0</v>
      </c>
    </row>
    <row r="153" spans="1:25">
      <c r="A153" s="179">
        <v>222797061</v>
      </c>
      <c r="B153" t="s">
        <v>1109</v>
      </c>
      <c r="C153" t="s">
        <v>750</v>
      </c>
      <c r="D153" t="s">
        <v>989</v>
      </c>
      <c r="E153" t="s">
        <v>698</v>
      </c>
      <c r="F153" t="s">
        <v>2086</v>
      </c>
      <c r="G153" s="180" t="s">
        <v>1109</v>
      </c>
      <c r="H153" s="180" t="s">
        <v>2119</v>
      </c>
      <c r="I153" s="176" t="s">
        <v>1926</v>
      </c>
      <c r="J153" s="181">
        <v>43392</v>
      </c>
      <c r="K153" s="140">
        <v>47177</v>
      </c>
      <c r="L153" s="155">
        <v>0</v>
      </c>
      <c r="M153" s="155">
        <v>0</v>
      </c>
      <c r="N153" s="155">
        <v>0</v>
      </c>
      <c r="O153" s="155" t="s">
        <v>730</v>
      </c>
      <c r="P153" s="176" t="s">
        <v>730</v>
      </c>
      <c r="Q153" s="184" t="s">
        <v>730</v>
      </c>
      <c r="R153" s="155">
        <v>0</v>
      </c>
      <c r="S153" s="176">
        <v>0</v>
      </c>
      <c r="T153" s="182" t="e">
        <f>VLOOKUP(A153,#REF!,9,FALSE)</f>
        <v>#REF!</v>
      </c>
      <c r="U153" s="155" t="s">
        <v>632</v>
      </c>
      <c r="V153" s="155" t="s">
        <v>632</v>
      </c>
      <c r="W153" s="155">
        <v>0</v>
      </c>
      <c r="X153" s="155">
        <v>0</v>
      </c>
      <c r="Y153" s="183">
        <v>0</v>
      </c>
    </row>
    <row r="154" spans="1:25">
      <c r="A154" s="179">
        <v>222797062</v>
      </c>
      <c r="B154" t="s">
        <v>1111</v>
      </c>
      <c r="C154" t="s">
        <v>750</v>
      </c>
      <c r="D154" t="s">
        <v>989</v>
      </c>
      <c r="E154" t="s">
        <v>698</v>
      </c>
      <c r="F154" t="s">
        <v>2086</v>
      </c>
      <c r="G154" s="180" t="s">
        <v>1111</v>
      </c>
      <c r="H154" s="180" t="s">
        <v>2120</v>
      </c>
      <c r="I154" s="176" t="s">
        <v>1926</v>
      </c>
      <c r="J154" s="181">
        <v>43392</v>
      </c>
      <c r="K154" s="140">
        <v>47177</v>
      </c>
      <c r="L154" s="155">
        <v>0</v>
      </c>
      <c r="M154" s="155">
        <v>0</v>
      </c>
      <c r="N154" s="155">
        <v>0</v>
      </c>
      <c r="O154" s="155" t="s">
        <v>730</v>
      </c>
      <c r="P154" s="176" t="s">
        <v>730</v>
      </c>
      <c r="Q154" s="184" t="s">
        <v>730</v>
      </c>
      <c r="R154" s="155">
        <v>0</v>
      </c>
      <c r="S154" s="176">
        <v>0</v>
      </c>
      <c r="T154" s="182" t="e">
        <f>VLOOKUP(A154,#REF!,9,FALSE)</f>
        <v>#REF!</v>
      </c>
      <c r="U154" s="155" t="s">
        <v>632</v>
      </c>
      <c r="V154" s="155" t="s">
        <v>632</v>
      </c>
      <c r="W154" s="155">
        <v>0</v>
      </c>
      <c r="X154" s="155">
        <v>0</v>
      </c>
      <c r="Y154" s="183">
        <v>0</v>
      </c>
    </row>
    <row r="155" spans="1:25">
      <c r="A155" s="179">
        <v>222797063</v>
      </c>
      <c r="B155" t="s">
        <v>1113</v>
      </c>
      <c r="C155" t="s">
        <v>750</v>
      </c>
      <c r="D155" t="s">
        <v>989</v>
      </c>
      <c r="E155" t="s">
        <v>698</v>
      </c>
      <c r="F155" t="s">
        <v>2086</v>
      </c>
      <c r="G155" s="180" t="s">
        <v>1113</v>
      </c>
      <c r="H155" s="180" t="s">
        <v>2121</v>
      </c>
      <c r="I155" s="176" t="s">
        <v>1926</v>
      </c>
      <c r="J155" s="181">
        <v>43392</v>
      </c>
      <c r="K155" s="140">
        <v>47177</v>
      </c>
      <c r="L155" s="155">
        <v>0</v>
      </c>
      <c r="M155" s="155">
        <v>0</v>
      </c>
      <c r="N155" s="155">
        <v>0</v>
      </c>
      <c r="O155" s="155" t="s">
        <v>730</v>
      </c>
      <c r="P155" s="176" t="s">
        <v>730</v>
      </c>
      <c r="Q155" s="184" t="s">
        <v>730</v>
      </c>
      <c r="R155" s="155">
        <v>0</v>
      </c>
      <c r="S155" s="176">
        <v>0</v>
      </c>
      <c r="T155" s="182" t="e">
        <f>VLOOKUP(A155,#REF!,9,FALSE)</f>
        <v>#REF!</v>
      </c>
      <c r="U155" s="155" t="s">
        <v>632</v>
      </c>
      <c r="V155" s="155" t="s">
        <v>632</v>
      </c>
      <c r="W155" s="155">
        <v>0</v>
      </c>
      <c r="X155" s="155">
        <v>0</v>
      </c>
      <c r="Y155" s="183">
        <v>0</v>
      </c>
    </row>
    <row r="156" spans="1:25">
      <c r="A156" s="179">
        <v>222797064</v>
      </c>
      <c r="B156" t="s">
        <v>1115</v>
      </c>
      <c r="C156" t="s">
        <v>750</v>
      </c>
      <c r="D156" t="s">
        <v>989</v>
      </c>
      <c r="E156" t="s">
        <v>698</v>
      </c>
      <c r="F156" t="s">
        <v>2086</v>
      </c>
      <c r="G156" s="180" t="s">
        <v>1115</v>
      </c>
      <c r="H156" s="180" t="s">
        <v>2122</v>
      </c>
      <c r="I156" s="176" t="s">
        <v>1926</v>
      </c>
      <c r="J156" s="181">
        <v>43392</v>
      </c>
      <c r="K156" s="140">
        <v>47177</v>
      </c>
      <c r="L156" s="155">
        <v>0</v>
      </c>
      <c r="M156" s="155">
        <v>0</v>
      </c>
      <c r="N156" s="155">
        <v>0</v>
      </c>
      <c r="O156" s="155" t="s">
        <v>730</v>
      </c>
      <c r="P156" s="176" t="s">
        <v>730</v>
      </c>
      <c r="Q156" s="184" t="s">
        <v>730</v>
      </c>
      <c r="R156" s="155">
        <v>0</v>
      </c>
      <c r="S156" s="176">
        <v>0</v>
      </c>
      <c r="T156" s="182" t="e">
        <f>VLOOKUP(A156,#REF!,9,FALSE)</f>
        <v>#REF!</v>
      </c>
      <c r="U156" s="155" t="s">
        <v>632</v>
      </c>
      <c r="V156" s="155" t="s">
        <v>632</v>
      </c>
      <c r="W156" s="155">
        <v>0</v>
      </c>
      <c r="X156" s="155">
        <v>0</v>
      </c>
      <c r="Y156" s="183">
        <v>0</v>
      </c>
    </row>
    <row r="157" spans="1:25">
      <c r="A157" s="179">
        <v>222797065</v>
      </c>
      <c r="B157" t="s">
        <v>1117</v>
      </c>
      <c r="C157" t="s">
        <v>750</v>
      </c>
      <c r="D157" t="s">
        <v>989</v>
      </c>
      <c r="E157" t="s">
        <v>698</v>
      </c>
      <c r="F157" t="s">
        <v>2086</v>
      </c>
      <c r="G157" s="180" t="s">
        <v>1117</v>
      </c>
      <c r="H157" s="180" t="s">
        <v>2123</v>
      </c>
      <c r="I157" s="176" t="s">
        <v>1926</v>
      </c>
      <c r="J157" s="181">
        <v>43392</v>
      </c>
      <c r="K157" s="140">
        <v>47177</v>
      </c>
      <c r="L157" s="155">
        <v>0</v>
      </c>
      <c r="M157" s="155">
        <v>0</v>
      </c>
      <c r="N157" s="155">
        <v>0</v>
      </c>
      <c r="O157" s="155" t="s">
        <v>730</v>
      </c>
      <c r="P157" s="176" t="s">
        <v>730</v>
      </c>
      <c r="Q157" s="184" t="s">
        <v>730</v>
      </c>
      <c r="R157" s="155">
        <v>0</v>
      </c>
      <c r="S157" s="176">
        <v>0</v>
      </c>
      <c r="T157" s="182" t="e">
        <f>VLOOKUP(A157,#REF!,9,FALSE)</f>
        <v>#REF!</v>
      </c>
      <c r="U157" s="155" t="s">
        <v>632</v>
      </c>
      <c r="V157" s="155" t="s">
        <v>632</v>
      </c>
      <c r="W157" s="155">
        <v>0</v>
      </c>
      <c r="X157" s="155">
        <v>0</v>
      </c>
      <c r="Y157" s="183">
        <v>0</v>
      </c>
    </row>
    <row r="158" spans="1:25">
      <c r="A158" s="179">
        <v>222797066</v>
      </c>
      <c r="B158" t="s">
        <v>1119</v>
      </c>
      <c r="C158" t="s">
        <v>750</v>
      </c>
      <c r="D158" t="s">
        <v>989</v>
      </c>
      <c r="E158" t="s">
        <v>698</v>
      </c>
      <c r="F158" t="s">
        <v>2086</v>
      </c>
      <c r="G158" s="180" t="s">
        <v>1119</v>
      </c>
      <c r="H158" s="180" t="s">
        <v>2124</v>
      </c>
      <c r="I158" s="176" t="s">
        <v>1926</v>
      </c>
      <c r="J158" s="181">
        <v>43392</v>
      </c>
      <c r="K158" s="140">
        <v>47177</v>
      </c>
      <c r="L158" s="155">
        <v>0</v>
      </c>
      <c r="M158" s="155">
        <v>0</v>
      </c>
      <c r="N158" s="155">
        <v>0</v>
      </c>
      <c r="O158" s="155" t="s">
        <v>730</v>
      </c>
      <c r="P158" s="176" t="s">
        <v>730</v>
      </c>
      <c r="Q158" s="184" t="s">
        <v>730</v>
      </c>
      <c r="R158" s="155">
        <v>0</v>
      </c>
      <c r="S158" s="176">
        <v>0</v>
      </c>
      <c r="T158" s="182" t="e">
        <f>VLOOKUP(A158,#REF!,9,FALSE)</f>
        <v>#REF!</v>
      </c>
      <c r="U158" s="155" t="s">
        <v>632</v>
      </c>
      <c r="V158" s="155" t="s">
        <v>632</v>
      </c>
      <c r="W158" s="155">
        <v>0</v>
      </c>
      <c r="X158" s="155">
        <v>0</v>
      </c>
      <c r="Y158" s="183">
        <v>0</v>
      </c>
    </row>
    <row r="159" spans="1:25">
      <c r="A159" s="179">
        <v>222797067</v>
      </c>
      <c r="B159" t="s">
        <v>1121</v>
      </c>
      <c r="C159" t="s">
        <v>750</v>
      </c>
      <c r="D159" t="s">
        <v>989</v>
      </c>
      <c r="E159" t="s">
        <v>698</v>
      </c>
      <c r="F159" t="s">
        <v>2086</v>
      </c>
      <c r="G159" s="180" t="s">
        <v>1121</v>
      </c>
      <c r="H159" s="180" t="s">
        <v>2125</v>
      </c>
      <c r="I159" s="176" t="s">
        <v>1926</v>
      </c>
      <c r="J159" s="181">
        <v>43392</v>
      </c>
      <c r="K159" s="140">
        <v>47177</v>
      </c>
      <c r="L159" s="155">
        <v>0</v>
      </c>
      <c r="M159" s="155">
        <v>0</v>
      </c>
      <c r="N159" s="155">
        <v>0</v>
      </c>
      <c r="O159" s="155" t="s">
        <v>730</v>
      </c>
      <c r="P159" s="176" t="s">
        <v>730</v>
      </c>
      <c r="Q159" s="184" t="s">
        <v>730</v>
      </c>
      <c r="R159" s="155">
        <v>0</v>
      </c>
      <c r="S159" s="176">
        <v>0</v>
      </c>
      <c r="T159" s="182" t="e">
        <f>VLOOKUP(A159,#REF!,9,FALSE)</f>
        <v>#REF!</v>
      </c>
      <c r="U159" s="155" t="s">
        <v>632</v>
      </c>
      <c r="V159" s="155" t="s">
        <v>632</v>
      </c>
      <c r="W159" s="155">
        <v>0</v>
      </c>
      <c r="X159" s="155">
        <v>0</v>
      </c>
      <c r="Y159" s="183">
        <v>0</v>
      </c>
    </row>
    <row r="160" spans="1:25">
      <c r="A160" s="179">
        <v>222797068</v>
      </c>
      <c r="B160" t="s">
        <v>1123</v>
      </c>
      <c r="C160" t="s">
        <v>750</v>
      </c>
      <c r="D160" t="s">
        <v>989</v>
      </c>
      <c r="E160" t="s">
        <v>698</v>
      </c>
      <c r="F160" t="s">
        <v>2086</v>
      </c>
      <c r="G160" s="180" t="s">
        <v>1123</v>
      </c>
      <c r="H160" s="180" t="s">
        <v>2126</v>
      </c>
      <c r="I160" s="176" t="s">
        <v>1926</v>
      </c>
      <c r="J160" s="181">
        <v>43392</v>
      </c>
      <c r="K160" s="140">
        <v>47177</v>
      </c>
      <c r="L160" s="155">
        <v>0</v>
      </c>
      <c r="M160" s="155">
        <v>0</v>
      </c>
      <c r="N160" s="155">
        <v>0</v>
      </c>
      <c r="O160" s="155" t="s">
        <v>730</v>
      </c>
      <c r="P160" s="176" t="s">
        <v>730</v>
      </c>
      <c r="Q160" s="184" t="s">
        <v>730</v>
      </c>
      <c r="R160" s="155">
        <v>0</v>
      </c>
      <c r="S160" s="176">
        <v>0</v>
      </c>
      <c r="T160" s="182" t="e">
        <f>VLOOKUP(A160,#REF!,9,FALSE)</f>
        <v>#REF!</v>
      </c>
      <c r="U160" s="155" t="s">
        <v>632</v>
      </c>
      <c r="V160" s="155" t="s">
        <v>632</v>
      </c>
      <c r="W160" s="155">
        <v>0</v>
      </c>
      <c r="X160" s="155">
        <v>0</v>
      </c>
      <c r="Y160" s="183">
        <v>0</v>
      </c>
    </row>
    <row r="161" spans="1:25">
      <c r="A161" s="179">
        <v>222797069</v>
      </c>
      <c r="B161" t="s">
        <v>1125</v>
      </c>
      <c r="C161" t="s">
        <v>750</v>
      </c>
      <c r="D161" t="s">
        <v>989</v>
      </c>
      <c r="E161" t="s">
        <v>698</v>
      </c>
      <c r="F161" t="s">
        <v>2086</v>
      </c>
      <c r="G161" s="180" t="s">
        <v>1125</v>
      </c>
      <c r="H161" s="180" t="s">
        <v>2127</v>
      </c>
      <c r="I161" s="176" t="s">
        <v>1926</v>
      </c>
      <c r="J161" s="181">
        <v>43392</v>
      </c>
      <c r="K161" s="140">
        <v>47177</v>
      </c>
      <c r="L161" s="155">
        <v>0</v>
      </c>
      <c r="M161" s="155">
        <v>0</v>
      </c>
      <c r="N161" s="155">
        <v>0</v>
      </c>
      <c r="O161" s="155" t="s">
        <v>730</v>
      </c>
      <c r="P161" s="176" t="s">
        <v>730</v>
      </c>
      <c r="Q161" s="184" t="s">
        <v>730</v>
      </c>
      <c r="R161" s="155">
        <v>0</v>
      </c>
      <c r="S161" s="176">
        <v>0</v>
      </c>
      <c r="T161" s="182" t="e">
        <f>VLOOKUP(A161,#REF!,9,FALSE)</f>
        <v>#REF!</v>
      </c>
      <c r="U161" s="155" t="s">
        <v>632</v>
      </c>
      <c r="V161" s="155" t="s">
        <v>632</v>
      </c>
      <c r="W161" s="155">
        <v>0</v>
      </c>
      <c r="X161" s="155">
        <v>0</v>
      </c>
      <c r="Y161" s="183">
        <v>0</v>
      </c>
    </row>
    <row r="162" spans="1:25">
      <c r="A162" s="179">
        <v>222797070</v>
      </c>
      <c r="B162" t="s">
        <v>1127</v>
      </c>
      <c r="C162" t="s">
        <v>750</v>
      </c>
      <c r="D162" t="s">
        <v>989</v>
      </c>
      <c r="E162" t="s">
        <v>698</v>
      </c>
      <c r="F162" t="s">
        <v>2086</v>
      </c>
      <c r="G162" s="180" t="s">
        <v>1127</v>
      </c>
      <c r="H162" s="180" t="s">
        <v>2128</v>
      </c>
      <c r="I162" s="176" t="s">
        <v>1926</v>
      </c>
      <c r="J162" s="181">
        <v>43392</v>
      </c>
      <c r="K162" s="140">
        <v>47177</v>
      </c>
      <c r="L162" s="155">
        <v>0</v>
      </c>
      <c r="M162" s="155">
        <v>0</v>
      </c>
      <c r="N162" s="155">
        <v>0</v>
      </c>
      <c r="O162" s="155" t="s">
        <v>730</v>
      </c>
      <c r="P162" s="176" t="s">
        <v>730</v>
      </c>
      <c r="Q162" s="184" t="s">
        <v>730</v>
      </c>
      <c r="R162" s="155">
        <v>0</v>
      </c>
      <c r="S162" s="176">
        <v>0</v>
      </c>
      <c r="T162" s="182" t="e">
        <f>VLOOKUP(A162,#REF!,9,FALSE)</f>
        <v>#REF!</v>
      </c>
      <c r="U162" s="155" t="s">
        <v>632</v>
      </c>
      <c r="V162" s="155" t="s">
        <v>632</v>
      </c>
      <c r="W162" s="155">
        <v>0</v>
      </c>
      <c r="X162" s="155">
        <v>0</v>
      </c>
      <c r="Y162" s="183">
        <v>0</v>
      </c>
    </row>
    <row r="163" spans="1:25">
      <c r="A163" s="179">
        <v>222797071</v>
      </c>
      <c r="B163" t="s">
        <v>1129</v>
      </c>
      <c r="C163" t="s">
        <v>750</v>
      </c>
      <c r="D163" t="s">
        <v>989</v>
      </c>
      <c r="E163" t="s">
        <v>698</v>
      </c>
      <c r="F163" t="s">
        <v>2086</v>
      </c>
      <c r="G163" s="180" t="s">
        <v>1129</v>
      </c>
      <c r="H163" s="180" t="s">
        <v>2129</v>
      </c>
      <c r="I163" s="176" t="s">
        <v>1926</v>
      </c>
      <c r="J163" s="181">
        <v>43392</v>
      </c>
      <c r="K163" s="140">
        <v>47177</v>
      </c>
      <c r="L163" s="155">
        <v>0</v>
      </c>
      <c r="M163" s="155">
        <v>0</v>
      </c>
      <c r="N163" s="155">
        <v>0</v>
      </c>
      <c r="O163" s="155" t="s">
        <v>730</v>
      </c>
      <c r="P163" s="176" t="s">
        <v>730</v>
      </c>
      <c r="Q163" s="184" t="s">
        <v>730</v>
      </c>
      <c r="R163" s="155">
        <v>0</v>
      </c>
      <c r="S163" s="176">
        <v>0</v>
      </c>
      <c r="T163" s="182" t="e">
        <f>VLOOKUP(A163,#REF!,9,FALSE)</f>
        <v>#REF!</v>
      </c>
      <c r="U163" s="155" t="s">
        <v>632</v>
      </c>
      <c r="V163" s="155" t="s">
        <v>632</v>
      </c>
      <c r="W163" s="155">
        <v>0</v>
      </c>
      <c r="X163" s="155">
        <v>0</v>
      </c>
      <c r="Y163" s="183">
        <v>0</v>
      </c>
    </row>
    <row r="164" spans="1:25">
      <c r="A164" s="179">
        <v>222797072</v>
      </c>
      <c r="B164" t="s">
        <v>1131</v>
      </c>
      <c r="C164" t="s">
        <v>750</v>
      </c>
      <c r="D164" t="s">
        <v>989</v>
      </c>
      <c r="E164" t="s">
        <v>698</v>
      </c>
      <c r="F164" t="s">
        <v>2086</v>
      </c>
      <c r="G164" s="180" t="s">
        <v>1131</v>
      </c>
      <c r="H164" s="180" t="s">
        <v>2130</v>
      </c>
      <c r="I164" s="176" t="s">
        <v>1926</v>
      </c>
      <c r="J164" s="181">
        <v>43392</v>
      </c>
      <c r="K164" s="140">
        <v>47177</v>
      </c>
      <c r="L164" s="155">
        <v>0</v>
      </c>
      <c r="M164" s="155">
        <v>0</v>
      </c>
      <c r="N164" s="155">
        <v>0</v>
      </c>
      <c r="O164" s="155" t="s">
        <v>730</v>
      </c>
      <c r="P164" s="176" t="s">
        <v>730</v>
      </c>
      <c r="Q164" s="184" t="s">
        <v>730</v>
      </c>
      <c r="R164" s="155">
        <v>0</v>
      </c>
      <c r="S164" s="176">
        <v>0</v>
      </c>
      <c r="T164" s="182" t="e">
        <f>VLOOKUP(A164,#REF!,9,FALSE)</f>
        <v>#REF!</v>
      </c>
      <c r="U164" s="155" t="s">
        <v>632</v>
      </c>
      <c r="V164" s="155" t="s">
        <v>632</v>
      </c>
      <c r="W164" s="155">
        <v>0</v>
      </c>
      <c r="X164" s="155">
        <v>0</v>
      </c>
      <c r="Y164" s="183">
        <v>0</v>
      </c>
    </row>
    <row r="165" spans="1:25">
      <c r="A165" s="179">
        <v>222797073</v>
      </c>
      <c r="B165" t="s">
        <v>1133</v>
      </c>
      <c r="C165" t="s">
        <v>750</v>
      </c>
      <c r="D165" t="s">
        <v>989</v>
      </c>
      <c r="E165" t="s">
        <v>698</v>
      </c>
      <c r="F165" t="s">
        <v>2086</v>
      </c>
      <c r="G165" s="180" t="s">
        <v>1133</v>
      </c>
      <c r="H165" s="180" t="s">
        <v>2131</v>
      </c>
      <c r="I165" s="176" t="s">
        <v>1926</v>
      </c>
      <c r="J165" s="181">
        <v>43392</v>
      </c>
      <c r="K165" s="140">
        <v>47177</v>
      </c>
      <c r="L165" s="155">
        <v>0</v>
      </c>
      <c r="M165" s="155">
        <v>0</v>
      </c>
      <c r="N165" s="155">
        <v>0</v>
      </c>
      <c r="O165" s="155" t="s">
        <v>730</v>
      </c>
      <c r="P165" s="176" t="s">
        <v>730</v>
      </c>
      <c r="Q165" s="184" t="s">
        <v>730</v>
      </c>
      <c r="R165" s="155">
        <v>0</v>
      </c>
      <c r="S165" s="176">
        <v>0</v>
      </c>
      <c r="T165" s="182" t="e">
        <f>VLOOKUP(A165,#REF!,9,FALSE)</f>
        <v>#REF!</v>
      </c>
      <c r="U165" s="155" t="s">
        <v>632</v>
      </c>
      <c r="V165" s="155" t="s">
        <v>632</v>
      </c>
      <c r="W165" s="155">
        <v>0</v>
      </c>
      <c r="X165" s="155">
        <v>0</v>
      </c>
      <c r="Y165" s="183">
        <v>0</v>
      </c>
    </row>
    <row r="166" spans="1:25">
      <c r="A166" s="179">
        <v>222797074</v>
      </c>
      <c r="B166" t="s">
        <v>1135</v>
      </c>
      <c r="C166" t="s">
        <v>750</v>
      </c>
      <c r="D166" t="s">
        <v>989</v>
      </c>
      <c r="E166" t="s">
        <v>698</v>
      </c>
      <c r="F166" t="s">
        <v>2073</v>
      </c>
      <c r="G166" s="180" t="s">
        <v>1135</v>
      </c>
      <c r="H166" s="180" t="s">
        <v>2132</v>
      </c>
      <c r="I166" s="176" t="s">
        <v>1926</v>
      </c>
      <c r="J166" s="181">
        <v>43837</v>
      </c>
      <c r="K166" s="140">
        <v>47573</v>
      </c>
      <c r="L166" s="155">
        <v>0</v>
      </c>
      <c r="M166" s="155">
        <v>0</v>
      </c>
      <c r="N166" s="155">
        <v>0</v>
      </c>
      <c r="O166" s="155" t="s">
        <v>730</v>
      </c>
      <c r="P166" s="176" t="s">
        <v>730</v>
      </c>
      <c r="Q166" s="184" t="s">
        <v>730</v>
      </c>
      <c r="R166" s="155">
        <v>0</v>
      </c>
      <c r="S166" s="176">
        <v>0</v>
      </c>
      <c r="T166" s="182" t="e">
        <f>VLOOKUP(A166,#REF!,9,FALSE)</f>
        <v>#REF!</v>
      </c>
      <c r="U166" s="155" t="s">
        <v>632</v>
      </c>
      <c r="V166" s="155" t="s">
        <v>632</v>
      </c>
      <c r="W166" s="155">
        <v>0</v>
      </c>
      <c r="X166" s="155">
        <v>0</v>
      </c>
      <c r="Y166" s="183">
        <v>0</v>
      </c>
    </row>
    <row r="167" spans="1:25">
      <c r="A167" s="179">
        <v>222797075</v>
      </c>
      <c r="B167" t="s">
        <v>1137</v>
      </c>
      <c r="C167" t="s">
        <v>750</v>
      </c>
      <c r="D167" t="s">
        <v>989</v>
      </c>
      <c r="E167" t="s">
        <v>698</v>
      </c>
      <c r="F167" t="s">
        <v>2073</v>
      </c>
      <c r="G167" s="180" t="s">
        <v>1137</v>
      </c>
      <c r="H167" s="180" t="s">
        <v>2133</v>
      </c>
      <c r="I167" s="176" t="s">
        <v>1926</v>
      </c>
      <c r="J167" s="181">
        <v>43837</v>
      </c>
      <c r="K167" s="140">
        <v>47573</v>
      </c>
      <c r="L167" s="155">
        <v>0</v>
      </c>
      <c r="M167" s="155">
        <v>0</v>
      </c>
      <c r="N167" s="155">
        <v>0</v>
      </c>
      <c r="O167" s="155" t="s">
        <v>730</v>
      </c>
      <c r="P167" s="176" t="s">
        <v>730</v>
      </c>
      <c r="Q167" s="184" t="s">
        <v>730</v>
      </c>
      <c r="R167" s="155">
        <v>0</v>
      </c>
      <c r="S167" s="176">
        <v>0</v>
      </c>
      <c r="T167" s="182" t="e">
        <f>VLOOKUP(A167,#REF!,9,FALSE)</f>
        <v>#REF!</v>
      </c>
      <c r="U167" s="155" t="s">
        <v>632</v>
      </c>
      <c r="V167" s="155" t="s">
        <v>632</v>
      </c>
      <c r="W167" s="155">
        <v>0</v>
      </c>
      <c r="X167" s="155">
        <v>0</v>
      </c>
      <c r="Y167" s="183">
        <v>0</v>
      </c>
    </row>
    <row r="168" spans="1:25">
      <c r="A168" s="179">
        <v>222797076</v>
      </c>
      <c r="B168" t="s">
        <v>1139</v>
      </c>
      <c r="C168" t="s">
        <v>750</v>
      </c>
      <c r="D168" t="s">
        <v>989</v>
      </c>
      <c r="E168" t="s">
        <v>698</v>
      </c>
      <c r="F168" t="s">
        <v>2073</v>
      </c>
      <c r="G168" s="180" t="s">
        <v>1139</v>
      </c>
      <c r="H168" s="180" t="s">
        <v>2134</v>
      </c>
      <c r="I168" s="176" t="s">
        <v>1926</v>
      </c>
      <c r="J168" s="181">
        <v>43837</v>
      </c>
      <c r="K168" s="140">
        <v>47573</v>
      </c>
      <c r="L168" s="155">
        <v>0</v>
      </c>
      <c r="M168" s="155">
        <v>0</v>
      </c>
      <c r="N168" s="155">
        <v>0</v>
      </c>
      <c r="O168" s="155" t="s">
        <v>730</v>
      </c>
      <c r="P168" s="176" t="s">
        <v>730</v>
      </c>
      <c r="Q168" s="184" t="s">
        <v>730</v>
      </c>
      <c r="R168" s="155">
        <v>0</v>
      </c>
      <c r="S168" s="176">
        <v>0</v>
      </c>
      <c r="T168" s="182" t="e">
        <f>VLOOKUP(A168,#REF!,9,FALSE)</f>
        <v>#REF!</v>
      </c>
      <c r="U168" s="155" t="s">
        <v>632</v>
      </c>
      <c r="V168" s="155" t="s">
        <v>632</v>
      </c>
      <c r="W168" s="155">
        <v>0</v>
      </c>
      <c r="X168" s="155">
        <v>0</v>
      </c>
      <c r="Y168" s="183">
        <v>0</v>
      </c>
    </row>
    <row r="169" spans="1:25">
      <c r="A169" s="179">
        <v>222797077</v>
      </c>
      <c r="B169" t="s">
        <v>1141</v>
      </c>
      <c r="C169" t="s">
        <v>750</v>
      </c>
      <c r="D169" t="s">
        <v>989</v>
      </c>
      <c r="E169" t="s">
        <v>698</v>
      </c>
      <c r="F169" t="s">
        <v>2073</v>
      </c>
      <c r="G169" s="180" t="s">
        <v>1141</v>
      </c>
      <c r="H169" s="180" t="s">
        <v>2135</v>
      </c>
      <c r="I169" s="176" t="s">
        <v>1926</v>
      </c>
      <c r="J169" s="181">
        <v>43837</v>
      </c>
      <c r="K169" s="140">
        <v>47573</v>
      </c>
      <c r="L169" s="155">
        <v>0</v>
      </c>
      <c r="M169" s="155">
        <v>0</v>
      </c>
      <c r="N169" s="155">
        <v>0</v>
      </c>
      <c r="O169" s="155" t="s">
        <v>730</v>
      </c>
      <c r="P169" s="176" t="s">
        <v>730</v>
      </c>
      <c r="Q169" s="184" t="s">
        <v>730</v>
      </c>
      <c r="R169" s="155">
        <v>0</v>
      </c>
      <c r="S169" s="176">
        <v>0</v>
      </c>
      <c r="T169" s="182" t="e">
        <f>VLOOKUP(A169,#REF!,9,FALSE)</f>
        <v>#REF!</v>
      </c>
      <c r="U169" s="155" t="s">
        <v>632</v>
      </c>
      <c r="V169" s="155" t="s">
        <v>632</v>
      </c>
      <c r="W169" s="155">
        <v>0</v>
      </c>
      <c r="X169" s="155">
        <v>0</v>
      </c>
      <c r="Y169" s="183">
        <v>0</v>
      </c>
    </row>
    <row r="170" spans="1:25">
      <c r="A170" s="179">
        <v>222797078</v>
      </c>
      <c r="B170" t="s">
        <v>1143</v>
      </c>
      <c r="C170" t="s">
        <v>750</v>
      </c>
      <c r="D170" t="s">
        <v>989</v>
      </c>
      <c r="E170" t="s">
        <v>698</v>
      </c>
      <c r="F170" t="s">
        <v>2073</v>
      </c>
      <c r="G170" s="180" t="s">
        <v>1143</v>
      </c>
      <c r="H170" s="180" t="s">
        <v>2136</v>
      </c>
      <c r="I170" s="176" t="s">
        <v>1926</v>
      </c>
      <c r="J170" s="181">
        <v>43837</v>
      </c>
      <c r="K170" s="140">
        <v>47573</v>
      </c>
      <c r="L170" s="155">
        <v>0</v>
      </c>
      <c r="M170" s="155">
        <v>0</v>
      </c>
      <c r="N170" s="155">
        <v>0</v>
      </c>
      <c r="O170" s="155" t="s">
        <v>730</v>
      </c>
      <c r="P170" s="176" t="s">
        <v>730</v>
      </c>
      <c r="Q170" s="184" t="s">
        <v>730</v>
      </c>
      <c r="R170" s="155">
        <v>0</v>
      </c>
      <c r="S170" s="176">
        <v>0</v>
      </c>
      <c r="T170" s="182" t="e">
        <f>VLOOKUP(A170,#REF!,9,FALSE)</f>
        <v>#REF!</v>
      </c>
      <c r="U170" s="155" t="s">
        <v>632</v>
      </c>
      <c r="V170" s="155" t="s">
        <v>632</v>
      </c>
      <c r="W170" s="155">
        <v>0</v>
      </c>
      <c r="X170" s="155">
        <v>0</v>
      </c>
      <c r="Y170" s="183">
        <v>0</v>
      </c>
    </row>
    <row r="171" spans="1:25">
      <c r="A171" s="179">
        <v>222797079</v>
      </c>
      <c r="B171" t="s">
        <v>1145</v>
      </c>
      <c r="C171" t="s">
        <v>750</v>
      </c>
      <c r="D171" t="s">
        <v>989</v>
      </c>
      <c r="E171" t="s">
        <v>698</v>
      </c>
      <c r="F171" t="s">
        <v>2069</v>
      </c>
      <c r="G171" s="180" t="s">
        <v>1145</v>
      </c>
      <c r="H171" s="180" t="s">
        <v>2137</v>
      </c>
      <c r="I171" s="176" t="s">
        <v>1926</v>
      </c>
      <c r="J171" s="181">
        <v>43531</v>
      </c>
      <c r="K171" s="140">
        <v>49009</v>
      </c>
      <c r="L171" s="155">
        <v>0</v>
      </c>
      <c r="M171" s="155">
        <v>0</v>
      </c>
      <c r="N171" s="155">
        <v>0</v>
      </c>
      <c r="O171" s="155" t="s">
        <v>730</v>
      </c>
      <c r="P171" s="176" t="s">
        <v>730</v>
      </c>
      <c r="Q171" s="184" t="s">
        <v>730</v>
      </c>
      <c r="R171" s="155">
        <v>0</v>
      </c>
      <c r="S171" s="176">
        <v>0</v>
      </c>
      <c r="T171" s="182" t="e">
        <f>VLOOKUP(A171,#REF!,9,FALSE)</f>
        <v>#REF!</v>
      </c>
      <c r="U171" s="155" t="s">
        <v>632</v>
      </c>
      <c r="V171" s="155" t="s">
        <v>632</v>
      </c>
      <c r="W171" s="155">
        <v>0</v>
      </c>
      <c r="X171" s="155">
        <v>0</v>
      </c>
      <c r="Y171" s="183">
        <v>0</v>
      </c>
    </row>
    <row r="172" spans="1:25">
      <c r="A172" s="179">
        <v>222797080</v>
      </c>
      <c r="B172" t="s">
        <v>1147</v>
      </c>
      <c r="C172" t="s">
        <v>750</v>
      </c>
      <c r="D172" t="s">
        <v>989</v>
      </c>
      <c r="E172" t="s">
        <v>698</v>
      </c>
      <c r="F172" t="s">
        <v>2069</v>
      </c>
      <c r="G172" s="180" t="s">
        <v>1147</v>
      </c>
      <c r="H172" s="180" t="s">
        <v>2138</v>
      </c>
      <c r="I172" s="176" t="s">
        <v>1926</v>
      </c>
      <c r="J172" s="181">
        <v>43531</v>
      </c>
      <c r="K172" s="140">
        <v>45357</v>
      </c>
      <c r="L172" s="155">
        <v>0</v>
      </c>
      <c r="M172" s="155">
        <v>0</v>
      </c>
      <c r="N172" s="155">
        <v>0</v>
      </c>
      <c r="O172" s="155" t="s">
        <v>730</v>
      </c>
      <c r="P172" s="176" t="s">
        <v>730</v>
      </c>
      <c r="Q172" s="184" t="s">
        <v>730</v>
      </c>
      <c r="R172" s="155">
        <v>0</v>
      </c>
      <c r="S172" s="176">
        <v>0</v>
      </c>
      <c r="T172" s="182" t="e">
        <f>VLOOKUP(A172,#REF!,9,FALSE)</f>
        <v>#REF!</v>
      </c>
      <c r="U172" s="155" t="s">
        <v>632</v>
      </c>
      <c r="V172" s="155" t="s">
        <v>632</v>
      </c>
      <c r="W172" s="155">
        <v>0</v>
      </c>
      <c r="X172" s="155">
        <v>0</v>
      </c>
      <c r="Y172" s="183">
        <v>0</v>
      </c>
    </row>
    <row r="173" spans="1:25">
      <c r="A173" s="179">
        <v>222797081</v>
      </c>
      <c r="B173" t="s">
        <v>1149</v>
      </c>
      <c r="C173" t="s">
        <v>750</v>
      </c>
      <c r="D173" t="s">
        <v>989</v>
      </c>
      <c r="E173" t="s">
        <v>698</v>
      </c>
      <c r="F173" t="s">
        <v>2069</v>
      </c>
      <c r="G173" s="180" t="s">
        <v>1149</v>
      </c>
      <c r="H173" s="180" t="s">
        <v>2139</v>
      </c>
      <c r="I173" s="176" t="s">
        <v>1926</v>
      </c>
      <c r="J173" s="181">
        <v>43531</v>
      </c>
      <c r="K173" s="140">
        <v>49009</v>
      </c>
      <c r="L173" s="155">
        <v>0</v>
      </c>
      <c r="M173" s="155">
        <v>0</v>
      </c>
      <c r="N173" s="155">
        <v>0</v>
      </c>
      <c r="O173" s="155" t="s">
        <v>730</v>
      </c>
      <c r="P173" s="176" t="s">
        <v>730</v>
      </c>
      <c r="Q173" s="184" t="s">
        <v>730</v>
      </c>
      <c r="R173" s="155">
        <v>0</v>
      </c>
      <c r="S173" s="176">
        <v>0</v>
      </c>
      <c r="T173" s="182" t="e">
        <f>VLOOKUP(A173,#REF!,9,FALSE)</f>
        <v>#REF!</v>
      </c>
      <c r="U173" s="155" t="s">
        <v>632</v>
      </c>
      <c r="V173" s="155" t="s">
        <v>632</v>
      </c>
      <c r="W173" s="155">
        <v>0</v>
      </c>
      <c r="X173" s="155">
        <v>0</v>
      </c>
      <c r="Y173" s="183">
        <v>0</v>
      </c>
    </row>
    <row r="174" spans="1:25">
      <c r="A174" s="179">
        <v>222797082</v>
      </c>
      <c r="B174" t="s">
        <v>1151</v>
      </c>
      <c r="C174" t="s">
        <v>750</v>
      </c>
      <c r="D174" t="s">
        <v>989</v>
      </c>
      <c r="E174" t="s">
        <v>698</v>
      </c>
      <c r="F174" t="s">
        <v>2069</v>
      </c>
      <c r="G174" s="180" t="s">
        <v>1151</v>
      </c>
      <c r="H174" s="180" t="s">
        <v>2140</v>
      </c>
      <c r="I174" s="176" t="s">
        <v>1926</v>
      </c>
      <c r="J174" s="181">
        <v>43531</v>
      </c>
      <c r="K174" s="140">
        <v>48981</v>
      </c>
      <c r="L174" s="155">
        <v>0</v>
      </c>
      <c r="M174" s="155">
        <v>0</v>
      </c>
      <c r="N174" s="155">
        <v>0</v>
      </c>
      <c r="O174" s="155" t="s">
        <v>730</v>
      </c>
      <c r="P174" s="176" t="s">
        <v>730</v>
      </c>
      <c r="Q174" s="184" t="s">
        <v>730</v>
      </c>
      <c r="R174" s="155">
        <v>0</v>
      </c>
      <c r="S174" s="176">
        <v>0</v>
      </c>
      <c r="T174" s="182" t="e">
        <f>VLOOKUP(A174,#REF!,9,FALSE)</f>
        <v>#REF!</v>
      </c>
      <c r="U174" s="155" t="s">
        <v>632</v>
      </c>
      <c r="V174" s="155" t="s">
        <v>632</v>
      </c>
      <c r="W174" s="155">
        <v>0</v>
      </c>
      <c r="X174" s="155">
        <v>0</v>
      </c>
      <c r="Y174" s="183">
        <v>0</v>
      </c>
    </row>
    <row r="175" spans="1:25">
      <c r="A175" s="179">
        <v>222797083</v>
      </c>
      <c r="B175" t="s">
        <v>1153</v>
      </c>
      <c r="C175" t="s">
        <v>750</v>
      </c>
      <c r="D175" t="s">
        <v>989</v>
      </c>
      <c r="E175" t="s">
        <v>698</v>
      </c>
      <c r="F175" t="s">
        <v>2073</v>
      </c>
      <c r="G175" s="180" t="s">
        <v>1153</v>
      </c>
      <c r="H175" s="180" t="s">
        <v>2141</v>
      </c>
      <c r="I175" s="176" t="s">
        <v>1926</v>
      </c>
      <c r="J175" s="181">
        <v>43837</v>
      </c>
      <c r="K175" s="140">
        <v>47573</v>
      </c>
      <c r="L175" s="155">
        <v>0</v>
      </c>
      <c r="M175" s="155">
        <v>0</v>
      </c>
      <c r="N175" s="155">
        <v>0</v>
      </c>
      <c r="O175" s="155" t="s">
        <v>730</v>
      </c>
      <c r="P175" s="176" t="s">
        <v>730</v>
      </c>
      <c r="Q175" s="184" t="s">
        <v>730</v>
      </c>
      <c r="R175" s="155">
        <v>0</v>
      </c>
      <c r="S175" s="176">
        <v>0</v>
      </c>
      <c r="T175" s="182" t="e">
        <f>VLOOKUP(A175,#REF!,9,FALSE)</f>
        <v>#REF!</v>
      </c>
      <c r="U175" s="155" t="s">
        <v>632</v>
      </c>
      <c r="V175" s="155" t="s">
        <v>632</v>
      </c>
      <c r="W175" s="155">
        <v>0</v>
      </c>
      <c r="X175" s="155">
        <v>0</v>
      </c>
      <c r="Y175" s="183">
        <v>0</v>
      </c>
    </row>
    <row r="176" spans="1:25">
      <c r="A176" s="179">
        <v>222797084</v>
      </c>
      <c r="B176" t="s">
        <v>1155</v>
      </c>
      <c r="C176" t="s">
        <v>750</v>
      </c>
      <c r="D176" t="s">
        <v>989</v>
      </c>
      <c r="E176" t="s">
        <v>698</v>
      </c>
      <c r="F176" t="s">
        <v>2073</v>
      </c>
      <c r="G176" s="180" t="s">
        <v>1155</v>
      </c>
      <c r="H176" s="180" t="s">
        <v>2142</v>
      </c>
      <c r="I176" s="176" t="s">
        <v>1926</v>
      </c>
      <c r="J176" s="181">
        <v>43837</v>
      </c>
      <c r="K176" s="140">
        <v>47573</v>
      </c>
      <c r="L176" s="155">
        <v>0</v>
      </c>
      <c r="M176" s="155">
        <v>0</v>
      </c>
      <c r="N176" s="155">
        <v>0</v>
      </c>
      <c r="O176" s="155" t="s">
        <v>730</v>
      </c>
      <c r="P176" s="176" t="s">
        <v>730</v>
      </c>
      <c r="Q176" s="184" t="s">
        <v>730</v>
      </c>
      <c r="R176" s="155">
        <v>0</v>
      </c>
      <c r="S176" s="176">
        <v>0</v>
      </c>
      <c r="T176" s="182" t="e">
        <f>VLOOKUP(A176,#REF!,9,FALSE)</f>
        <v>#REF!</v>
      </c>
      <c r="U176" s="155" t="s">
        <v>632</v>
      </c>
      <c r="V176" s="155" t="s">
        <v>632</v>
      </c>
      <c r="W176" s="155">
        <v>0</v>
      </c>
      <c r="X176" s="155">
        <v>0</v>
      </c>
      <c r="Y176" s="183">
        <v>0</v>
      </c>
    </row>
    <row r="177" spans="1:25">
      <c r="A177" s="179">
        <v>222797085</v>
      </c>
      <c r="B177" t="s">
        <v>1157</v>
      </c>
      <c r="C177" t="s">
        <v>750</v>
      </c>
      <c r="D177" t="s">
        <v>989</v>
      </c>
      <c r="E177" t="s">
        <v>698</v>
      </c>
      <c r="F177" t="s">
        <v>2073</v>
      </c>
      <c r="G177" s="180" t="s">
        <v>1157</v>
      </c>
      <c r="H177" s="180" t="s">
        <v>2143</v>
      </c>
      <c r="I177" s="176" t="s">
        <v>1926</v>
      </c>
      <c r="J177" s="181">
        <v>43837</v>
      </c>
      <c r="K177" s="140">
        <v>47573</v>
      </c>
      <c r="L177" s="155">
        <v>0</v>
      </c>
      <c r="M177" s="155">
        <v>0</v>
      </c>
      <c r="N177" s="155">
        <v>0</v>
      </c>
      <c r="O177" s="155" t="s">
        <v>730</v>
      </c>
      <c r="P177" s="176" t="s">
        <v>730</v>
      </c>
      <c r="Q177" s="184" t="s">
        <v>730</v>
      </c>
      <c r="R177" s="155">
        <v>0</v>
      </c>
      <c r="S177" s="176">
        <v>0</v>
      </c>
      <c r="T177" s="182" t="e">
        <f>VLOOKUP(A177,#REF!,9,FALSE)</f>
        <v>#REF!</v>
      </c>
      <c r="U177" s="155" t="s">
        <v>632</v>
      </c>
      <c r="V177" s="155" t="s">
        <v>632</v>
      </c>
      <c r="W177" s="155">
        <v>0</v>
      </c>
      <c r="X177" s="155">
        <v>0</v>
      </c>
      <c r="Y177" s="183">
        <v>0</v>
      </c>
    </row>
    <row r="178" spans="1:25">
      <c r="A178" s="179">
        <v>222797086</v>
      </c>
      <c r="B178" t="s">
        <v>1159</v>
      </c>
      <c r="C178" t="s">
        <v>750</v>
      </c>
      <c r="D178" t="s">
        <v>989</v>
      </c>
      <c r="E178" t="s">
        <v>698</v>
      </c>
      <c r="F178" t="s">
        <v>2073</v>
      </c>
      <c r="G178" s="180" t="s">
        <v>1159</v>
      </c>
      <c r="H178" s="180" t="s">
        <v>2144</v>
      </c>
      <c r="I178" s="176" t="s">
        <v>1926</v>
      </c>
      <c r="J178" s="181">
        <v>43837</v>
      </c>
      <c r="K178" s="140">
        <v>47573</v>
      </c>
      <c r="L178" s="155">
        <v>0</v>
      </c>
      <c r="M178" s="155">
        <v>0</v>
      </c>
      <c r="N178" s="155">
        <v>0</v>
      </c>
      <c r="O178" s="155" t="s">
        <v>730</v>
      </c>
      <c r="P178" s="176" t="s">
        <v>730</v>
      </c>
      <c r="Q178" s="184" t="s">
        <v>730</v>
      </c>
      <c r="R178" s="155">
        <v>0</v>
      </c>
      <c r="S178" s="176">
        <v>0</v>
      </c>
      <c r="T178" s="182" t="e">
        <f>VLOOKUP(A178,#REF!,9,FALSE)</f>
        <v>#REF!</v>
      </c>
      <c r="U178" s="155" t="s">
        <v>632</v>
      </c>
      <c r="V178" s="155" t="s">
        <v>632</v>
      </c>
      <c r="W178" s="155">
        <v>0</v>
      </c>
      <c r="X178" s="155">
        <v>0</v>
      </c>
      <c r="Y178" s="183">
        <v>0</v>
      </c>
    </row>
    <row r="179" spans="1:25">
      <c r="A179" s="179">
        <v>222797087</v>
      </c>
      <c r="B179" t="s">
        <v>1161</v>
      </c>
      <c r="C179" t="s">
        <v>750</v>
      </c>
      <c r="D179" t="s">
        <v>989</v>
      </c>
      <c r="E179" t="s">
        <v>698</v>
      </c>
      <c r="F179" t="s">
        <v>2073</v>
      </c>
      <c r="G179" s="180" t="s">
        <v>1161</v>
      </c>
      <c r="H179" s="180" t="s">
        <v>2145</v>
      </c>
      <c r="I179" s="176" t="s">
        <v>1926</v>
      </c>
      <c r="J179" s="181">
        <v>43837</v>
      </c>
      <c r="K179" s="140">
        <v>47573</v>
      </c>
      <c r="L179" s="155">
        <v>0</v>
      </c>
      <c r="M179" s="155">
        <v>0</v>
      </c>
      <c r="N179" s="155">
        <v>0</v>
      </c>
      <c r="O179" s="155" t="s">
        <v>730</v>
      </c>
      <c r="P179" s="176" t="s">
        <v>730</v>
      </c>
      <c r="Q179" s="184" t="s">
        <v>730</v>
      </c>
      <c r="R179" s="155">
        <v>0</v>
      </c>
      <c r="S179" s="176">
        <v>0</v>
      </c>
      <c r="T179" s="182" t="e">
        <f>VLOOKUP(A179,#REF!,9,FALSE)</f>
        <v>#REF!</v>
      </c>
      <c r="U179" s="155" t="s">
        <v>632</v>
      </c>
      <c r="V179" s="155" t="s">
        <v>632</v>
      </c>
      <c r="W179" s="155">
        <v>0</v>
      </c>
      <c r="X179" s="155">
        <v>0</v>
      </c>
      <c r="Y179" s="183">
        <v>0</v>
      </c>
    </row>
    <row r="180" spans="1:25">
      <c r="A180" s="179">
        <v>222797088</v>
      </c>
      <c r="B180" t="s">
        <v>1163</v>
      </c>
      <c r="C180" t="s">
        <v>750</v>
      </c>
      <c r="D180" t="s">
        <v>989</v>
      </c>
      <c r="E180" t="s">
        <v>698</v>
      </c>
      <c r="F180" t="s">
        <v>2073</v>
      </c>
      <c r="G180" s="180" t="s">
        <v>1163</v>
      </c>
      <c r="H180" s="180" t="s">
        <v>2146</v>
      </c>
      <c r="I180" s="176" t="s">
        <v>1926</v>
      </c>
      <c r="J180" s="181">
        <v>43837</v>
      </c>
      <c r="K180" s="140">
        <v>47573</v>
      </c>
      <c r="L180" s="155">
        <v>0</v>
      </c>
      <c r="M180" s="155">
        <v>0</v>
      </c>
      <c r="N180" s="155">
        <v>0</v>
      </c>
      <c r="O180" s="155" t="s">
        <v>730</v>
      </c>
      <c r="P180" s="176" t="s">
        <v>730</v>
      </c>
      <c r="Q180" s="184" t="s">
        <v>730</v>
      </c>
      <c r="R180" s="155">
        <v>0</v>
      </c>
      <c r="S180" s="176">
        <v>0</v>
      </c>
      <c r="T180" s="182" t="e">
        <f>VLOOKUP(A180,#REF!,9,FALSE)</f>
        <v>#REF!</v>
      </c>
      <c r="U180" s="155" t="s">
        <v>632</v>
      </c>
      <c r="V180" s="155" t="s">
        <v>632</v>
      </c>
      <c r="W180" s="155">
        <v>0</v>
      </c>
      <c r="X180" s="155">
        <v>0</v>
      </c>
      <c r="Y180" s="183">
        <v>0</v>
      </c>
    </row>
    <row r="181" spans="1:25">
      <c r="A181" s="179">
        <v>222797089</v>
      </c>
      <c r="B181" t="s">
        <v>1165</v>
      </c>
      <c r="C181" t="s">
        <v>750</v>
      </c>
      <c r="D181" t="s">
        <v>989</v>
      </c>
      <c r="E181" t="s">
        <v>698</v>
      </c>
      <c r="F181" t="s">
        <v>2069</v>
      </c>
      <c r="G181" s="180" t="s">
        <v>1165</v>
      </c>
      <c r="H181" s="180" t="s">
        <v>2147</v>
      </c>
      <c r="I181" s="176" t="s">
        <v>1926</v>
      </c>
      <c r="J181" s="181">
        <v>43531</v>
      </c>
      <c r="K181" s="140">
        <v>49009</v>
      </c>
      <c r="L181" s="155">
        <v>0</v>
      </c>
      <c r="M181" s="155">
        <v>0</v>
      </c>
      <c r="N181" s="155">
        <v>0</v>
      </c>
      <c r="O181" s="155" t="s">
        <v>730</v>
      </c>
      <c r="P181" s="176" t="s">
        <v>730</v>
      </c>
      <c r="Q181" s="184" t="s">
        <v>730</v>
      </c>
      <c r="R181" s="155">
        <v>0</v>
      </c>
      <c r="S181" s="176">
        <v>0</v>
      </c>
      <c r="T181" s="182" t="e">
        <f>VLOOKUP(A181,#REF!,9,FALSE)</f>
        <v>#REF!</v>
      </c>
      <c r="U181" s="155" t="s">
        <v>632</v>
      </c>
      <c r="V181" s="155" t="s">
        <v>632</v>
      </c>
      <c r="W181" s="155">
        <v>0</v>
      </c>
      <c r="X181" s="155">
        <v>0</v>
      </c>
      <c r="Y181" s="183">
        <v>0</v>
      </c>
    </row>
    <row r="182" spans="1:25">
      <c r="A182" s="179">
        <v>222797090</v>
      </c>
      <c r="B182" t="s">
        <v>1167</v>
      </c>
      <c r="C182" t="s">
        <v>750</v>
      </c>
      <c r="D182" t="s">
        <v>989</v>
      </c>
      <c r="E182" t="s">
        <v>698</v>
      </c>
      <c r="F182" t="s">
        <v>2069</v>
      </c>
      <c r="G182" s="180" t="s">
        <v>1167</v>
      </c>
      <c r="H182" s="180" t="s">
        <v>2148</v>
      </c>
      <c r="I182" s="176" t="s">
        <v>1926</v>
      </c>
      <c r="J182" s="181">
        <v>43531</v>
      </c>
      <c r="K182" s="140">
        <v>49009</v>
      </c>
      <c r="L182" s="155">
        <v>0</v>
      </c>
      <c r="M182" s="155">
        <v>0</v>
      </c>
      <c r="N182" s="155">
        <v>0</v>
      </c>
      <c r="O182" s="155" t="s">
        <v>730</v>
      </c>
      <c r="P182" s="176" t="s">
        <v>730</v>
      </c>
      <c r="Q182" s="184" t="s">
        <v>730</v>
      </c>
      <c r="R182" s="155">
        <v>0</v>
      </c>
      <c r="S182" s="176">
        <v>0</v>
      </c>
      <c r="T182" s="182" t="e">
        <f>VLOOKUP(A182,#REF!,9,FALSE)</f>
        <v>#REF!</v>
      </c>
      <c r="U182" s="155" t="s">
        <v>632</v>
      </c>
      <c r="V182" s="155" t="s">
        <v>632</v>
      </c>
      <c r="W182" s="155">
        <v>0</v>
      </c>
      <c r="X182" s="155">
        <v>0</v>
      </c>
      <c r="Y182" s="183">
        <v>0</v>
      </c>
    </row>
    <row r="183" spans="1:25">
      <c r="A183" s="179">
        <v>222797091</v>
      </c>
      <c r="B183" t="s">
        <v>1169</v>
      </c>
      <c r="C183" t="s">
        <v>750</v>
      </c>
      <c r="D183" t="s">
        <v>989</v>
      </c>
      <c r="E183" t="s">
        <v>698</v>
      </c>
      <c r="F183" t="s">
        <v>2069</v>
      </c>
      <c r="G183" s="180" t="s">
        <v>1169</v>
      </c>
      <c r="H183" s="180" t="s">
        <v>2149</v>
      </c>
      <c r="I183" s="176" t="s">
        <v>1926</v>
      </c>
      <c r="J183" s="181">
        <v>43531</v>
      </c>
      <c r="K183" s="140">
        <v>49009</v>
      </c>
      <c r="L183" s="155">
        <v>0</v>
      </c>
      <c r="M183" s="155">
        <v>0</v>
      </c>
      <c r="N183" s="155">
        <v>0</v>
      </c>
      <c r="O183" s="155" t="s">
        <v>730</v>
      </c>
      <c r="P183" s="176" t="s">
        <v>730</v>
      </c>
      <c r="Q183" s="184" t="s">
        <v>730</v>
      </c>
      <c r="R183" s="155">
        <v>0</v>
      </c>
      <c r="S183" s="176">
        <v>0</v>
      </c>
      <c r="T183" s="182" t="e">
        <f>VLOOKUP(A183,#REF!,9,FALSE)</f>
        <v>#REF!</v>
      </c>
      <c r="U183" s="155" t="s">
        <v>632</v>
      </c>
      <c r="V183" s="155" t="s">
        <v>632</v>
      </c>
      <c r="W183" s="155">
        <v>0</v>
      </c>
      <c r="X183" s="155">
        <v>0</v>
      </c>
      <c r="Y183" s="183">
        <v>0</v>
      </c>
    </row>
    <row r="184" spans="1:25">
      <c r="A184" s="179">
        <v>222797092</v>
      </c>
      <c r="B184" t="s">
        <v>1171</v>
      </c>
      <c r="C184" t="s">
        <v>750</v>
      </c>
      <c r="D184" t="s">
        <v>989</v>
      </c>
      <c r="E184" t="s">
        <v>698</v>
      </c>
      <c r="F184" t="s">
        <v>2069</v>
      </c>
      <c r="G184" s="180" t="s">
        <v>1171</v>
      </c>
      <c r="H184" s="180" t="s">
        <v>2150</v>
      </c>
      <c r="I184" s="176" t="s">
        <v>1926</v>
      </c>
      <c r="J184" s="181">
        <v>43531</v>
      </c>
      <c r="K184" s="140">
        <v>49009</v>
      </c>
      <c r="L184" s="155">
        <v>0</v>
      </c>
      <c r="M184" s="155">
        <v>0</v>
      </c>
      <c r="N184" s="155">
        <v>0</v>
      </c>
      <c r="O184" s="155" t="s">
        <v>730</v>
      </c>
      <c r="P184" s="176" t="s">
        <v>730</v>
      </c>
      <c r="Q184" s="184" t="s">
        <v>730</v>
      </c>
      <c r="R184" s="155">
        <v>0</v>
      </c>
      <c r="S184" s="176">
        <v>0</v>
      </c>
      <c r="T184" s="182" t="e">
        <f>VLOOKUP(A184,#REF!,9,FALSE)</f>
        <v>#REF!</v>
      </c>
      <c r="U184" s="155" t="s">
        <v>632</v>
      </c>
      <c r="V184" s="155" t="s">
        <v>632</v>
      </c>
      <c r="W184" s="155">
        <v>0</v>
      </c>
      <c r="X184" s="155">
        <v>0</v>
      </c>
      <c r="Y184" s="183">
        <v>0</v>
      </c>
    </row>
    <row r="185" spans="1:25">
      <c r="A185" s="179">
        <v>222797093</v>
      </c>
      <c r="B185" t="s">
        <v>1173</v>
      </c>
      <c r="C185" t="s">
        <v>750</v>
      </c>
      <c r="D185" t="s">
        <v>989</v>
      </c>
      <c r="E185" t="s">
        <v>698</v>
      </c>
      <c r="F185" t="s">
        <v>2069</v>
      </c>
      <c r="G185" s="180" t="s">
        <v>1173</v>
      </c>
      <c r="H185" s="180" t="s">
        <v>2151</v>
      </c>
      <c r="I185" s="176" t="s">
        <v>1926</v>
      </c>
      <c r="J185" s="181">
        <v>43531</v>
      </c>
      <c r="K185" s="140">
        <v>49009</v>
      </c>
      <c r="L185" s="155">
        <v>0</v>
      </c>
      <c r="M185" s="155">
        <v>0</v>
      </c>
      <c r="N185" s="155">
        <v>0</v>
      </c>
      <c r="O185" s="155" t="s">
        <v>730</v>
      </c>
      <c r="P185" s="176" t="s">
        <v>730</v>
      </c>
      <c r="Q185" s="184" t="s">
        <v>730</v>
      </c>
      <c r="R185" s="155">
        <v>0</v>
      </c>
      <c r="S185" s="176">
        <v>0</v>
      </c>
      <c r="T185" s="182" t="e">
        <f>VLOOKUP(A185,#REF!,9,FALSE)</f>
        <v>#REF!</v>
      </c>
      <c r="U185" s="155" t="s">
        <v>632</v>
      </c>
      <c r="V185" s="155" t="s">
        <v>632</v>
      </c>
      <c r="W185" s="155">
        <v>0</v>
      </c>
      <c r="X185" s="155">
        <v>0</v>
      </c>
      <c r="Y185" s="183">
        <v>0</v>
      </c>
    </row>
    <row r="186" spans="1:25">
      <c r="A186" s="179">
        <v>222797094</v>
      </c>
      <c r="B186" t="s">
        <v>1175</v>
      </c>
      <c r="C186" t="s">
        <v>750</v>
      </c>
      <c r="D186" t="s">
        <v>989</v>
      </c>
      <c r="E186" t="s">
        <v>698</v>
      </c>
      <c r="F186" t="s">
        <v>2069</v>
      </c>
      <c r="G186" s="180" t="s">
        <v>1175</v>
      </c>
      <c r="H186" s="180" t="s">
        <v>2152</v>
      </c>
      <c r="I186" s="176" t="s">
        <v>1926</v>
      </c>
      <c r="J186" s="181">
        <v>43531</v>
      </c>
      <c r="K186" s="140">
        <v>49009</v>
      </c>
      <c r="L186" s="155">
        <v>0</v>
      </c>
      <c r="M186" s="155">
        <v>0</v>
      </c>
      <c r="N186" s="155">
        <v>0</v>
      </c>
      <c r="O186" s="155" t="s">
        <v>730</v>
      </c>
      <c r="P186" s="176" t="s">
        <v>730</v>
      </c>
      <c r="Q186" s="184" t="s">
        <v>730</v>
      </c>
      <c r="R186" s="155">
        <v>0</v>
      </c>
      <c r="S186" s="176">
        <v>0</v>
      </c>
      <c r="T186" s="182" t="e">
        <f>VLOOKUP(A186,#REF!,9,FALSE)</f>
        <v>#REF!</v>
      </c>
      <c r="U186" s="155" t="s">
        <v>632</v>
      </c>
      <c r="V186" s="155" t="s">
        <v>632</v>
      </c>
      <c r="W186" s="155">
        <v>0</v>
      </c>
      <c r="X186" s="155">
        <v>0</v>
      </c>
      <c r="Y186" s="183">
        <v>0</v>
      </c>
    </row>
    <row r="187" spans="1:25">
      <c r="A187" s="179">
        <v>222797095</v>
      </c>
      <c r="B187" t="s">
        <v>1177</v>
      </c>
      <c r="C187" t="s">
        <v>750</v>
      </c>
      <c r="D187" t="s">
        <v>989</v>
      </c>
      <c r="E187" t="s">
        <v>698</v>
      </c>
      <c r="F187" t="s">
        <v>2058</v>
      </c>
      <c r="G187" s="180" t="s">
        <v>1177</v>
      </c>
      <c r="H187" s="180" t="s">
        <v>2153</v>
      </c>
      <c r="I187" s="176" t="s">
        <v>1926</v>
      </c>
      <c r="J187" s="181">
        <v>44954</v>
      </c>
      <c r="K187" s="140">
        <v>46052</v>
      </c>
      <c r="L187" s="155">
        <v>0</v>
      </c>
      <c r="M187" s="155">
        <v>0</v>
      </c>
      <c r="N187" s="155">
        <v>0</v>
      </c>
      <c r="O187" s="155" t="s">
        <v>730</v>
      </c>
      <c r="P187" s="176" t="s">
        <v>730</v>
      </c>
      <c r="Q187" s="184" t="s">
        <v>730</v>
      </c>
      <c r="R187" s="155">
        <v>0</v>
      </c>
      <c r="S187" s="176">
        <v>0</v>
      </c>
      <c r="T187" s="182" t="e">
        <f>VLOOKUP(A187,#REF!,9,FALSE)</f>
        <v>#REF!</v>
      </c>
      <c r="U187" s="155" t="s">
        <v>632</v>
      </c>
      <c r="V187" s="155" t="s">
        <v>632</v>
      </c>
      <c r="W187" s="155">
        <v>0</v>
      </c>
      <c r="X187" s="155">
        <v>0</v>
      </c>
      <c r="Y187" s="183">
        <v>0</v>
      </c>
    </row>
    <row r="188" spans="1:25">
      <c r="A188" s="179">
        <v>222797096</v>
      </c>
      <c r="B188" t="s">
        <v>1179</v>
      </c>
      <c r="C188" t="s">
        <v>750</v>
      </c>
      <c r="D188" t="s">
        <v>989</v>
      </c>
      <c r="E188" t="s">
        <v>698</v>
      </c>
      <c r="F188" t="s">
        <v>2058</v>
      </c>
      <c r="G188" s="180" t="s">
        <v>1179</v>
      </c>
      <c r="H188" s="180" t="s">
        <v>2154</v>
      </c>
      <c r="I188" s="176" t="s">
        <v>1926</v>
      </c>
      <c r="J188" s="181">
        <v>44954</v>
      </c>
      <c r="K188" s="140">
        <v>46052</v>
      </c>
      <c r="L188" s="155">
        <v>0</v>
      </c>
      <c r="M188" s="155">
        <v>0</v>
      </c>
      <c r="N188" s="155">
        <v>0</v>
      </c>
      <c r="O188" s="155" t="s">
        <v>730</v>
      </c>
      <c r="P188" s="176" t="s">
        <v>730</v>
      </c>
      <c r="Q188" s="184" t="s">
        <v>730</v>
      </c>
      <c r="R188" s="155">
        <v>0</v>
      </c>
      <c r="S188" s="176">
        <v>0</v>
      </c>
      <c r="T188" s="182" t="e">
        <f>VLOOKUP(A188,#REF!,9,FALSE)</f>
        <v>#REF!</v>
      </c>
      <c r="U188" s="155" t="s">
        <v>632</v>
      </c>
      <c r="V188" s="155" t="s">
        <v>632</v>
      </c>
      <c r="W188" s="155">
        <v>0</v>
      </c>
      <c r="X188" s="155">
        <v>0</v>
      </c>
      <c r="Y188" s="183">
        <v>0</v>
      </c>
    </row>
    <row r="189" spans="1:25">
      <c r="A189" s="179">
        <v>222797097</v>
      </c>
      <c r="B189" t="s">
        <v>1181</v>
      </c>
      <c r="C189" t="s">
        <v>750</v>
      </c>
      <c r="D189" t="s">
        <v>989</v>
      </c>
      <c r="E189" t="s">
        <v>698</v>
      </c>
      <c r="F189" t="s">
        <v>2058</v>
      </c>
      <c r="G189" s="180" t="s">
        <v>1181</v>
      </c>
      <c r="H189" s="180" t="s">
        <v>2155</v>
      </c>
      <c r="I189" s="176" t="s">
        <v>1926</v>
      </c>
      <c r="J189" s="181">
        <v>44954</v>
      </c>
      <c r="K189" s="140">
        <v>46052</v>
      </c>
      <c r="L189" s="155">
        <v>0</v>
      </c>
      <c r="M189" s="155">
        <v>0</v>
      </c>
      <c r="N189" s="155">
        <v>0</v>
      </c>
      <c r="O189" s="155" t="s">
        <v>730</v>
      </c>
      <c r="P189" s="176" t="s">
        <v>730</v>
      </c>
      <c r="Q189" s="184" t="s">
        <v>730</v>
      </c>
      <c r="R189" s="155">
        <v>0</v>
      </c>
      <c r="S189" s="176">
        <v>0</v>
      </c>
      <c r="T189" s="182" t="e">
        <f>VLOOKUP(A189,#REF!,9,FALSE)</f>
        <v>#REF!</v>
      </c>
      <c r="U189" s="155" t="s">
        <v>632</v>
      </c>
      <c r="V189" s="155" t="s">
        <v>632</v>
      </c>
      <c r="W189" s="155">
        <v>0</v>
      </c>
      <c r="X189" s="155">
        <v>0</v>
      </c>
      <c r="Y189" s="183">
        <v>0</v>
      </c>
    </row>
    <row r="190" spans="1:25">
      <c r="A190" s="179">
        <v>222797098</v>
      </c>
      <c r="B190" t="s">
        <v>1183</v>
      </c>
      <c r="C190" t="s">
        <v>750</v>
      </c>
      <c r="D190" t="s">
        <v>989</v>
      </c>
      <c r="E190" t="s">
        <v>698</v>
      </c>
      <c r="F190" t="s">
        <v>2073</v>
      </c>
      <c r="G190" s="180" t="s">
        <v>1183</v>
      </c>
      <c r="H190" s="180" t="s">
        <v>2156</v>
      </c>
      <c r="I190" s="176" t="s">
        <v>1926</v>
      </c>
      <c r="J190" s="181">
        <v>43837</v>
      </c>
      <c r="K190" s="140">
        <v>47573</v>
      </c>
      <c r="L190" s="155">
        <v>0</v>
      </c>
      <c r="M190" s="155">
        <v>0</v>
      </c>
      <c r="N190" s="155">
        <v>0</v>
      </c>
      <c r="O190" s="155" t="s">
        <v>730</v>
      </c>
      <c r="P190" s="176" t="s">
        <v>730</v>
      </c>
      <c r="Q190" s="184" t="s">
        <v>730</v>
      </c>
      <c r="R190" s="155">
        <v>0</v>
      </c>
      <c r="S190" s="176">
        <v>0</v>
      </c>
      <c r="T190" s="182" t="e">
        <f>VLOOKUP(A190,#REF!,9,FALSE)</f>
        <v>#REF!</v>
      </c>
      <c r="U190" s="155" t="s">
        <v>632</v>
      </c>
      <c r="V190" s="155" t="s">
        <v>632</v>
      </c>
      <c r="W190" s="155">
        <v>0</v>
      </c>
      <c r="X190" s="155">
        <v>0</v>
      </c>
      <c r="Y190" s="183">
        <v>0</v>
      </c>
    </row>
    <row r="191" spans="1:25">
      <c r="A191" s="179">
        <v>222797099</v>
      </c>
      <c r="B191" t="s">
        <v>1185</v>
      </c>
      <c r="C191" t="s">
        <v>750</v>
      </c>
      <c r="D191" t="s">
        <v>989</v>
      </c>
      <c r="E191" t="s">
        <v>698</v>
      </c>
      <c r="F191" t="s">
        <v>2073</v>
      </c>
      <c r="G191" s="180" t="s">
        <v>1185</v>
      </c>
      <c r="H191" s="180" t="s">
        <v>2157</v>
      </c>
      <c r="I191" s="176" t="s">
        <v>1926</v>
      </c>
      <c r="J191" s="181">
        <v>43837</v>
      </c>
      <c r="K191" s="140">
        <v>47573</v>
      </c>
      <c r="L191" s="155">
        <v>0</v>
      </c>
      <c r="M191" s="155">
        <v>0</v>
      </c>
      <c r="N191" s="155">
        <v>0</v>
      </c>
      <c r="O191" s="155" t="s">
        <v>730</v>
      </c>
      <c r="P191" s="176" t="s">
        <v>730</v>
      </c>
      <c r="Q191" s="184" t="s">
        <v>730</v>
      </c>
      <c r="R191" s="155">
        <v>0</v>
      </c>
      <c r="S191" s="176">
        <v>0</v>
      </c>
      <c r="T191" s="182" t="e">
        <f>VLOOKUP(A191,#REF!,9,FALSE)</f>
        <v>#REF!</v>
      </c>
      <c r="U191" s="155" t="s">
        <v>632</v>
      </c>
      <c r="V191" s="155" t="s">
        <v>632</v>
      </c>
      <c r="W191" s="155">
        <v>0</v>
      </c>
      <c r="X191" s="155">
        <v>0</v>
      </c>
      <c r="Y191" s="183">
        <v>0</v>
      </c>
    </row>
    <row r="192" spans="1:25">
      <c r="A192" s="179">
        <v>222797100</v>
      </c>
      <c r="B192" t="s">
        <v>1187</v>
      </c>
      <c r="C192" t="s">
        <v>750</v>
      </c>
      <c r="D192" t="s">
        <v>989</v>
      </c>
      <c r="E192" t="s">
        <v>698</v>
      </c>
      <c r="F192" t="s">
        <v>2073</v>
      </c>
      <c r="G192" s="180" t="s">
        <v>1187</v>
      </c>
      <c r="H192" s="180" t="s">
        <v>2158</v>
      </c>
      <c r="I192" s="176" t="s">
        <v>1926</v>
      </c>
      <c r="J192" s="181">
        <v>43837</v>
      </c>
      <c r="K192" s="140">
        <v>47573</v>
      </c>
      <c r="L192" s="155">
        <v>0</v>
      </c>
      <c r="M192" s="155">
        <v>0</v>
      </c>
      <c r="N192" s="155">
        <v>0</v>
      </c>
      <c r="O192" s="155" t="s">
        <v>730</v>
      </c>
      <c r="P192" s="176" t="s">
        <v>730</v>
      </c>
      <c r="Q192" s="184" t="s">
        <v>730</v>
      </c>
      <c r="R192" s="155">
        <v>0</v>
      </c>
      <c r="S192" s="176">
        <v>0</v>
      </c>
      <c r="T192" s="182" t="e">
        <f>VLOOKUP(A192,#REF!,9,FALSE)</f>
        <v>#REF!</v>
      </c>
      <c r="U192" s="155" t="s">
        <v>632</v>
      </c>
      <c r="V192" s="155" t="s">
        <v>632</v>
      </c>
      <c r="W192" s="155">
        <v>0</v>
      </c>
      <c r="X192" s="155">
        <v>0</v>
      </c>
      <c r="Y192" s="183">
        <v>0</v>
      </c>
    </row>
    <row r="193" spans="1:25">
      <c r="A193" s="179">
        <v>222797101</v>
      </c>
      <c r="B193" t="s">
        <v>1189</v>
      </c>
      <c r="C193" t="s">
        <v>750</v>
      </c>
      <c r="D193" t="s">
        <v>989</v>
      </c>
      <c r="E193" t="s">
        <v>698</v>
      </c>
      <c r="F193" t="s">
        <v>2073</v>
      </c>
      <c r="G193" s="180" t="s">
        <v>1189</v>
      </c>
      <c r="H193" s="180" t="s">
        <v>2159</v>
      </c>
      <c r="I193" s="176" t="s">
        <v>1926</v>
      </c>
      <c r="J193" s="181">
        <v>43837</v>
      </c>
      <c r="K193" s="140">
        <v>47573</v>
      </c>
      <c r="L193" s="155">
        <v>0</v>
      </c>
      <c r="M193" s="155">
        <v>0</v>
      </c>
      <c r="N193" s="155">
        <v>0</v>
      </c>
      <c r="O193" s="155" t="s">
        <v>730</v>
      </c>
      <c r="P193" s="176" t="s">
        <v>730</v>
      </c>
      <c r="Q193" s="184" t="s">
        <v>730</v>
      </c>
      <c r="R193" s="155">
        <v>0</v>
      </c>
      <c r="S193" s="176">
        <v>0</v>
      </c>
      <c r="T193" s="182" t="e">
        <f>VLOOKUP(A193,#REF!,9,FALSE)</f>
        <v>#REF!</v>
      </c>
      <c r="U193" s="155" t="s">
        <v>632</v>
      </c>
      <c r="V193" s="155" t="s">
        <v>632</v>
      </c>
      <c r="W193" s="155">
        <v>0</v>
      </c>
      <c r="X193" s="155">
        <v>0</v>
      </c>
      <c r="Y193" s="183">
        <v>0</v>
      </c>
    </row>
    <row r="194" spans="1:25">
      <c r="A194" s="179">
        <v>222797102</v>
      </c>
      <c r="B194" t="s">
        <v>1191</v>
      </c>
      <c r="C194" t="s">
        <v>750</v>
      </c>
      <c r="D194" t="s">
        <v>989</v>
      </c>
      <c r="E194" t="s">
        <v>698</v>
      </c>
      <c r="F194" t="s">
        <v>2073</v>
      </c>
      <c r="G194" s="180" t="s">
        <v>1191</v>
      </c>
      <c r="H194" s="180" t="s">
        <v>2160</v>
      </c>
      <c r="I194" s="176" t="s">
        <v>1926</v>
      </c>
      <c r="J194" s="181">
        <v>43837</v>
      </c>
      <c r="K194" s="140">
        <v>47573</v>
      </c>
      <c r="L194" s="155">
        <v>0</v>
      </c>
      <c r="M194" s="155">
        <v>0</v>
      </c>
      <c r="N194" s="155">
        <v>0</v>
      </c>
      <c r="O194" s="155" t="s">
        <v>730</v>
      </c>
      <c r="P194" s="176" t="s">
        <v>730</v>
      </c>
      <c r="Q194" s="184" t="s">
        <v>730</v>
      </c>
      <c r="R194" s="155">
        <v>0</v>
      </c>
      <c r="S194" s="176">
        <v>0</v>
      </c>
      <c r="T194" s="182" t="e">
        <f>VLOOKUP(A194,#REF!,9,FALSE)</f>
        <v>#REF!</v>
      </c>
      <c r="U194" s="155" t="s">
        <v>632</v>
      </c>
      <c r="V194" s="155" t="s">
        <v>632</v>
      </c>
      <c r="W194" s="155">
        <v>0</v>
      </c>
      <c r="X194" s="155">
        <v>0</v>
      </c>
      <c r="Y194" s="183">
        <v>0</v>
      </c>
    </row>
    <row r="195" spans="1:25">
      <c r="A195" s="179">
        <v>222797103</v>
      </c>
      <c r="B195" t="s">
        <v>1193</v>
      </c>
      <c r="C195" t="s">
        <v>750</v>
      </c>
      <c r="D195" t="s">
        <v>989</v>
      </c>
      <c r="E195" t="s">
        <v>698</v>
      </c>
      <c r="F195" t="s">
        <v>2073</v>
      </c>
      <c r="G195" s="180" t="s">
        <v>1193</v>
      </c>
      <c r="H195" s="180" t="s">
        <v>2161</v>
      </c>
      <c r="I195" s="176" t="s">
        <v>1926</v>
      </c>
      <c r="J195" s="181">
        <v>43837</v>
      </c>
      <c r="K195" s="140">
        <v>47573</v>
      </c>
      <c r="L195" s="155">
        <v>0</v>
      </c>
      <c r="M195" s="155">
        <v>0</v>
      </c>
      <c r="N195" s="155">
        <v>0</v>
      </c>
      <c r="O195" s="155" t="s">
        <v>730</v>
      </c>
      <c r="P195" s="176" t="s">
        <v>730</v>
      </c>
      <c r="Q195" s="184" t="s">
        <v>730</v>
      </c>
      <c r="R195" s="155">
        <v>0</v>
      </c>
      <c r="S195" s="176">
        <v>0</v>
      </c>
      <c r="T195" s="182" t="e">
        <f>VLOOKUP(A195,#REF!,9,FALSE)</f>
        <v>#REF!</v>
      </c>
      <c r="U195" s="155" t="s">
        <v>632</v>
      </c>
      <c r="V195" s="155" t="s">
        <v>632</v>
      </c>
      <c r="W195" s="155">
        <v>0</v>
      </c>
      <c r="X195" s="155">
        <v>0</v>
      </c>
      <c r="Y195" s="183">
        <v>0</v>
      </c>
    </row>
    <row r="196" spans="1:25">
      <c r="A196" s="179">
        <v>222797104</v>
      </c>
      <c r="B196" t="s">
        <v>1195</v>
      </c>
      <c r="C196" t="s">
        <v>750</v>
      </c>
      <c r="D196" t="s">
        <v>989</v>
      </c>
      <c r="E196" t="s">
        <v>698</v>
      </c>
      <c r="F196" t="s">
        <v>2073</v>
      </c>
      <c r="G196" s="180" t="s">
        <v>1195</v>
      </c>
      <c r="H196" s="180" t="s">
        <v>2162</v>
      </c>
      <c r="I196" s="176" t="s">
        <v>1926</v>
      </c>
      <c r="J196" s="181">
        <v>43837</v>
      </c>
      <c r="K196" s="140">
        <v>47573</v>
      </c>
      <c r="L196" s="155">
        <v>0</v>
      </c>
      <c r="M196" s="155">
        <v>0</v>
      </c>
      <c r="N196" s="155">
        <v>0</v>
      </c>
      <c r="O196" s="155" t="s">
        <v>730</v>
      </c>
      <c r="P196" s="176" t="s">
        <v>730</v>
      </c>
      <c r="Q196" s="184" t="s">
        <v>730</v>
      </c>
      <c r="R196" s="155">
        <v>0</v>
      </c>
      <c r="S196" s="176">
        <v>0</v>
      </c>
      <c r="T196" s="182" t="e">
        <f>VLOOKUP(A196,#REF!,9,FALSE)</f>
        <v>#REF!</v>
      </c>
      <c r="U196" s="155" t="s">
        <v>632</v>
      </c>
      <c r="V196" s="155" t="s">
        <v>632</v>
      </c>
      <c r="W196" s="155">
        <v>0</v>
      </c>
      <c r="X196" s="155">
        <v>0</v>
      </c>
      <c r="Y196" s="183">
        <v>0</v>
      </c>
    </row>
    <row r="197" spans="1:25">
      <c r="A197" s="179">
        <v>222797105</v>
      </c>
      <c r="B197" t="s">
        <v>1197</v>
      </c>
      <c r="C197" t="s">
        <v>750</v>
      </c>
      <c r="D197" t="s">
        <v>989</v>
      </c>
      <c r="E197" t="s">
        <v>698</v>
      </c>
      <c r="F197" t="s">
        <v>2073</v>
      </c>
      <c r="G197" s="180" t="s">
        <v>1197</v>
      </c>
      <c r="H197" s="180" t="s">
        <v>2163</v>
      </c>
      <c r="I197" s="176" t="s">
        <v>1926</v>
      </c>
      <c r="J197" s="181">
        <v>43837</v>
      </c>
      <c r="K197" s="140">
        <v>47573</v>
      </c>
      <c r="L197" s="155">
        <v>0</v>
      </c>
      <c r="M197" s="155">
        <v>0</v>
      </c>
      <c r="N197" s="155">
        <v>0</v>
      </c>
      <c r="O197" s="155" t="s">
        <v>730</v>
      </c>
      <c r="P197" s="176" t="s">
        <v>730</v>
      </c>
      <c r="Q197" s="184" t="s">
        <v>730</v>
      </c>
      <c r="R197" s="155">
        <v>0</v>
      </c>
      <c r="S197" s="176">
        <v>0</v>
      </c>
      <c r="T197" s="182" t="e">
        <f>VLOOKUP(A197,#REF!,9,FALSE)</f>
        <v>#REF!</v>
      </c>
      <c r="U197" s="155" t="s">
        <v>632</v>
      </c>
      <c r="V197" s="155" t="s">
        <v>632</v>
      </c>
      <c r="W197" s="155">
        <v>0</v>
      </c>
      <c r="X197" s="155">
        <v>0</v>
      </c>
      <c r="Y197" s="183">
        <v>0</v>
      </c>
    </row>
    <row r="198" spans="1:25">
      <c r="A198" s="179">
        <v>222797106</v>
      </c>
      <c r="B198" t="s">
        <v>1199</v>
      </c>
      <c r="C198" t="s">
        <v>750</v>
      </c>
      <c r="D198" t="s">
        <v>989</v>
      </c>
      <c r="E198" t="s">
        <v>698</v>
      </c>
      <c r="F198" t="s">
        <v>2073</v>
      </c>
      <c r="G198" s="180" t="s">
        <v>1199</v>
      </c>
      <c r="H198" s="180" t="s">
        <v>2164</v>
      </c>
      <c r="I198" s="176" t="s">
        <v>1926</v>
      </c>
      <c r="J198" s="181">
        <v>43837</v>
      </c>
      <c r="K198" s="140">
        <v>47573</v>
      </c>
      <c r="L198" s="155">
        <v>0</v>
      </c>
      <c r="M198" s="155">
        <v>0</v>
      </c>
      <c r="N198" s="155">
        <v>0</v>
      </c>
      <c r="O198" s="155" t="s">
        <v>730</v>
      </c>
      <c r="P198" s="176" t="s">
        <v>730</v>
      </c>
      <c r="Q198" s="184" t="s">
        <v>730</v>
      </c>
      <c r="R198" s="155">
        <v>0</v>
      </c>
      <c r="S198" s="176">
        <v>0</v>
      </c>
      <c r="T198" s="182" t="e">
        <f>VLOOKUP(A198,#REF!,9,FALSE)</f>
        <v>#REF!</v>
      </c>
      <c r="U198" s="155" t="s">
        <v>632</v>
      </c>
      <c r="V198" s="155" t="s">
        <v>632</v>
      </c>
      <c r="W198" s="155">
        <v>0</v>
      </c>
      <c r="X198" s="155">
        <v>0</v>
      </c>
      <c r="Y198" s="183">
        <v>0</v>
      </c>
    </row>
    <row r="199" spans="1:25">
      <c r="A199" s="179">
        <v>222797107</v>
      </c>
      <c r="B199" t="s">
        <v>1201</v>
      </c>
      <c r="C199" t="s">
        <v>750</v>
      </c>
      <c r="D199" t="s">
        <v>989</v>
      </c>
      <c r="E199" t="s">
        <v>698</v>
      </c>
      <c r="F199" t="s">
        <v>2073</v>
      </c>
      <c r="G199" s="180" t="s">
        <v>1201</v>
      </c>
      <c r="H199" s="180" t="s">
        <v>2165</v>
      </c>
      <c r="I199" s="176" t="s">
        <v>1926</v>
      </c>
      <c r="J199" s="181">
        <v>43837</v>
      </c>
      <c r="K199" s="140">
        <v>47573</v>
      </c>
      <c r="L199" s="155">
        <v>0</v>
      </c>
      <c r="M199" s="155">
        <v>0</v>
      </c>
      <c r="N199" s="155">
        <v>0</v>
      </c>
      <c r="O199" s="155" t="s">
        <v>730</v>
      </c>
      <c r="P199" s="176" t="s">
        <v>730</v>
      </c>
      <c r="Q199" s="184" t="s">
        <v>730</v>
      </c>
      <c r="R199" s="155">
        <v>0</v>
      </c>
      <c r="S199" s="176">
        <v>0</v>
      </c>
      <c r="T199" s="182" t="e">
        <f>VLOOKUP(A199,#REF!,9,FALSE)</f>
        <v>#REF!</v>
      </c>
      <c r="U199" s="155" t="s">
        <v>632</v>
      </c>
      <c r="V199" s="155" t="s">
        <v>632</v>
      </c>
      <c r="W199" s="155">
        <v>0</v>
      </c>
      <c r="X199" s="155">
        <v>0</v>
      </c>
      <c r="Y199" s="183">
        <v>0</v>
      </c>
    </row>
    <row r="200" spans="1:25">
      <c r="A200" s="179">
        <v>222797108</v>
      </c>
      <c r="B200" t="s">
        <v>1203</v>
      </c>
      <c r="C200" t="s">
        <v>750</v>
      </c>
      <c r="D200" t="s">
        <v>989</v>
      </c>
      <c r="E200" t="s">
        <v>698</v>
      </c>
      <c r="F200" t="s">
        <v>2073</v>
      </c>
      <c r="G200" s="180" t="s">
        <v>1203</v>
      </c>
      <c r="H200" s="180" t="s">
        <v>2166</v>
      </c>
      <c r="I200" s="176" t="s">
        <v>1926</v>
      </c>
      <c r="J200" s="181">
        <v>43837</v>
      </c>
      <c r="K200" s="140">
        <v>47573</v>
      </c>
      <c r="L200" s="155">
        <v>0</v>
      </c>
      <c r="M200" s="155">
        <v>0</v>
      </c>
      <c r="N200" s="155">
        <v>0</v>
      </c>
      <c r="O200" s="155" t="s">
        <v>730</v>
      </c>
      <c r="P200" s="176" t="s">
        <v>730</v>
      </c>
      <c r="Q200" s="184" t="s">
        <v>730</v>
      </c>
      <c r="R200" s="155">
        <v>0</v>
      </c>
      <c r="S200" s="176">
        <v>0</v>
      </c>
      <c r="T200" s="182" t="e">
        <f>VLOOKUP(A200,#REF!,9,FALSE)</f>
        <v>#REF!</v>
      </c>
      <c r="U200" s="155" t="s">
        <v>632</v>
      </c>
      <c r="V200" s="155" t="s">
        <v>632</v>
      </c>
      <c r="W200" s="155">
        <v>0</v>
      </c>
      <c r="X200" s="155">
        <v>0</v>
      </c>
      <c r="Y200" s="183">
        <v>0</v>
      </c>
    </row>
    <row r="201" spans="1:25">
      <c r="A201" s="179">
        <v>222797109</v>
      </c>
      <c r="B201" t="s">
        <v>1205</v>
      </c>
      <c r="C201" t="s">
        <v>750</v>
      </c>
      <c r="D201" t="s">
        <v>989</v>
      </c>
      <c r="E201" t="s">
        <v>698</v>
      </c>
      <c r="F201" t="s">
        <v>2073</v>
      </c>
      <c r="G201" s="180" t="s">
        <v>1205</v>
      </c>
      <c r="H201" s="180" t="s">
        <v>2167</v>
      </c>
      <c r="I201" s="176" t="s">
        <v>1926</v>
      </c>
      <c r="J201" s="181">
        <v>43837</v>
      </c>
      <c r="K201" s="140">
        <v>47573</v>
      </c>
      <c r="L201" s="155">
        <v>0</v>
      </c>
      <c r="M201" s="155">
        <v>0</v>
      </c>
      <c r="N201" s="155">
        <v>0</v>
      </c>
      <c r="O201" s="155" t="s">
        <v>730</v>
      </c>
      <c r="P201" s="176" t="s">
        <v>730</v>
      </c>
      <c r="Q201" s="184" t="s">
        <v>730</v>
      </c>
      <c r="R201" s="155">
        <v>0</v>
      </c>
      <c r="S201" s="176">
        <v>0</v>
      </c>
      <c r="T201" s="182" t="e">
        <f>VLOOKUP(A201,#REF!,9,FALSE)</f>
        <v>#REF!</v>
      </c>
      <c r="U201" s="155" t="s">
        <v>632</v>
      </c>
      <c r="V201" s="155" t="s">
        <v>632</v>
      </c>
      <c r="W201" s="155">
        <v>0</v>
      </c>
      <c r="X201" s="155">
        <v>0</v>
      </c>
      <c r="Y201" s="183">
        <v>0</v>
      </c>
    </row>
    <row r="202" spans="1:25">
      <c r="A202" s="179">
        <v>222797110</v>
      </c>
      <c r="B202" t="s">
        <v>1207</v>
      </c>
      <c r="C202" t="s">
        <v>750</v>
      </c>
      <c r="D202" t="s">
        <v>989</v>
      </c>
      <c r="E202" t="s">
        <v>698</v>
      </c>
      <c r="F202" t="s">
        <v>2073</v>
      </c>
      <c r="G202" s="180" t="s">
        <v>1207</v>
      </c>
      <c r="H202" s="180" t="s">
        <v>2168</v>
      </c>
      <c r="I202" s="176" t="s">
        <v>1926</v>
      </c>
      <c r="J202" s="181">
        <v>43837</v>
      </c>
      <c r="K202" s="140">
        <v>47573</v>
      </c>
      <c r="L202" s="155">
        <v>0</v>
      </c>
      <c r="M202" s="155">
        <v>0</v>
      </c>
      <c r="N202" s="155">
        <v>0</v>
      </c>
      <c r="O202" s="155" t="s">
        <v>730</v>
      </c>
      <c r="P202" s="176" t="s">
        <v>730</v>
      </c>
      <c r="Q202" s="184" t="s">
        <v>730</v>
      </c>
      <c r="R202" s="155">
        <v>0</v>
      </c>
      <c r="S202" s="176">
        <v>0</v>
      </c>
      <c r="T202" s="182" t="e">
        <f>VLOOKUP(A202,#REF!,9,FALSE)</f>
        <v>#REF!</v>
      </c>
      <c r="U202" s="155" t="s">
        <v>632</v>
      </c>
      <c r="V202" s="155" t="s">
        <v>632</v>
      </c>
      <c r="W202" s="155">
        <v>0</v>
      </c>
      <c r="X202" s="155">
        <v>0</v>
      </c>
      <c r="Y202" s="183">
        <v>0</v>
      </c>
    </row>
    <row r="203" spans="1:25">
      <c r="A203" s="179">
        <v>222797111</v>
      </c>
      <c r="B203" t="s">
        <v>1209</v>
      </c>
      <c r="C203" t="s">
        <v>750</v>
      </c>
      <c r="D203" t="s">
        <v>989</v>
      </c>
      <c r="E203" t="s">
        <v>698</v>
      </c>
      <c r="F203" t="s">
        <v>2073</v>
      </c>
      <c r="G203" s="180" t="s">
        <v>1209</v>
      </c>
      <c r="H203" s="180" t="s">
        <v>2169</v>
      </c>
      <c r="I203" s="176" t="s">
        <v>1926</v>
      </c>
      <c r="J203" s="181">
        <v>43837</v>
      </c>
      <c r="K203" s="140">
        <v>47573</v>
      </c>
      <c r="L203" s="155">
        <v>0</v>
      </c>
      <c r="M203" s="155">
        <v>0</v>
      </c>
      <c r="N203" s="155">
        <v>0</v>
      </c>
      <c r="O203" s="155" t="s">
        <v>730</v>
      </c>
      <c r="P203" s="176" t="s">
        <v>730</v>
      </c>
      <c r="Q203" s="184" t="s">
        <v>730</v>
      </c>
      <c r="R203" s="155">
        <v>0</v>
      </c>
      <c r="S203" s="176">
        <v>0</v>
      </c>
      <c r="T203" s="182" t="e">
        <f>VLOOKUP(A203,#REF!,9,FALSE)</f>
        <v>#REF!</v>
      </c>
      <c r="U203" s="155" t="s">
        <v>632</v>
      </c>
      <c r="V203" s="155" t="s">
        <v>632</v>
      </c>
      <c r="W203" s="155">
        <v>0</v>
      </c>
      <c r="X203" s="155">
        <v>0</v>
      </c>
      <c r="Y203" s="183">
        <v>0</v>
      </c>
    </row>
    <row r="204" spans="1:25">
      <c r="A204" s="179">
        <v>222797112</v>
      </c>
      <c r="B204" t="s">
        <v>1211</v>
      </c>
      <c r="C204" t="s">
        <v>750</v>
      </c>
      <c r="D204" t="s">
        <v>989</v>
      </c>
      <c r="E204" t="s">
        <v>698</v>
      </c>
      <c r="F204" t="s">
        <v>2073</v>
      </c>
      <c r="G204" s="180" t="s">
        <v>1211</v>
      </c>
      <c r="H204" s="180" t="s">
        <v>2170</v>
      </c>
      <c r="I204" s="176" t="s">
        <v>1926</v>
      </c>
      <c r="J204" s="181">
        <v>43837</v>
      </c>
      <c r="K204" s="140">
        <v>47573</v>
      </c>
      <c r="L204" s="155">
        <v>0</v>
      </c>
      <c r="M204" s="155">
        <v>0</v>
      </c>
      <c r="N204" s="155">
        <v>0</v>
      </c>
      <c r="O204" s="155" t="s">
        <v>730</v>
      </c>
      <c r="P204" s="176" t="s">
        <v>730</v>
      </c>
      <c r="Q204" s="184" t="s">
        <v>730</v>
      </c>
      <c r="R204" s="155">
        <v>0</v>
      </c>
      <c r="S204" s="176">
        <v>0</v>
      </c>
      <c r="T204" s="182" t="e">
        <f>VLOOKUP(A204,#REF!,9,FALSE)</f>
        <v>#REF!</v>
      </c>
      <c r="U204" s="155" t="s">
        <v>632</v>
      </c>
      <c r="V204" s="155" t="s">
        <v>632</v>
      </c>
      <c r="W204" s="155">
        <v>0</v>
      </c>
      <c r="X204" s="155">
        <v>0</v>
      </c>
      <c r="Y204" s="183">
        <v>0</v>
      </c>
    </row>
    <row r="205" spans="1:25">
      <c r="A205" s="179">
        <v>222797113</v>
      </c>
      <c r="B205" t="s">
        <v>1213</v>
      </c>
      <c r="C205" t="s">
        <v>750</v>
      </c>
      <c r="D205" t="s">
        <v>989</v>
      </c>
      <c r="E205" t="s">
        <v>698</v>
      </c>
      <c r="F205" t="s">
        <v>2073</v>
      </c>
      <c r="G205" s="180" t="s">
        <v>1213</v>
      </c>
      <c r="H205" s="180" t="s">
        <v>2171</v>
      </c>
      <c r="I205" s="176" t="s">
        <v>1926</v>
      </c>
      <c r="J205" s="181">
        <v>43837</v>
      </c>
      <c r="K205" s="140">
        <v>47573</v>
      </c>
      <c r="L205" s="155">
        <v>0</v>
      </c>
      <c r="M205" s="155">
        <v>0</v>
      </c>
      <c r="N205" s="155">
        <v>0</v>
      </c>
      <c r="O205" s="155" t="s">
        <v>730</v>
      </c>
      <c r="P205" s="176" t="s">
        <v>730</v>
      </c>
      <c r="Q205" s="184" t="s">
        <v>730</v>
      </c>
      <c r="R205" s="155">
        <v>0</v>
      </c>
      <c r="S205" s="176">
        <v>0</v>
      </c>
      <c r="T205" s="182" t="e">
        <f>VLOOKUP(A205,#REF!,9,FALSE)</f>
        <v>#REF!</v>
      </c>
      <c r="U205" s="155" t="s">
        <v>632</v>
      </c>
      <c r="V205" s="155" t="s">
        <v>632</v>
      </c>
      <c r="W205" s="155">
        <v>0</v>
      </c>
      <c r="X205" s="155">
        <v>0</v>
      </c>
      <c r="Y205" s="183">
        <v>0</v>
      </c>
    </row>
    <row r="206" spans="1:25">
      <c r="A206" s="179">
        <v>222797114</v>
      </c>
      <c r="B206" t="s">
        <v>1215</v>
      </c>
      <c r="C206" t="s">
        <v>750</v>
      </c>
      <c r="D206" t="s">
        <v>989</v>
      </c>
      <c r="E206" t="s">
        <v>698</v>
      </c>
      <c r="F206" t="s">
        <v>2073</v>
      </c>
      <c r="G206" s="180" t="s">
        <v>1215</v>
      </c>
      <c r="H206" s="180" t="s">
        <v>2172</v>
      </c>
      <c r="I206" s="176" t="s">
        <v>1926</v>
      </c>
      <c r="J206" s="181">
        <v>43837</v>
      </c>
      <c r="K206" s="140">
        <v>47573</v>
      </c>
      <c r="L206" s="155">
        <v>0</v>
      </c>
      <c r="M206" s="155">
        <v>0</v>
      </c>
      <c r="N206" s="155">
        <v>0</v>
      </c>
      <c r="O206" s="155" t="s">
        <v>730</v>
      </c>
      <c r="P206" s="176" t="s">
        <v>730</v>
      </c>
      <c r="Q206" s="184" t="s">
        <v>730</v>
      </c>
      <c r="R206" s="155">
        <v>0</v>
      </c>
      <c r="S206" s="176">
        <v>0</v>
      </c>
      <c r="T206" s="182" t="e">
        <f>VLOOKUP(A206,#REF!,9,FALSE)</f>
        <v>#REF!</v>
      </c>
      <c r="U206" s="155" t="s">
        <v>632</v>
      </c>
      <c r="V206" s="155" t="s">
        <v>632</v>
      </c>
      <c r="W206" s="155">
        <v>0</v>
      </c>
      <c r="X206" s="155">
        <v>0</v>
      </c>
      <c r="Y206" s="183">
        <v>0</v>
      </c>
    </row>
    <row r="207" spans="1:25">
      <c r="A207" s="179">
        <v>222797115</v>
      </c>
      <c r="B207" t="s">
        <v>1217</v>
      </c>
      <c r="C207" t="s">
        <v>750</v>
      </c>
      <c r="D207" t="s">
        <v>989</v>
      </c>
      <c r="E207" t="s">
        <v>698</v>
      </c>
      <c r="F207" t="s">
        <v>2073</v>
      </c>
      <c r="G207" s="180" t="s">
        <v>1217</v>
      </c>
      <c r="H207" s="180" t="s">
        <v>2173</v>
      </c>
      <c r="I207" s="176" t="s">
        <v>1926</v>
      </c>
      <c r="J207" s="181">
        <v>43837</v>
      </c>
      <c r="K207" s="140">
        <v>47573</v>
      </c>
      <c r="L207" s="155">
        <v>0</v>
      </c>
      <c r="M207" s="155">
        <v>0</v>
      </c>
      <c r="N207" s="155">
        <v>0</v>
      </c>
      <c r="O207" s="155" t="s">
        <v>730</v>
      </c>
      <c r="P207" s="176" t="s">
        <v>730</v>
      </c>
      <c r="Q207" s="184" t="s">
        <v>730</v>
      </c>
      <c r="R207" s="155">
        <v>0</v>
      </c>
      <c r="S207" s="176">
        <v>0</v>
      </c>
      <c r="T207" s="182" t="e">
        <f>VLOOKUP(A207,#REF!,9,FALSE)</f>
        <v>#REF!</v>
      </c>
      <c r="U207" s="155" t="s">
        <v>632</v>
      </c>
      <c r="V207" s="155" t="s">
        <v>632</v>
      </c>
      <c r="W207" s="155">
        <v>0</v>
      </c>
      <c r="X207" s="155">
        <v>0</v>
      </c>
      <c r="Y207" s="183">
        <v>0</v>
      </c>
    </row>
    <row r="208" spans="1:25">
      <c r="A208" s="179">
        <v>222797116</v>
      </c>
      <c r="B208" t="s">
        <v>1219</v>
      </c>
      <c r="C208" t="s">
        <v>750</v>
      </c>
      <c r="D208" t="s">
        <v>989</v>
      </c>
      <c r="E208" t="s">
        <v>698</v>
      </c>
      <c r="F208" t="s">
        <v>2073</v>
      </c>
      <c r="G208" s="180" t="s">
        <v>1219</v>
      </c>
      <c r="H208" s="180" t="s">
        <v>2174</v>
      </c>
      <c r="I208" s="176" t="s">
        <v>1926</v>
      </c>
      <c r="J208" s="181">
        <v>43837</v>
      </c>
      <c r="K208" s="140">
        <v>47573</v>
      </c>
      <c r="L208" s="155">
        <v>0</v>
      </c>
      <c r="M208" s="155">
        <v>0</v>
      </c>
      <c r="N208" s="155">
        <v>0</v>
      </c>
      <c r="O208" s="155" t="s">
        <v>730</v>
      </c>
      <c r="P208" s="176" t="s">
        <v>730</v>
      </c>
      <c r="Q208" s="184" t="s">
        <v>730</v>
      </c>
      <c r="R208" s="155">
        <v>0</v>
      </c>
      <c r="S208" s="176">
        <v>0</v>
      </c>
      <c r="T208" s="182" t="e">
        <f>VLOOKUP(A208,#REF!,9,FALSE)</f>
        <v>#REF!</v>
      </c>
      <c r="U208" s="155" t="s">
        <v>632</v>
      </c>
      <c r="V208" s="155" t="s">
        <v>632</v>
      </c>
      <c r="W208" s="155">
        <v>0</v>
      </c>
      <c r="X208" s="155">
        <v>0</v>
      </c>
      <c r="Y208" s="183">
        <v>0</v>
      </c>
    </row>
    <row r="209" spans="1:25">
      <c r="A209" s="179">
        <v>222797117</v>
      </c>
      <c r="B209" t="s">
        <v>1221</v>
      </c>
      <c r="C209" t="s">
        <v>750</v>
      </c>
      <c r="D209" t="s">
        <v>989</v>
      </c>
      <c r="E209" t="s">
        <v>698</v>
      </c>
      <c r="F209" t="s">
        <v>2073</v>
      </c>
      <c r="G209" s="180" t="s">
        <v>1221</v>
      </c>
      <c r="H209" s="180" t="s">
        <v>2175</v>
      </c>
      <c r="I209" s="176" t="s">
        <v>1926</v>
      </c>
      <c r="J209" s="181">
        <v>43837</v>
      </c>
      <c r="K209" s="140">
        <v>47573</v>
      </c>
      <c r="L209" s="155">
        <v>0</v>
      </c>
      <c r="M209" s="155">
        <v>0</v>
      </c>
      <c r="N209" s="155">
        <v>0</v>
      </c>
      <c r="O209" s="155" t="s">
        <v>730</v>
      </c>
      <c r="P209" s="176" t="s">
        <v>730</v>
      </c>
      <c r="Q209" s="184" t="s">
        <v>730</v>
      </c>
      <c r="R209" s="155">
        <v>0</v>
      </c>
      <c r="S209" s="176">
        <v>0</v>
      </c>
      <c r="T209" s="182" t="e">
        <f>VLOOKUP(A209,#REF!,9,FALSE)</f>
        <v>#REF!</v>
      </c>
      <c r="U209" s="155" t="s">
        <v>632</v>
      </c>
      <c r="V209" s="155" t="s">
        <v>632</v>
      </c>
      <c r="W209" s="155">
        <v>0</v>
      </c>
      <c r="X209" s="155">
        <v>0</v>
      </c>
      <c r="Y209" s="183">
        <v>0</v>
      </c>
    </row>
    <row r="210" spans="1:25">
      <c r="A210" s="179">
        <v>222797118</v>
      </c>
      <c r="B210" t="s">
        <v>1223</v>
      </c>
      <c r="C210" t="s">
        <v>750</v>
      </c>
      <c r="D210" t="s">
        <v>989</v>
      </c>
      <c r="E210" t="s">
        <v>698</v>
      </c>
      <c r="F210" t="s">
        <v>2176</v>
      </c>
      <c r="G210" s="180" t="s">
        <v>1223</v>
      </c>
      <c r="H210" s="180" t="s">
        <v>2177</v>
      </c>
      <c r="I210" s="176" t="s">
        <v>1926</v>
      </c>
      <c r="J210" s="181">
        <v>43028</v>
      </c>
      <c r="K210" s="140">
        <v>46679</v>
      </c>
      <c r="L210" s="155">
        <v>0</v>
      </c>
      <c r="M210" s="155">
        <v>0</v>
      </c>
      <c r="N210" s="155">
        <v>0</v>
      </c>
      <c r="O210" s="155" t="s">
        <v>730</v>
      </c>
      <c r="P210" s="176" t="s">
        <v>730</v>
      </c>
      <c r="Q210" s="184" t="s">
        <v>730</v>
      </c>
      <c r="R210" s="155">
        <v>0</v>
      </c>
      <c r="S210" s="176">
        <v>0</v>
      </c>
      <c r="T210" s="182" t="e">
        <f>VLOOKUP(A210,#REF!,9,FALSE)</f>
        <v>#REF!</v>
      </c>
      <c r="U210" s="155" t="s">
        <v>632</v>
      </c>
      <c r="V210" s="155" t="s">
        <v>632</v>
      </c>
      <c r="W210" s="155">
        <v>0</v>
      </c>
      <c r="X210" s="155">
        <v>0</v>
      </c>
      <c r="Y210" s="183">
        <v>0</v>
      </c>
    </row>
    <row r="211" spans="1:25">
      <c r="A211" s="179">
        <v>222797119</v>
      </c>
      <c r="B211" t="s">
        <v>1225</v>
      </c>
      <c r="C211" t="s">
        <v>750</v>
      </c>
      <c r="D211" t="s">
        <v>989</v>
      </c>
      <c r="E211" t="s">
        <v>698</v>
      </c>
      <c r="F211" t="s">
        <v>2176</v>
      </c>
      <c r="G211" s="180" t="s">
        <v>1225</v>
      </c>
      <c r="H211" s="180" t="s">
        <v>2178</v>
      </c>
      <c r="I211" s="176" t="s">
        <v>1926</v>
      </c>
      <c r="J211" s="181">
        <v>43028</v>
      </c>
      <c r="K211" s="140">
        <v>46679</v>
      </c>
      <c r="L211" s="155">
        <v>0</v>
      </c>
      <c r="M211" s="155">
        <v>0</v>
      </c>
      <c r="N211" s="155">
        <v>0</v>
      </c>
      <c r="O211" s="155" t="s">
        <v>730</v>
      </c>
      <c r="P211" s="176" t="s">
        <v>730</v>
      </c>
      <c r="Q211" s="184" t="s">
        <v>730</v>
      </c>
      <c r="R211" s="155">
        <v>0</v>
      </c>
      <c r="S211" s="176">
        <v>0</v>
      </c>
      <c r="T211" s="182" t="e">
        <f>VLOOKUP(A211,#REF!,9,FALSE)</f>
        <v>#REF!</v>
      </c>
      <c r="U211" s="155" t="s">
        <v>632</v>
      </c>
      <c r="V211" s="155" t="s">
        <v>632</v>
      </c>
      <c r="W211" s="155">
        <v>0</v>
      </c>
      <c r="X211" s="155">
        <v>0</v>
      </c>
      <c r="Y211" s="183">
        <v>0</v>
      </c>
    </row>
    <row r="212" spans="1:25">
      <c r="A212" s="179">
        <v>222797120</v>
      </c>
      <c r="B212" t="s">
        <v>1227</v>
      </c>
      <c r="C212" t="s">
        <v>750</v>
      </c>
      <c r="D212" t="s">
        <v>989</v>
      </c>
      <c r="E212" t="s">
        <v>698</v>
      </c>
      <c r="F212" t="s">
        <v>2176</v>
      </c>
      <c r="G212" s="180" t="s">
        <v>1227</v>
      </c>
      <c r="H212" s="180" t="s">
        <v>2179</v>
      </c>
      <c r="I212" s="176" t="s">
        <v>1926</v>
      </c>
      <c r="J212" s="181">
        <v>43028</v>
      </c>
      <c r="K212" s="140">
        <v>46679</v>
      </c>
      <c r="L212" s="155">
        <v>0</v>
      </c>
      <c r="M212" s="155">
        <v>0</v>
      </c>
      <c r="N212" s="155">
        <v>0</v>
      </c>
      <c r="O212" s="155" t="s">
        <v>730</v>
      </c>
      <c r="P212" s="176" t="s">
        <v>730</v>
      </c>
      <c r="Q212" s="184" t="s">
        <v>730</v>
      </c>
      <c r="R212" s="155">
        <v>0</v>
      </c>
      <c r="S212" s="176">
        <v>0</v>
      </c>
      <c r="T212" s="182" t="e">
        <f>VLOOKUP(A212,#REF!,9,FALSE)</f>
        <v>#REF!</v>
      </c>
      <c r="U212" s="155" t="s">
        <v>632</v>
      </c>
      <c r="V212" s="155" t="s">
        <v>632</v>
      </c>
      <c r="W212" s="155">
        <v>0</v>
      </c>
      <c r="X212" s="155">
        <v>0</v>
      </c>
      <c r="Y212" s="183">
        <v>0</v>
      </c>
    </row>
    <row r="213" spans="1:25">
      <c r="A213" s="179">
        <v>222797121</v>
      </c>
      <c r="B213" t="s">
        <v>1229</v>
      </c>
      <c r="C213" t="s">
        <v>750</v>
      </c>
      <c r="D213" t="s">
        <v>989</v>
      </c>
      <c r="E213" t="s">
        <v>698</v>
      </c>
      <c r="F213" t="s">
        <v>2176</v>
      </c>
      <c r="G213" s="180" t="s">
        <v>1229</v>
      </c>
      <c r="H213" s="180" t="s">
        <v>2180</v>
      </c>
      <c r="I213" s="176" t="s">
        <v>1926</v>
      </c>
      <c r="J213" s="181">
        <v>43028</v>
      </c>
      <c r="K213" s="140">
        <v>46679</v>
      </c>
      <c r="L213" s="155">
        <v>0</v>
      </c>
      <c r="M213" s="155">
        <v>0</v>
      </c>
      <c r="N213" s="155">
        <v>0</v>
      </c>
      <c r="O213" s="155" t="s">
        <v>730</v>
      </c>
      <c r="P213" s="176" t="s">
        <v>730</v>
      </c>
      <c r="Q213" s="184" t="s">
        <v>730</v>
      </c>
      <c r="R213" s="155">
        <v>0</v>
      </c>
      <c r="S213" s="176">
        <v>0</v>
      </c>
      <c r="T213" s="182" t="e">
        <f>VLOOKUP(A213,#REF!,9,FALSE)</f>
        <v>#REF!</v>
      </c>
      <c r="U213" s="155" t="s">
        <v>632</v>
      </c>
      <c r="V213" s="155" t="s">
        <v>632</v>
      </c>
      <c r="W213" s="155">
        <v>0</v>
      </c>
      <c r="X213" s="155">
        <v>0</v>
      </c>
      <c r="Y213" s="183">
        <v>0</v>
      </c>
    </row>
    <row r="214" spans="1:25">
      <c r="A214" s="179">
        <v>222797122</v>
      </c>
      <c r="B214" t="s">
        <v>1231</v>
      </c>
      <c r="C214" t="s">
        <v>750</v>
      </c>
      <c r="D214" t="s">
        <v>989</v>
      </c>
      <c r="E214" t="s">
        <v>698</v>
      </c>
      <c r="F214" t="s">
        <v>2176</v>
      </c>
      <c r="G214" s="180" t="s">
        <v>1231</v>
      </c>
      <c r="H214" s="180" t="s">
        <v>2181</v>
      </c>
      <c r="I214" s="176" t="s">
        <v>1926</v>
      </c>
      <c r="J214" s="181">
        <v>43028</v>
      </c>
      <c r="K214" s="140">
        <v>46679</v>
      </c>
      <c r="L214" s="155">
        <v>10</v>
      </c>
      <c r="M214" s="155">
        <v>0</v>
      </c>
      <c r="N214" s="155">
        <v>0</v>
      </c>
      <c r="O214" s="155" t="s">
        <v>730</v>
      </c>
      <c r="P214" s="176" t="s">
        <v>730</v>
      </c>
      <c r="Q214" s="184" t="s">
        <v>730</v>
      </c>
      <c r="R214" s="155">
        <v>0</v>
      </c>
      <c r="S214" s="176">
        <v>0</v>
      </c>
      <c r="T214" s="182" t="e">
        <f>VLOOKUP(A214,#REF!,9,FALSE)</f>
        <v>#REF!</v>
      </c>
      <c r="U214" s="155" t="s">
        <v>632</v>
      </c>
      <c r="V214" s="155" t="s">
        <v>632</v>
      </c>
      <c r="W214" s="155">
        <v>0</v>
      </c>
      <c r="X214" s="155">
        <v>0</v>
      </c>
      <c r="Y214" s="183">
        <v>0</v>
      </c>
    </row>
    <row r="215" spans="1:25">
      <c r="A215" s="179">
        <v>222797123</v>
      </c>
      <c r="B215" t="s">
        <v>1233</v>
      </c>
      <c r="C215" t="s">
        <v>750</v>
      </c>
      <c r="D215" t="s">
        <v>989</v>
      </c>
      <c r="E215" t="s">
        <v>698</v>
      </c>
      <c r="F215" t="s">
        <v>2176</v>
      </c>
      <c r="G215" s="180" t="s">
        <v>1233</v>
      </c>
      <c r="H215" s="180" t="s">
        <v>2182</v>
      </c>
      <c r="I215" s="176" t="s">
        <v>1926</v>
      </c>
      <c r="J215" s="181">
        <v>43028</v>
      </c>
      <c r="K215" s="140">
        <v>46679</v>
      </c>
      <c r="L215" s="155">
        <v>0</v>
      </c>
      <c r="M215" s="155">
        <v>0</v>
      </c>
      <c r="N215" s="155">
        <v>0</v>
      </c>
      <c r="O215" s="155" t="s">
        <v>730</v>
      </c>
      <c r="P215" s="176" t="s">
        <v>730</v>
      </c>
      <c r="Q215" s="184" t="s">
        <v>730</v>
      </c>
      <c r="R215" s="155">
        <v>0</v>
      </c>
      <c r="S215" s="176">
        <v>0</v>
      </c>
      <c r="T215" s="182" t="e">
        <f>VLOOKUP(A215,#REF!,9,FALSE)</f>
        <v>#REF!</v>
      </c>
      <c r="U215" s="155" t="s">
        <v>632</v>
      </c>
      <c r="V215" s="155" t="s">
        <v>632</v>
      </c>
      <c r="W215" s="155">
        <v>0</v>
      </c>
      <c r="X215" s="155">
        <v>0</v>
      </c>
      <c r="Y215" s="183">
        <v>0</v>
      </c>
    </row>
    <row r="216" spans="1:25">
      <c r="A216" s="179">
        <v>222797124</v>
      </c>
      <c r="B216" t="s">
        <v>1235</v>
      </c>
      <c r="C216" t="s">
        <v>750</v>
      </c>
      <c r="D216" t="s">
        <v>989</v>
      </c>
      <c r="E216" t="s">
        <v>698</v>
      </c>
      <c r="F216" t="s">
        <v>2176</v>
      </c>
      <c r="G216" s="180" t="s">
        <v>1235</v>
      </c>
      <c r="H216" s="180" t="s">
        <v>2183</v>
      </c>
      <c r="I216" s="176" t="s">
        <v>1926</v>
      </c>
      <c r="J216" s="181">
        <v>43028</v>
      </c>
      <c r="K216" s="140">
        <v>46679</v>
      </c>
      <c r="L216" s="155">
        <v>0</v>
      </c>
      <c r="M216" s="155">
        <v>0</v>
      </c>
      <c r="N216" s="155">
        <v>0</v>
      </c>
      <c r="O216" s="155" t="s">
        <v>730</v>
      </c>
      <c r="P216" s="176" t="s">
        <v>730</v>
      </c>
      <c r="Q216" s="184" t="s">
        <v>730</v>
      </c>
      <c r="R216" s="155">
        <v>0</v>
      </c>
      <c r="S216" s="176">
        <v>0</v>
      </c>
      <c r="T216" s="182" t="e">
        <f>VLOOKUP(A216,#REF!,9,FALSE)</f>
        <v>#REF!</v>
      </c>
      <c r="U216" s="155" t="s">
        <v>632</v>
      </c>
      <c r="V216" s="155" t="s">
        <v>632</v>
      </c>
      <c r="W216" s="155">
        <v>0</v>
      </c>
      <c r="X216" s="155">
        <v>0</v>
      </c>
      <c r="Y216" s="183">
        <v>0</v>
      </c>
    </row>
    <row r="217" spans="1:25">
      <c r="A217" s="179">
        <v>222797125</v>
      </c>
      <c r="B217" t="s">
        <v>1237</v>
      </c>
      <c r="C217" t="s">
        <v>750</v>
      </c>
      <c r="D217" t="s">
        <v>989</v>
      </c>
      <c r="E217" t="s">
        <v>698</v>
      </c>
      <c r="F217" t="s">
        <v>2176</v>
      </c>
      <c r="G217" s="180" t="s">
        <v>1237</v>
      </c>
      <c r="H217" s="180" t="s">
        <v>2184</v>
      </c>
      <c r="I217" s="176" t="s">
        <v>1926</v>
      </c>
      <c r="J217" s="181">
        <v>43028</v>
      </c>
      <c r="K217" s="140">
        <v>46679</v>
      </c>
      <c r="L217" s="155">
        <v>0</v>
      </c>
      <c r="M217" s="155">
        <v>0</v>
      </c>
      <c r="N217" s="155">
        <v>0</v>
      </c>
      <c r="O217" s="155" t="s">
        <v>730</v>
      </c>
      <c r="P217" s="176" t="s">
        <v>730</v>
      </c>
      <c r="Q217" s="184" t="s">
        <v>730</v>
      </c>
      <c r="R217" s="155">
        <v>0</v>
      </c>
      <c r="S217" s="176">
        <v>0</v>
      </c>
      <c r="T217" s="182" t="e">
        <f>VLOOKUP(A217,#REF!,9,FALSE)</f>
        <v>#REF!</v>
      </c>
      <c r="U217" s="155" t="s">
        <v>632</v>
      </c>
      <c r="V217" s="155" t="s">
        <v>632</v>
      </c>
      <c r="W217" s="155">
        <v>0</v>
      </c>
      <c r="X217" s="155">
        <v>0</v>
      </c>
      <c r="Y217" s="183">
        <v>0</v>
      </c>
    </row>
    <row r="218" spans="1:25">
      <c r="A218" s="179">
        <v>222797126</v>
      </c>
      <c r="B218" t="s">
        <v>1239</v>
      </c>
      <c r="C218" t="s">
        <v>750</v>
      </c>
      <c r="D218" t="s">
        <v>989</v>
      </c>
      <c r="E218" t="s">
        <v>698</v>
      </c>
      <c r="F218" t="s">
        <v>2176</v>
      </c>
      <c r="G218" s="180" t="s">
        <v>1239</v>
      </c>
      <c r="H218" s="180" t="s">
        <v>2185</v>
      </c>
      <c r="I218" s="176" t="s">
        <v>1926</v>
      </c>
      <c r="J218" s="181">
        <v>43028</v>
      </c>
      <c r="K218" s="140">
        <v>46679</v>
      </c>
      <c r="L218" s="155">
        <v>0</v>
      </c>
      <c r="M218" s="155">
        <v>0</v>
      </c>
      <c r="N218" s="155">
        <v>0</v>
      </c>
      <c r="O218" s="155" t="s">
        <v>730</v>
      </c>
      <c r="P218" s="176" t="s">
        <v>730</v>
      </c>
      <c r="Q218" s="184" t="s">
        <v>730</v>
      </c>
      <c r="R218" s="155">
        <v>0</v>
      </c>
      <c r="S218" s="176">
        <v>0</v>
      </c>
      <c r="T218" s="182" t="e">
        <f>VLOOKUP(A218,#REF!,9,FALSE)</f>
        <v>#REF!</v>
      </c>
      <c r="U218" s="155" t="s">
        <v>632</v>
      </c>
      <c r="V218" s="155" t="s">
        <v>632</v>
      </c>
      <c r="W218" s="155">
        <v>0</v>
      </c>
      <c r="X218" s="155">
        <v>0</v>
      </c>
      <c r="Y218" s="183">
        <v>0</v>
      </c>
    </row>
    <row r="219" spans="1:25">
      <c r="A219" s="179">
        <v>222797127</v>
      </c>
      <c r="B219" t="s">
        <v>1241</v>
      </c>
      <c r="C219" t="s">
        <v>750</v>
      </c>
      <c r="D219" t="s">
        <v>989</v>
      </c>
      <c r="E219" t="s">
        <v>698</v>
      </c>
      <c r="F219" t="s">
        <v>2176</v>
      </c>
      <c r="G219" s="180" t="s">
        <v>1241</v>
      </c>
      <c r="H219" s="180" t="s">
        <v>2186</v>
      </c>
      <c r="I219" s="176" t="s">
        <v>1926</v>
      </c>
      <c r="J219" s="181">
        <v>43028</v>
      </c>
      <c r="K219" s="140">
        <v>46679</v>
      </c>
      <c r="L219" s="155">
        <v>0</v>
      </c>
      <c r="M219" s="155">
        <v>0</v>
      </c>
      <c r="N219" s="155">
        <v>0</v>
      </c>
      <c r="O219" s="155" t="s">
        <v>730</v>
      </c>
      <c r="P219" s="176" t="s">
        <v>730</v>
      </c>
      <c r="Q219" s="184" t="s">
        <v>730</v>
      </c>
      <c r="R219" s="155">
        <v>0</v>
      </c>
      <c r="S219" s="176">
        <v>0</v>
      </c>
      <c r="T219" s="182" t="e">
        <f>VLOOKUP(A219,#REF!,9,FALSE)</f>
        <v>#REF!</v>
      </c>
      <c r="U219" s="155" t="s">
        <v>632</v>
      </c>
      <c r="V219" s="155" t="s">
        <v>632</v>
      </c>
      <c r="W219" s="155">
        <v>0</v>
      </c>
      <c r="X219" s="155">
        <v>0</v>
      </c>
      <c r="Y219" s="183">
        <v>0</v>
      </c>
    </row>
    <row r="220" spans="1:25">
      <c r="A220" s="179">
        <v>222797128</v>
      </c>
      <c r="B220" t="s">
        <v>1243</v>
      </c>
      <c r="C220" t="s">
        <v>750</v>
      </c>
      <c r="D220" t="s">
        <v>989</v>
      </c>
      <c r="E220" t="s">
        <v>698</v>
      </c>
      <c r="F220" t="s">
        <v>2176</v>
      </c>
      <c r="G220" s="180" t="s">
        <v>1243</v>
      </c>
      <c r="H220" s="180" t="s">
        <v>2187</v>
      </c>
      <c r="I220" s="176" t="s">
        <v>1926</v>
      </c>
      <c r="J220" s="181">
        <v>43028</v>
      </c>
      <c r="K220" s="140">
        <v>46679</v>
      </c>
      <c r="L220" s="155">
        <v>0</v>
      </c>
      <c r="M220" s="155">
        <v>0</v>
      </c>
      <c r="N220" s="155">
        <v>0</v>
      </c>
      <c r="O220" s="155" t="s">
        <v>730</v>
      </c>
      <c r="P220" s="176" t="s">
        <v>730</v>
      </c>
      <c r="Q220" s="184" t="s">
        <v>730</v>
      </c>
      <c r="R220" s="155">
        <v>0</v>
      </c>
      <c r="S220" s="176">
        <v>0</v>
      </c>
      <c r="T220" s="182" t="e">
        <f>VLOOKUP(A220,#REF!,9,FALSE)</f>
        <v>#REF!</v>
      </c>
      <c r="U220" s="155" t="s">
        <v>632</v>
      </c>
      <c r="V220" s="155" t="s">
        <v>632</v>
      </c>
      <c r="W220" s="155">
        <v>0</v>
      </c>
      <c r="X220" s="155">
        <v>0</v>
      </c>
      <c r="Y220" s="183">
        <v>0</v>
      </c>
    </row>
    <row r="221" spans="1:25">
      <c r="A221" s="179">
        <v>222797129</v>
      </c>
      <c r="B221" t="s">
        <v>1245</v>
      </c>
      <c r="C221" t="s">
        <v>750</v>
      </c>
      <c r="D221" t="s">
        <v>989</v>
      </c>
      <c r="E221" t="s">
        <v>698</v>
      </c>
      <c r="F221" t="s">
        <v>2176</v>
      </c>
      <c r="G221" s="180" t="s">
        <v>1245</v>
      </c>
      <c r="H221" s="180" t="s">
        <v>2188</v>
      </c>
      <c r="I221" s="176" t="s">
        <v>1926</v>
      </c>
      <c r="J221" s="181">
        <v>43028</v>
      </c>
      <c r="K221" s="140">
        <v>46679</v>
      </c>
      <c r="L221" s="155">
        <v>0</v>
      </c>
      <c r="M221" s="155">
        <v>0</v>
      </c>
      <c r="N221" s="155">
        <v>0</v>
      </c>
      <c r="O221" s="155" t="s">
        <v>730</v>
      </c>
      <c r="P221" s="176" t="s">
        <v>730</v>
      </c>
      <c r="Q221" s="184" t="s">
        <v>730</v>
      </c>
      <c r="R221" s="155">
        <v>0</v>
      </c>
      <c r="S221" s="176">
        <v>0</v>
      </c>
      <c r="T221" s="182" t="e">
        <f>VLOOKUP(A221,#REF!,9,FALSE)</f>
        <v>#REF!</v>
      </c>
      <c r="U221" s="155" t="s">
        <v>632</v>
      </c>
      <c r="V221" s="155" t="s">
        <v>632</v>
      </c>
      <c r="W221" s="155">
        <v>0</v>
      </c>
      <c r="X221" s="155">
        <v>0</v>
      </c>
      <c r="Y221" s="183">
        <v>0</v>
      </c>
    </row>
    <row r="222" spans="1:25">
      <c r="A222" s="179">
        <v>222797130</v>
      </c>
      <c r="B222" t="s">
        <v>1247</v>
      </c>
      <c r="C222" t="s">
        <v>750</v>
      </c>
      <c r="D222" t="s">
        <v>989</v>
      </c>
      <c r="E222" t="s">
        <v>698</v>
      </c>
      <c r="F222" t="s">
        <v>2176</v>
      </c>
      <c r="G222" s="180" t="s">
        <v>1247</v>
      </c>
      <c r="H222" s="180" t="s">
        <v>2189</v>
      </c>
      <c r="I222" s="176" t="s">
        <v>1926</v>
      </c>
      <c r="J222" s="181">
        <v>43028</v>
      </c>
      <c r="K222" s="140">
        <v>46679</v>
      </c>
      <c r="L222" s="155">
        <v>0</v>
      </c>
      <c r="M222" s="155">
        <v>0</v>
      </c>
      <c r="N222" s="155">
        <v>0</v>
      </c>
      <c r="O222" s="155" t="s">
        <v>730</v>
      </c>
      <c r="P222" s="176" t="s">
        <v>730</v>
      </c>
      <c r="Q222" s="184" t="s">
        <v>730</v>
      </c>
      <c r="R222" s="155">
        <v>0</v>
      </c>
      <c r="S222" s="176">
        <v>0</v>
      </c>
      <c r="T222" s="182" t="e">
        <f>VLOOKUP(A222,#REF!,9,FALSE)</f>
        <v>#REF!</v>
      </c>
      <c r="U222" s="155" t="s">
        <v>632</v>
      </c>
      <c r="V222" s="155" t="s">
        <v>632</v>
      </c>
      <c r="W222" s="155">
        <v>0</v>
      </c>
      <c r="X222" s="155">
        <v>0</v>
      </c>
      <c r="Y222" s="183">
        <v>0</v>
      </c>
    </row>
    <row r="223" spans="1:25">
      <c r="A223" s="179">
        <v>222797131</v>
      </c>
      <c r="B223" t="s">
        <v>1249</v>
      </c>
      <c r="C223" t="s">
        <v>750</v>
      </c>
      <c r="D223" t="s">
        <v>989</v>
      </c>
      <c r="E223" t="s">
        <v>698</v>
      </c>
      <c r="F223" t="s">
        <v>2176</v>
      </c>
      <c r="G223" s="180" t="s">
        <v>1249</v>
      </c>
      <c r="H223" s="180" t="s">
        <v>2190</v>
      </c>
      <c r="I223" s="176" t="s">
        <v>1926</v>
      </c>
      <c r="J223" s="181">
        <v>43028</v>
      </c>
      <c r="K223" s="140">
        <v>46679</v>
      </c>
      <c r="L223" s="155">
        <v>0</v>
      </c>
      <c r="M223" s="155">
        <v>0</v>
      </c>
      <c r="N223" s="155">
        <v>0</v>
      </c>
      <c r="O223" s="155" t="s">
        <v>730</v>
      </c>
      <c r="P223" s="176" t="s">
        <v>730</v>
      </c>
      <c r="Q223" s="184" t="s">
        <v>730</v>
      </c>
      <c r="R223" s="155">
        <v>0</v>
      </c>
      <c r="S223" s="176">
        <v>0</v>
      </c>
      <c r="T223" s="182" t="e">
        <f>VLOOKUP(A223,#REF!,9,FALSE)</f>
        <v>#REF!</v>
      </c>
      <c r="U223" s="155" t="s">
        <v>632</v>
      </c>
      <c r="V223" s="155" t="s">
        <v>632</v>
      </c>
      <c r="W223" s="155">
        <v>0</v>
      </c>
      <c r="X223" s="155">
        <v>0</v>
      </c>
      <c r="Y223" s="183">
        <v>0</v>
      </c>
    </row>
    <row r="224" spans="1:25">
      <c r="A224" s="179">
        <v>222797132</v>
      </c>
      <c r="B224" t="s">
        <v>1251</v>
      </c>
      <c r="C224" t="s">
        <v>750</v>
      </c>
      <c r="D224" t="s">
        <v>989</v>
      </c>
      <c r="E224" t="s">
        <v>698</v>
      </c>
      <c r="F224" t="s">
        <v>2176</v>
      </c>
      <c r="G224" s="180" t="s">
        <v>1251</v>
      </c>
      <c r="H224" s="180" t="s">
        <v>2191</v>
      </c>
      <c r="I224" s="176" t="s">
        <v>1926</v>
      </c>
      <c r="J224" s="181">
        <v>43028</v>
      </c>
      <c r="K224" s="140">
        <v>46679</v>
      </c>
      <c r="L224" s="155">
        <v>0</v>
      </c>
      <c r="M224" s="155">
        <v>0</v>
      </c>
      <c r="N224" s="155">
        <v>0</v>
      </c>
      <c r="O224" s="155" t="s">
        <v>730</v>
      </c>
      <c r="P224" s="176" t="s">
        <v>730</v>
      </c>
      <c r="Q224" s="184" t="s">
        <v>730</v>
      </c>
      <c r="R224" s="155">
        <v>0</v>
      </c>
      <c r="S224" s="176">
        <v>0</v>
      </c>
      <c r="T224" s="182" t="e">
        <f>VLOOKUP(A224,#REF!,9,FALSE)</f>
        <v>#REF!</v>
      </c>
      <c r="U224" s="155" t="s">
        <v>632</v>
      </c>
      <c r="V224" s="155" t="s">
        <v>632</v>
      </c>
      <c r="W224" s="155">
        <v>0</v>
      </c>
      <c r="X224" s="155">
        <v>0</v>
      </c>
      <c r="Y224" s="183">
        <v>0</v>
      </c>
    </row>
    <row r="225" spans="1:25">
      <c r="A225" s="179">
        <v>222797133</v>
      </c>
      <c r="B225" t="s">
        <v>1253</v>
      </c>
      <c r="C225" t="s">
        <v>750</v>
      </c>
      <c r="D225" t="s">
        <v>989</v>
      </c>
      <c r="E225" t="s">
        <v>698</v>
      </c>
      <c r="F225" t="s">
        <v>2176</v>
      </c>
      <c r="G225" s="180" t="s">
        <v>1253</v>
      </c>
      <c r="H225" s="180" t="s">
        <v>2192</v>
      </c>
      <c r="I225" s="176" t="s">
        <v>1926</v>
      </c>
      <c r="J225" s="181">
        <v>43028</v>
      </c>
      <c r="K225" s="140">
        <v>46679</v>
      </c>
      <c r="L225" s="155">
        <v>0</v>
      </c>
      <c r="M225" s="155">
        <v>0</v>
      </c>
      <c r="N225" s="155">
        <v>0</v>
      </c>
      <c r="O225" s="155" t="s">
        <v>730</v>
      </c>
      <c r="P225" s="176" t="s">
        <v>730</v>
      </c>
      <c r="Q225" s="184" t="s">
        <v>730</v>
      </c>
      <c r="R225" s="155">
        <v>0</v>
      </c>
      <c r="S225" s="176">
        <v>0</v>
      </c>
      <c r="T225" s="182" t="e">
        <f>VLOOKUP(A225,#REF!,9,FALSE)</f>
        <v>#REF!</v>
      </c>
      <c r="U225" s="155" t="s">
        <v>632</v>
      </c>
      <c r="V225" s="155" t="s">
        <v>632</v>
      </c>
      <c r="W225" s="155">
        <v>0</v>
      </c>
      <c r="X225" s="155">
        <v>0</v>
      </c>
      <c r="Y225" s="183">
        <v>0</v>
      </c>
    </row>
    <row r="226" spans="1:25">
      <c r="A226" s="179">
        <v>222797134</v>
      </c>
      <c r="B226" t="s">
        <v>1255</v>
      </c>
      <c r="C226" t="s">
        <v>750</v>
      </c>
      <c r="D226" t="s">
        <v>989</v>
      </c>
      <c r="E226" t="s">
        <v>698</v>
      </c>
      <c r="F226" t="s">
        <v>2176</v>
      </c>
      <c r="G226" s="180" t="s">
        <v>1255</v>
      </c>
      <c r="H226" s="180" t="s">
        <v>2193</v>
      </c>
      <c r="I226" s="176" t="s">
        <v>1926</v>
      </c>
      <c r="J226" s="181">
        <v>43028</v>
      </c>
      <c r="K226" s="140">
        <v>46679</v>
      </c>
      <c r="L226" s="155">
        <v>0</v>
      </c>
      <c r="M226" s="155">
        <v>0</v>
      </c>
      <c r="N226" s="155">
        <v>0</v>
      </c>
      <c r="O226" s="155" t="s">
        <v>730</v>
      </c>
      <c r="P226" s="176" t="s">
        <v>730</v>
      </c>
      <c r="Q226" s="184" t="s">
        <v>730</v>
      </c>
      <c r="R226" s="155">
        <v>0</v>
      </c>
      <c r="S226" s="176">
        <v>0</v>
      </c>
      <c r="T226" s="182" t="e">
        <f>VLOOKUP(A226,#REF!,9,FALSE)</f>
        <v>#REF!</v>
      </c>
      <c r="U226" s="155" t="s">
        <v>632</v>
      </c>
      <c r="V226" s="155" t="s">
        <v>632</v>
      </c>
      <c r="W226" s="155">
        <v>0</v>
      </c>
      <c r="X226" s="155">
        <v>0</v>
      </c>
      <c r="Y226" s="183">
        <v>0</v>
      </c>
    </row>
    <row r="227" spans="1:25">
      <c r="A227" s="179">
        <v>222797135</v>
      </c>
      <c r="B227" t="s">
        <v>1257</v>
      </c>
      <c r="C227" t="s">
        <v>750</v>
      </c>
      <c r="D227" t="s">
        <v>989</v>
      </c>
      <c r="E227" t="s">
        <v>698</v>
      </c>
      <c r="F227" t="s">
        <v>2176</v>
      </c>
      <c r="G227" s="180" t="s">
        <v>1257</v>
      </c>
      <c r="H227" s="180" t="s">
        <v>2194</v>
      </c>
      <c r="I227" s="176" t="s">
        <v>1926</v>
      </c>
      <c r="J227" s="181">
        <v>43028</v>
      </c>
      <c r="K227" s="140">
        <v>46679</v>
      </c>
      <c r="L227" s="155">
        <v>0</v>
      </c>
      <c r="M227" s="155">
        <v>0</v>
      </c>
      <c r="N227" s="155">
        <v>0</v>
      </c>
      <c r="O227" s="155" t="s">
        <v>730</v>
      </c>
      <c r="P227" s="176" t="s">
        <v>730</v>
      </c>
      <c r="Q227" s="184" t="s">
        <v>730</v>
      </c>
      <c r="R227" s="155">
        <v>0</v>
      </c>
      <c r="S227" s="176">
        <v>0</v>
      </c>
      <c r="T227" s="182" t="e">
        <f>VLOOKUP(A227,#REF!,9,FALSE)</f>
        <v>#REF!</v>
      </c>
      <c r="U227" s="155" t="s">
        <v>632</v>
      </c>
      <c r="V227" s="155" t="s">
        <v>632</v>
      </c>
      <c r="W227" s="155">
        <v>0</v>
      </c>
      <c r="X227" s="155">
        <v>0</v>
      </c>
      <c r="Y227" s="183">
        <v>0</v>
      </c>
    </row>
    <row r="228" spans="1:25">
      <c r="A228" s="179">
        <v>222797136</v>
      </c>
      <c r="B228" t="s">
        <v>1259</v>
      </c>
      <c r="C228" t="s">
        <v>750</v>
      </c>
      <c r="D228" t="s">
        <v>989</v>
      </c>
      <c r="E228" t="s">
        <v>698</v>
      </c>
      <c r="F228" t="s">
        <v>2176</v>
      </c>
      <c r="G228" s="180" t="s">
        <v>1259</v>
      </c>
      <c r="H228" s="180" t="s">
        <v>2195</v>
      </c>
      <c r="I228" s="176" t="s">
        <v>1926</v>
      </c>
      <c r="J228" s="181">
        <v>43028</v>
      </c>
      <c r="K228" s="140">
        <v>46679</v>
      </c>
      <c r="L228" s="155">
        <v>0</v>
      </c>
      <c r="M228" s="155">
        <v>0</v>
      </c>
      <c r="N228" s="155">
        <v>0</v>
      </c>
      <c r="O228" s="155" t="s">
        <v>730</v>
      </c>
      <c r="P228" s="176" t="s">
        <v>730</v>
      </c>
      <c r="Q228" s="184" t="s">
        <v>730</v>
      </c>
      <c r="R228" s="155">
        <v>0</v>
      </c>
      <c r="S228" s="176">
        <v>0</v>
      </c>
      <c r="T228" s="182" t="e">
        <f>VLOOKUP(A228,#REF!,9,FALSE)</f>
        <v>#REF!</v>
      </c>
      <c r="U228" s="155" t="s">
        <v>632</v>
      </c>
      <c r="V228" s="155" t="s">
        <v>632</v>
      </c>
      <c r="W228" s="155">
        <v>0</v>
      </c>
      <c r="X228" s="155">
        <v>0</v>
      </c>
      <c r="Y228" s="183">
        <v>0</v>
      </c>
    </row>
    <row r="229" spans="1:25">
      <c r="A229" s="179">
        <v>222797137</v>
      </c>
      <c r="B229" t="s">
        <v>1261</v>
      </c>
      <c r="C229" t="s">
        <v>750</v>
      </c>
      <c r="D229" t="s">
        <v>989</v>
      </c>
      <c r="E229" t="s">
        <v>698</v>
      </c>
      <c r="F229" t="s">
        <v>2176</v>
      </c>
      <c r="G229" s="180" t="s">
        <v>1261</v>
      </c>
      <c r="H229" s="180" t="s">
        <v>2196</v>
      </c>
      <c r="I229" s="176" t="s">
        <v>1926</v>
      </c>
      <c r="J229" s="181">
        <v>43028</v>
      </c>
      <c r="K229" s="140">
        <v>46679</v>
      </c>
      <c r="L229" s="155">
        <v>0</v>
      </c>
      <c r="M229" s="155">
        <v>0</v>
      </c>
      <c r="N229" s="155">
        <v>0</v>
      </c>
      <c r="O229" s="155" t="s">
        <v>730</v>
      </c>
      <c r="P229" s="176" t="s">
        <v>730</v>
      </c>
      <c r="Q229" s="184" t="s">
        <v>730</v>
      </c>
      <c r="R229" s="155">
        <v>0</v>
      </c>
      <c r="S229" s="176">
        <v>0</v>
      </c>
      <c r="T229" s="182" t="e">
        <f>VLOOKUP(A229,#REF!,9,FALSE)</f>
        <v>#REF!</v>
      </c>
      <c r="U229" s="155" t="s">
        <v>632</v>
      </c>
      <c r="V229" s="155" t="s">
        <v>632</v>
      </c>
      <c r="W229" s="155">
        <v>0</v>
      </c>
      <c r="X229" s="155">
        <v>0</v>
      </c>
      <c r="Y229" s="183">
        <v>0</v>
      </c>
    </row>
    <row r="230" spans="1:25">
      <c r="A230" s="179">
        <v>222797138</v>
      </c>
      <c r="B230" t="s">
        <v>1263</v>
      </c>
      <c r="C230" t="s">
        <v>750</v>
      </c>
      <c r="D230" t="s">
        <v>989</v>
      </c>
      <c r="E230" t="s">
        <v>698</v>
      </c>
      <c r="F230" t="s">
        <v>2176</v>
      </c>
      <c r="G230" s="180" t="s">
        <v>1263</v>
      </c>
      <c r="H230" s="180" t="s">
        <v>2197</v>
      </c>
      <c r="I230" s="176" t="s">
        <v>1926</v>
      </c>
      <c r="J230" s="181">
        <v>43028</v>
      </c>
      <c r="K230" s="140">
        <v>46679</v>
      </c>
      <c r="L230" s="155">
        <v>0</v>
      </c>
      <c r="M230" s="155">
        <v>0</v>
      </c>
      <c r="N230" s="155">
        <v>0</v>
      </c>
      <c r="O230" s="155" t="s">
        <v>730</v>
      </c>
      <c r="P230" s="176" t="s">
        <v>730</v>
      </c>
      <c r="Q230" s="184" t="s">
        <v>730</v>
      </c>
      <c r="R230" s="155">
        <v>0</v>
      </c>
      <c r="S230" s="176">
        <v>0</v>
      </c>
      <c r="T230" s="182" t="e">
        <f>VLOOKUP(A230,#REF!,9,FALSE)</f>
        <v>#REF!</v>
      </c>
      <c r="U230" s="155" t="s">
        <v>632</v>
      </c>
      <c r="V230" s="155" t="s">
        <v>632</v>
      </c>
      <c r="W230" s="155">
        <v>0</v>
      </c>
      <c r="X230" s="155">
        <v>0</v>
      </c>
      <c r="Y230" s="183">
        <v>0</v>
      </c>
    </row>
    <row r="231" spans="1:25">
      <c r="A231" s="179">
        <v>222797139</v>
      </c>
      <c r="B231" t="s">
        <v>1265</v>
      </c>
      <c r="C231" t="s">
        <v>750</v>
      </c>
      <c r="D231" t="s">
        <v>989</v>
      </c>
      <c r="E231" t="s">
        <v>698</v>
      </c>
      <c r="F231" t="s">
        <v>2176</v>
      </c>
      <c r="G231" s="180" t="s">
        <v>1265</v>
      </c>
      <c r="H231" s="180" t="s">
        <v>2198</v>
      </c>
      <c r="I231" s="176" t="s">
        <v>1926</v>
      </c>
      <c r="J231" s="181">
        <v>43028</v>
      </c>
      <c r="K231" s="140">
        <v>46679</v>
      </c>
      <c r="L231" s="155">
        <v>0</v>
      </c>
      <c r="M231" s="155">
        <v>0</v>
      </c>
      <c r="N231" s="155">
        <v>0</v>
      </c>
      <c r="O231" s="155" t="s">
        <v>730</v>
      </c>
      <c r="P231" s="176" t="s">
        <v>730</v>
      </c>
      <c r="Q231" s="184" t="s">
        <v>730</v>
      </c>
      <c r="R231" s="155">
        <v>0</v>
      </c>
      <c r="S231" s="176">
        <v>0</v>
      </c>
      <c r="T231" s="182" t="e">
        <f>VLOOKUP(A231,#REF!,9,FALSE)</f>
        <v>#REF!</v>
      </c>
      <c r="U231" s="155" t="s">
        <v>632</v>
      </c>
      <c r="V231" s="155" t="s">
        <v>632</v>
      </c>
      <c r="W231" s="155">
        <v>0</v>
      </c>
      <c r="X231" s="155">
        <v>0</v>
      </c>
      <c r="Y231" s="183">
        <v>0</v>
      </c>
    </row>
    <row r="232" spans="1:25">
      <c r="A232" s="179">
        <v>222797140</v>
      </c>
      <c r="B232" t="s">
        <v>1267</v>
      </c>
      <c r="C232" t="s">
        <v>750</v>
      </c>
      <c r="D232" t="s">
        <v>989</v>
      </c>
      <c r="E232" t="s">
        <v>698</v>
      </c>
      <c r="F232" t="s">
        <v>2176</v>
      </c>
      <c r="G232" s="180" t="s">
        <v>1267</v>
      </c>
      <c r="H232" s="180" t="s">
        <v>2199</v>
      </c>
      <c r="I232" s="176" t="s">
        <v>1926</v>
      </c>
      <c r="J232" s="181">
        <v>43028</v>
      </c>
      <c r="K232" s="140">
        <v>46679</v>
      </c>
      <c r="L232" s="155">
        <v>0</v>
      </c>
      <c r="M232" s="155">
        <v>0</v>
      </c>
      <c r="N232" s="155">
        <v>0</v>
      </c>
      <c r="O232" s="155" t="s">
        <v>730</v>
      </c>
      <c r="P232" s="176" t="s">
        <v>730</v>
      </c>
      <c r="Q232" s="184" t="s">
        <v>730</v>
      </c>
      <c r="R232" s="155">
        <v>0</v>
      </c>
      <c r="S232" s="176">
        <v>0</v>
      </c>
      <c r="T232" s="182" t="e">
        <f>VLOOKUP(A232,#REF!,9,FALSE)</f>
        <v>#REF!</v>
      </c>
      <c r="U232" s="155" t="s">
        <v>632</v>
      </c>
      <c r="V232" s="155" t="s">
        <v>632</v>
      </c>
      <c r="W232" s="155">
        <v>0</v>
      </c>
      <c r="X232" s="155">
        <v>0</v>
      </c>
      <c r="Y232" s="183">
        <v>0</v>
      </c>
    </row>
    <row r="233" spans="1:25">
      <c r="A233" s="179">
        <v>222797141</v>
      </c>
      <c r="B233" t="s">
        <v>1269</v>
      </c>
      <c r="C233" t="s">
        <v>750</v>
      </c>
      <c r="D233" t="s">
        <v>989</v>
      </c>
      <c r="E233" t="s">
        <v>698</v>
      </c>
      <c r="F233" t="s">
        <v>2176</v>
      </c>
      <c r="G233" s="180" t="s">
        <v>1269</v>
      </c>
      <c r="H233" s="180" t="s">
        <v>2200</v>
      </c>
      <c r="I233" s="176" t="s">
        <v>1926</v>
      </c>
      <c r="J233" s="181">
        <v>43028</v>
      </c>
      <c r="K233" s="140">
        <v>46679</v>
      </c>
      <c r="L233" s="155">
        <v>0</v>
      </c>
      <c r="M233" s="155">
        <v>0</v>
      </c>
      <c r="N233" s="155">
        <v>0</v>
      </c>
      <c r="O233" s="155" t="s">
        <v>730</v>
      </c>
      <c r="P233" s="176" t="s">
        <v>730</v>
      </c>
      <c r="Q233" s="184" t="s">
        <v>730</v>
      </c>
      <c r="R233" s="155">
        <v>0</v>
      </c>
      <c r="S233" s="176">
        <v>0</v>
      </c>
      <c r="T233" s="182" t="e">
        <f>VLOOKUP(A233,#REF!,9,FALSE)</f>
        <v>#REF!</v>
      </c>
      <c r="U233" s="155" t="s">
        <v>632</v>
      </c>
      <c r="V233" s="155" t="s">
        <v>632</v>
      </c>
      <c r="W233" s="155">
        <v>0</v>
      </c>
      <c r="X233" s="155">
        <v>0</v>
      </c>
      <c r="Y233" s="183">
        <v>0</v>
      </c>
    </row>
    <row r="234" spans="1:25">
      <c r="A234" s="179">
        <v>222797142</v>
      </c>
      <c r="B234" t="s">
        <v>1271</v>
      </c>
      <c r="C234" t="s">
        <v>750</v>
      </c>
      <c r="D234" t="s">
        <v>989</v>
      </c>
      <c r="E234" t="s">
        <v>698</v>
      </c>
      <c r="F234" t="s">
        <v>2058</v>
      </c>
      <c r="G234" s="180" t="s">
        <v>1271</v>
      </c>
      <c r="H234" s="180" t="s">
        <v>2201</v>
      </c>
      <c r="I234" s="176" t="s">
        <v>1926</v>
      </c>
      <c r="J234" s="181">
        <v>44954</v>
      </c>
      <c r="K234" s="140">
        <v>46052</v>
      </c>
      <c r="L234" s="155">
        <v>0</v>
      </c>
      <c r="M234" s="155">
        <v>0</v>
      </c>
      <c r="N234" s="155">
        <v>0</v>
      </c>
      <c r="O234" s="155" t="s">
        <v>730</v>
      </c>
      <c r="P234" s="176" t="s">
        <v>730</v>
      </c>
      <c r="Q234" s="184" t="s">
        <v>730</v>
      </c>
      <c r="R234" s="155">
        <v>0</v>
      </c>
      <c r="S234" s="176">
        <v>0</v>
      </c>
      <c r="T234" s="182" t="e">
        <f>VLOOKUP(A234,#REF!,9,FALSE)</f>
        <v>#REF!</v>
      </c>
      <c r="U234" s="155" t="s">
        <v>632</v>
      </c>
      <c r="V234" s="155" t="s">
        <v>632</v>
      </c>
      <c r="W234" s="155">
        <v>0</v>
      </c>
      <c r="X234" s="155">
        <v>0</v>
      </c>
      <c r="Y234" s="183">
        <v>0</v>
      </c>
    </row>
    <row r="235" spans="1:25">
      <c r="A235" s="179">
        <v>222797143</v>
      </c>
      <c r="B235" t="s">
        <v>1273</v>
      </c>
      <c r="C235" t="s">
        <v>750</v>
      </c>
      <c r="D235" t="s">
        <v>989</v>
      </c>
      <c r="E235" t="s">
        <v>698</v>
      </c>
      <c r="F235" t="s">
        <v>2058</v>
      </c>
      <c r="G235" s="180" t="s">
        <v>1273</v>
      </c>
      <c r="H235" s="180" t="s">
        <v>2202</v>
      </c>
      <c r="I235" s="176" t="s">
        <v>1926</v>
      </c>
      <c r="J235" s="181">
        <v>44954</v>
      </c>
      <c r="K235" s="140">
        <v>46052</v>
      </c>
      <c r="L235" s="155">
        <v>0</v>
      </c>
      <c r="M235" s="155">
        <v>0</v>
      </c>
      <c r="N235" s="155">
        <v>0</v>
      </c>
      <c r="O235" s="155" t="s">
        <v>730</v>
      </c>
      <c r="P235" s="176" t="s">
        <v>730</v>
      </c>
      <c r="Q235" s="184" t="s">
        <v>730</v>
      </c>
      <c r="R235" s="155">
        <v>0</v>
      </c>
      <c r="S235" s="176">
        <v>0</v>
      </c>
      <c r="T235" s="182" t="e">
        <f>VLOOKUP(A235,#REF!,9,FALSE)</f>
        <v>#REF!</v>
      </c>
      <c r="U235" s="155" t="s">
        <v>632</v>
      </c>
      <c r="V235" s="155" t="s">
        <v>632</v>
      </c>
      <c r="W235" s="155">
        <v>0</v>
      </c>
      <c r="X235" s="155">
        <v>0</v>
      </c>
      <c r="Y235" s="183">
        <v>0</v>
      </c>
    </row>
    <row r="236" spans="1:25">
      <c r="A236" s="179">
        <v>222797144</v>
      </c>
      <c r="B236" t="s">
        <v>1275</v>
      </c>
      <c r="C236" t="s">
        <v>750</v>
      </c>
      <c r="D236" t="s">
        <v>989</v>
      </c>
      <c r="E236" t="s">
        <v>698</v>
      </c>
      <c r="F236" t="s">
        <v>2058</v>
      </c>
      <c r="G236" s="180" t="s">
        <v>1275</v>
      </c>
      <c r="H236" s="180" t="s">
        <v>2203</v>
      </c>
      <c r="I236" s="176" t="s">
        <v>1926</v>
      </c>
      <c r="J236" s="181">
        <v>44954</v>
      </c>
      <c r="K236" s="140">
        <v>46052</v>
      </c>
      <c r="L236" s="155">
        <v>0</v>
      </c>
      <c r="M236" s="155">
        <v>0</v>
      </c>
      <c r="N236" s="155">
        <v>0</v>
      </c>
      <c r="O236" s="155" t="s">
        <v>730</v>
      </c>
      <c r="P236" s="176" t="s">
        <v>730</v>
      </c>
      <c r="Q236" s="184" t="s">
        <v>730</v>
      </c>
      <c r="R236" s="155">
        <v>0</v>
      </c>
      <c r="S236" s="176">
        <v>0</v>
      </c>
      <c r="T236" s="182" t="e">
        <f>VLOOKUP(A236,#REF!,9,FALSE)</f>
        <v>#REF!</v>
      </c>
      <c r="U236" s="155" t="s">
        <v>632</v>
      </c>
      <c r="V236" s="155" t="s">
        <v>632</v>
      </c>
      <c r="W236" s="155">
        <v>0</v>
      </c>
      <c r="X236" s="155">
        <v>0</v>
      </c>
      <c r="Y236" s="183">
        <v>0</v>
      </c>
    </row>
    <row r="237" spans="1:25">
      <c r="A237" s="179">
        <v>222797145</v>
      </c>
      <c r="B237" t="s">
        <v>1277</v>
      </c>
      <c r="C237" t="s">
        <v>750</v>
      </c>
      <c r="D237" t="s">
        <v>989</v>
      </c>
      <c r="E237" t="s">
        <v>698</v>
      </c>
      <c r="F237" t="s">
        <v>2086</v>
      </c>
      <c r="G237" s="180" t="s">
        <v>1277</v>
      </c>
      <c r="H237" s="180" t="s">
        <v>2204</v>
      </c>
      <c r="I237" s="176" t="s">
        <v>1926</v>
      </c>
      <c r="J237" s="181">
        <v>43392</v>
      </c>
      <c r="K237" s="140">
        <v>47177</v>
      </c>
      <c r="L237" s="155">
        <v>0</v>
      </c>
      <c r="M237" s="155">
        <v>0</v>
      </c>
      <c r="N237" s="155">
        <v>0</v>
      </c>
      <c r="O237" s="155" t="s">
        <v>730</v>
      </c>
      <c r="P237" s="176" t="s">
        <v>730</v>
      </c>
      <c r="Q237" s="184" t="s">
        <v>730</v>
      </c>
      <c r="R237" s="155">
        <v>0</v>
      </c>
      <c r="S237" s="176">
        <v>0</v>
      </c>
      <c r="T237" s="182" t="e">
        <f>VLOOKUP(A237,#REF!,9,FALSE)</f>
        <v>#REF!</v>
      </c>
      <c r="U237" s="155" t="s">
        <v>632</v>
      </c>
      <c r="V237" s="155" t="s">
        <v>632</v>
      </c>
      <c r="W237" s="155">
        <v>0</v>
      </c>
      <c r="X237" s="155">
        <v>0</v>
      </c>
      <c r="Y237" s="183">
        <v>0</v>
      </c>
    </row>
    <row r="238" spans="1:25">
      <c r="A238" s="179">
        <v>222797146</v>
      </c>
      <c r="B238" t="s">
        <v>1279</v>
      </c>
      <c r="C238" t="s">
        <v>750</v>
      </c>
      <c r="D238" t="s">
        <v>989</v>
      </c>
      <c r="E238" t="s">
        <v>698</v>
      </c>
      <c r="F238" t="s">
        <v>2086</v>
      </c>
      <c r="G238" s="180" t="s">
        <v>1279</v>
      </c>
      <c r="H238" s="180" t="s">
        <v>2205</v>
      </c>
      <c r="I238" s="176" t="s">
        <v>1926</v>
      </c>
      <c r="J238" s="181">
        <v>43392</v>
      </c>
      <c r="K238" s="140">
        <v>47177</v>
      </c>
      <c r="L238" s="155">
        <v>0</v>
      </c>
      <c r="M238" s="155">
        <v>0</v>
      </c>
      <c r="N238" s="155">
        <v>0</v>
      </c>
      <c r="O238" s="155" t="s">
        <v>730</v>
      </c>
      <c r="P238" s="176" t="s">
        <v>730</v>
      </c>
      <c r="Q238" s="184" t="s">
        <v>730</v>
      </c>
      <c r="R238" s="155">
        <v>0</v>
      </c>
      <c r="S238" s="176">
        <v>0</v>
      </c>
      <c r="T238" s="182" t="e">
        <f>VLOOKUP(A238,#REF!,9,FALSE)</f>
        <v>#REF!</v>
      </c>
      <c r="U238" s="155" t="s">
        <v>632</v>
      </c>
      <c r="V238" s="155" t="s">
        <v>632</v>
      </c>
      <c r="W238" s="155">
        <v>0</v>
      </c>
      <c r="X238" s="155">
        <v>0</v>
      </c>
      <c r="Y238" s="183">
        <v>0</v>
      </c>
    </row>
    <row r="239" spans="1:25">
      <c r="A239" s="179">
        <v>222797147</v>
      </c>
      <c r="B239" t="s">
        <v>1281</v>
      </c>
      <c r="C239" t="s">
        <v>750</v>
      </c>
      <c r="D239" t="s">
        <v>989</v>
      </c>
      <c r="E239" t="s">
        <v>698</v>
      </c>
      <c r="F239" t="s">
        <v>2086</v>
      </c>
      <c r="G239" s="180" t="s">
        <v>1281</v>
      </c>
      <c r="H239" s="180" t="s">
        <v>2206</v>
      </c>
      <c r="I239" s="176" t="s">
        <v>1926</v>
      </c>
      <c r="J239" s="181">
        <v>43392</v>
      </c>
      <c r="K239" s="140">
        <v>47177</v>
      </c>
      <c r="L239" s="155">
        <v>0</v>
      </c>
      <c r="M239" s="155">
        <v>0</v>
      </c>
      <c r="N239" s="155">
        <v>0</v>
      </c>
      <c r="O239" s="155" t="s">
        <v>730</v>
      </c>
      <c r="P239" s="176" t="s">
        <v>730</v>
      </c>
      <c r="Q239" s="184" t="s">
        <v>730</v>
      </c>
      <c r="R239" s="155">
        <v>0</v>
      </c>
      <c r="S239" s="176">
        <v>0</v>
      </c>
      <c r="T239" s="182" t="e">
        <f>VLOOKUP(A239,#REF!,9,FALSE)</f>
        <v>#REF!</v>
      </c>
      <c r="U239" s="155" t="s">
        <v>632</v>
      </c>
      <c r="V239" s="155" t="s">
        <v>632</v>
      </c>
      <c r="W239" s="155">
        <v>0</v>
      </c>
      <c r="X239" s="155">
        <v>0</v>
      </c>
      <c r="Y239" s="183">
        <v>0</v>
      </c>
    </row>
    <row r="240" spans="1:25">
      <c r="A240" s="179">
        <v>222797148</v>
      </c>
      <c r="B240" t="s">
        <v>1283</v>
      </c>
      <c r="C240" t="s">
        <v>750</v>
      </c>
      <c r="D240" t="s">
        <v>989</v>
      </c>
      <c r="E240" t="s">
        <v>698</v>
      </c>
      <c r="F240" t="s">
        <v>2086</v>
      </c>
      <c r="G240" s="180" t="s">
        <v>1283</v>
      </c>
      <c r="H240" s="180" t="s">
        <v>2207</v>
      </c>
      <c r="I240" s="176" t="s">
        <v>1926</v>
      </c>
      <c r="J240" s="181">
        <v>43392</v>
      </c>
      <c r="K240" s="140">
        <v>47177</v>
      </c>
      <c r="L240" s="155">
        <v>0</v>
      </c>
      <c r="M240" s="155">
        <v>0</v>
      </c>
      <c r="N240" s="155">
        <v>0</v>
      </c>
      <c r="O240" s="155" t="s">
        <v>730</v>
      </c>
      <c r="P240" s="176" t="s">
        <v>730</v>
      </c>
      <c r="Q240" s="184" t="s">
        <v>730</v>
      </c>
      <c r="R240" s="155">
        <v>0</v>
      </c>
      <c r="S240" s="176">
        <v>0</v>
      </c>
      <c r="T240" s="182" t="e">
        <f>VLOOKUP(A240,#REF!,9,FALSE)</f>
        <v>#REF!</v>
      </c>
      <c r="U240" s="155" t="s">
        <v>632</v>
      </c>
      <c r="V240" s="155" t="s">
        <v>632</v>
      </c>
      <c r="W240" s="155">
        <v>0</v>
      </c>
      <c r="X240" s="155">
        <v>0</v>
      </c>
      <c r="Y240" s="183">
        <v>0</v>
      </c>
    </row>
    <row r="241" spans="1:25">
      <c r="A241" s="179">
        <v>222797149</v>
      </c>
      <c r="B241" t="s">
        <v>1285</v>
      </c>
      <c r="C241" t="s">
        <v>750</v>
      </c>
      <c r="D241" t="s">
        <v>989</v>
      </c>
      <c r="E241" t="s">
        <v>698</v>
      </c>
      <c r="F241" t="s">
        <v>2086</v>
      </c>
      <c r="G241" s="180" t="s">
        <v>1285</v>
      </c>
      <c r="H241" s="180" t="s">
        <v>2208</v>
      </c>
      <c r="I241" s="176" t="s">
        <v>1926</v>
      </c>
      <c r="J241" s="181">
        <v>43392</v>
      </c>
      <c r="K241" s="140">
        <v>47177</v>
      </c>
      <c r="L241" s="155">
        <v>0</v>
      </c>
      <c r="M241" s="155">
        <v>0</v>
      </c>
      <c r="N241" s="155">
        <v>0</v>
      </c>
      <c r="O241" s="155" t="s">
        <v>730</v>
      </c>
      <c r="P241" s="176" t="s">
        <v>730</v>
      </c>
      <c r="Q241" s="184" t="s">
        <v>730</v>
      </c>
      <c r="R241" s="155">
        <v>0</v>
      </c>
      <c r="S241" s="176">
        <v>0</v>
      </c>
      <c r="T241" s="182" t="e">
        <f>VLOOKUP(A241,#REF!,9,FALSE)</f>
        <v>#REF!</v>
      </c>
      <c r="U241" s="155" t="s">
        <v>632</v>
      </c>
      <c r="V241" s="155" t="s">
        <v>632</v>
      </c>
      <c r="W241" s="155">
        <v>0</v>
      </c>
      <c r="X241" s="155">
        <v>0</v>
      </c>
      <c r="Y241" s="183">
        <v>0</v>
      </c>
    </row>
    <row r="242" spans="1:25">
      <c r="A242" s="179">
        <v>222797150</v>
      </c>
      <c r="B242" t="s">
        <v>1287</v>
      </c>
      <c r="C242" t="s">
        <v>750</v>
      </c>
      <c r="D242" t="s">
        <v>989</v>
      </c>
      <c r="E242" t="s">
        <v>698</v>
      </c>
      <c r="F242" t="s">
        <v>2086</v>
      </c>
      <c r="G242" s="180" t="s">
        <v>1287</v>
      </c>
      <c r="H242" s="180" t="s">
        <v>2209</v>
      </c>
      <c r="I242" s="176" t="s">
        <v>1926</v>
      </c>
      <c r="J242" s="181">
        <v>43392</v>
      </c>
      <c r="K242" s="140">
        <v>47177</v>
      </c>
      <c r="L242" s="155">
        <v>0</v>
      </c>
      <c r="M242" s="155">
        <v>0</v>
      </c>
      <c r="N242" s="155">
        <v>0</v>
      </c>
      <c r="O242" s="155" t="s">
        <v>730</v>
      </c>
      <c r="P242" s="176" t="s">
        <v>730</v>
      </c>
      <c r="Q242" s="184" t="s">
        <v>730</v>
      </c>
      <c r="R242" s="155">
        <v>0</v>
      </c>
      <c r="S242" s="176">
        <v>0</v>
      </c>
      <c r="T242" s="182" t="e">
        <f>VLOOKUP(A242,#REF!,9,FALSE)</f>
        <v>#REF!</v>
      </c>
      <c r="U242" s="155" t="s">
        <v>632</v>
      </c>
      <c r="V242" s="155" t="s">
        <v>632</v>
      </c>
      <c r="W242" s="155">
        <v>0</v>
      </c>
      <c r="X242" s="155">
        <v>0</v>
      </c>
      <c r="Y242" s="183">
        <v>0</v>
      </c>
    </row>
    <row r="243" spans="1:25">
      <c r="A243" s="179">
        <v>222797151</v>
      </c>
      <c r="B243" t="s">
        <v>1289</v>
      </c>
      <c r="C243" t="s">
        <v>750</v>
      </c>
      <c r="D243" t="s">
        <v>989</v>
      </c>
      <c r="E243" t="s">
        <v>698</v>
      </c>
      <c r="F243" t="s">
        <v>2086</v>
      </c>
      <c r="G243" s="180" t="s">
        <v>1289</v>
      </c>
      <c r="H243" s="180" t="s">
        <v>2210</v>
      </c>
      <c r="I243" s="176" t="s">
        <v>1926</v>
      </c>
      <c r="J243" s="181">
        <v>43392</v>
      </c>
      <c r="K243" s="140">
        <v>47177</v>
      </c>
      <c r="L243" s="155">
        <v>0</v>
      </c>
      <c r="M243" s="155">
        <v>0</v>
      </c>
      <c r="N243" s="155">
        <v>0</v>
      </c>
      <c r="O243" s="155" t="s">
        <v>730</v>
      </c>
      <c r="P243" s="176" t="s">
        <v>730</v>
      </c>
      <c r="Q243" s="184" t="s">
        <v>730</v>
      </c>
      <c r="R243" s="155">
        <v>0</v>
      </c>
      <c r="S243" s="176">
        <v>0</v>
      </c>
      <c r="T243" s="182" t="e">
        <f>VLOOKUP(A243,#REF!,9,FALSE)</f>
        <v>#REF!</v>
      </c>
      <c r="U243" s="155" t="s">
        <v>632</v>
      </c>
      <c r="V243" s="155" t="s">
        <v>632</v>
      </c>
      <c r="W243" s="155">
        <v>0</v>
      </c>
      <c r="X243" s="155">
        <v>0</v>
      </c>
      <c r="Y243" s="183">
        <v>0</v>
      </c>
    </row>
    <row r="244" spans="1:25">
      <c r="A244" s="179">
        <v>222797152</v>
      </c>
      <c r="B244" t="s">
        <v>1291</v>
      </c>
      <c r="C244" t="s">
        <v>750</v>
      </c>
      <c r="D244" t="s">
        <v>989</v>
      </c>
      <c r="E244" t="s">
        <v>698</v>
      </c>
      <c r="F244" t="s">
        <v>2086</v>
      </c>
      <c r="G244" s="180" t="s">
        <v>1291</v>
      </c>
      <c r="H244" s="180" t="s">
        <v>2211</v>
      </c>
      <c r="I244" s="176" t="s">
        <v>1926</v>
      </c>
      <c r="J244" s="181">
        <v>43392</v>
      </c>
      <c r="K244" s="140">
        <v>47177</v>
      </c>
      <c r="L244" s="155">
        <v>0</v>
      </c>
      <c r="M244" s="155">
        <v>0</v>
      </c>
      <c r="N244" s="155">
        <v>0</v>
      </c>
      <c r="O244" s="155" t="s">
        <v>730</v>
      </c>
      <c r="P244" s="176" t="s">
        <v>730</v>
      </c>
      <c r="Q244" s="184" t="s">
        <v>730</v>
      </c>
      <c r="R244" s="155">
        <v>0</v>
      </c>
      <c r="S244" s="176">
        <v>0</v>
      </c>
      <c r="T244" s="182" t="e">
        <f>VLOOKUP(A244,#REF!,9,FALSE)</f>
        <v>#REF!</v>
      </c>
      <c r="U244" s="155" t="s">
        <v>632</v>
      </c>
      <c r="V244" s="155" t="s">
        <v>632</v>
      </c>
      <c r="W244" s="155">
        <v>0</v>
      </c>
      <c r="X244" s="155">
        <v>0</v>
      </c>
      <c r="Y244" s="183">
        <v>0</v>
      </c>
    </row>
    <row r="245" spans="1:25">
      <c r="A245" s="179">
        <v>222797153</v>
      </c>
      <c r="B245" t="s">
        <v>1293</v>
      </c>
      <c r="C245" t="s">
        <v>750</v>
      </c>
      <c r="D245" t="s">
        <v>989</v>
      </c>
      <c r="E245" t="s">
        <v>698</v>
      </c>
      <c r="F245" t="s">
        <v>2086</v>
      </c>
      <c r="G245" s="180" t="s">
        <v>1293</v>
      </c>
      <c r="H245" s="180" t="s">
        <v>2212</v>
      </c>
      <c r="I245" s="176" t="s">
        <v>1926</v>
      </c>
      <c r="J245" s="181">
        <v>43392</v>
      </c>
      <c r="K245" s="140">
        <v>47177</v>
      </c>
      <c r="L245" s="155">
        <v>0</v>
      </c>
      <c r="M245" s="155">
        <v>0</v>
      </c>
      <c r="N245" s="155">
        <v>0</v>
      </c>
      <c r="O245" s="155" t="s">
        <v>730</v>
      </c>
      <c r="P245" s="176" t="s">
        <v>730</v>
      </c>
      <c r="Q245" s="184" t="s">
        <v>730</v>
      </c>
      <c r="R245" s="155">
        <v>0</v>
      </c>
      <c r="S245" s="176">
        <v>0</v>
      </c>
      <c r="T245" s="182" t="e">
        <f>VLOOKUP(A245,#REF!,9,FALSE)</f>
        <v>#REF!</v>
      </c>
      <c r="U245" s="155" t="s">
        <v>632</v>
      </c>
      <c r="V245" s="155" t="s">
        <v>632</v>
      </c>
      <c r="W245" s="155">
        <v>0</v>
      </c>
      <c r="X245" s="155">
        <v>0</v>
      </c>
      <c r="Y245" s="183">
        <v>0</v>
      </c>
    </row>
    <row r="246" spans="1:25">
      <c r="A246" s="179">
        <v>222797154</v>
      </c>
      <c r="B246" t="s">
        <v>1295</v>
      </c>
      <c r="C246" t="s">
        <v>750</v>
      </c>
      <c r="D246" t="s">
        <v>989</v>
      </c>
      <c r="E246" t="s">
        <v>698</v>
      </c>
      <c r="F246" t="s">
        <v>2086</v>
      </c>
      <c r="G246" s="180" t="s">
        <v>1295</v>
      </c>
      <c r="H246" s="180" t="s">
        <v>2213</v>
      </c>
      <c r="I246" s="176" t="s">
        <v>1926</v>
      </c>
      <c r="J246" s="181">
        <v>43392</v>
      </c>
      <c r="K246" s="140">
        <v>47177</v>
      </c>
      <c r="L246" s="155">
        <v>0</v>
      </c>
      <c r="M246" s="155">
        <v>0</v>
      </c>
      <c r="N246" s="155">
        <v>0</v>
      </c>
      <c r="O246" s="155" t="s">
        <v>730</v>
      </c>
      <c r="P246" s="176" t="s">
        <v>730</v>
      </c>
      <c r="Q246" s="184" t="s">
        <v>730</v>
      </c>
      <c r="R246" s="155">
        <v>0</v>
      </c>
      <c r="S246" s="176">
        <v>0</v>
      </c>
      <c r="T246" s="182" t="e">
        <f>VLOOKUP(A246,#REF!,9,FALSE)</f>
        <v>#REF!</v>
      </c>
      <c r="U246" s="155" t="s">
        <v>632</v>
      </c>
      <c r="V246" s="155" t="s">
        <v>632</v>
      </c>
      <c r="W246" s="155">
        <v>0</v>
      </c>
      <c r="X246" s="155">
        <v>0</v>
      </c>
      <c r="Y246" s="183">
        <v>0</v>
      </c>
    </row>
    <row r="247" spans="1:25">
      <c r="A247" s="179">
        <v>222797155</v>
      </c>
      <c r="B247" t="s">
        <v>1297</v>
      </c>
      <c r="C247" t="s">
        <v>750</v>
      </c>
      <c r="D247" t="s">
        <v>989</v>
      </c>
      <c r="E247" t="s">
        <v>698</v>
      </c>
      <c r="F247" t="s">
        <v>2086</v>
      </c>
      <c r="G247" s="180" t="s">
        <v>1297</v>
      </c>
      <c r="H247" s="180" t="s">
        <v>2214</v>
      </c>
      <c r="I247" s="176" t="s">
        <v>1926</v>
      </c>
      <c r="J247" s="181">
        <v>43392</v>
      </c>
      <c r="K247" s="140">
        <v>47177</v>
      </c>
      <c r="L247" s="155">
        <v>0</v>
      </c>
      <c r="M247" s="155">
        <v>0</v>
      </c>
      <c r="N247" s="155">
        <v>0</v>
      </c>
      <c r="O247" s="155" t="s">
        <v>730</v>
      </c>
      <c r="P247" s="176" t="s">
        <v>730</v>
      </c>
      <c r="Q247" s="184" t="s">
        <v>730</v>
      </c>
      <c r="R247" s="155">
        <v>0</v>
      </c>
      <c r="S247" s="176">
        <v>0</v>
      </c>
      <c r="T247" s="182" t="e">
        <f>VLOOKUP(A247,#REF!,9,FALSE)</f>
        <v>#REF!</v>
      </c>
      <c r="U247" s="155" t="s">
        <v>632</v>
      </c>
      <c r="V247" s="155" t="s">
        <v>632</v>
      </c>
      <c r="W247" s="155">
        <v>0</v>
      </c>
      <c r="X247" s="155">
        <v>0</v>
      </c>
      <c r="Y247" s="183">
        <v>0</v>
      </c>
    </row>
    <row r="248" spans="1:25">
      <c r="A248" s="179">
        <v>222797156</v>
      </c>
      <c r="B248" t="s">
        <v>1299</v>
      </c>
      <c r="C248" t="s">
        <v>750</v>
      </c>
      <c r="D248" t="s">
        <v>989</v>
      </c>
      <c r="E248" t="s">
        <v>698</v>
      </c>
      <c r="F248" t="s">
        <v>2086</v>
      </c>
      <c r="G248" s="180" t="s">
        <v>1299</v>
      </c>
      <c r="H248" s="180" t="s">
        <v>2215</v>
      </c>
      <c r="I248" s="176" t="s">
        <v>1926</v>
      </c>
      <c r="J248" s="181">
        <v>43392</v>
      </c>
      <c r="K248" s="140">
        <v>47177</v>
      </c>
      <c r="L248" s="155">
        <v>0</v>
      </c>
      <c r="M248" s="155">
        <v>0</v>
      </c>
      <c r="N248" s="155">
        <v>0</v>
      </c>
      <c r="O248" s="155" t="s">
        <v>730</v>
      </c>
      <c r="P248" s="176" t="s">
        <v>730</v>
      </c>
      <c r="Q248" s="184" t="s">
        <v>730</v>
      </c>
      <c r="R248" s="155">
        <v>0</v>
      </c>
      <c r="S248" s="176">
        <v>0</v>
      </c>
      <c r="T248" s="182" t="e">
        <f>VLOOKUP(A248,#REF!,9,FALSE)</f>
        <v>#REF!</v>
      </c>
      <c r="U248" s="155" t="s">
        <v>632</v>
      </c>
      <c r="V248" s="155" t="s">
        <v>632</v>
      </c>
      <c r="W248" s="155">
        <v>0</v>
      </c>
      <c r="X248" s="155">
        <v>0</v>
      </c>
      <c r="Y248" s="183">
        <v>0</v>
      </c>
    </row>
    <row r="249" spans="1:25">
      <c r="A249" s="179">
        <v>222797157</v>
      </c>
      <c r="B249" t="s">
        <v>1301</v>
      </c>
      <c r="C249" t="s">
        <v>750</v>
      </c>
      <c r="D249" t="s">
        <v>989</v>
      </c>
      <c r="E249" t="s">
        <v>698</v>
      </c>
      <c r="F249" t="s">
        <v>2086</v>
      </c>
      <c r="G249" s="180" t="s">
        <v>1301</v>
      </c>
      <c r="H249" s="180" t="s">
        <v>2216</v>
      </c>
      <c r="I249" s="176" t="s">
        <v>1926</v>
      </c>
      <c r="J249" s="181">
        <v>43392</v>
      </c>
      <c r="K249" s="140">
        <v>47177</v>
      </c>
      <c r="L249" s="155">
        <v>0</v>
      </c>
      <c r="M249" s="155">
        <v>0</v>
      </c>
      <c r="N249" s="155">
        <v>0</v>
      </c>
      <c r="O249" s="155" t="s">
        <v>730</v>
      </c>
      <c r="P249" s="176" t="s">
        <v>730</v>
      </c>
      <c r="Q249" s="184" t="s">
        <v>730</v>
      </c>
      <c r="R249" s="155">
        <v>0</v>
      </c>
      <c r="S249" s="176">
        <v>0</v>
      </c>
      <c r="T249" s="182" t="e">
        <f>VLOOKUP(A249,#REF!,9,FALSE)</f>
        <v>#REF!</v>
      </c>
      <c r="U249" s="155" t="s">
        <v>632</v>
      </c>
      <c r="V249" s="155" t="s">
        <v>632</v>
      </c>
      <c r="W249" s="155">
        <v>0</v>
      </c>
      <c r="X249" s="155">
        <v>0</v>
      </c>
      <c r="Y249" s="183">
        <v>0</v>
      </c>
    </row>
    <row r="250" spans="1:25">
      <c r="A250" s="179">
        <v>222797158</v>
      </c>
      <c r="B250" t="s">
        <v>1303</v>
      </c>
      <c r="C250" t="s">
        <v>750</v>
      </c>
      <c r="D250" t="s">
        <v>989</v>
      </c>
      <c r="E250" t="s">
        <v>698</v>
      </c>
      <c r="F250" t="s">
        <v>2086</v>
      </c>
      <c r="G250" s="180" t="s">
        <v>1303</v>
      </c>
      <c r="H250" s="180" t="s">
        <v>2217</v>
      </c>
      <c r="I250" s="176" t="s">
        <v>1926</v>
      </c>
      <c r="J250" s="181">
        <v>43392</v>
      </c>
      <c r="K250" s="140">
        <v>47177</v>
      </c>
      <c r="L250" s="155">
        <v>0</v>
      </c>
      <c r="M250" s="155">
        <v>0</v>
      </c>
      <c r="N250" s="155">
        <v>0</v>
      </c>
      <c r="O250" s="155" t="s">
        <v>730</v>
      </c>
      <c r="P250" s="176" t="s">
        <v>730</v>
      </c>
      <c r="Q250" s="184" t="s">
        <v>730</v>
      </c>
      <c r="R250" s="155">
        <v>0</v>
      </c>
      <c r="S250" s="176">
        <v>0</v>
      </c>
      <c r="T250" s="182" t="e">
        <f>VLOOKUP(A250,#REF!,9,FALSE)</f>
        <v>#REF!</v>
      </c>
      <c r="U250" s="155" t="s">
        <v>632</v>
      </c>
      <c r="V250" s="155" t="s">
        <v>632</v>
      </c>
      <c r="W250" s="155">
        <v>0</v>
      </c>
      <c r="X250" s="155">
        <v>0</v>
      </c>
      <c r="Y250" s="183">
        <v>0</v>
      </c>
    </row>
    <row r="251" spans="1:25">
      <c r="A251" s="179">
        <v>222797159</v>
      </c>
      <c r="B251" t="s">
        <v>1305</v>
      </c>
      <c r="C251" t="s">
        <v>750</v>
      </c>
      <c r="D251" t="s">
        <v>989</v>
      </c>
      <c r="E251" t="s">
        <v>698</v>
      </c>
      <c r="F251" t="s">
        <v>2086</v>
      </c>
      <c r="G251" s="180" t="s">
        <v>1305</v>
      </c>
      <c r="H251" s="180" t="s">
        <v>2218</v>
      </c>
      <c r="I251" s="176" t="s">
        <v>1926</v>
      </c>
      <c r="J251" s="181">
        <v>43392</v>
      </c>
      <c r="K251" s="140">
        <v>47177</v>
      </c>
      <c r="L251" s="155">
        <v>0</v>
      </c>
      <c r="M251" s="155">
        <v>0</v>
      </c>
      <c r="N251" s="155">
        <v>0</v>
      </c>
      <c r="O251" s="155" t="s">
        <v>730</v>
      </c>
      <c r="P251" s="176" t="s">
        <v>730</v>
      </c>
      <c r="Q251" s="184" t="s">
        <v>730</v>
      </c>
      <c r="R251" s="155">
        <v>0</v>
      </c>
      <c r="S251" s="176">
        <v>0</v>
      </c>
      <c r="T251" s="182" t="e">
        <f>VLOOKUP(A251,#REF!,9,FALSE)</f>
        <v>#REF!</v>
      </c>
      <c r="U251" s="155" t="s">
        <v>632</v>
      </c>
      <c r="V251" s="155" t="s">
        <v>632</v>
      </c>
      <c r="W251" s="155">
        <v>0</v>
      </c>
      <c r="X251" s="155">
        <v>0</v>
      </c>
      <c r="Y251" s="183">
        <v>0</v>
      </c>
    </row>
    <row r="252" spans="1:25">
      <c r="A252" s="179">
        <v>222797160</v>
      </c>
      <c r="B252" t="s">
        <v>1307</v>
      </c>
      <c r="C252" t="s">
        <v>750</v>
      </c>
      <c r="D252" t="s">
        <v>989</v>
      </c>
      <c r="E252" t="s">
        <v>698</v>
      </c>
      <c r="F252" t="s">
        <v>2086</v>
      </c>
      <c r="G252" s="180" t="s">
        <v>1307</v>
      </c>
      <c r="H252" s="180" t="s">
        <v>2219</v>
      </c>
      <c r="I252" s="176" t="s">
        <v>1926</v>
      </c>
      <c r="J252" s="181">
        <v>43392</v>
      </c>
      <c r="K252" s="140">
        <v>47177</v>
      </c>
      <c r="L252" s="155">
        <v>0</v>
      </c>
      <c r="M252" s="155">
        <v>0</v>
      </c>
      <c r="N252" s="155">
        <v>0</v>
      </c>
      <c r="O252" s="155" t="s">
        <v>730</v>
      </c>
      <c r="P252" s="176" t="s">
        <v>730</v>
      </c>
      <c r="Q252" s="184" t="s">
        <v>730</v>
      </c>
      <c r="R252" s="155">
        <v>0</v>
      </c>
      <c r="S252" s="176">
        <v>0</v>
      </c>
      <c r="T252" s="182" t="e">
        <f>VLOOKUP(A252,#REF!,9,FALSE)</f>
        <v>#REF!</v>
      </c>
      <c r="U252" s="155" t="s">
        <v>632</v>
      </c>
      <c r="V252" s="155" t="s">
        <v>632</v>
      </c>
      <c r="W252" s="155">
        <v>0</v>
      </c>
      <c r="X252" s="155">
        <v>0</v>
      </c>
      <c r="Y252" s="183">
        <v>0</v>
      </c>
    </row>
    <row r="253" spans="1:25">
      <c r="A253" s="179">
        <v>222797161</v>
      </c>
      <c r="B253" t="s">
        <v>1309</v>
      </c>
      <c r="C253" t="s">
        <v>750</v>
      </c>
      <c r="D253" t="s">
        <v>989</v>
      </c>
      <c r="E253" t="s">
        <v>698</v>
      </c>
      <c r="F253" t="s">
        <v>2086</v>
      </c>
      <c r="G253" s="180" t="s">
        <v>1309</v>
      </c>
      <c r="H253" s="180" t="s">
        <v>2220</v>
      </c>
      <c r="I253" s="176" t="s">
        <v>1926</v>
      </c>
      <c r="J253" s="181">
        <v>43392</v>
      </c>
      <c r="K253" s="140">
        <v>47177</v>
      </c>
      <c r="L253" s="155">
        <v>0</v>
      </c>
      <c r="M253" s="155">
        <v>0</v>
      </c>
      <c r="N253" s="155">
        <v>0</v>
      </c>
      <c r="O253" s="155" t="s">
        <v>730</v>
      </c>
      <c r="P253" s="176" t="s">
        <v>730</v>
      </c>
      <c r="Q253" s="184" t="s">
        <v>730</v>
      </c>
      <c r="R253" s="155">
        <v>0</v>
      </c>
      <c r="S253" s="176">
        <v>0</v>
      </c>
      <c r="T253" s="182" t="e">
        <f>VLOOKUP(A253,#REF!,9,FALSE)</f>
        <v>#REF!</v>
      </c>
      <c r="U253" s="155" t="s">
        <v>632</v>
      </c>
      <c r="V253" s="155" t="s">
        <v>632</v>
      </c>
      <c r="W253" s="155">
        <v>0</v>
      </c>
      <c r="X253" s="155">
        <v>0</v>
      </c>
      <c r="Y253" s="183">
        <v>0</v>
      </c>
    </row>
    <row r="254" spans="1:25">
      <c r="A254" s="179">
        <v>222797163</v>
      </c>
      <c r="B254" t="s">
        <v>1311</v>
      </c>
      <c r="C254" t="s">
        <v>750</v>
      </c>
      <c r="D254" t="s">
        <v>989</v>
      </c>
      <c r="E254" t="s">
        <v>698</v>
      </c>
      <c r="F254" t="s">
        <v>2055</v>
      </c>
      <c r="G254" s="180" t="s">
        <v>1311</v>
      </c>
      <c r="H254" s="180" t="s">
        <v>2221</v>
      </c>
      <c r="I254" s="176" t="s">
        <v>1926</v>
      </c>
      <c r="J254" s="185" t="s">
        <v>730</v>
      </c>
      <c r="K254" t="s">
        <v>730</v>
      </c>
      <c r="L254" s="155">
        <v>0</v>
      </c>
      <c r="M254" s="155">
        <v>0</v>
      </c>
      <c r="N254" s="155">
        <v>0</v>
      </c>
      <c r="O254" s="155" t="s">
        <v>730</v>
      </c>
      <c r="P254" s="176" t="s">
        <v>730</v>
      </c>
      <c r="Q254" s="184" t="s">
        <v>730</v>
      </c>
      <c r="R254" s="155">
        <v>0</v>
      </c>
      <c r="S254" s="176">
        <v>0</v>
      </c>
      <c r="T254" s="182" t="e">
        <f>VLOOKUP(A254,#REF!,9,FALSE)</f>
        <v>#REF!</v>
      </c>
      <c r="U254" s="155" t="s">
        <v>632</v>
      </c>
      <c r="V254" s="155" t="s">
        <v>632</v>
      </c>
      <c r="W254" s="155">
        <v>0</v>
      </c>
      <c r="X254" s="155">
        <v>0</v>
      </c>
      <c r="Y254" s="183">
        <v>0</v>
      </c>
    </row>
    <row r="255" spans="1:25">
      <c r="A255" s="179">
        <v>222797164</v>
      </c>
      <c r="B255" t="s">
        <v>1313</v>
      </c>
      <c r="C255" t="s">
        <v>750</v>
      </c>
      <c r="D255" t="s">
        <v>989</v>
      </c>
      <c r="E255" t="s">
        <v>698</v>
      </c>
      <c r="F255" t="s">
        <v>2055</v>
      </c>
      <c r="G255" s="180" t="s">
        <v>1313</v>
      </c>
      <c r="H255" s="180" t="s">
        <v>2222</v>
      </c>
      <c r="I255" s="176" t="s">
        <v>1926</v>
      </c>
      <c r="J255" s="185" t="s">
        <v>730</v>
      </c>
      <c r="K255" t="s">
        <v>730</v>
      </c>
      <c r="L255" s="155">
        <v>0</v>
      </c>
      <c r="M255" s="155">
        <v>0</v>
      </c>
      <c r="N255" s="155">
        <v>0</v>
      </c>
      <c r="O255" s="155" t="s">
        <v>730</v>
      </c>
      <c r="P255" s="176" t="s">
        <v>730</v>
      </c>
      <c r="Q255" s="184" t="s">
        <v>730</v>
      </c>
      <c r="R255" s="155">
        <v>0</v>
      </c>
      <c r="S255" s="176">
        <v>0</v>
      </c>
      <c r="T255" s="182" t="e">
        <f>VLOOKUP(A255,#REF!,9,FALSE)</f>
        <v>#REF!</v>
      </c>
      <c r="U255" s="155" t="s">
        <v>632</v>
      </c>
      <c r="V255" s="155" t="s">
        <v>632</v>
      </c>
      <c r="W255" s="155">
        <v>0</v>
      </c>
      <c r="X255" s="155">
        <v>0</v>
      </c>
      <c r="Y255" s="183">
        <v>0</v>
      </c>
    </row>
    <row r="256" spans="1:25">
      <c r="A256" s="179">
        <v>222797165</v>
      </c>
      <c r="B256" t="s">
        <v>1315</v>
      </c>
      <c r="C256" t="s">
        <v>750</v>
      </c>
      <c r="D256" t="s">
        <v>989</v>
      </c>
      <c r="E256" t="s">
        <v>698</v>
      </c>
      <c r="F256" t="s">
        <v>2055</v>
      </c>
      <c r="G256" s="180" t="s">
        <v>1315</v>
      </c>
      <c r="H256" s="180" t="s">
        <v>2223</v>
      </c>
      <c r="I256" s="176" t="s">
        <v>1926</v>
      </c>
      <c r="J256" s="185" t="s">
        <v>730</v>
      </c>
      <c r="K256" t="s">
        <v>730</v>
      </c>
      <c r="L256" s="155">
        <v>0</v>
      </c>
      <c r="M256" s="155">
        <v>0</v>
      </c>
      <c r="N256" s="155">
        <v>0</v>
      </c>
      <c r="O256" s="155" t="s">
        <v>730</v>
      </c>
      <c r="P256" s="176" t="s">
        <v>730</v>
      </c>
      <c r="Q256" s="184" t="s">
        <v>730</v>
      </c>
      <c r="R256" s="155">
        <v>0</v>
      </c>
      <c r="S256" s="176">
        <v>0</v>
      </c>
      <c r="T256" s="182" t="e">
        <f>VLOOKUP(A256,#REF!,9,FALSE)</f>
        <v>#REF!</v>
      </c>
      <c r="U256" s="155" t="s">
        <v>632</v>
      </c>
      <c r="V256" s="155" t="s">
        <v>632</v>
      </c>
      <c r="W256" s="155">
        <v>0</v>
      </c>
      <c r="X256" s="155">
        <v>0</v>
      </c>
      <c r="Y256" s="183">
        <v>0</v>
      </c>
    </row>
    <row r="257" spans="1:25">
      <c r="A257" s="179">
        <v>222797166</v>
      </c>
      <c r="B257" t="s">
        <v>1317</v>
      </c>
      <c r="C257" t="s">
        <v>750</v>
      </c>
      <c r="D257" t="s">
        <v>989</v>
      </c>
      <c r="E257" t="s">
        <v>698</v>
      </c>
      <c r="F257" t="s">
        <v>2055</v>
      </c>
      <c r="G257" s="180" t="s">
        <v>1317</v>
      </c>
      <c r="H257" s="180" t="s">
        <v>2224</v>
      </c>
      <c r="I257" s="176" t="s">
        <v>1926</v>
      </c>
      <c r="J257" s="185" t="s">
        <v>730</v>
      </c>
      <c r="K257" t="s">
        <v>730</v>
      </c>
      <c r="L257" s="155">
        <v>0</v>
      </c>
      <c r="M257" s="155">
        <v>0</v>
      </c>
      <c r="N257" s="155">
        <v>0</v>
      </c>
      <c r="O257" s="155" t="s">
        <v>730</v>
      </c>
      <c r="P257" s="176" t="s">
        <v>730</v>
      </c>
      <c r="Q257" s="184" t="s">
        <v>730</v>
      </c>
      <c r="R257" s="155">
        <v>0</v>
      </c>
      <c r="S257" s="176">
        <v>0</v>
      </c>
      <c r="T257" s="182" t="e">
        <f>VLOOKUP(A257,#REF!,9,FALSE)</f>
        <v>#REF!</v>
      </c>
      <c r="U257" s="155" t="s">
        <v>632</v>
      </c>
      <c r="V257" s="155" t="s">
        <v>632</v>
      </c>
      <c r="W257" s="155">
        <v>0</v>
      </c>
      <c r="X257" s="155">
        <v>0</v>
      </c>
      <c r="Y257" s="183">
        <v>0</v>
      </c>
    </row>
    <row r="258" spans="1:25">
      <c r="A258" s="179">
        <v>222797167</v>
      </c>
      <c r="B258" t="s">
        <v>1319</v>
      </c>
      <c r="C258" t="s">
        <v>750</v>
      </c>
      <c r="D258" t="s">
        <v>989</v>
      </c>
      <c r="E258" t="s">
        <v>698</v>
      </c>
      <c r="F258" t="s">
        <v>2055</v>
      </c>
      <c r="G258" s="180" t="s">
        <v>1319</v>
      </c>
      <c r="H258" s="180" t="s">
        <v>2225</v>
      </c>
      <c r="I258" s="176" t="s">
        <v>1926</v>
      </c>
      <c r="J258" s="185" t="s">
        <v>730</v>
      </c>
      <c r="K258" t="s">
        <v>730</v>
      </c>
      <c r="L258" s="155">
        <v>0</v>
      </c>
      <c r="M258" s="155">
        <v>0</v>
      </c>
      <c r="N258" s="155">
        <v>0</v>
      </c>
      <c r="O258" s="155" t="s">
        <v>730</v>
      </c>
      <c r="P258" s="176" t="s">
        <v>730</v>
      </c>
      <c r="Q258" s="184" t="s">
        <v>730</v>
      </c>
      <c r="R258" s="155">
        <v>0</v>
      </c>
      <c r="S258" s="176">
        <v>0</v>
      </c>
      <c r="T258" s="182" t="e">
        <f>VLOOKUP(A258,#REF!,9,FALSE)</f>
        <v>#REF!</v>
      </c>
      <c r="U258" s="155" t="s">
        <v>632</v>
      </c>
      <c r="V258" s="155" t="s">
        <v>632</v>
      </c>
      <c r="W258" s="155">
        <v>0</v>
      </c>
      <c r="X258" s="155">
        <v>0</v>
      </c>
      <c r="Y258" s="183">
        <v>0</v>
      </c>
    </row>
    <row r="259" spans="1:25">
      <c r="A259" s="179">
        <v>222797168</v>
      </c>
      <c r="B259" t="s">
        <v>1321</v>
      </c>
      <c r="C259" t="s">
        <v>750</v>
      </c>
      <c r="D259" t="s">
        <v>989</v>
      </c>
      <c r="E259" t="s">
        <v>698</v>
      </c>
      <c r="F259" t="s">
        <v>2055</v>
      </c>
      <c r="G259" s="180" t="s">
        <v>1321</v>
      </c>
      <c r="H259" s="180" t="s">
        <v>2226</v>
      </c>
      <c r="I259" s="176" t="s">
        <v>1926</v>
      </c>
      <c r="J259" s="185" t="s">
        <v>730</v>
      </c>
      <c r="K259" t="s">
        <v>730</v>
      </c>
      <c r="L259" s="155">
        <v>0</v>
      </c>
      <c r="M259" s="155">
        <v>0</v>
      </c>
      <c r="N259" s="155">
        <v>0</v>
      </c>
      <c r="O259" s="155" t="s">
        <v>730</v>
      </c>
      <c r="P259" s="176" t="s">
        <v>730</v>
      </c>
      <c r="Q259" s="184" t="s">
        <v>730</v>
      </c>
      <c r="R259" s="155">
        <v>0</v>
      </c>
      <c r="S259" s="176">
        <v>0</v>
      </c>
      <c r="T259" s="182" t="e">
        <f>VLOOKUP(A259,#REF!,9,FALSE)</f>
        <v>#REF!</v>
      </c>
      <c r="U259" s="155" t="s">
        <v>632</v>
      </c>
      <c r="V259" s="155" t="s">
        <v>632</v>
      </c>
      <c r="W259" s="155">
        <v>0</v>
      </c>
      <c r="X259" s="155">
        <v>0</v>
      </c>
      <c r="Y259" s="183">
        <v>0</v>
      </c>
    </row>
    <row r="260" spans="1:25">
      <c r="A260" s="179">
        <v>222797169</v>
      </c>
      <c r="B260" t="s">
        <v>1323</v>
      </c>
      <c r="C260" t="s">
        <v>750</v>
      </c>
      <c r="D260" t="s">
        <v>989</v>
      </c>
      <c r="E260" t="s">
        <v>698</v>
      </c>
      <c r="F260" t="s">
        <v>2055</v>
      </c>
      <c r="G260" s="180" t="s">
        <v>1323</v>
      </c>
      <c r="H260" s="180" t="s">
        <v>2227</v>
      </c>
      <c r="I260" s="176" t="s">
        <v>1926</v>
      </c>
      <c r="J260" s="185" t="s">
        <v>730</v>
      </c>
      <c r="K260" t="s">
        <v>730</v>
      </c>
      <c r="L260" s="155">
        <v>0</v>
      </c>
      <c r="M260" s="155">
        <v>0</v>
      </c>
      <c r="N260" s="155">
        <v>0</v>
      </c>
      <c r="O260" s="155" t="s">
        <v>730</v>
      </c>
      <c r="P260" s="176" t="s">
        <v>730</v>
      </c>
      <c r="Q260" s="184" t="s">
        <v>730</v>
      </c>
      <c r="R260" s="155">
        <v>0</v>
      </c>
      <c r="S260" s="176">
        <v>0</v>
      </c>
      <c r="T260" s="182" t="e">
        <f>VLOOKUP(A260,#REF!,9,FALSE)</f>
        <v>#REF!</v>
      </c>
      <c r="U260" s="155" t="s">
        <v>632</v>
      </c>
      <c r="V260" s="155" t="s">
        <v>632</v>
      </c>
      <c r="W260" s="155">
        <v>0</v>
      </c>
      <c r="X260" s="155">
        <v>0</v>
      </c>
      <c r="Y260" s="183">
        <v>0</v>
      </c>
    </row>
    <row r="261" spans="1:25">
      <c r="A261" s="179">
        <v>222797170</v>
      </c>
      <c r="B261" t="s">
        <v>1325</v>
      </c>
      <c r="C261" t="s">
        <v>750</v>
      </c>
      <c r="D261" t="s">
        <v>989</v>
      </c>
      <c r="E261" t="s">
        <v>698</v>
      </c>
      <c r="F261" t="s">
        <v>2055</v>
      </c>
      <c r="G261" s="180" t="s">
        <v>1325</v>
      </c>
      <c r="H261" s="180" t="s">
        <v>2228</v>
      </c>
      <c r="I261" s="176" t="s">
        <v>1926</v>
      </c>
      <c r="J261" s="185" t="s">
        <v>730</v>
      </c>
      <c r="K261" t="s">
        <v>730</v>
      </c>
      <c r="L261" s="155">
        <v>0</v>
      </c>
      <c r="M261" s="155">
        <v>0</v>
      </c>
      <c r="N261" s="155">
        <v>0</v>
      </c>
      <c r="O261" s="155" t="s">
        <v>730</v>
      </c>
      <c r="P261" s="176" t="s">
        <v>730</v>
      </c>
      <c r="Q261" s="184" t="s">
        <v>730</v>
      </c>
      <c r="R261" s="155">
        <v>0</v>
      </c>
      <c r="S261" s="176">
        <v>0</v>
      </c>
      <c r="T261" s="182" t="e">
        <f>VLOOKUP(A261,#REF!,9,FALSE)</f>
        <v>#REF!</v>
      </c>
      <c r="U261" s="155" t="s">
        <v>632</v>
      </c>
      <c r="V261" s="155" t="s">
        <v>632</v>
      </c>
      <c r="W261" s="155">
        <v>0</v>
      </c>
      <c r="X261" s="155">
        <v>0</v>
      </c>
      <c r="Y261" s="183">
        <v>0</v>
      </c>
    </row>
    <row r="262" spans="1:25">
      <c r="A262" s="179">
        <v>222797171</v>
      </c>
      <c r="B262" t="s">
        <v>1327</v>
      </c>
      <c r="C262" t="s">
        <v>750</v>
      </c>
      <c r="D262" t="s">
        <v>989</v>
      </c>
      <c r="E262" t="s">
        <v>698</v>
      </c>
      <c r="F262" t="s">
        <v>2055</v>
      </c>
      <c r="G262" s="180" t="s">
        <v>1327</v>
      </c>
      <c r="H262" s="180" t="s">
        <v>2229</v>
      </c>
      <c r="I262" s="176" t="s">
        <v>1926</v>
      </c>
      <c r="J262" s="185" t="s">
        <v>730</v>
      </c>
      <c r="K262" t="s">
        <v>730</v>
      </c>
      <c r="L262" s="155">
        <v>0</v>
      </c>
      <c r="M262" s="155">
        <v>0</v>
      </c>
      <c r="N262" s="155">
        <v>0</v>
      </c>
      <c r="O262" s="155" t="s">
        <v>730</v>
      </c>
      <c r="P262" s="176" t="s">
        <v>730</v>
      </c>
      <c r="Q262" s="184" t="s">
        <v>730</v>
      </c>
      <c r="R262" s="155">
        <v>0</v>
      </c>
      <c r="S262" s="176">
        <v>0</v>
      </c>
      <c r="T262" s="182" t="e">
        <f>VLOOKUP(A262,#REF!,9,FALSE)</f>
        <v>#REF!</v>
      </c>
      <c r="U262" s="155" t="s">
        <v>632</v>
      </c>
      <c r="V262" s="155" t="s">
        <v>632</v>
      </c>
      <c r="W262" s="155">
        <v>0</v>
      </c>
      <c r="X262" s="155">
        <v>0</v>
      </c>
      <c r="Y262" s="183">
        <v>0</v>
      </c>
    </row>
    <row r="263" spans="1:25">
      <c r="A263" s="179">
        <v>222797172</v>
      </c>
      <c r="B263" t="s">
        <v>1329</v>
      </c>
      <c r="C263" t="s">
        <v>750</v>
      </c>
      <c r="D263" t="s">
        <v>989</v>
      </c>
      <c r="E263" t="s">
        <v>698</v>
      </c>
      <c r="F263" t="s">
        <v>2055</v>
      </c>
      <c r="G263" s="180" t="s">
        <v>1329</v>
      </c>
      <c r="H263" s="180" t="s">
        <v>2230</v>
      </c>
      <c r="I263" s="176" t="s">
        <v>1926</v>
      </c>
      <c r="J263" s="185" t="s">
        <v>730</v>
      </c>
      <c r="K263" t="s">
        <v>730</v>
      </c>
      <c r="L263" s="155">
        <v>0</v>
      </c>
      <c r="M263" s="155">
        <v>0</v>
      </c>
      <c r="N263" s="155">
        <v>0</v>
      </c>
      <c r="O263" s="155" t="s">
        <v>730</v>
      </c>
      <c r="P263" s="176" t="s">
        <v>730</v>
      </c>
      <c r="Q263" s="184" t="s">
        <v>730</v>
      </c>
      <c r="R263" s="155">
        <v>0</v>
      </c>
      <c r="S263" s="176">
        <v>0</v>
      </c>
      <c r="T263" s="182" t="e">
        <f>VLOOKUP(A263,#REF!,9,FALSE)</f>
        <v>#REF!</v>
      </c>
      <c r="U263" s="155" t="s">
        <v>632</v>
      </c>
      <c r="V263" s="155" t="s">
        <v>632</v>
      </c>
      <c r="W263" s="155">
        <v>0</v>
      </c>
      <c r="X263" s="155">
        <v>0</v>
      </c>
      <c r="Y263" s="183">
        <v>0</v>
      </c>
    </row>
    <row r="264" spans="1:25">
      <c r="A264" s="179">
        <v>222797173</v>
      </c>
      <c r="B264" t="s">
        <v>1331</v>
      </c>
      <c r="C264" t="s">
        <v>750</v>
      </c>
      <c r="D264" t="s">
        <v>989</v>
      </c>
      <c r="E264" t="s">
        <v>698</v>
      </c>
      <c r="F264" t="s">
        <v>2055</v>
      </c>
      <c r="G264" s="180" t="s">
        <v>1331</v>
      </c>
      <c r="H264" s="180" t="s">
        <v>2231</v>
      </c>
      <c r="I264" s="176" t="s">
        <v>1926</v>
      </c>
      <c r="J264" s="185" t="s">
        <v>730</v>
      </c>
      <c r="K264" t="s">
        <v>730</v>
      </c>
      <c r="L264" s="155">
        <v>0</v>
      </c>
      <c r="M264" s="155">
        <v>0</v>
      </c>
      <c r="N264" s="155">
        <v>0</v>
      </c>
      <c r="O264" s="155" t="s">
        <v>730</v>
      </c>
      <c r="P264" s="176" t="s">
        <v>730</v>
      </c>
      <c r="Q264" s="184" t="s">
        <v>730</v>
      </c>
      <c r="R264" s="155">
        <v>0</v>
      </c>
      <c r="S264" s="176">
        <v>0</v>
      </c>
      <c r="T264" s="182" t="e">
        <f>VLOOKUP(A264,#REF!,9,FALSE)</f>
        <v>#REF!</v>
      </c>
      <c r="U264" s="155" t="s">
        <v>632</v>
      </c>
      <c r="V264" s="155" t="s">
        <v>632</v>
      </c>
      <c r="W264" s="155">
        <v>0</v>
      </c>
      <c r="X264" s="155">
        <v>0</v>
      </c>
      <c r="Y264" s="183">
        <v>0</v>
      </c>
    </row>
    <row r="265" spans="1:25">
      <c r="A265" s="179">
        <v>222797174</v>
      </c>
      <c r="B265" t="s">
        <v>1333</v>
      </c>
      <c r="C265" t="s">
        <v>750</v>
      </c>
      <c r="D265" t="s">
        <v>989</v>
      </c>
      <c r="E265" t="s">
        <v>698</v>
      </c>
      <c r="F265" t="s">
        <v>2055</v>
      </c>
      <c r="G265" s="180" t="s">
        <v>1333</v>
      </c>
      <c r="H265" s="180" t="s">
        <v>2232</v>
      </c>
      <c r="I265" s="176" t="s">
        <v>1926</v>
      </c>
      <c r="J265" s="185" t="s">
        <v>730</v>
      </c>
      <c r="K265" t="s">
        <v>730</v>
      </c>
      <c r="L265" s="155">
        <v>0</v>
      </c>
      <c r="M265" s="155">
        <v>0</v>
      </c>
      <c r="N265" s="155">
        <v>0</v>
      </c>
      <c r="O265" s="155" t="s">
        <v>730</v>
      </c>
      <c r="P265" s="176" t="s">
        <v>730</v>
      </c>
      <c r="Q265" s="184" t="s">
        <v>730</v>
      </c>
      <c r="R265" s="155">
        <v>0</v>
      </c>
      <c r="S265" s="176">
        <v>0</v>
      </c>
      <c r="T265" s="182" t="e">
        <f>VLOOKUP(A265,#REF!,9,FALSE)</f>
        <v>#REF!</v>
      </c>
      <c r="U265" s="155" t="s">
        <v>632</v>
      </c>
      <c r="V265" s="155" t="s">
        <v>632</v>
      </c>
      <c r="W265" s="155">
        <v>0</v>
      </c>
      <c r="X265" s="155">
        <v>0</v>
      </c>
      <c r="Y265" s="183">
        <v>0</v>
      </c>
    </row>
    <row r="266" spans="1:25">
      <c r="A266" s="179">
        <v>222797175</v>
      </c>
      <c r="B266" t="s">
        <v>1335</v>
      </c>
      <c r="C266" t="s">
        <v>750</v>
      </c>
      <c r="D266" t="s">
        <v>989</v>
      </c>
      <c r="E266" t="s">
        <v>698</v>
      </c>
      <c r="F266" t="s">
        <v>2055</v>
      </c>
      <c r="G266" s="180" t="s">
        <v>1335</v>
      </c>
      <c r="H266" s="180" t="s">
        <v>2233</v>
      </c>
      <c r="I266" s="176" t="s">
        <v>1926</v>
      </c>
      <c r="J266" s="185" t="s">
        <v>730</v>
      </c>
      <c r="K266" t="s">
        <v>730</v>
      </c>
      <c r="L266" s="155">
        <v>0</v>
      </c>
      <c r="M266" s="155">
        <v>0</v>
      </c>
      <c r="N266" s="155">
        <v>0</v>
      </c>
      <c r="O266" s="155" t="s">
        <v>730</v>
      </c>
      <c r="P266" s="176" t="s">
        <v>730</v>
      </c>
      <c r="Q266" s="184" t="s">
        <v>730</v>
      </c>
      <c r="R266" s="155">
        <v>0</v>
      </c>
      <c r="S266" s="176">
        <v>0</v>
      </c>
      <c r="T266" s="182" t="e">
        <f>VLOOKUP(A266,#REF!,9,FALSE)</f>
        <v>#REF!</v>
      </c>
      <c r="U266" s="155" t="s">
        <v>632</v>
      </c>
      <c r="V266" s="155" t="s">
        <v>632</v>
      </c>
      <c r="W266" s="155">
        <v>0</v>
      </c>
      <c r="X266" s="155">
        <v>0</v>
      </c>
      <c r="Y266" s="183">
        <v>0</v>
      </c>
    </row>
    <row r="267" spans="1:25">
      <c r="A267" s="179">
        <v>222797176</v>
      </c>
      <c r="B267" t="s">
        <v>1337</v>
      </c>
      <c r="C267" t="s">
        <v>750</v>
      </c>
      <c r="D267" t="s">
        <v>989</v>
      </c>
      <c r="E267" t="s">
        <v>698</v>
      </c>
      <c r="F267" t="s">
        <v>2055</v>
      </c>
      <c r="G267" s="180" t="s">
        <v>1337</v>
      </c>
      <c r="H267" s="180" t="s">
        <v>2234</v>
      </c>
      <c r="I267" s="176" t="s">
        <v>1926</v>
      </c>
      <c r="J267" s="185" t="s">
        <v>730</v>
      </c>
      <c r="K267" t="s">
        <v>730</v>
      </c>
      <c r="L267" s="155">
        <v>0</v>
      </c>
      <c r="M267" s="155">
        <v>0</v>
      </c>
      <c r="N267" s="155">
        <v>0</v>
      </c>
      <c r="O267" s="155" t="s">
        <v>730</v>
      </c>
      <c r="P267" s="176" t="s">
        <v>730</v>
      </c>
      <c r="Q267" s="184" t="s">
        <v>730</v>
      </c>
      <c r="R267" s="155">
        <v>0</v>
      </c>
      <c r="S267" s="176">
        <v>0</v>
      </c>
      <c r="T267" s="182" t="e">
        <f>VLOOKUP(A267,#REF!,9,FALSE)</f>
        <v>#REF!</v>
      </c>
      <c r="U267" s="155" t="s">
        <v>632</v>
      </c>
      <c r="V267" s="155" t="s">
        <v>632</v>
      </c>
      <c r="W267" s="155">
        <v>0</v>
      </c>
      <c r="X267" s="155">
        <v>0</v>
      </c>
      <c r="Y267" s="183">
        <v>0</v>
      </c>
    </row>
    <row r="268" spans="1:25">
      <c r="A268" s="179">
        <v>222797177</v>
      </c>
      <c r="B268" t="s">
        <v>1339</v>
      </c>
      <c r="C268" t="s">
        <v>750</v>
      </c>
      <c r="D268" t="s">
        <v>989</v>
      </c>
      <c r="E268" t="s">
        <v>698</v>
      </c>
      <c r="F268" t="s">
        <v>2055</v>
      </c>
      <c r="G268" s="180" t="s">
        <v>1339</v>
      </c>
      <c r="H268" s="180" t="s">
        <v>2235</v>
      </c>
      <c r="I268" s="176" t="s">
        <v>1926</v>
      </c>
      <c r="J268" s="185" t="s">
        <v>730</v>
      </c>
      <c r="K268" t="s">
        <v>730</v>
      </c>
      <c r="L268" s="155">
        <v>0</v>
      </c>
      <c r="M268" s="155">
        <v>0</v>
      </c>
      <c r="N268" s="155">
        <v>0</v>
      </c>
      <c r="O268" s="155" t="s">
        <v>730</v>
      </c>
      <c r="P268" s="176" t="s">
        <v>730</v>
      </c>
      <c r="Q268" s="184" t="s">
        <v>730</v>
      </c>
      <c r="R268" s="155">
        <v>0</v>
      </c>
      <c r="S268" s="176">
        <v>0</v>
      </c>
      <c r="T268" s="182" t="e">
        <f>VLOOKUP(A268,#REF!,9,FALSE)</f>
        <v>#REF!</v>
      </c>
      <c r="U268" s="155" t="s">
        <v>632</v>
      </c>
      <c r="V268" s="155" t="s">
        <v>632</v>
      </c>
      <c r="W268" s="155">
        <v>0</v>
      </c>
      <c r="X268" s="155">
        <v>0</v>
      </c>
      <c r="Y268" s="183">
        <v>0</v>
      </c>
    </row>
    <row r="269" spans="1:25">
      <c r="A269" s="179">
        <v>222797178</v>
      </c>
      <c r="B269" t="s">
        <v>1341</v>
      </c>
      <c r="C269" t="s">
        <v>750</v>
      </c>
      <c r="D269" t="s">
        <v>989</v>
      </c>
      <c r="E269" t="s">
        <v>698</v>
      </c>
      <c r="F269" t="s">
        <v>2055</v>
      </c>
      <c r="G269" s="180" t="s">
        <v>1341</v>
      </c>
      <c r="H269" s="180" t="s">
        <v>2236</v>
      </c>
      <c r="I269" s="176" t="s">
        <v>1926</v>
      </c>
      <c r="J269" s="185" t="s">
        <v>730</v>
      </c>
      <c r="K269" t="s">
        <v>730</v>
      </c>
      <c r="L269" s="155">
        <v>0</v>
      </c>
      <c r="M269" s="155">
        <v>0</v>
      </c>
      <c r="N269" s="155">
        <v>0</v>
      </c>
      <c r="O269" s="155" t="s">
        <v>730</v>
      </c>
      <c r="P269" s="176" t="s">
        <v>730</v>
      </c>
      <c r="Q269" s="184" t="s">
        <v>730</v>
      </c>
      <c r="R269" s="155">
        <v>0</v>
      </c>
      <c r="S269" s="176">
        <v>0</v>
      </c>
      <c r="T269" s="182" t="e">
        <f>VLOOKUP(A269,#REF!,9,FALSE)</f>
        <v>#REF!</v>
      </c>
      <c r="U269" s="155" t="s">
        <v>632</v>
      </c>
      <c r="V269" s="155" t="s">
        <v>632</v>
      </c>
      <c r="W269" s="155">
        <v>0</v>
      </c>
      <c r="X269" s="155">
        <v>0</v>
      </c>
      <c r="Y269" s="183">
        <v>0</v>
      </c>
    </row>
    <row r="270" spans="1:25">
      <c r="A270" s="179">
        <v>222797179</v>
      </c>
      <c r="B270" t="s">
        <v>1343</v>
      </c>
      <c r="C270" t="s">
        <v>750</v>
      </c>
      <c r="D270" t="s">
        <v>989</v>
      </c>
      <c r="E270" t="s">
        <v>698</v>
      </c>
      <c r="F270" t="s">
        <v>2055</v>
      </c>
      <c r="G270" s="180" t="s">
        <v>1343</v>
      </c>
      <c r="H270" s="180" t="s">
        <v>2237</v>
      </c>
      <c r="I270" s="176" t="s">
        <v>1926</v>
      </c>
      <c r="J270" s="185" t="s">
        <v>730</v>
      </c>
      <c r="K270" t="s">
        <v>730</v>
      </c>
      <c r="L270" s="155">
        <v>0</v>
      </c>
      <c r="M270" s="155">
        <v>0</v>
      </c>
      <c r="N270" s="155">
        <v>0</v>
      </c>
      <c r="O270" s="155" t="s">
        <v>730</v>
      </c>
      <c r="P270" s="176" t="s">
        <v>730</v>
      </c>
      <c r="Q270" s="184" t="s">
        <v>730</v>
      </c>
      <c r="R270" s="155">
        <v>0</v>
      </c>
      <c r="S270" s="176">
        <v>0</v>
      </c>
      <c r="T270" s="182" t="e">
        <f>VLOOKUP(A270,#REF!,9,FALSE)</f>
        <v>#REF!</v>
      </c>
      <c r="U270" s="155" t="s">
        <v>632</v>
      </c>
      <c r="V270" s="155" t="s">
        <v>632</v>
      </c>
      <c r="W270" s="155">
        <v>0</v>
      </c>
      <c r="X270" s="155">
        <v>0</v>
      </c>
      <c r="Y270" s="183">
        <v>0</v>
      </c>
    </row>
    <row r="271" spans="1:25">
      <c r="A271" s="179">
        <v>222797180</v>
      </c>
      <c r="B271" t="s">
        <v>1345</v>
      </c>
      <c r="C271" t="s">
        <v>750</v>
      </c>
      <c r="D271" t="s">
        <v>989</v>
      </c>
      <c r="E271" t="s">
        <v>698</v>
      </c>
      <c r="F271" t="s">
        <v>2055</v>
      </c>
      <c r="G271" s="180" t="s">
        <v>1345</v>
      </c>
      <c r="H271" s="180" t="s">
        <v>2238</v>
      </c>
      <c r="I271" s="176" t="s">
        <v>1926</v>
      </c>
      <c r="J271" s="185" t="s">
        <v>730</v>
      </c>
      <c r="K271" t="s">
        <v>730</v>
      </c>
      <c r="L271" s="155">
        <v>0</v>
      </c>
      <c r="M271" s="155">
        <v>0</v>
      </c>
      <c r="N271" s="155">
        <v>0</v>
      </c>
      <c r="O271" s="155" t="s">
        <v>730</v>
      </c>
      <c r="P271" s="176" t="s">
        <v>730</v>
      </c>
      <c r="Q271" s="184" t="s">
        <v>730</v>
      </c>
      <c r="R271" s="155">
        <v>0</v>
      </c>
      <c r="S271" s="176">
        <v>0</v>
      </c>
      <c r="T271" s="182" t="e">
        <f>VLOOKUP(A271,#REF!,9,FALSE)</f>
        <v>#REF!</v>
      </c>
      <c r="U271" s="155" t="s">
        <v>632</v>
      </c>
      <c r="V271" s="155" t="s">
        <v>632</v>
      </c>
      <c r="W271" s="155">
        <v>0</v>
      </c>
      <c r="X271" s="155">
        <v>0</v>
      </c>
      <c r="Y271" s="183">
        <v>0</v>
      </c>
    </row>
    <row r="272" spans="1:25">
      <c r="A272" s="179">
        <v>222797181</v>
      </c>
      <c r="B272" t="s">
        <v>1347</v>
      </c>
      <c r="C272" t="s">
        <v>750</v>
      </c>
      <c r="D272" t="s">
        <v>989</v>
      </c>
      <c r="E272" t="s">
        <v>698</v>
      </c>
      <c r="F272" t="s">
        <v>2055</v>
      </c>
      <c r="G272" s="180" t="s">
        <v>1347</v>
      </c>
      <c r="H272" s="180" t="s">
        <v>2239</v>
      </c>
      <c r="I272" s="176" t="s">
        <v>1926</v>
      </c>
      <c r="J272" s="185" t="s">
        <v>730</v>
      </c>
      <c r="K272" t="s">
        <v>730</v>
      </c>
      <c r="L272" s="155">
        <v>0</v>
      </c>
      <c r="M272" s="155">
        <v>0</v>
      </c>
      <c r="N272" s="155">
        <v>0</v>
      </c>
      <c r="O272" s="155" t="s">
        <v>730</v>
      </c>
      <c r="P272" s="176" t="s">
        <v>730</v>
      </c>
      <c r="Q272" s="184" t="s">
        <v>730</v>
      </c>
      <c r="R272" s="155">
        <v>0</v>
      </c>
      <c r="S272" s="176">
        <v>0</v>
      </c>
      <c r="T272" s="182" t="e">
        <f>VLOOKUP(A272,#REF!,9,FALSE)</f>
        <v>#REF!</v>
      </c>
      <c r="U272" s="155" t="s">
        <v>632</v>
      </c>
      <c r="V272" s="155" t="s">
        <v>632</v>
      </c>
      <c r="W272" s="155">
        <v>0</v>
      </c>
      <c r="X272" s="155">
        <v>0</v>
      </c>
      <c r="Y272" s="183">
        <v>0</v>
      </c>
    </row>
    <row r="273" spans="1:25">
      <c r="A273" s="179">
        <v>222797182</v>
      </c>
      <c r="B273" t="s">
        <v>1349</v>
      </c>
      <c r="C273" t="s">
        <v>750</v>
      </c>
      <c r="D273" t="s">
        <v>989</v>
      </c>
      <c r="E273" t="s">
        <v>698</v>
      </c>
      <c r="F273" t="s">
        <v>2055</v>
      </c>
      <c r="G273" s="180" t="s">
        <v>1349</v>
      </c>
      <c r="H273" s="180" t="s">
        <v>2240</v>
      </c>
      <c r="I273" s="176" t="s">
        <v>1926</v>
      </c>
      <c r="J273" s="185" t="s">
        <v>730</v>
      </c>
      <c r="K273" t="s">
        <v>730</v>
      </c>
      <c r="L273" s="155">
        <v>0</v>
      </c>
      <c r="M273" s="155">
        <v>0</v>
      </c>
      <c r="N273" s="155">
        <v>0</v>
      </c>
      <c r="O273" s="155" t="s">
        <v>730</v>
      </c>
      <c r="P273" s="176" t="s">
        <v>730</v>
      </c>
      <c r="Q273" s="184" t="s">
        <v>730</v>
      </c>
      <c r="R273" s="155">
        <v>0</v>
      </c>
      <c r="S273" s="176">
        <v>0</v>
      </c>
      <c r="T273" s="182" t="e">
        <f>VLOOKUP(A273,#REF!,9,FALSE)</f>
        <v>#REF!</v>
      </c>
      <c r="U273" s="155" t="s">
        <v>632</v>
      </c>
      <c r="V273" s="155" t="s">
        <v>632</v>
      </c>
      <c r="W273" s="155">
        <v>0</v>
      </c>
      <c r="X273" s="155">
        <v>0</v>
      </c>
      <c r="Y273" s="183">
        <v>0</v>
      </c>
    </row>
    <row r="274" spans="1:25">
      <c r="A274" s="179">
        <v>222797183</v>
      </c>
      <c r="B274" t="s">
        <v>1351</v>
      </c>
      <c r="C274" t="s">
        <v>750</v>
      </c>
      <c r="D274" t="s">
        <v>989</v>
      </c>
      <c r="E274" t="s">
        <v>698</v>
      </c>
      <c r="F274" t="s">
        <v>2055</v>
      </c>
      <c r="G274" s="180" t="s">
        <v>1351</v>
      </c>
      <c r="H274" s="180" t="s">
        <v>2241</v>
      </c>
      <c r="I274" s="176" t="s">
        <v>1926</v>
      </c>
      <c r="J274" s="185" t="s">
        <v>730</v>
      </c>
      <c r="K274" t="s">
        <v>730</v>
      </c>
      <c r="L274" s="155">
        <v>0</v>
      </c>
      <c r="M274" s="155">
        <v>0</v>
      </c>
      <c r="N274" s="155">
        <v>0</v>
      </c>
      <c r="O274" s="155" t="s">
        <v>730</v>
      </c>
      <c r="P274" s="176" t="s">
        <v>730</v>
      </c>
      <c r="Q274" s="184" t="s">
        <v>730</v>
      </c>
      <c r="R274" s="155">
        <v>0</v>
      </c>
      <c r="S274" s="176">
        <v>0</v>
      </c>
      <c r="T274" s="182" t="e">
        <f>VLOOKUP(A274,#REF!,9,FALSE)</f>
        <v>#REF!</v>
      </c>
      <c r="U274" s="155" t="s">
        <v>632</v>
      </c>
      <c r="V274" s="155" t="s">
        <v>632</v>
      </c>
      <c r="W274" s="155">
        <v>0</v>
      </c>
      <c r="X274" s="155">
        <v>0</v>
      </c>
      <c r="Y274" s="183">
        <v>0</v>
      </c>
    </row>
    <row r="275" spans="1:25">
      <c r="A275" s="179">
        <v>222797184</v>
      </c>
      <c r="B275" t="s">
        <v>1353</v>
      </c>
      <c r="C275" t="s">
        <v>750</v>
      </c>
      <c r="D275" t="s">
        <v>989</v>
      </c>
      <c r="E275" t="s">
        <v>698</v>
      </c>
      <c r="F275" t="s">
        <v>2055</v>
      </c>
      <c r="G275" s="180" t="s">
        <v>1353</v>
      </c>
      <c r="H275" s="180" t="s">
        <v>2242</v>
      </c>
      <c r="I275" s="176" t="s">
        <v>1926</v>
      </c>
      <c r="J275" s="185" t="s">
        <v>730</v>
      </c>
      <c r="K275" t="s">
        <v>730</v>
      </c>
      <c r="L275" s="155">
        <v>0</v>
      </c>
      <c r="M275" s="155">
        <v>0</v>
      </c>
      <c r="N275" s="155">
        <v>0</v>
      </c>
      <c r="O275" s="155" t="s">
        <v>730</v>
      </c>
      <c r="P275" s="176" t="s">
        <v>730</v>
      </c>
      <c r="Q275" s="184" t="s">
        <v>730</v>
      </c>
      <c r="R275" s="155">
        <v>0</v>
      </c>
      <c r="S275" s="176">
        <v>0</v>
      </c>
      <c r="T275" s="182" t="e">
        <f>VLOOKUP(A275,#REF!,9,FALSE)</f>
        <v>#REF!</v>
      </c>
      <c r="U275" s="155" t="s">
        <v>632</v>
      </c>
      <c r="V275" s="155" t="s">
        <v>632</v>
      </c>
      <c r="W275" s="155">
        <v>0</v>
      </c>
      <c r="X275" s="155">
        <v>0</v>
      </c>
      <c r="Y275" s="183">
        <v>0</v>
      </c>
    </row>
    <row r="276" spans="1:25">
      <c r="A276" s="179">
        <v>222797185</v>
      </c>
      <c r="B276" t="s">
        <v>1355</v>
      </c>
      <c r="C276" t="s">
        <v>750</v>
      </c>
      <c r="D276" t="s">
        <v>989</v>
      </c>
      <c r="E276" t="s">
        <v>698</v>
      </c>
      <c r="F276" t="s">
        <v>2055</v>
      </c>
      <c r="G276" s="180" t="s">
        <v>1355</v>
      </c>
      <c r="H276" s="180" t="s">
        <v>2243</v>
      </c>
      <c r="I276" s="176" t="s">
        <v>1926</v>
      </c>
      <c r="J276" s="185" t="s">
        <v>730</v>
      </c>
      <c r="K276" t="s">
        <v>730</v>
      </c>
      <c r="L276" s="155">
        <v>0</v>
      </c>
      <c r="M276" s="155">
        <v>0</v>
      </c>
      <c r="N276" s="155">
        <v>0</v>
      </c>
      <c r="O276" s="155" t="s">
        <v>730</v>
      </c>
      <c r="P276" s="176" t="s">
        <v>730</v>
      </c>
      <c r="Q276" s="184" t="s">
        <v>730</v>
      </c>
      <c r="R276" s="155">
        <v>0</v>
      </c>
      <c r="S276" s="176">
        <v>0</v>
      </c>
      <c r="T276" s="182" t="e">
        <f>VLOOKUP(A276,#REF!,9,FALSE)</f>
        <v>#REF!</v>
      </c>
      <c r="U276" s="155" t="s">
        <v>632</v>
      </c>
      <c r="V276" s="155" t="s">
        <v>632</v>
      </c>
      <c r="W276" s="155">
        <v>0</v>
      </c>
      <c r="X276" s="155">
        <v>0</v>
      </c>
      <c r="Y276" s="183">
        <v>0</v>
      </c>
    </row>
    <row r="277" spans="1:25">
      <c r="A277" s="179">
        <v>222797186</v>
      </c>
      <c r="B277" t="s">
        <v>1357</v>
      </c>
      <c r="C277" t="s">
        <v>750</v>
      </c>
      <c r="D277" t="s">
        <v>989</v>
      </c>
      <c r="E277" t="s">
        <v>698</v>
      </c>
      <c r="F277" t="s">
        <v>2078</v>
      </c>
      <c r="G277" s="180" t="s">
        <v>1357</v>
      </c>
      <c r="H277" s="180" t="s">
        <v>2244</v>
      </c>
      <c r="I277" s="176" t="s">
        <v>1926</v>
      </c>
      <c r="J277" s="181">
        <v>43560</v>
      </c>
      <c r="K277" s="140">
        <v>47211</v>
      </c>
      <c r="L277" s="155">
        <v>0</v>
      </c>
      <c r="M277" s="155">
        <v>0</v>
      </c>
      <c r="N277" s="155">
        <v>0</v>
      </c>
      <c r="O277" s="155" t="s">
        <v>730</v>
      </c>
      <c r="P277" s="176" t="s">
        <v>730</v>
      </c>
      <c r="Q277" s="184" t="s">
        <v>730</v>
      </c>
      <c r="R277" s="155">
        <v>0</v>
      </c>
      <c r="S277" s="176">
        <v>0</v>
      </c>
      <c r="T277" s="182" t="e">
        <f>VLOOKUP(A277,#REF!,9,FALSE)</f>
        <v>#REF!</v>
      </c>
      <c r="U277" s="155" t="s">
        <v>632</v>
      </c>
      <c r="V277" s="155" t="s">
        <v>632</v>
      </c>
      <c r="W277" s="155">
        <v>0</v>
      </c>
      <c r="X277" s="155">
        <v>0</v>
      </c>
      <c r="Y277" s="183">
        <v>0</v>
      </c>
    </row>
    <row r="278" spans="1:25">
      <c r="A278" s="179">
        <v>222797187</v>
      </c>
      <c r="B278" t="s">
        <v>1359</v>
      </c>
      <c r="C278" t="s">
        <v>750</v>
      </c>
      <c r="D278" t="s">
        <v>989</v>
      </c>
      <c r="E278" t="s">
        <v>698</v>
      </c>
      <c r="F278" t="s">
        <v>2078</v>
      </c>
      <c r="G278" s="180" t="s">
        <v>1359</v>
      </c>
      <c r="H278" s="180" t="s">
        <v>2245</v>
      </c>
      <c r="I278" s="176" t="s">
        <v>1926</v>
      </c>
      <c r="J278" s="181">
        <v>43560</v>
      </c>
      <c r="K278" s="140">
        <v>47211</v>
      </c>
      <c r="L278" s="155">
        <v>0</v>
      </c>
      <c r="M278" s="155">
        <v>0</v>
      </c>
      <c r="N278" s="155">
        <v>0</v>
      </c>
      <c r="O278" s="155" t="s">
        <v>730</v>
      </c>
      <c r="P278" s="176" t="s">
        <v>730</v>
      </c>
      <c r="Q278" s="184" t="s">
        <v>730</v>
      </c>
      <c r="R278" s="155">
        <v>0</v>
      </c>
      <c r="S278" s="176">
        <v>0</v>
      </c>
      <c r="T278" s="182" t="e">
        <f>VLOOKUP(A278,#REF!,9,FALSE)</f>
        <v>#REF!</v>
      </c>
      <c r="U278" s="155" t="s">
        <v>632</v>
      </c>
      <c r="V278" s="155" t="s">
        <v>632</v>
      </c>
      <c r="W278" s="155">
        <v>0</v>
      </c>
      <c r="X278" s="155">
        <v>0</v>
      </c>
      <c r="Y278" s="183">
        <v>0</v>
      </c>
    </row>
    <row r="279" spans="1:25">
      <c r="A279" s="179">
        <v>222797188</v>
      </c>
      <c r="B279" t="s">
        <v>1361</v>
      </c>
      <c r="C279" t="s">
        <v>750</v>
      </c>
      <c r="D279" t="s">
        <v>989</v>
      </c>
      <c r="E279" t="s">
        <v>698</v>
      </c>
      <c r="F279" t="s">
        <v>2078</v>
      </c>
      <c r="G279" s="180" t="s">
        <v>1361</v>
      </c>
      <c r="H279" s="180" t="s">
        <v>2246</v>
      </c>
      <c r="I279" s="176" t="s">
        <v>1926</v>
      </c>
      <c r="J279" s="181">
        <v>43560</v>
      </c>
      <c r="K279" s="140">
        <v>47211</v>
      </c>
      <c r="L279" s="155">
        <v>0</v>
      </c>
      <c r="M279" s="155">
        <v>0</v>
      </c>
      <c r="N279" s="155">
        <v>0</v>
      </c>
      <c r="O279" s="155" t="s">
        <v>730</v>
      </c>
      <c r="P279" s="176" t="s">
        <v>730</v>
      </c>
      <c r="Q279" s="184" t="s">
        <v>730</v>
      </c>
      <c r="R279" s="155">
        <v>0</v>
      </c>
      <c r="S279" s="176">
        <v>0</v>
      </c>
      <c r="T279" s="182" t="e">
        <f>VLOOKUP(A279,#REF!,9,FALSE)</f>
        <v>#REF!</v>
      </c>
      <c r="U279" s="155" t="s">
        <v>632</v>
      </c>
      <c r="V279" s="155" t="s">
        <v>632</v>
      </c>
      <c r="W279" s="155">
        <v>0</v>
      </c>
      <c r="X279" s="155">
        <v>0</v>
      </c>
      <c r="Y279" s="183">
        <v>0</v>
      </c>
    </row>
    <row r="280" spans="1:25">
      <c r="A280" s="179">
        <v>222797189</v>
      </c>
      <c r="B280" t="s">
        <v>1363</v>
      </c>
      <c r="C280" t="s">
        <v>750</v>
      </c>
      <c r="D280" t="s">
        <v>989</v>
      </c>
      <c r="E280" t="s">
        <v>698</v>
      </c>
      <c r="F280" t="s">
        <v>2078</v>
      </c>
      <c r="G280" s="180" t="s">
        <v>1363</v>
      </c>
      <c r="H280" s="180" t="s">
        <v>2247</v>
      </c>
      <c r="I280" s="176" t="s">
        <v>1926</v>
      </c>
      <c r="J280" s="181">
        <v>43560</v>
      </c>
      <c r="K280" s="140">
        <v>47211</v>
      </c>
      <c r="L280" s="155">
        <v>0</v>
      </c>
      <c r="M280" s="155">
        <v>0</v>
      </c>
      <c r="N280" s="155">
        <v>0</v>
      </c>
      <c r="O280" s="155" t="s">
        <v>730</v>
      </c>
      <c r="P280" s="176" t="s">
        <v>730</v>
      </c>
      <c r="Q280" s="184" t="s">
        <v>730</v>
      </c>
      <c r="R280" s="155">
        <v>0</v>
      </c>
      <c r="S280" s="176">
        <v>0</v>
      </c>
      <c r="T280" s="182" t="e">
        <f>VLOOKUP(A280,#REF!,9,FALSE)</f>
        <v>#REF!</v>
      </c>
      <c r="U280" s="155" t="s">
        <v>632</v>
      </c>
      <c r="V280" s="155" t="s">
        <v>632</v>
      </c>
      <c r="W280" s="155">
        <v>0</v>
      </c>
      <c r="X280" s="155">
        <v>0</v>
      </c>
      <c r="Y280" s="183">
        <v>0</v>
      </c>
    </row>
    <row r="281" spans="1:25">
      <c r="A281" s="179">
        <v>222797190</v>
      </c>
      <c r="B281" t="s">
        <v>1365</v>
      </c>
      <c r="C281" t="s">
        <v>750</v>
      </c>
      <c r="D281" t="s">
        <v>989</v>
      </c>
      <c r="E281" t="s">
        <v>698</v>
      </c>
      <c r="F281" t="s">
        <v>2078</v>
      </c>
      <c r="G281" s="180" t="s">
        <v>1365</v>
      </c>
      <c r="H281" s="180" t="s">
        <v>2248</v>
      </c>
      <c r="I281" s="176" t="s">
        <v>1926</v>
      </c>
      <c r="J281" s="181">
        <v>43560</v>
      </c>
      <c r="K281" s="140">
        <v>47211</v>
      </c>
      <c r="L281" s="155">
        <v>0</v>
      </c>
      <c r="M281" s="155">
        <v>0</v>
      </c>
      <c r="N281" s="155">
        <v>0</v>
      </c>
      <c r="O281" s="155" t="s">
        <v>730</v>
      </c>
      <c r="P281" s="176" t="s">
        <v>730</v>
      </c>
      <c r="Q281" s="184" t="s">
        <v>730</v>
      </c>
      <c r="R281" s="155">
        <v>0</v>
      </c>
      <c r="S281" s="176">
        <v>0</v>
      </c>
      <c r="T281" s="182" t="e">
        <f>VLOOKUP(A281,#REF!,9,FALSE)</f>
        <v>#REF!</v>
      </c>
      <c r="U281" s="155" t="s">
        <v>632</v>
      </c>
      <c r="V281" s="155" t="s">
        <v>632</v>
      </c>
      <c r="W281" s="155">
        <v>0</v>
      </c>
      <c r="X281" s="155">
        <v>0</v>
      </c>
      <c r="Y281" s="183">
        <v>0</v>
      </c>
    </row>
    <row r="282" spans="1:25">
      <c r="A282" s="179">
        <v>222797191</v>
      </c>
      <c r="B282" t="s">
        <v>1367</v>
      </c>
      <c r="C282" t="s">
        <v>750</v>
      </c>
      <c r="D282" t="s">
        <v>989</v>
      </c>
      <c r="E282" t="s">
        <v>698</v>
      </c>
      <c r="F282" t="s">
        <v>2078</v>
      </c>
      <c r="G282" s="180" t="s">
        <v>1367</v>
      </c>
      <c r="H282" s="180" t="s">
        <v>2249</v>
      </c>
      <c r="I282" s="176" t="s">
        <v>1926</v>
      </c>
      <c r="J282" s="181">
        <v>43560</v>
      </c>
      <c r="K282" s="140">
        <v>47211</v>
      </c>
      <c r="L282" s="155">
        <v>0</v>
      </c>
      <c r="M282" s="155">
        <v>0</v>
      </c>
      <c r="N282" s="155">
        <v>0</v>
      </c>
      <c r="O282" s="155" t="s">
        <v>730</v>
      </c>
      <c r="P282" s="176" t="s">
        <v>730</v>
      </c>
      <c r="Q282" s="184" t="s">
        <v>730</v>
      </c>
      <c r="R282" s="155">
        <v>0</v>
      </c>
      <c r="S282" s="176">
        <v>0</v>
      </c>
      <c r="T282" s="182" t="e">
        <f>VLOOKUP(A282,#REF!,9,FALSE)</f>
        <v>#REF!</v>
      </c>
      <c r="U282" s="155" t="s">
        <v>632</v>
      </c>
      <c r="V282" s="155" t="s">
        <v>632</v>
      </c>
      <c r="W282" s="155">
        <v>0</v>
      </c>
      <c r="X282" s="155">
        <v>0</v>
      </c>
      <c r="Y282" s="183">
        <v>0</v>
      </c>
    </row>
    <row r="283" spans="1:25">
      <c r="A283" s="179">
        <v>222797192</v>
      </c>
      <c r="B283" t="s">
        <v>1369</v>
      </c>
      <c r="C283" t="s">
        <v>750</v>
      </c>
      <c r="D283" t="s">
        <v>989</v>
      </c>
      <c r="E283" t="s">
        <v>698</v>
      </c>
      <c r="F283" t="s">
        <v>2078</v>
      </c>
      <c r="G283" s="180" t="s">
        <v>1369</v>
      </c>
      <c r="H283" s="180" t="s">
        <v>2250</v>
      </c>
      <c r="I283" s="176" t="s">
        <v>1926</v>
      </c>
      <c r="J283" s="181">
        <v>43560</v>
      </c>
      <c r="K283" s="140">
        <v>47211</v>
      </c>
      <c r="L283" s="155">
        <v>0</v>
      </c>
      <c r="M283" s="155">
        <v>0</v>
      </c>
      <c r="N283" s="155">
        <v>0</v>
      </c>
      <c r="O283" s="155" t="s">
        <v>730</v>
      </c>
      <c r="P283" s="176" t="s">
        <v>730</v>
      </c>
      <c r="Q283" s="184" t="s">
        <v>730</v>
      </c>
      <c r="R283" s="155">
        <v>0</v>
      </c>
      <c r="S283" s="176">
        <v>0</v>
      </c>
      <c r="T283" s="182" t="e">
        <f>VLOOKUP(A283,#REF!,9,FALSE)</f>
        <v>#REF!</v>
      </c>
      <c r="U283" s="155" t="s">
        <v>632</v>
      </c>
      <c r="V283" s="155" t="s">
        <v>632</v>
      </c>
      <c r="W283" s="155">
        <v>0</v>
      </c>
      <c r="X283" s="155">
        <v>0</v>
      </c>
      <c r="Y283" s="183">
        <v>0</v>
      </c>
    </row>
    <row r="284" spans="1:25">
      <c r="A284" s="179">
        <v>222797193</v>
      </c>
      <c r="B284" t="s">
        <v>1371</v>
      </c>
      <c r="C284" t="s">
        <v>750</v>
      </c>
      <c r="D284" t="s">
        <v>989</v>
      </c>
      <c r="E284" t="s">
        <v>698</v>
      </c>
      <c r="F284" t="s">
        <v>2078</v>
      </c>
      <c r="G284" s="180" t="s">
        <v>1371</v>
      </c>
      <c r="H284" s="180" t="s">
        <v>2251</v>
      </c>
      <c r="I284" s="176" t="s">
        <v>1926</v>
      </c>
      <c r="J284" s="181">
        <v>43560</v>
      </c>
      <c r="K284" s="140">
        <v>47211</v>
      </c>
      <c r="L284" s="155">
        <v>0</v>
      </c>
      <c r="M284" s="155">
        <v>0</v>
      </c>
      <c r="N284" s="155">
        <v>0</v>
      </c>
      <c r="O284" s="155" t="s">
        <v>730</v>
      </c>
      <c r="P284" s="176" t="s">
        <v>730</v>
      </c>
      <c r="Q284" s="184" t="s">
        <v>730</v>
      </c>
      <c r="R284" s="155">
        <v>0</v>
      </c>
      <c r="S284" s="176">
        <v>0</v>
      </c>
      <c r="T284" s="182" t="e">
        <f>VLOOKUP(A284,#REF!,9,FALSE)</f>
        <v>#REF!</v>
      </c>
      <c r="U284" s="155" t="s">
        <v>632</v>
      </c>
      <c r="V284" s="155" t="s">
        <v>632</v>
      </c>
      <c r="W284" s="155">
        <v>0</v>
      </c>
      <c r="X284" s="155">
        <v>0</v>
      </c>
      <c r="Y284" s="183">
        <v>0</v>
      </c>
    </row>
    <row r="285" spans="1:25">
      <c r="A285" s="179">
        <v>222797194</v>
      </c>
      <c r="B285" t="s">
        <v>1373</v>
      </c>
      <c r="C285" t="s">
        <v>750</v>
      </c>
      <c r="D285" t="s">
        <v>989</v>
      </c>
      <c r="E285" t="s">
        <v>698</v>
      </c>
      <c r="F285" t="s">
        <v>2078</v>
      </c>
      <c r="G285" s="180" t="s">
        <v>1373</v>
      </c>
      <c r="H285" s="180" t="s">
        <v>2252</v>
      </c>
      <c r="I285" s="176" t="s">
        <v>1926</v>
      </c>
      <c r="J285" s="181">
        <v>43560</v>
      </c>
      <c r="K285" s="140">
        <v>47211</v>
      </c>
      <c r="L285" s="155">
        <v>0</v>
      </c>
      <c r="M285" s="155">
        <v>0</v>
      </c>
      <c r="N285" s="155">
        <v>0</v>
      </c>
      <c r="O285" s="155" t="s">
        <v>730</v>
      </c>
      <c r="P285" s="176" t="s">
        <v>730</v>
      </c>
      <c r="Q285" s="184" t="s">
        <v>730</v>
      </c>
      <c r="R285" s="155">
        <v>0</v>
      </c>
      <c r="S285" s="176">
        <v>0</v>
      </c>
      <c r="T285" s="182" t="e">
        <f>VLOOKUP(A285,#REF!,9,FALSE)</f>
        <v>#REF!</v>
      </c>
      <c r="U285" s="155" t="s">
        <v>632</v>
      </c>
      <c r="V285" s="155" t="s">
        <v>632</v>
      </c>
      <c r="W285" s="155">
        <v>0</v>
      </c>
      <c r="X285" s="155">
        <v>0</v>
      </c>
      <c r="Y285" s="183">
        <v>0</v>
      </c>
    </row>
    <row r="286" spans="1:25">
      <c r="A286" s="179">
        <v>222797195</v>
      </c>
      <c r="B286" t="s">
        <v>1375</v>
      </c>
      <c r="C286" t="s">
        <v>750</v>
      </c>
      <c r="D286" t="s">
        <v>989</v>
      </c>
      <c r="E286" t="s">
        <v>698</v>
      </c>
      <c r="F286" t="s">
        <v>2078</v>
      </c>
      <c r="G286" s="180" t="s">
        <v>1375</v>
      </c>
      <c r="H286" s="180" t="s">
        <v>2253</v>
      </c>
      <c r="I286" s="176" t="s">
        <v>1926</v>
      </c>
      <c r="J286" s="181">
        <v>43560</v>
      </c>
      <c r="K286" s="140">
        <v>47211</v>
      </c>
      <c r="L286" s="155">
        <v>0</v>
      </c>
      <c r="M286" s="155">
        <v>0</v>
      </c>
      <c r="N286" s="155">
        <v>0</v>
      </c>
      <c r="O286" s="155" t="s">
        <v>730</v>
      </c>
      <c r="P286" s="176" t="s">
        <v>730</v>
      </c>
      <c r="Q286" s="184" t="s">
        <v>730</v>
      </c>
      <c r="R286" s="155">
        <v>0</v>
      </c>
      <c r="S286" s="176">
        <v>0</v>
      </c>
      <c r="T286" s="182" t="e">
        <f>VLOOKUP(A286,#REF!,9,FALSE)</f>
        <v>#REF!</v>
      </c>
      <c r="U286" s="155" t="s">
        <v>632</v>
      </c>
      <c r="V286" s="155" t="s">
        <v>632</v>
      </c>
      <c r="W286" s="155">
        <v>0</v>
      </c>
      <c r="X286" s="155">
        <v>0</v>
      </c>
      <c r="Y286" s="183">
        <v>0</v>
      </c>
    </row>
    <row r="287" spans="1:25">
      <c r="A287" s="179">
        <v>222797196</v>
      </c>
      <c r="B287" t="s">
        <v>1377</v>
      </c>
      <c r="C287" t="s">
        <v>750</v>
      </c>
      <c r="D287" t="s">
        <v>989</v>
      </c>
      <c r="E287" t="s">
        <v>698</v>
      </c>
      <c r="F287" t="s">
        <v>2078</v>
      </c>
      <c r="G287" s="180" t="s">
        <v>1377</v>
      </c>
      <c r="H287" s="180" t="s">
        <v>2254</v>
      </c>
      <c r="I287" s="176" t="s">
        <v>1926</v>
      </c>
      <c r="J287" s="181">
        <v>43560</v>
      </c>
      <c r="K287" s="140">
        <v>47211</v>
      </c>
      <c r="L287" s="155">
        <v>0</v>
      </c>
      <c r="M287" s="155">
        <v>0</v>
      </c>
      <c r="N287" s="155">
        <v>0</v>
      </c>
      <c r="O287" s="155" t="s">
        <v>730</v>
      </c>
      <c r="P287" s="176" t="s">
        <v>730</v>
      </c>
      <c r="Q287" s="184" t="s">
        <v>730</v>
      </c>
      <c r="R287" s="155">
        <v>0</v>
      </c>
      <c r="S287" s="176">
        <v>0</v>
      </c>
      <c r="T287" s="182" t="e">
        <f>VLOOKUP(A287,#REF!,9,FALSE)</f>
        <v>#REF!</v>
      </c>
      <c r="U287" s="155" t="s">
        <v>632</v>
      </c>
      <c r="V287" s="155" t="s">
        <v>632</v>
      </c>
      <c r="W287" s="155">
        <v>0</v>
      </c>
      <c r="X287" s="155">
        <v>0</v>
      </c>
      <c r="Y287" s="183">
        <v>0</v>
      </c>
    </row>
    <row r="288" spans="1:25">
      <c r="A288" s="179">
        <v>222797197</v>
      </c>
      <c r="B288" t="s">
        <v>1379</v>
      </c>
      <c r="C288" t="s">
        <v>750</v>
      </c>
      <c r="D288" t="s">
        <v>989</v>
      </c>
      <c r="E288" t="s">
        <v>698</v>
      </c>
      <c r="F288" t="s">
        <v>2078</v>
      </c>
      <c r="G288" s="180" t="s">
        <v>1379</v>
      </c>
      <c r="H288" s="180" t="s">
        <v>2255</v>
      </c>
      <c r="I288" s="176" t="s">
        <v>1926</v>
      </c>
      <c r="J288" s="181">
        <v>43560</v>
      </c>
      <c r="K288" s="140">
        <v>47211</v>
      </c>
      <c r="L288" s="155">
        <v>0</v>
      </c>
      <c r="M288" s="155">
        <v>0</v>
      </c>
      <c r="N288" s="155">
        <v>0</v>
      </c>
      <c r="O288" s="155" t="s">
        <v>730</v>
      </c>
      <c r="P288" s="176" t="s">
        <v>730</v>
      </c>
      <c r="Q288" s="184" t="s">
        <v>730</v>
      </c>
      <c r="R288" s="155">
        <v>0</v>
      </c>
      <c r="S288" s="176">
        <v>0</v>
      </c>
      <c r="T288" s="182" t="e">
        <f>VLOOKUP(A288,#REF!,9,FALSE)</f>
        <v>#REF!</v>
      </c>
      <c r="U288" s="155" t="s">
        <v>632</v>
      </c>
      <c r="V288" s="155" t="s">
        <v>632</v>
      </c>
      <c r="W288" s="155">
        <v>0</v>
      </c>
      <c r="X288" s="155">
        <v>0</v>
      </c>
      <c r="Y288" s="183">
        <v>0</v>
      </c>
    </row>
    <row r="289" spans="1:25">
      <c r="A289" s="179">
        <v>222797198</v>
      </c>
      <c r="B289" t="s">
        <v>1381</v>
      </c>
      <c r="C289" t="s">
        <v>750</v>
      </c>
      <c r="D289" t="s">
        <v>989</v>
      </c>
      <c r="E289" t="s">
        <v>698</v>
      </c>
      <c r="F289" t="s">
        <v>2058</v>
      </c>
      <c r="G289" s="180" t="s">
        <v>1381</v>
      </c>
      <c r="H289" s="180" t="s">
        <v>2256</v>
      </c>
      <c r="I289" s="176" t="s">
        <v>1926</v>
      </c>
      <c r="J289" s="181">
        <v>44954</v>
      </c>
      <c r="K289" s="140">
        <v>46052</v>
      </c>
      <c r="L289" s="155">
        <v>0</v>
      </c>
      <c r="M289" s="155">
        <v>0</v>
      </c>
      <c r="N289" s="155">
        <v>0</v>
      </c>
      <c r="O289" s="155" t="s">
        <v>730</v>
      </c>
      <c r="P289" s="176" t="s">
        <v>730</v>
      </c>
      <c r="Q289" s="184" t="s">
        <v>730</v>
      </c>
      <c r="R289" s="155">
        <v>0</v>
      </c>
      <c r="S289" s="176">
        <v>0</v>
      </c>
      <c r="T289" s="182" t="e">
        <f>VLOOKUP(A289,#REF!,9,FALSE)</f>
        <v>#REF!</v>
      </c>
      <c r="U289" s="155" t="s">
        <v>632</v>
      </c>
      <c r="V289" s="155" t="s">
        <v>632</v>
      </c>
      <c r="W289" s="155">
        <v>0</v>
      </c>
      <c r="X289" s="155">
        <v>0</v>
      </c>
      <c r="Y289" s="183">
        <v>0</v>
      </c>
    </row>
    <row r="290" spans="1:25">
      <c r="A290" s="179">
        <v>222797199</v>
      </c>
      <c r="B290" t="s">
        <v>1383</v>
      </c>
      <c r="C290" t="s">
        <v>750</v>
      </c>
      <c r="D290" t="s">
        <v>989</v>
      </c>
      <c r="E290" t="s">
        <v>698</v>
      </c>
      <c r="F290" t="s">
        <v>2058</v>
      </c>
      <c r="G290" s="180" t="s">
        <v>1383</v>
      </c>
      <c r="H290" s="180" t="s">
        <v>2257</v>
      </c>
      <c r="I290" s="176" t="s">
        <v>1926</v>
      </c>
      <c r="J290" s="181">
        <v>44954</v>
      </c>
      <c r="K290" s="140">
        <v>46052</v>
      </c>
      <c r="L290" s="155">
        <v>0</v>
      </c>
      <c r="M290" s="155">
        <v>0</v>
      </c>
      <c r="N290" s="155">
        <v>0</v>
      </c>
      <c r="O290" s="155" t="s">
        <v>730</v>
      </c>
      <c r="P290" s="176" t="s">
        <v>730</v>
      </c>
      <c r="Q290" s="184" t="s">
        <v>730</v>
      </c>
      <c r="R290" s="155">
        <v>0</v>
      </c>
      <c r="S290" s="176">
        <v>0</v>
      </c>
      <c r="T290" s="182" t="e">
        <f>VLOOKUP(A290,#REF!,9,FALSE)</f>
        <v>#REF!</v>
      </c>
      <c r="U290" s="155" t="s">
        <v>632</v>
      </c>
      <c r="V290" s="155" t="s">
        <v>632</v>
      </c>
      <c r="W290" s="155">
        <v>0</v>
      </c>
      <c r="X290" s="155">
        <v>0</v>
      </c>
      <c r="Y290" s="183">
        <v>0</v>
      </c>
    </row>
    <row r="291" spans="1:25">
      <c r="A291" s="179">
        <v>222797200</v>
      </c>
      <c r="B291" t="s">
        <v>1385</v>
      </c>
      <c r="C291" t="s">
        <v>750</v>
      </c>
      <c r="D291" t="s">
        <v>989</v>
      </c>
      <c r="E291" t="s">
        <v>698</v>
      </c>
      <c r="F291" t="s">
        <v>2058</v>
      </c>
      <c r="G291" s="180" t="s">
        <v>1385</v>
      </c>
      <c r="H291" s="180" t="s">
        <v>2258</v>
      </c>
      <c r="I291" s="176" t="s">
        <v>1926</v>
      </c>
      <c r="J291" s="181">
        <v>44954</v>
      </c>
      <c r="K291" s="140">
        <v>46052</v>
      </c>
      <c r="L291" s="155">
        <v>0</v>
      </c>
      <c r="M291" s="155">
        <v>0</v>
      </c>
      <c r="N291" s="155">
        <v>0</v>
      </c>
      <c r="O291" s="155" t="s">
        <v>730</v>
      </c>
      <c r="P291" s="176" t="s">
        <v>730</v>
      </c>
      <c r="Q291" s="184" t="s">
        <v>730</v>
      </c>
      <c r="R291" s="155">
        <v>0</v>
      </c>
      <c r="S291" s="176">
        <v>0</v>
      </c>
      <c r="T291" s="182" t="e">
        <f>VLOOKUP(A291,#REF!,9,FALSE)</f>
        <v>#REF!</v>
      </c>
      <c r="U291" s="155" t="s">
        <v>632</v>
      </c>
      <c r="V291" s="155" t="s">
        <v>632</v>
      </c>
      <c r="W291" s="155">
        <v>0</v>
      </c>
      <c r="X291" s="155">
        <v>0</v>
      </c>
      <c r="Y291" s="183">
        <v>0</v>
      </c>
    </row>
    <row r="292" spans="1:25">
      <c r="A292" s="179">
        <v>222797201</v>
      </c>
      <c r="B292" t="s">
        <v>1387</v>
      </c>
      <c r="C292" t="s">
        <v>750</v>
      </c>
      <c r="D292" t="s">
        <v>989</v>
      </c>
      <c r="E292" t="s">
        <v>698</v>
      </c>
      <c r="F292" t="s">
        <v>2058</v>
      </c>
      <c r="G292" s="180" t="s">
        <v>1387</v>
      </c>
      <c r="H292" s="180" t="s">
        <v>2259</v>
      </c>
      <c r="I292" s="176" t="s">
        <v>1926</v>
      </c>
      <c r="J292" s="181">
        <v>44954</v>
      </c>
      <c r="K292" s="140">
        <v>46052</v>
      </c>
      <c r="L292" s="155">
        <v>0</v>
      </c>
      <c r="M292" s="155">
        <v>0</v>
      </c>
      <c r="N292" s="155">
        <v>0</v>
      </c>
      <c r="O292" s="155" t="s">
        <v>730</v>
      </c>
      <c r="P292" s="176" t="s">
        <v>730</v>
      </c>
      <c r="Q292" s="184" t="s">
        <v>730</v>
      </c>
      <c r="R292" s="155">
        <v>0</v>
      </c>
      <c r="S292" s="176">
        <v>0</v>
      </c>
      <c r="T292" s="182" t="e">
        <f>VLOOKUP(A292,#REF!,9,FALSE)</f>
        <v>#REF!</v>
      </c>
      <c r="U292" s="155" t="s">
        <v>632</v>
      </c>
      <c r="V292" s="155" t="s">
        <v>632</v>
      </c>
      <c r="W292" s="155">
        <v>0</v>
      </c>
      <c r="X292" s="155">
        <v>0</v>
      </c>
      <c r="Y292" s="183">
        <v>0</v>
      </c>
    </row>
    <row r="293" spans="1:25">
      <c r="A293" s="179">
        <v>222797202</v>
      </c>
      <c r="B293" t="s">
        <v>1389</v>
      </c>
      <c r="C293" t="s">
        <v>750</v>
      </c>
      <c r="D293" t="s">
        <v>989</v>
      </c>
      <c r="E293" t="s">
        <v>698</v>
      </c>
      <c r="F293" t="s">
        <v>2058</v>
      </c>
      <c r="G293" s="180" t="s">
        <v>1389</v>
      </c>
      <c r="H293" s="180" t="s">
        <v>2260</v>
      </c>
      <c r="I293" s="176" t="s">
        <v>1926</v>
      </c>
      <c r="J293" s="181">
        <v>44954</v>
      </c>
      <c r="K293" s="140">
        <v>46052</v>
      </c>
      <c r="L293" s="155">
        <v>0</v>
      </c>
      <c r="M293" s="155">
        <v>0</v>
      </c>
      <c r="N293" s="155">
        <v>0</v>
      </c>
      <c r="O293" s="155" t="s">
        <v>730</v>
      </c>
      <c r="P293" s="176" t="s">
        <v>730</v>
      </c>
      <c r="Q293" s="184" t="s">
        <v>730</v>
      </c>
      <c r="R293" s="155">
        <v>0</v>
      </c>
      <c r="S293" s="176">
        <v>0</v>
      </c>
      <c r="T293" s="182" t="e">
        <f>VLOOKUP(A293,#REF!,9,FALSE)</f>
        <v>#REF!</v>
      </c>
      <c r="U293" s="155" t="s">
        <v>632</v>
      </c>
      <c r="V293" s="155" t="s">
        <v>632</v>
      </c>
      <c r="W293" s="155">
        <v>0</v>
      </c>
      <c r="X293" s="155">
        <v>0</v>
      </c>
      <c r="Y293" s="183">
        <v>0</v>
      </c>
    </row>
    <row r="294" spans="1:25">
      <c r="A294" s="179">
        <v>222797203</v>
      </c>
      <c r="B294" t="s">
        <v>1391</v>
      </c>
      <c r="C294" t="s">
        <v>750</v>
      </c>
      <c r="D294" t="s">
        <v>989</v>
      </c>
      <c r="E294" t="s">
        <v>698</v>
      </c>
      <c r="F294" t="s">
        <v>2055</v>
      </c>
      <c r="G294" s="180" t="s">
        <v>1391</v>
      </c>
      <c r="H294" s="180" t="s">
        <v>2261</v>
      </c>
      <c r="I294" s="176" t="s">
        <v>1926</v>
      </c>
      <c r="J294" s="185" t="s">
        <v>730</v>
      </c>
      <c r="K294" t="s">
        <v>730</v>
      </c>
      <c r="L294" s="155">
        <v>0</v>
      </c>
      <c r="M294" s="155">
        <v>0</v>
      </c>
      <c r="N294" s="155">
        <v>0</v>
      </c>
      <c r="O294" s="155" t="s">
        <v>730</v>
      </c>
      <c r="P294" s="176" t="s">
        <v>730</v>
      </c>
      <c r="Q294" s="184" t="s">
        <v>730</v>
      </c>
      <c r="R294" s="155">
        <v>0</v>
      </c>
      <c r="S294" s="176">
        <v>0</v>
      </c>
      <c r="T294" s="182" t="e">
        <f>VLOOKUP(A294,#REF!,9,FALSE)</f>
        <v>#REF!</v>
      </c>
      <c r="U294" s="155" t="s">
        <v>632</v>
      </c>
      <c r="V294" s="155" t="s">
        <v>632</v>
      </c>
      <c r="W294" s="155">
        <v>0</v>
      </c>
      <c r="X294" s="155">
        <v>0</v>
      </c>
      <c r="Y294" s="183">
        <v>0</v>
      </c>
    </row>
    <row r="295" spans="1:25">
      <c r="A295" s="179">
        <v>222797204</v>
      </c>
      <c r="B295" t="s">
        <v>1393</v>
      </c>
      <c r="C295" t="s">
        <v>750</v>
      </c>
      <c r="D295" t="s">
        <v>989</v>
      </c>
      <c r="E295" t="s">
        <v>698</v>
      </c>
      <c r="F295" t="s">
        <v>2055</v>
      </c>
      <c r="G295" s="180" t="s">
        <v>1393</v>
      </c>
      <c r="H295" s="180" t="s">
        <v>2262</v>
      </c>
      <c r="I295" s="176" t="s">
        <v>1926</v>
      </c>
      <c r="J295" s="185" t="s">
        <v>730</v>
      </c>
      <c r="K295" t="s">
        <v>730</v>
      </c>
      <c r="L295" s="155">
        <v>0</v>
      </c>
      <c r="M295" s="155">
        <v>0</v>
      </c>
      <c r="N295" s="155">
        <v>0</v>
      </c>
      <c r="O295" s="155" t="s">
        <v>730</v>
      </c>
      <c r="P295" s="176" t="s">
        <v>730</v>
      </c>
      <c r="Q295" s="184" t="s">
        <v>730</v>
      </c>
      <c r="R295" s="155">
        <v>0</v>
      </c>
      <c r="S295" s="176">
        <v>0</v>
      </c>
      <c r="T295" s="182" t="e">
        <f>VLOOKUP(A295,#REF!,9,FALSE)</f>
        <v>#REF!</v>
      </c>
      <c r="U295" s="155" t="s">
        <v>632</v>
      </c>
      <c r="V295" s="155" t="s">
        <v>632</v>
      </c>
      <c r="W295" s="155">
        <v>0</v>
      </c>
      <c r="X295" s="155">
        <v>0</v>
      </c>
      <c r="Y295" s="183">
        <v>0</v>
      </c>
    </row>
    <row r="296" spans="1:25">
      <c r="A296" s="179">
        <v>222797205</v>
      </c>
      <c r="B296" t="s">
        <v>1395</v>
      </c>
      <c r="C296" t="s">
        <v>750</v>
      </c>
      <c r="D296" t="s">
        <v>989</v>
      </c>
      <c r="E296" t="s">
        <v>698</v>
      </c>
      <c r="F296" t="s">
        <v>2055</v>
      </c>
      <c r="G296" s="180" t="s">
        <v>1395</v>
      </c>
      <c r="H296" s="180" t="s">
        <v>2263</v>
      </c>
      <c r="I296" s="176" t="s">
        <v>1926</v>
      </c>
      <c r="J296" s="185" t="s">
        <v>730</v>
      </c>
      <c r="K296" t="s">
        <v>730</v>
      </c>
      <c r="L296" s="155">
        <v>0</v>
      </c>
      <c r="M296" s="155">
        <v>0</v>
      </c>
      <c r="N296" s="155">
        <v>0</v>
      </c>
      <c r="O296" s="155" t="s">
        <v>730</v>
      </c>
      <c r="P296" s="176" t="s">
        <v>730</v>
      </c>
      <c r="Q296" s="184" t="s">
        <v>730</v>
      </c>
      <c r="R296" s="155">
        <v>0</v>
      </c>
      <c r="S296" s="176">
        <v>0</v>
      </c>
      <c r="T296" s="182" t="e">
        <f>VLOOKUP(A296,#REF!,9,FALSE)</f>
        <v>#REF!</v>
      </c>
      <c r="U296" s="155" t="s">
        <v>632</v>
      </c>
      <c r="V296" s="155" t="s">
        <v>632</v>
      </c>
      <c r="W296" s="155">
        <v>0</v>
      </c>
      <c r="X296" s="155">
        <v>0</v>
      </c>
      <c r="Y296" s="183">
        <v>0</v>
      </c>
    </row>
    <row r="297" spans="1:25">
      <c r="A297" s="179">
        <v>222797207</v>
      </c>
      <c r="B297" t="s">
        <v>1397</v>
      </c>
      <c r="C297" t="s">
        <v>750</v>
      </c>
      <c r="D297" t="s">
        <v>989</v>
      </c>
      <c r="E297" t="s">
        <v>698</v>
      </c>
      <c r="F297" t="s">
        <v>2055</v>
      </c>
      <c r="G297" s="180" t="s">
        <v>1397</v>
      </c>
      <c r="H297" s="180" t="s">
        <v>2264</v>
      </c>
      <c r="I297" s="176" t="s">
        <v>1926</v>
      </c>
      <c r="J297" s="185" t="s">
        <v>730</v>
      </c>
      <c r="K297" t="s">
        <v>730</v>
      </c>
      <c r="L297" s="155">
        <v>0</v>
      </c>
      <c r="M297" s="155">
        <v>0</v>
      </c>
      <c r="N297" s="155">
        <v>0</v>
      </c>
      <c r="O297" s="155" t="s">
        <v>730</v>
      </c>
      <c r="P297" s="176" t="s">
        <v>730</v>
      </c>
      <c r="Q297" s="184" t="s">
        <v>730</v>
      </c>
      <c r="R297" s="155">
        <v>0</v>
      </c>
      <c r="S297" s="176">
        <v>0</v>
      </c>
      <c r="T297" s="182" t="e">
        <f>VLOOKUP(A297,#REF!,9,FALSE)</f>
        <v>#REF!</v>
      </c>
      <c r="U297" s="155" t="s">
        <v>632</v>
      </c>
      <c r="V297" s="155" t="s">
        <v>632</v>
      </c>
      <c r="W297" s="155">
        <v>0</v>
      </c>
      <c r="X297" s="155">
        <v>0</v>
      </c>
      <c r="Y297" s="183">
        <v>0</v>
      </c>
    </row>
    <row r="298" spans="1:25">
      <c r="A298" s="179">
        <v>222797208</v>
      </c>
      <c r="B298" t="s">
        <v>1399</v>
      </c>
      <c r="C298" t="s">
        <v>750</v>
      </c>
      <c r="D298" t="s">
        <v>989</v>
      </c>
      <c r="E298" t="s">
        <v>698</v>
      </c>
      <c r="F298" t="s">
        <v>2055</v>
      </c>
      <c r="G298" s="180" t="s">
        <v>1399</v>
      </c>
      <c r="H298" s="180" t="s">
        <v>2265</v>
      </c>
      <c r="I298" s="176" t="s">
        <v>1926</v>
      </c>
      <c r="J298" s="185" t="s">
        <v>730</v>
      </c>
      <c r="K298" t="s">
        <v>730</v>
      </c>
      <c r="L298" s="155">
        <v>0</v>
      </c>
      <c r="M298" s="155">
        <v>0</v>
      </c>
      <c r="N298" s="155">
        <v>0</v>
      </c>
      <c r="O298" s="155" t="s">
        <v>730</v>
      </c>
      <c r="P298" s="176" t="s">
        <v>730</v>
      </c>
      <c r="Q298" s="184" t="s">
        <v>730</v>
      </c>
      <c r="R298" s="155">
        <v>0</v>
      </c>
      <c r="S298" s="176">
        <v>0</v>
      </c>
      <c r="T298" s="182" t="e">
        <f>VLOOKUP(A298,#REF!,9,FALSE)</f>
        <v>#REF!</v>
      </c>
      <c r="U298" s="155" t="s">
        <v>632</v>
      </c>
      <c r="V298" s="155" t="s">
        <v>632</v>
      </c>
      <c r="W298" s="155">
        <v>0</v>
      </c>
      <c r="X298" s="155">
        <v>0</v>
      </c>
      <c r="Y298" s="183">
        <v>0</v>
      </c>
    </row>
    <row r="299" spans="1:25">
      <c r="A299" s="179">
        <v>222797209</v>
      </c>
      <c r="B299" t="s">
        <v>1401</v>
      </c>
      <c r="C299" t="s">
        <v>750</v>
      </c>
      <c r="D299" t="s">
        <v>989</v>
      </c>
      <c r="E299" t="s">
        <v>698</v>
      </c>
      <c r="F299" t="s">
        <v>2055</v>
      </c>
      <c r="G299" s="180" t="s">
        <v>1401</v>
      </c>
      <c r="H299" s="180" t="s">
        <v>2266</v>
      </c>
      <c r="I299" s="176" t="s">
        <v>1926</v>
      </c>
      <c r="J299" s="185" t="s">
        <v>730</v>
      </c>
      <c r="K299" t="s">
        <v>730</v>
      </c>
      <c r="L299" s="155">
        <v>0</v>
      </c>
      <c r="M299" s="155">
        <v>0</v>
      </c>
      <c r="N299" s="155">
        <v>0</v>
      </c>
      <c r="O299" s="155" t="s">
        <v>730</v>
      </c>
      <c r="P299" s="176" t="s">
        <v>730</v>
      </c>
      <c r="Q299" s="184" t="s">
        <v>730</v>
      </c>
      <c r="R299" s="155">
        <v>0</v>
      </c>
      <c r="S299" s="176">
        <v>0</v>
      </c>
      <c r="T299" s="182" t="e">
        <f>VLOOKUP(A299,#REF!,9,FALSE)</f>
        <v>#REF!</v>
      </c>
      <c r="U299" s="155" t="s">
        <v>632</v>
      </c>
      <c r="V299" s="155" t="s">
        <v>632</v>
      </c>
      <c r="W299" s="155">
        <v>0</v>
      </c>
      <c r="X299" s="155">
        <v>0</v>
      </c>
      <c r="Y299" s="183">
        <v>0</v>
      </c>
    </row>
    <row r="300" spans="1:25">
      <c r="A300" s="179">
        <v>222797210</v>
      </c>
      <c r="B300" t="s">
        <v>1403</v>
      </c>
      <c r="C300" t="s">
        <v>750</v>
      </c>
      <c r="D300" t="s">
        <v>989</v>
      </c>
      <c r="E300" t="s">
        <v>698</v>
      </c>
      <c r="F300" t="s">
        <v>2055</v>
      </c>
      <c r="G300" s="180" t="s">
        <v>1403</v>
      </c>
      <c r="H300" s="180" t="s">
        <v>2267</v>
      </c>
      <c r="I300" s="176" t="s">
        <v>1926</v>
      </c>
      <c r="J300" s="185" t="s">
        <v>730</v>
      </c>
      <c r="K300" t="s">
        <v>730</v>
      </c>
      <c r="L300" s="155">
        <v>0</v>
      </c>
      <c r="M300" s="155">
        <v>0</v>
      </c>
      <c r="N300" s="155">
        <v>0</v>
      </c>
      <c r="O300" s="155" t="s">
        <v>730</v>
      </c>
      <c r="P300" s="176" t="s">
        <v>730</v>
      </c>
      <c r="Q300" s="184" t="s">
        <v>730</v>
      </c>
      <c r="R300" s="155">
        <v>0</v>
      </c>
      <c r="S300" s="176">
        <v>0</v>
      </c>
      <c r="T300" s="182" t="e">
        <f>VLOOKUP(A300,#REF!,9,FALSE)</f>
        <v>#REF!</v>
      </c>
      <c r="U300" s="155" t="s">
        <v>632</v>
      </c>
      <c r="V300" s="155" t="s">
        <v>632</v>
      </c>
      <c r="W300" s="155">
        <v>0</v>
      </c>
      <c r="X300" s="155">
        <v>0</v>
      </c>
      <c r="Y300" s="183">
        <v>0</v>
      </c>
    </row>
    <row r="301" spans="1:25">
      <c r="A301" s="179">
        <v>222797211</v>
      </c>
      <c r="B301" t="s">
        <v>1405</v>
      </c>
      <c r="C301" t="s">
        <v>750</v>
      </c>
      <c r="D301" t="s">
        <v>989</v>
      </c>
      <c r="E301" t="s">
        <v>698</v>
      </c>
      <c r="F301" t="s">
        <v>2055</v>
      </c>
      <c r="G301" s="180" t="s">
        <v>1405</v>
      </c>
      <c r="H301" s="180" t="s">
        <v>2268</v>
      </c>
      <c r="I301" s="176" t="s">
        <v>1926</v>
      </c>
      <c r="J301" s="185" t="s">
        <v>730</v>
      </c>
      <c r="K301" t="s">
        <v>730</v>
      </c>
      <c r="L301" s="155">
        <v>0</v>
      </c>
      <c r="M301" s="155">
        <v>0</v>
      </c>
      <c r="N301" s="155">
        <v>0</v>
      </c>
      <c r="O301" s="155" t="s">
        <v>730</v>
      </c>
      <c r="P301" s="176" t="s">
        <v>730</v>
      </c>
      <c r="Q301" s="184" t="s">
        <v>730</v>
      </c>
      <c r="R301" s="155">
        <v>0</v>
      </c>
      <c r="S301" s="176">
        <v>0</v>
      </c>
      <c r="T301" s="182" t="e">
        <f>VLOOKUP(A301,#REF!,9,FALSE)</f>
        <v>#REF!</v>
      </c>
      <c r="U301" s="155" t="s">
        <v>632</v>
      </c>
      <c r="V301" s="155" t="s">
        <v>632</v>
      </c>
      <c r="W301" s="155">
        <v>0</v>
      </c>
      <c r="X301" s="155">
        <v>0</v>
      </c>
      <c r="Y301" s="183">
        <v>0</v>
      </c>
    </row>
    <row r="302" spans="1:25">
      <c r="A302" s="179">
        <v>222797212</v>
      </c>
      <c r="B302" t="s">
        <v>1407</v>
      </c>
      <c r="C302" t="s">
        <v>750</v>
      </c>
      <c r="D302" t="s">
        <v>989</v>
      </c>
      <c r="E302" t="s">
        <v>698</v>
      </c>
      <c r="F302" t="s">
        <v>2055</v>
      </c>
      <c r="G302" s="180" t="s">
        <v>1407</v>
      </c>
      <c r="H302" s="180" t="s">
        <v>2269</v>
      </c>
      <c r="I302" s="176" t="s">
        <v>1926</v>
      </c>
      <c r="J302" s="185" t="s">
        <v>730</v>
      </c>
      <c r="K302" t="s">
        <v>730</v>
      </c>
      <c r="L302" s="155">
        <v>0</v>
      </c>
      <c r="M302" s="155">
        <v>0</v>
      </c>
      <c r="N302" s="155">
        <v>0</v>
      </c>
      <c r="O302" s="155" t="s">
        <v>730</v>
      </c>
      <c r="P302" s="176" t="s">
        <v>730</v>
      </c>
      <c r="Q302" s="184" t="s">
        <v>730</v>
      </c>
      <c r="R302" s="155">
        <v>0</v>
      </c>
      <c r="S302" s="176">
        <v>0</v>
      </c>
      <c r="T302" s="182" t="e">
        <f>VLOOKUP(A302,#REF!,9,FALSE)</f>
        <v>#REF!</v>
      </c>
      <c r="U302" s="155" t="s">
        <v>632</v>
      </c>
      <c r="V302" s="155" t="s">
        <v>632</v>
      </c>
      <c r="W302" s="155">
        <v>0</v>
      </c>
      <c r="X302" s="155">
        <v>0</v>
      </c>
      <c r="Y302" s="183">
        <v>0</v>
      </c>
    </row>
    <row r="303" spans="1:25">
      <c r="A303" s="179">
        <v>222797213</v>
      </c>
      <c r="B303" t="s">
        <v>1409</v>
      </c>
      <c r="C303" t="s">
        <v>750</v>
      </c>
      <c r="D303" t="s">
        <v>989</v>
      </c>
      <c r="E303" t="s">
        <v>698</v>
      </c>
      <c r="F303" t="s">
        <v>2055</v>
      </c>
      <c r="G303" s="180" t="s">
        <v>1409</v>
      </c>
      <c r="H303" s="180" t="s">
        <v>2270</v>
      </c>
      <c r="I303" s="176" t="s">
        <v>1926</v>
      </c>
      <c r="J303" s="185" t="s">
        <v>730</v>
      </c>
      <c r="K303" t="s">
        <v>730</v>
      </c>
      <c r="L303" s="155">
        <v>0</v>
      </c>
      <c r="M303" s="155">
        <v>0</v>
      </c>
      <c r="N303" s="155">
        <v>0</v>
      </c>
      <c r="O303" s="155" t="s">
        <v>730</v>
      </c>
      <c r="P303" s="176" t="s">
        <v>730</v>
      </c>
      <c r="Q303" s="184" t="s">
        <v>730</v>
      </c>
      <c r="R303" s="155">
        <v>0</v>
      </c>
      <c r="S303" s="176">
        <v>0</v>
      </c>
      <c r="T303" s="182" t="e">
        <f>VLOOKUP(A303,#REF!,9,FALSE)</f>
        <v>#REF!</v>
      </c>
      <c r="U303" s="155" t="s">
        <v>632</v>
      </c>
      <c r="V303" s="155" t="s">
        <v>632</v>
      </c>
      <c r="W303" s="155">
        <v>0</v>
      </c>
      <c r="X303" s="155">
        <v>0</v>
      </c>
      <c r="Y303" s="183">
        <v>0</v>
      </c>
    </row>
    <row r="304" spans="1:25">
      <c r="A304" s="179">
        <v>222797214</v>
      </c>
      <c r="B304" t="s">
        <v>1411</v>
      </c>
      <c r="C304" t="s">
        <v>750</v>
      </c>
      <c r="D304" t="s">
        <v>989</v>
      </c>
      <c r="E304" t="s">
        <v>698</v>
      </c>
      <c r="F304" t="s">
        <v>2055</v>
      </c>
      <c r="G304" s="180" t="s">
        <v>1411</v>
      </c>
      <c r="H304" s="180" t="s">
        <v>2271</v>
      </c>
      <c r="I304" s="176" t="s">
        <v>1926</v>
      </c>
      <c r="J304" s="185" t="s">
        <v>730</v>
      </c>
      <c r="K304" t="s">
        <v>730</v>
      </c>
      <c r="L304" s="155">
        <v>0</v>
      </c>
      <c r="M304" s="155">
        <v>0</v>
      </c>
      <c r="N304" s="155">
        <v>0</v>
      </c>
      <c r="O304" s="155" t="s">
        <v>730</v>
      </c>
      <c r="P304" s="176" t="s">
        <v>730</v>
      </c>
      <c r="Q304" s="184" t="s">
        <v>730</v>
      </c>
      <c r="R304" s="155">
        <v>0</v>
      </c>
      <c r="S304" s="176">
        <v>0</v>
      </c>
      <c r="T304" s="182" t="e">
        <f>VLOOKUP(A304,#REF!,9,FALSE)</f>
        <v>#REF!</v>
      </c>
      <c r="U304" s="155" t="s">
        <v>632</v>
      </c>
      <c r="V304" s="155" t="s">
        <v>632</v>
      </c>
      <c r="W304" s="155">
        <v>0</v>
      </c>
      <c r="X304" s="155">
        <v>0</v>
      </c>
      <c r="Y304" s="183">
        <v>0</v>
      </c>
    </row>
    <row r="305" spans="1:25">
      <c r="A305" s="179">
        <v>222797215</v>
      </c>
      <c r="B305" t="s">
        <v>1413</v>
      </c>
      <c r="C305" t="s">
        <v>750</v>
      </c>
      <c r="D305" t="s">
        <v>989</v>
      </c>
      <c r="E305" t="s">
        <v>698</v>
      </c>
      <c r="F305" t="s">
        <v>2055</v>
      </c>
      <c r="G305" s="180" t="s">
        <v>1413</v>
      </c>
      <c r="H305" s="180" t="s">
        <v>2272</v>
      </c>
      <c r="I305" s="176" t="s">
        <v>1926</v>
      </c>
      <c r="J305" s="185" t="s">
        <v>730</v>
      </c>
      <c r="K305" t="s">
        <v>730</v>
      </c>
      <c r="L305" s="155">
        <v>0</v>
      </c>
      <c r="M305" s="155">
        <v>0</v>
      </c>
      <c r="N305" s="155">
        <v>0</v>
      </c>
      <c r="O305" s="155" t="s">
        <v>730</v>
      </c>
      <c r="P305" s="176" t="s">
        <v>730</v>
      </c>
      <c r="Q305" s="184" t="s">
        <v>730</v>
      </c>
      <c r="R305" s="155">
        <v>0</v>
      </c>
      <c r="S305" s="176">
        <v>0</v>
      </c>
      <c r="T305" s="182" t="e">
        <f>VLOOKUP(A305,#REF!,9,FALSE)</f>
        <v>#REF!</v>
      </c>
      <c r="U305" s="155" t="s">
        <v>632</v>
      </c>
      <c r="V305" s="155" t="s">
        <v>632</v>
      </c>
      <c r="W305" s="155">
        <v>0</v>
      </c>
      <c r="X305" s="155">
        <v>0</v>
      </c>
      <c r="Y305" s="183">
        <v>0</v>
      </c>
    </row>
    <row r="306" spans="1:25">
      <c r="A306" s="179">
        <v>222797216</v>
      </c>
      <c r="B306" t="s">
        <v>1415</v>
      </c>
      <c r="C306" t="s">
        <v>750</v>
      </c>
      <c r="D306" t="s">
        <v>989</v>
      </c>
      <c r="E306" t="s">
        <v>698</v>
      </c>
      <c r="F306" t="s">
        <v>2055</v>
      </c>
      <c r="G306" s="180" t="s">
        <v>1415</v>
      </c>
      <c r="H306" s="180" t="s">
        <v>2273</v>
      </c>
      <c r="I306" s="176" t="s">
        <v>1926</v>
      </c>
      <c r="J306" s="185" t="s">
        <v>730</v>
      </c>
      <c r="K306" t="s">
        <v>730</v>
      </c>
      <c r="L306" s="155">
        <v>0</v>
      </c>
      <c r="M306" s="155">
        <v>0</v>
      </c>
      <c r="N306" s="155">
        <v>0</v>
      </c>
      <c r="O306" s="155" t="s">
        <v>730</v>
      </c>
      <c r="P306" s="176" t="s">
        <v>730</v>
      </c>
      <c r="Q306" s="184" t="s">
        <v>730</v>
      </c>
      <c r="R306" s="155">
        <v>0</v>
      </c>
      <c r="S306" s="176">
        <v>0</v>
      </c>
      <c r="T306" s="182" t="e">
        <f>VLOOKUP(A306,#REF!,9,FALSE)</f>
        <v>#REF!</v>
      </c>
      <c r="U306" s="155" t="s">
        <v>632</v>
      </c>
      <c r="V306" s="155" t="s">
        <v>632</v>
      </c>
      <c r="W306" s="155">
        <v>0</v>
      </c>
      <c r="X306" s="155">
        <v>0</v>
      </c>
      <c r="Y306" s="183">
        <v>0</v>
      </c>
    </row>
    <row r="307" spans="1:25">
      <c r="A307" s="179">
        <v>222797217</v>
      </c>
      <c r="B307" t="s">
        <v>1417</v>
      </c>
      <c r="C307" t="s">
        <v>750</v>
      </c>
      <c r="D307" t="s">
        <v>989</v>
      </c>
      <c r="E307" t="s">
        <v>698</v>
      </c>
      <c r="F307" t="s">
        <v>2055</v>
      </c>
      <c r="G307" s="180" t="s">
        <v>1417</v>
      </c>
      <c r="H307" s="180" t="s">
        <v>2274</v>
      </c>
      <c r="I307" s="176" t="s">
        <v>1926</v>
      </c>
      <c r="J307" s="185" t="s">
        <v>730</v>
      </c>
      <c r="K307" t="s">
        <v>730</v>
      </c>
      <c r="L307" s="155">
        <v>0</v>
      </c>
      <c r="M307" s="155">
        <v>0</v>
      </c>
      <c r="N307" s="155">
        <v>0</v>
      </c>
      <c r="O307" s="155" t="s">
        <v>730</v>
      </c>
      <c r="P307" s="176" t="s">
        <v>730</v>
      </c>
      <c r="Q307" s="184" t="s">
        <v>730</v>
      </c>
      <c r="R307" s="155">
        <v>0</v>
      </c>
      <c r="S307" s="176">
        <v>0</v>
      </c>
      <c r="T307" s="182" t="e">
        <f>VLOOKUP(A307,#REF!,9,FALSE)</f>
        <v>#REF!</v>
      </c>
      <c r="U307" s="155" t="s">
        <v>632</v>
      </c>
      <c r="V307" s="155" t="s">
        <v>632</v>
      </c>
      <c r="W307" s="155">
        <v>0</v>
      </c>
      <c r="X307" s="155">
        <v>0</v>
      </c>
      <c r="Y307" s="183">
        <v>0</v>
      </c>
    </row>
    <row r="308" spans="1:25">
      <c r="A308" s="179">
        <v>222797218</v>
      </c>
      <c r="B308" t="s">
        <v>1419</v>
      </c>
      <c r="C308" t="s">
        <v>750</v>
      </c>
      <c r="D308" t="s">
        <v>989</v>
      </c>
      <c r="E308" t="s">
        <v>698</v>
      </c>
      <c r="F308" t="s">
        <v>2055</v>
      </c>
      <c r="G308" s="180" t="s">
        <v>1419</v>
      </c>
      <c r="H308" s="180" t="s">
        <v>2275</v>
      </c>
      <c r="I308" s="176" t="s">
        <v>1926</v>
      </c>
      <c r="J308" s="185" t="s">
        <v>730</v>
      </c>
      <c r="K308" t="s">
        <v>730</v>
      </c>
      <c r="L308" s="155">
        <v>0</v>
      </c>
      <c r="M308" s="155">
        <v>0</v>
      </c>
      <c r="N308" s="155">
        <v>0</v>
      </c>
      <c r="O308" s="155" t="s">
        <v>730</v>
      </c>
      <c r="P308" s="176" t="s">
        <v>730</v>
      </c>
      <c r="Q308" s="184" t="s">
        <v>730</v>
      </c>
      <c r="R308" s="155">
        <v>0</v>
      </c>
      <c r="S308" s="176">
        <v>0</v>
      </c>
      <c r="T308" s="182" t="e">
        <f>VLOOKUP(A308,#REF!,9,FALSE)</f>
        <v>#REF!</v>
      </c>
      <c r="U308" s="155" t="s">
        <v>632</v>
      </c>
      <c r="V308" s="155" t="s">
        <v>632</v>
      </c>
      <c r="W308" s="155">
        <v>0</v>
      </c>
      <c r="X308" s="155">
        <v>0</v>
      </c>
      <c r="Y308" s="183">
        <v>0</v>
      </c>
    </row>
    <row r="309" spans="1:25">
      <c r="A309" s="179">
        <v>222797219</v>
      </c>
      <c r="B309" t="s">
        <v>1421</v>
      </c>
      <c r="C309" t="s">
        <v>750</v>
      </c>
      <c r="D309" t="s">
        <v>989</v>
      </c>
      <c r="E309" t="s">
        <v>698</v>
      </c>
      <c r="F309" t="s">
        <v>2055</v>
      </c>
      <c r="G309" s="180" t="s">
        <v>1421</v>
      </c>
      <c r="H309" s="180" t="s">
        <v>2276</v>
      </c>
      <c r="I309" s="176" t="s">
        <v>1926</v>
      </c>
      <c r="J309" s="185" t="s">
        <v>730</v>
      </c>
      <c r="K309" t="s">
        <v>730</v>
      </c>
      <c r="L309" s="155">
        <v>0</v>
      </c>
      <c r="M309" s="155">
        <v>0</v>
      </c>
      <c r="N309" s="155">
        <v>0</v>
      </c>
      <c r="O309" s="155" t="s">
        <v>730</v>
      </c>
      <c r="P309" s="176" t="s">
        <v>730</v>
      </c>
      <c r="Q309" s="184" t="s">
        <v>730</v>
      </c>
      <c r="R309" s="155">
        <v>0</v>
      </c>
      <c r="S309" s="176">
        <v>0</v>
      </c>
      <c r="T309" s="182" t="e">
        <f>VLOOKUP(A309,#REF!,9,FALSE)</f>
        <v>#REF!</v>
      </c>
      <c r="U309" s="155" t="s">
        <v>632</v>
      </c>
      <c r="V309" s="155" t="s">
        <v>632</v>
      </c>
      <c r="W309" s="155">
        <v>0</v>
      </c>
      <c r="X309" s="155">
        <v>0</v>
      </c>
      <c r="Y309" s="183">
        <v>0</v>
      </c>
    </row>
    <row r="310" spans="1:25">
      <c r="A310" s="179">
        <v>222797220</v>
      </c>
      <c r="B310" t="s">
        <v>1423</v>
      </c>
      <c r="C310" t="s">
        <v>750</v>
      </c>
      <c r="D310" t="s">
        <v>989</v>
      </c>
      <c r="E310" t="s">
        <v>698</v>
      </c>
      <c r="F310" t="s">
        <v>2055</v>
      </c>
      <c r="G310" s="180" t="s">
        <v>1423</v>
      </c>
      <c r="H310" s="180" t="s">
        <v>2277</v>
      </c>
      <c r="I310" s="176" t="s">
        <v>1926</v>
      </c>
      <c r="J310" s="185" t="s">
        <v>730</v>
      </c>
      <c r="K310" t="s">
        <v>730</v>
      </c>
      <c r="L310" s="155">
        <v>0</v>
      </c>
      <c r="M310" s="155">
        <v>0</v>
      </c>
      <c r="N310" s="155">
        <v>0</v>
      </c>
      <c r="O310" s="155" t="s">
        <v>730</v>
      </c>
      <c r="P310" s="176" t="s">
        <v>730</v>
      </c>
      <c r="Q310" s="184" t="s">
        <v>730</v>
      </c>
      <c r="R310" s="155">
        <v>0</v>
      </c>
      <c r="S310" s="176">
        <v>0</v>
      </c>
      <c r="T310" s="182" t="e">
        <f>VLOOKUP(A310,#REF!,9,FALSE)</f>
        <v>#REF!</v>
      </c>
      <c r="U310" s="155" t="s">
        <v>632</v>
      </c>
      <c r="V310" s="155" t="s">
        <v>632</v>
      </c>
      <c r="W310" s="155">
        <v>0</v>
      </c>
      <c r="X310" s="155">
        <v>0</v>
      </c>
      <c r="Y310" s="183">
        <v>0</v>
      </c>
    </row>
    <row r="311" spans="1:25">
      <c r="A311" s="179">
        <v>222797221</v>
      </c>
      <c r="B311" t="s">
        <v>1425</v>
      </c>
      <c r="C311" t="s">
        <v>750</v>
      </c>
      <c r="D311" t="s">
        <v>989</v>
      </c>
      <c r="E311" t="s">
        <v>698</v>
      </c>
      <c r="F311" t="s">
        <v>2055</v>
      </c>
      <c r="G311" s="180" t="s">
        <v>1425</v>
      </c>
      <c r="H311" s="180" t="s">
        <v>2278</v>
      </c>
      <c r="I311" s="176" t="s">
        <v>1926</v>
      </c>
      <c r="J311" s="185" t="s">
        <v>730</v>
      </c>
      <c r="K311" t="s">
        <v>730</v>
      </c>
      <c r="L311" s="155">
        <v>0</v>
      </c>
      <c r="M311" s="155">
        <v>0</v>
      </c>
      <c r="N311" s="155">
        <v>0</v>
      </c>
      <c r="O311" s="155" t="s">
        <v>730</v>
      </c>
      <c r="P311" s="176" t="s">
        <v>730</v>
      </c>
      <c r="Q311" s="184" t="s">
        <v>730</v>
      </c>
      <c r="R311" s="155">
        <v>0</v>
      </c>
      <c r="S311" s="176">
        <v>0</v>
      </c>
      <c r="T311" s="182" t="e">
        <f>VLOOKUP(A311,#REF!,9,FALSE)</f>
        <v>#REF!</v>
      </c>
      <c r="U311" s="155" t="s">
        <v>632</v>
      </c>
      <c r="V311" s="155" t="s">
        <v>632</v>
      </c>
      <c r="W311" s="155">
        <v>0</v>
      </c>
      <c r="X311" s="155">
        <v>0</v>
      </c>
      <c r="Y311" s="183">
        <v>0</v>
      </c>
    </row>
    <row r="312" spans="1:25">
      <c r="A312" s="179">
        <v>222797222</v>
      </c>
      <c r="B312" t="s">
        <v>1427</v>
      </c>
      <c r="C312" t="s">
        <v>750</v>
      </c>
      <c r="D312" t="s">
        <v>989</v>
      </c>
      <c r="E312" t="s">
        <v>698</v>
      </c>
      <c r="F312" t="s">
        <v>2055</v>
      </c>
      <c r="G312" s="180" t="s">
        <v>1427</v>
      </c>
      <c r="H312" s="180" t="s">
        <v>2279</v>
      </c>
      <c r="I312" s="176" t="s">
        <v>1926</v>
      </c>
      <c r="J312" s="185" t="s">
        <v>730</v>
      </c>
      <c r="K312" t="s">
        <v>730</v>
      </c>
      <c r="L312" s="155">
        <v>0</v>
      </c>
      <c r="M312" s="155">
        <v>0</v>
      </c>
      <c r="N312" s="155">
        <v>0</v>
      </c>
      <c r="O312" s="155" t="s">
        <v>730</v>
      </c>
      <c r="P312" s="176" t="s">
        <v>730</v>
      </c>
      <c r="Q312" s="184" t="s">
        <v>730</v>
      </c>
      <c r="R312" s="155">
        <v>0</v>
      </c>
      <c r="S312" s="176">
        <v>0</v>
      </c>
      <c r="T312" s="182" t="e">
        <f>VLOOKUP(A312,#REF!,9,FALSE)</f>
        <v>#REF!</v>
      </c>
      <c r="U312" s="155" t="s">
        <v>632</v>
      </c>
      <c r="V312" s="155" t="s">
        <v>632</v>
      </c>
      <c r="W312" s="155">
        <v>0</v>
      </c>
      <c r="X312" s="155">
        <v>0</v>
      </c>
      <c r="Y312" s="183">
        <v>0</v>
      </c>
    </row>
    <row r="313" spans="1:25">
      <c r="A313" s="179">
        <v>222797223</v>
      </c>
      <c r="B313" t="s">
        <v>1429</v>
      </c>
      <c r="C313" t="s">
        <v>750</v>
      </c>
      <c r="D313" t="s">
        <v>989</v>
      </c>
      <c r="E313" t="s">
        <v>698</v>
      </c>
      <c r="F313" t="s">
        <v>2055</v>
      </c>
      <c r="G313" s="180" t="s">
        <v>1429</v>
      </c>
      <c r="H313" s="180" t="s">
        <v>2280</v>
      </c>
      <c r="I313" s="176" t="s">
        <v>1926</v>
      </c>
      <c r="J313" s="185" t="s">
        <v>730</v>
      </c>
      <c r="K313" t="s">
        <v>730</v>
      </c>
      <c r="L313" s="155">
        <v>0</v>
      </c>
      <c r="M313" s="155">
        <v>0</v>
      </c>
      <c r="N313" s="155">
        <v>0</v>
      </c>
      <c r="O313" s="155" t="s">
        <v>730</v>
      </c>
      <c r="P313" s="176" t="s">
        <v>730</v>
      </c>
      <c r="Q313" s="184" t="s">
        <v>730</v>
      </c>
      <c r="R313" s="155">
        <v>0</v>
      </c>
      <c r="S313" s="176">
        <v>0</v>
      </c>
      <c r="T313" s="182" t="e">
        <f>VLOOKUP(A313,#REF!,9,FALSE)</f>
        <v>#REF!</v>
      </c>
      <c r="U313" s="155" t="s">
        <v>632</v>
      </c>
      <c r="V313" s="155" t="s">
        <v>632</v>
      </c>
      <c r="W313" s="155">
        <v>0</v>
      </c>
      <c r="X313" s="155">
        <v>0</v>
      </c>
      <c r="Y313" s="183">
        <v>0</v>
      </c>
    </row>
    <row r="314" spans="1:25">
      <c r="A314" s="179">
        <v>222797224</v>
      </c>
      <c r="B314" t="s">
        <v>1431</v>
      </c>
      <c r="C314" t="s">
        <v>750</v>
      </c>
      <c r="D314" t="s">
        <v>989</v>
      </c>
      <c r="E314" t="s">
        <v>698</v>
      </c>
      <c r="F314" t="s">
        <v>2055</v>
      </c>
      <c r="G314" s="180" t="s">
        <v>1431</v>
      </c>
      <c r="H314" s="180" t="s">
        <v>2281</v>
      </c>
      <c r="I314" s="176" t="s">
        <v>1926</v>
      </c>
      <c r="J314" s="185" t="s">
        <v>730</v>
      </c>
      <c r="K314" t="s">
        <v>730</v>
      </c>
      <c r="L314" s="155">
        <v>0</v>
      </c>
      <c r="M314" s="155">
        <v>0</v>
      </c>
      <c r="N314" s="155">
        <v>0</v>
      </c>
      <c r="O314" s="155" t="s">
        <v>730</v>
      </c>
      <c r="P314" s="176" t="s">
        <v>730</v>
      </c>
      <c r="Q314" s="184" t="s">
        <v>730</v>
      </c>
      <c r="R314" s="155">
        <v>0</v>
      </c>
      <c r="S314" s="176">
        <v>0</v>
      </c>
      <c r="T314" s="182" t="e">
        <f>VLOOKUP(A314,#REF!,9,FALSE)</f>
        <v>#REF!</v>
      </c>
      <c r="U314" s="155" t="s">
        <v>632</v>
      </c>
      <c r="V314" s="155" t="s">
        <v>632</v>
      </c>
      <c r="W314" s="155">
        <v>0</v>
      </c>
      <c r="X314" s="155">
        <v>0</v>
      </c>
      <c r="Y314" s="183">
        <v>0</v>
      </c>
    </row>
    <row r="315" spans="1:25">
      <c r="A315" s="179">
        <v>222797225</v>
      </c>
      <c r="B315" t="s">
        <v>1433</v>
      </c>
      <c r="C315" t="s">
        <v>750</v>
      </c>
      <c r="D315" t="s">
        <v>989</v>
      </c>
      <c r="E315" t="s">
        <v>698</v>
      </c>
      <c r="F315" t="s">
        <v>2055</v>
      </c>
      <c r="G315" s="180" t="s">
        <v>1433</v>
      </c>
      <c r="H315" s="180" t="s">
        <v>2282</v>
      </c>
      <c r="I315" s="176" t="s">
        <v>1926</v>
      </c>
      <c r="J315" s="185" t="s">
        <v>730</v>
      </c>
      <c r="K315" t="s">
        <v>730</v>
      </c>
      <c r="L315" s="155">
        <v>0</v>
      </c>
      <c r="M315" s="155">
        <v>0</v>
      </c>
      <c r="N315" s="155">
        <v>0</v>
      </c>
      <c r="O315" s="155" t="s">
        <v>730</v>
      </c>
      <c r="P315" s="176" t="s">
        <v>730</v>
      </c>
      <c r="Q315" s="184" t="s">
        <v>730</v>
      </c>
      <c r="R315" s="155">
        <v>0</v>
      </c>
      <c r="S315" s="176">
        <v>0</v>
      </c>
      <c r="T315" s="182" t="e">
        <f>VLOOKUP(A315,#REF!,9,FALSE)</f>
        <v>#REF!</v>
      </c>
      <c r="U315" s="155" t="s">
        <v>632</v>
      </c>
      <c r="V315" s="155" t="s">
        <v>632</v>
      </c>
      <c r="W315" s="155">
        <v>0</v>
      </c>
      <c r="X315" s="155">
        <v>0</v>
      </c>
      <c r="Y315" s="183">
        <v>0</v>
      </c>
    </row>
    <row r="316" spans="1:25">
      <c r="A316" s="179">
        <v>222797226</v>
      </c>
      <c r="B316" t="s">
        <v>1435</v>
      </c>
      <c r="C316" t="s">
        <v>750</v>
      </c>
      <c r="D316" t="s">
        <v>989</v>
      </c>
      <c r="E316" t="s">
        <v>698</v>
      </c>
      <c r="F316" t="s">
        <v>2055</v>
      </c>
      <c r="G316" s="180" t="s">
        <v>1435</v>
      </c>
      <c r="H316" s="180" t="s">
        <v>2283</v>
      </c>
      <c r="I316" s="176" t="s">
        <v>1926</v>
      </c>
      <c r="J316" s="185" t="s">
        <v>730</v>
      </c>
      <c r="K316" t="s">
        <v>730</v>
      </c>
      <c r="L316" s="155">
        <v>0</v>
      </c>
      <c r="M316" s="155">
        <v>0</v>
      </c>
      <c r="N316" s="155">
        <v>0</v>
      </c>
      <c r="O316" s="155" t="s">
        <v>730</v>
      </c>
      <c r="P316" s="176" t="s">
        <v>730</v>
      </c>
      <c r="Q316" s="184" t="s">
        <v>730</v>
      </c>
      <c r="R316" s="155">
        <v>0</v>
      </c>
      <c r="S316" s="176">
        <v>0</v>
      </c>
      <c r="T316" s="182" t="e">
        <f>VLOOKUP(A316,#REF!,9,FALSE)</f>
        <v>#REF!</v>
      </c>
      <c r="U316" s="155" t="s">
        <v>632</v>
      </c>
      <c r="V316" s="155" t="s">
        <v>632</v>
      </c>
      <c r="W316" s="155">
        <v>0</v>
      </c>
      <c r="X316" s="155">
        <v>0</v>
      </c>
      <c r="Y316" s="183">
        <v>0</v>
      </c>
    </row>
    <row r="317" spans="1:25">
      <c r="A317" s="179">
        <v>222797227</v>
      </c>
      <c r="B317" t="s">
        <v>1437</v>
      </c>
      <c r="C317" t="s">
        <v>750</v>
      </c>
      <c r="D317" t="s">
        <v>989</v>
      </c>
      <c r="E317" t="s">
        <v>698</v>
      </c>
      <c r="F317" t="s">
        <v>2055</v>
      </c>
      <c r="G317" s="180" t="s">
        <v>1437</v>
      </c>
      <c r="H317" s="180" t="s">
        <v>2284</v>
      </c>
      <c r="I317" s="176" t="s">
        <v>1926</v>
      </c>
      <c r="J317" s="185" t="s">
        <v>730</v>
      </c>
      <c r="K317" t="s">
        <v>730</v>
      </c>
      <c r="L317" s="155">
        <v>0</v>
      </c>
      <c r="M317" s="155">
        <v>0</v>
      </c>
      <c r="N317" s="155">
        <v>0</v>
      </c>
      <c r="O317" s="155" t="s">
        <v>730</v>
      </c>
      <c r="P317" s="176" t="s">
        <v>730</v>
      </c>
      <c r="Q317" s="184" t="s">
        <v>730</v>
      </c>
      <c r="R317" s="155">
        <v>0</v>
      </c>
      <c r="S317" s="176">
        <v>0</v>
      </c>
      <c r="T317" s="182" t="e">
        <f>VLOOKUP(A317,#REF!,9,FALSE)</f>
        <v>#REF!</v>
      </c>
      <c r="U317" s="155" t="s">
        <v>632</v>
      </c>
      <c r="V317" s="155" t="s">
        <v>632</v>
      </c>
      <c r="W317" s="155">
        <v>0</v>
      </c>
      <c r="X317" s="155">
        <v>0</v>
      </c>
      <c r="Y317" s="183">
        <v>0</v>
      </c>
    </row>
    <row r="318" spans="1:25">
      <c r="A318" s="179">
        <v>222797228</v>
      </c>
      <c r="B318" t="s">
        <v>1439</v>
      </c>
      <c r="C318" t="s">
        <v>750</v>
      </c>
      <c r="D318" t="s">
        <v>989</v>
      </c>
      <c r="E318" t="s">
        <v>698</v>
      </c>
      <c r="F318" t="s">
        <v>2055</v>
      </c>
      <c r="G318" s="180" t="s">
        <v>1439</v>
      </c>
      <c r="H318" s="180" t="s">
        <v>2285</v>
      </c>
      <c r="I318" s="176" t="s">
        <v>1926</v>
      </c>
      <c r="J318" s="185" t="s">
        <v>730</v>
      </c>
      <c r="K318" t="s">
        <v>730</v>
      </c>
      <c r="L318" s="155">
        <v>0</v>
      </c>
      <c r="M318" s="155">
        <v>0</v>
      </c>
      <c r="N318" s="155">
        <v>0</v>
      </c>
      <c r="O318" s="155" t="s">
        <v>730</v>
      </c>
      <c r="P318" s="176" t="s">
        <v>730</v>
      </c>
      <c r="Q318" s="184" t="s">
        <v>730</v>
      </c>
      <c r="R318" s="155">
        <v>0</v>
      </c>
      <c r="S318" s="176">
        <v>0</v>
      </c>
      <c r="T318" s="182" t="e">
        <f>VLOOKUP(A318,#REF!,9,FALSE)</f>
        <v>#REF!</v>
      </c>
      <c r="U318" s="155" t="s">
        <v>632</v>
      </c>
      <c r="V318" s="155" t="s">
        <v>632</v>
      </c>
      <c r="W318" s="155">
        <v>0</v>
      </c>
      <c r="X318" s="155">
        <v>0</v>
      </c>
      <c r="Y318" s="183">
        <v>0</v>
      </c>
    </row>
    <row r="319" spans="1:25">
      <c r="A319" s="179">
        <v>222797229</v>
      </c>
      <c r="B319" t="s">
        <v>1441</v>
      </c>
      <c r="C319" t="s">
        <v>750</v>
      </c>
      <c r="D319" t="s">
        <v>989</v>
      </c>
      <c r="E319" t="s">
        <v>698</v>
      </c>
      <c r="F319" t="s">
        <v>2055</v>
      </c>
      <c r="G319" s="180" t="s">
        <v>1441</v>
      </c>
      <c r="H319" s="180" t="s">
        <v>2286</v>
      </c>
      <c r="I319" s="176" t="s">
        <v>1926</v>
      </c>
      <c r="J319" s="185" t="s">
        <v>730</v>
      </c>
      <c r="K319" t="s">
        <v>730</v>
      </c>
      <c r="L319" s="155">
        <v>0</v>
      </c>
      <c r="M319" s="155">
        <v>0</v>
      </c>
      <c r="N319" s="155">
        <v>0</v>
      </c>
      <c r="O319" s="155" t="s">
        <v>730</v>
      </c>
      <c r="P319" s="176" t="s">
        <v>730</v>
      </c>
      <c r="Q319" s="184" t="s">
        <v>730</v>
      </c>
      <c r="R319" s="155">
        <v>0</v>
      </c>
      <c r="S319" s="176">
        <v>0</v>
      </c>
      <c r="T319" s="182" t="e">
        <f>VLOOKUP(A319,#REF!,9,FALSE)</f>
        <v>#REF!</v>
      </c>
      <c r="U319" s="155" t="s">
        <v>632</v>
      </c>
      <c r="V319" s="155" t="s">
        <v>632</v>
      </c>
      <c r="W319" s="155">
        <v>0</v>
      </c>
      <c r="X319" s="155">
        <v>0</v>
      </c>
      <c r="Y319" s="183">
        <v>0</v>
      </c>
    </row>
    <row r="320" spans="1:25">
      <c r="A320" s="179">
        <v>222797230</v>
      </c>
      <c r="B320" t="s">
        <v>1443</v>
      </c>
      <c r="C320" t="s">
        <v>750</v>
      </c>
      <c r="D320" t="s">
        <v>989</v>
      </c>
      <c r="E320" t="s">
        <v>698</v>
      </c>
      <c r="F320" t="s">
        <v>2055</v>
      </c>
      <c r="G320" s="180" t="s">
        <v>1443</v>
      </c>
      <c r="H320" s="180" t="s">
        <v>2287</v>
      </c>
      <c r="I320" s="176" t="s">
        <v>1926</v>
      </c>
      <c r="J320" s="185" t="s">
        <v>730</v>
      </c>
      <c r="K320" t="s">
        <v>730</v>
      </c>
      <c r="L320" s="155">
        <v>0</v>
      </c>
      <c r="M320" s="155">
        <v>0</v>
      </c>
      <c r="N320" s="155">
        <v>0</v>
      </c>
      <c r="O320" s="155" t="s">
        <v>730</v>
      </c>
      <c r="P320" s="176" t="s">
        <v>730</v>
      </c>
      <c r="Q320" s="184" t="s">
        <v>730</v>
      </c>
      <c r="R320" s="155">
        <v>0</v>
      </c>
      <c r="S320" s="176">
        <v>0</v>
      </c>
      <c r="T320" s="182" t="e">
        <f>VLOOKUP(A320,#REF!,9,FALSE)</f>
        <v>#REF!</v>
      </c>
      <c r="U320" s="155" t="s">
        <v>632</v>
      </c>
      <c r="V320" s="155" t="s">
        <v>632</v>
      </c>
      <c r="W320" s="155">
        <v>0</v>
      </c>
      <c r="X320" s="155">
        <v>0</v>
      </c>
      <c r="Y320" s="183">
        <v>0</v>
      </c>
    </row>
    <row r="321" spans="1:25">
      <c r="A321" s="179">
        <v>222797231</v>
      </c>
      <c r="B321" t="s">
        <v>1445</v>
      </c>
      <c r="C321" t="s">
        <v>750</v>
      </c>
      <c r="D321" t="s">
        <v>989</v>
      </c>
      <c r="E321" t="s">
        <v>698</v>
      </c>
      <c r="F321" t="s">
        <v>2055</v>
      </c>
      <c r="G321" s="180" t="s">
        <v>1445</v>
      </c>
      <c r="H321" s="180" t="s">
        <v>2288</v>
      </c>
      <c r="I321" s="176" t="s">
        <v>1926</v>
      </c>
      <c r="J321" s="185" t="s">
        <v>730</v>
      </c>
      <c r="K321" t="s">
        <v>730</v>
      </c>
      <c r="L321" s="155">
        <v>0</v>
      </c>
      <c r="M321" s="155">
        <v>0</v>
      </c>
      <c r="N321" s="155">
        <v>0</v>
      </c>
      <c r="O321" s="155" t="s">
        <v>730</v>
      </c>
      <c r="P321" s="176" t="s">
        <v>730</v>
      </c>
      <c r="Q321" s="184" t="s">
        <v>730</v>
      </c>
      <c r="R321" s="155">
        <v>0</v>
      </c>
      <c r="S321" s="176">
        <v>0</v>
      </c>
      <c r="T321" s="182" t="e">
        <f>VLOOKUP(A321,#REF!,9,FALSE)</f>
        <v>#REF!</v>
      </c>
      <c r="U321" s="155" t="s">
        <v>632</v>
      </c>
      <c r="V321" s="155" t="s">
        <v>632</v>
      </c>
      <c r="W321" s="155">
        <v>0</v>
      </c>
      <c r="X321" s="155">
        <v>0</v>
      </c>
      <c r="Y321" s="183">
        <v>0</v>
      </c>
    </row>
    <row r="322" spans="1:25">
      <c r="A322" s="179">
        <v>222797232</v>
      </c>
      <c r="B322" t="s">
        <v>1447</v>
      </c>
      <c r="C322" t="s">
        <v>750</v>
      </c>
      <c r="D322" t="s">
        <v>989</v>
      </c>
      <c r="E322" t="s">
        <v>698</v>
      </c>
      <c r="F322" t="s">
        <v>2055</v>
      </c>
      <c r="G322" s="180" t="s">
        <v>1447</v>
      </c>
      <c r="H322" s="180" t="s">
        <v>2289</v>
      </c>
      <c r="I322" s="176" t="s">
        <v>1926</v>
      </c>
      <c r="J322" s="185" t="s">
        <v>730</v>
      </c>
      <c r="K322" t="s">
        <v>730</v>
      </c>
      <c r="L322" s="155">
        <v>0</v>
      </c>
      <c r="M322" s="155">
        <v>0</v>
      </c>
      <c r="N322" s="155">
        <v>0</v>
      </c>
      <c r="O322" s="155" t="s">
        <v>730</v>
      </c>
      <c r="P322" s="176" t="s">
        <v>730</v>
      </c>
      <c r="Q322" s="184" t="s">
        <v>730</v>
      </c>
      <c r="R322" s="155">
        <v>0</v>
      </c>
      <c r="S322" s="176">
        <v>0</v>
      </c>
      <c r="T322" s="182" t="e">
        <f>VLOOKUP(A322,#REF!,9,FALSE)</f>
        <v>#REF!</v>
      </c>
      <c r="U322" s="155" t="s">
        <v>632</v>
      </c>
      <c r="V322" s="155" t="s">
        <v>632</v>
      </c>
      <c r="W322" s="155">
        <v>0</v>
      </c>
      <c r="X322" s="155">
        <v>0</v>
      </c>
      <c r="Y322" s="183">
        <v>0</v>
      </c>
    </row>
    <row r="323" spans="1:25">
      <c r="A323" s="179">
        <v>222797233</v>
      </c>
      <c r="B323" t="s">
        <v>1449</v>
      </c>
      <c r="C323" t="s">
        <v>750</v>
      </c>
      <c r="D323" t="s">
        <v>989</v>
      </c>
      <c r="E323" t="s">
        <v>698</v>
      </c>
      <c r="F323" t="s">
        <v>2055</v>
      </c>
      <c r="G323" s="180" t="s">
        <v>1449</v>
      </c>
      <c r="H323" s="180" t="s">
        <v>2290</v>
      </c>
      <c r="I323" s="176" t="s">
        <v>1926</v>
      </c>
      <c r="J323" s="185" t="s">
        <v>730</v>
      </c>
      <c r="K323" t="s">
        <v>730</v>
      </c>
      <c r="L323" s="155">
        <v>0</v>
      </c>
      <c r="M323" s="155">
        <v>0</v>
      </c>
      <c r="N323" s="155">
        <v>0</v>
      </c>
      <c r="O323" s="155" t="s">
        <v>730</v>
      </c>
      <c r="P323" s="176" t="s">
        <v>730</v>
      </c>
      <c r="Q323" s="184" t="s">
        <v>730</v>
      </c>
      <c r="R323" s="155">
        <v>0</v>
      </c>
      <c r="S323" s="176">
        <v>0</v>
      </c>
      <c r="T323" s="182" t="e">
        <f>VLOOKUP(A323,#REF!,9,FALSE)</f>
        <v>#REF!</v>
      </c>
      <c r="U323" s="155" t="s">
        <v>632</v>
      </c>
      <c r="V323" s="155" t="s">
        <v>632</v>
      </c>
      <c r="W323" s="155">
        <v>0</v>
      </c>
      <c r="X323" s="155">
        <v>0</v>
      </c>
      <c r="Y323" s="183">
        <v>0</v>
      </c>
    </row>
    <row r="324" spans="1:25">
      <c r="A324" s="179">
        <v>222797234</v>
      </c>
      <c r="B324" t="s">
        <v>1451</v>
      </c>
      <c r="C324" t="s">
        <v>750</v>
      </c>
      <c r="D324" t="s">
        <v>989</v>
      </c>
      <c r="E324" t="s">
        <v>698</v>
      </c>
      <c r="F324" t="s">
        <v>2055</v>
      </c>
      <c r="G324" s="180" t="s">
        <v>1451</v>
      </c>
      <c r="H324" s="180" t="s">
        <v>2291</v>
      </c>
      <c r="I324" s="176" t="s">
        <v>1926</v>
      </c>
      <c r="J324" s="185" t="s">
        <v>730</v>
      </c>
      <c r="K324" t="s">
        <v>730</v>
      </c>
      <c r="L324" s="155">
        <v>0</v>
      </c>
      <c r="M324" s="155">
        <v>0</v>
      </c>
      <c r="N324" s="155">
        <v>0</v>
      </c>
      <c r="O324" s="155" t="s">
        <v>730</v>
      </c>
      <c r="P324" s="176" t="s">
        <v>730</v>
      </c>
      <c r="Q324" s="184" t="s">
        <v>730</v>
      </c>
      <c r="R324" s="155">
        <v>0</v>
      </c>
      <c r="S324" s="176">
        <v>0</v>
      </c>
      <c r="T324" s="182" t="e">
        <f>VLOOKUP(A324,#REF!,9,FALSE)</f>
        <v>#REF!</v>
      </c>
      <c r="U324" s="155" t="s">
        <v>632</v>
      </c>
      <c r="V324" s="155" t="s">
        <v>632</v>
      </c>
      <c r="W324" s="155">
        <v>0</v>
      </c>
      <c r="X324" s="155">
        <v>0</v>
      </c>
      <c r="Y324" s="183">
        <v>0</v>
      </c>
    </row>
    <row r="325" spans="1:25">
      <c r="A325" s="179">
        <v>222797235</v>
      </c>
      <c r="B325" t="s">
        <v>1453</v>
      </c>
      <c r="C325" t="s">
        <v>750</v>
      </c>
      <c r="D325" t="s">
        <v>989</v>
      </c>
      <c r="E325" t="s">
        <v>698</v>
      </c>
      <c r="F325" t="s">
        <v>2055</v>
      </c>
      <c r="G325" s="180" t="s">
        <v>1453</v>
      </c>
      <c r="H325" s="180" t="s">
        <v>2292</v>
      </c>
      <c r="I325" s="176" t="s">
        <v>1926</v>
      </c>
      <c r="J325" s="185" t="s">
        <v>730</v>
      </c>
      <c r="K325" t="s">
        <v>730</v>
      </c>
      <c r="L325" s="155">
        <v>0</v>
      </c>
      <c r="M325" s="155">
        <v>0</v>
      </c>
      <c r="N325" s="155">
        <v>0</v>
      </c>
      <c r="O325" s="155" t="s">
        <v>730</v>
      </c>
      <c r="P325" s="176" t="s">
        <v>730</v>
      </c>
      <c r="Q325" s="184" t="s">
        <v>730</v>
      </c>
      <c r="R325" s="155">
        <v>0</v>
      </c>
      <c r="S325" s="176">
        <v>0</v>
      </c>
      <c r="T325" s="182" t="e">
        <f>VLOOKUP(A325,#REF!,9,FALSE)</f>
        <v>#REF!</v>
      </c>
      <c r="U325" s="155" t="s">
        <v>632</v>
      </c>
      <c r="V325" s="155" t="s">
        <v>632</v>
      </c>
      <c r="W325" s="155">
        <v>0</v>
      </c>
      <c r="X325" s="155">
        <v>0</v>
      </c>
      <c r="Y325" s="183">
        <v>0</v>
      </c>
    </row>
    <row r="326" spans="1:25">
      <c r="A326" s="179">
        <v>222797236</v>
      </c>
      <c r="B326" t="s">
        <v>1455</v>
      </c>
      <c r="C326" t="s">
        <v>750</v>
      </c>
      <c r="D326" t="s">
        <v>989</v>
      </c>
      <c r="E326" t="s">
        <v>698</v>
      </c>
      <c r="F326" t="s">
        <v>2055</v>
      </c>
      <c r="G326" s="180" t="s">
        <v>1455</v>
      </c>
      <c r="H326" s="180" t="s">
        <v>2293</v>
      </c>
      <c r="I326" s="176" t="s">
        <v>1926</v>
      </c>
      <c r="J326" s="185" t="s">
        <v>730</v>
      </c>
      <c r="K326" t="s">
        <v>730</v>
      </c>
      <c r="L326" s="155">
        <v>0</v>
      </c>
      <c r="M326" s="155">
        <v>0</v>
      </c>
      <c r="N326" s="155">
        <v>0</v>
      </c>
      <c r="O326" s="155" t="s">
        <v>730</v>
      </c>
      <c r="P326" s="176" t="s">
        <v>730</v>
      </c>
      <c r="Q326" s="184" t="s">
        <v>730</v>
      </c>
      <c r="R326" s="155">
        <v>0</v>
      </c>
      <c r="S326" s="176">
        <v>0</v>
      </c>
      <c r="T326" s="182" t="e">
        <f>VLOOKUP(A326,#REF!,9,FALSE)</f>
        <v>#REF!</v>
      </c>
      <c r="U326" s="155" t="s">
        <v>632</v>
      </c>
      <c r="V326" s="155" t="s">
        <v>632</v>
      </c>
      <c r="W326" s="155">
        <v>0</v>
      </c>
      <c r="X326" s="155">
        <v>0</v>
      </c>
      <c r="Y326" s="183">
        <v>0</v>
      </c>
    </row>
    <row r="327" spans="1:25">
      <c r="A327" s="179">
        <v>222797237</v>
      </c>
      <c r="B327" t="s">
        <v>1457</v>
      </c>
      <c r="C327" t="s">
        <v>750</v>
      </c>
      <c r="D327" t="s">
        <v>989</v>
      </c>
      <c r="E327" t="s">
        <v>698</v>
      </c>
      <c r="F327" t="s">
        <v>2055</v>
      </c>
      <c r="G327" s="180" t="s">
        <v>1457</v>
      </c>
      <c r="H327" s="180" t="s">
        <v>2294</v>
      </c>
      <c r="I327" s="176" t="s">
        <v>1926</v>
      </c>
      <c r="J327" s="185" t="s">
        <v>730</v>
      </c>
      <c r="K327" t="s">
        <v>730</v>
      </c>
      <c r="L327" s="155">
        <v>0</v>
      </c>
      <c r="M327" s="155">
        <v>0</v>
      </c>
      <c r="N327" s="155">
        <v>0</v>
      </c>
      <c r="O327" s="155" t="s">
        <v>730</v>
      </c>
      <c r="P327" s="176" t="s">
        <v>730</v>
      </c>
      <c r="Q327" s="184" t="s">
        <v>730</v>
      </c>
      <c r="R327" s="155">
        <v>0</v>
      </c>
      <c r="S327" s="176">
        <v>0</v>
      </c>
      <c r="T327" s="182" t="e">
        <f>VLOOKUP(A327,#REF!,9,FALSE)</f>
        <v>#REF!</v>
      </c>
      <c r="U327" s="155" t="s">
        <v>632</v>
      </c>
      <c r="V327" s="155" t="s">
        <v>632</v>
      </c>
      <c r="W327" s="155">
        <v>0</v>
      </c>
      <c r="X327" s="155">
        <v>0</v>
      </c>
      <c r="Y327" s="183">
        <v>0</v>
      </c>
    </row>
    <row r="328" spans="1:25">
      <c r="A328" s="179">
        <v>222797238</v>
      </c>
      <c r="B328" t="s">
        <v>1459</v>
      </c>
      <c r="C328" t="s">
        <v>750</v>
      </c>
      <c r="D328" t="s">
        <v>989</v>
      </c>
      <c r="E328" t="s">
        <v>698</v>
      </c>
      <c r="F328" t="s">
        <v>2055</v>
      </c>
      <c r="G328" s="180" t="s">
        <v>1459</v>
      </c>
      <c r="H328" s="180" t="s">
        <v>2295</v>
      </c>
      <c r="I328" s="176" t="s">
        <v>1926</v>
      </c>
      <c r="J328" s="185" t="s">
        <v>730</v>
      </c>
      <c r="K328" t="s">
        <v>730</v>
      </c>
      <c r="L328" s="155">
        <v>0</v>
      </c>
      <c r="M328" s="155">
        <v>0</v>
      </c>
      <c r="N328" s="155">
        <v>0</v>
      </c>
      <c r="O328" s="155" t="s">
        <v>730</v>
      </c>
      <c r="P328" s="176" t="s">
        <v>730</v>
      </c>
      <c r="Q328" s="184" t="s">
        <v>730</v>
      </c>
      <c r="R328" s="155">
        <v>0</v>
      </c>
      <c r="S328" s="176">
        <v>0</v>
      </c>
      <c r="T328" s="182" t="e">
        <f>VLOOKUP(A328,#REF!,9,FALSE)</f>
        <v>#REF!</v>
      </c>
      <c r="U328" s="155" t="s">
        <v>632</v>
      </c>
      <c r="V328" s="155" t="s">
        <v>632</v>
      </c>
      <c r="W328" s="155">
        <v>0</v>
      </c>
      <c r="X328" s="155">
        <v>0</v>
      </c>
      <c r="Y328" s="183">
        <v>0</v>
      </c>
    </row>
    <row r="329" spans="1:25">
      <c r="A329" s="179">
        <v>222797239</v>
      </c>
      <c r="B329" t="s">
        <v>1461</v>
      </c>
      <c r="C329" t="s">
        <v>750</v>
      </c>
      <c r="D329" t="s">
        <v>989</v>
      </c>
      <c r="E329" t="s">
        <v>698</v>
      </c>
      <c r="F329" t="s">
        <v>2055</v>
      </c>
      <c r="G329" s="180" t="s">
        <v>1461</v>
      </c>
      <c r="H329" s="180" t="s">
        <v>2296</v>
      </c>
      <c r="I329" s="176" t="s">
        <v>1926</v>
      </c>
      <c r="J329" s="185" t="s">
        <v>730</v>
      </c>
      <c r="K329" t="s">
        <v>730</v>
      </c>
      <c r="L329" s="155">
        <v>0</v>
      </c>
      <c r="M329" s="155">
        <v>0</v>
      </c>
      <c r="N329" s="155">
        <v>0</v>
      </c>
      <c r="O329" s="155" t="s">
        <v>730</v>
      </c>
      <c r="P329" s="176" t="s">
        <v>730</v>
      </c>
      <c r="Q329" s="184" t="s">
        <v>730</v>
      </c>
      <c r="R329" s="155">
        <v>0</v>
      </c>
      <c r="S329" s="176">
        <v>0</v>
      </c>
      <c r="T329" s="182" t="e">
        <f>VLOOKUP(A329,#REF!,9,FALSE)</f>
        <v>#REF!</v>
      </c>
      <c r="U329" s="155" t="s">
        <v>632</v>
      </c>
      <c r="V329" s="155" t="s">
        <v>632</v>
      </c>
      <c r="W329" s="155">
        <v>0</v>
      </c>
      <c r="X329" s="155">
        <v>0</v>
      </c>
      <c r="Y329" s="183">
        <v>0</v>
      </c>
    </row>
    <row r="330" spans="1:25">
      <c r="A330" s="179">
        <v>222797240</v>
      </c>
      <c r="B330" t="s">
        <v>1463</v>
      </c>
      <c r="C330" t="s">
        <v>750</v>
      </c>
      <c r="D330" t="s">
        <v>989</v>
      </c>
      <c r="E330" t="s">
        <v>698</v>
      </c>
      <c r="F330" t="s">
        <v>2055</v>
      </c>
      <c r="G330" s="180" t="s">
        <v>1463</v>
      </c>
      <c r="H330" s="180" t="s">
        <v>2297</v>
      </c>
      <c r="I330" s="176" t="s">
        <v>1926</v>
      </c>
      <c r="J330" s="185" t="s">
        <v>730</v>
      </c>
      <c r="K330" t="s">
        <v>730</v>
      </c>
      <c r="L330" s="155">
        <v>0</v>
      </c>
      <c r="M330" s="155">
        <v>0</v>
      </c>
      <c r="N330" s="155">
        <v>0</v>
      </c>
      <c r="O330" s="155" t="s">
        <v>730</v>
      </c>
      <c r="P330" s="176" t="s">
        <v>730</v>
      </c>
      <c r="Q330" s="184" t="s">
        <v>730</v>
      </c>
      <c r="R330" s="155">
        <v>0</v>
      </c>
      <c r="S330" s="176">
        <v>0</v>
      </c>
      <c r="T330" s="182" t="e">
        <f>VLOOKUP(A330,#REF!,9,FALSE)</f>
        <v>#REF!</v>
      </c>
      <c r="U330" s="155" t="s">
        <v>632</v>
      </c>
      <c r="V330" s="155" t="s">
        <v>632</v>
      </c>
      <c r="W330" s="155">
        <v>0</v>
      </c>
      <c r="X330" s="155">
        <v>0</v>
      </c>
      <c r="Y330" s="183">
        <v>0</v>
      </c>
    </row>
    <row r="331" spans="1:25">
      <c r="A331" s="179">
        <v>222797241</v>
      </c>
      <c r="B331" t="s">
        <v>1465</v>
      </c>
      <c r="C331" t="s">
        <v>750</v>
      </c>
      <c r="D331" t="s">
        <v>989</v>
      </c>
      <c r="E331" t="s">
        <v>698</v>
      </c>
      <c r="F331" t="s">
        <v>2055</v>
      </c>
      <c r="G331" s="180" t="s">
        <v>1465</v>
      </c>
      <c r="H331" s="180" t="s">
        <v>2298</v>
      </c>
      <c r="I331" s="176" t="s">
        <v>1926</v>
      </c>
      <c r="J331" s="185" t="s">
        <v>730</v>
      </c>
      <c r="K331" t="s">
        <v>730</v>
      </c>
      <c r="L331" s="155">
        <v>0</v>
      </c>
      <c r="M331" s="155">
        <v>0</v>
      </c>
      <c r="N331" s="155">
        <v>0</v>
      </c>
      <c r="O331" s="155" t="s">
        <v>730</v>
      </c>
      <c r="P331" s="176" t="s">
        <v>730</v>
      </c>
      <c r="Q331" s="184" t="s">
        <v>730</v>
      </c>
      <c r="R331" s="155">
        <v>0</v>
      </c>
      <c r="S331" s="176">
        <v>0</v>
      </c>
      <c r="T331" s="182" t="e">
        <f>VLOOKUP(A331,#REF!,9,FALSE)</f>
        <v>#REF!</v>
      </c>
      <c r="U331" s="155" t="s">
        <v>632</v>
      </c>
      <c r="V331" s="155" t="s">
        <v>632</v>
      </c>
      <c r="W331" s="155">
        <v>0</v>
      </c>
      <c r="X331" s="155">
        <v>0</v>
      </c>
      <c r="Y331" s="183">
        <v>0</v>
      </c>
    </row>
    <row r="332" spans="1:25">
      <c r="A332" s="179">
        <v>222797242</v>
      </c>
      <c r="B332" t="s">
        <v>1467</v>
      </c>
      <c r="C332" t="s">
        <v>750</v>
      </c>
      <c r="D332" t="s">
        <v>989</v>
      </c>
      <c r="E332" t="s">
        <v>698</v>
      </c>
      <c r="F332" t="s">
        <v>2055</v>
      </c>
      <c r="G332" s="180" t="s">
        <v>1467</v>
      </c>
      <c r="H332" s="180" t="s">
        <v>2299</v>
      </c>
      <c r="I332" s="176" t="s">
        <v>1926</v>
      </c>
      <c r="J332" s="185" t="s">
        <v>730</v>
      </c>
      <c r="K332" t="s">
        <v>730</v>
      </c>
      <c r="L332" s="155">
        <v>0</v>
      </c>
      <c r="M332" s="155">
        <v>0</v>
      </c>
      <c r="N332" s="155">
        <v>0</v>
      </c>
      <c r="O332" s="155" t="s">
        <v>730</v>
      </c>
      <c r="P332" s="176" t="s">
        <v>730</v>
      </c>
      <c r="Q332" s="184" t="s">
        <v>730</v>
      </c>
      <c r="R332" s="155">
        <v>0</v>
      </c>
      <c r="S332" s="176">
        <v>0</v>
      </c>
      <c r="T332" s="182" t="e">
        <f>VLOOKUP(A332,#REF!,9,FALSE)</f>
        <v>#REF!</v>
      </c>
      <c r="U332" s="155" t="s">
        <v>632</v>
      </c>
      <c r="V332" s="155" t="s">
        <v>632</v>
      </c>
      <c r="W332" s="155">
        <v>0</v>
      </c>
      <c r="X332" s="155">
        <v>0</v>
      </c>
      <c r="Y332" s="183">
        <v>0</v>
      </c>
    </row>
    <row r="333" spans="1:25">
      <c r="A333" s="179">
        <v>222797243</v>
      </c>
      <c r="B333" t="s">
        <v>1469</v>
      </c>
      <c r="C333" t="s">
        <v>750</v>
      </c>
      <c r="D333" t="s">
        <v>989</v>
      </c>
      <c r="E333" t="s">
        <v>698</v>
      </c>
      <c r="F333" t="s">
        <v>2055</v>
      </c>
      <c r="G333" s="180" t="s">
        <v>1469</v>
      </c>
      <c r="H333" s="180" t="s">
        <v>2300</v>
      </c>
      <c r="I333" s="176" t="s">
        <v>1926</v>
      </c>
      <c r="J333" s="185" t="s">
        <v>730</v>
      </c>
      <c r="K333" t="s">
        <v>730</v>
      </c>
      <c r="L333" s="155">
        <v>0</v>
      </c>
      <c r="M333" s="155">
        <v>0</v>
      </c>
      <c r="N333" s="155">
        <v>0</v>
      </c>
      <c r="O333" s="155" t="s">
        <v>730</v>
      </c>
      <c r="P333" s="176" t="s">
        <v>730</v>
      </c>
      <c r="Q333" s="184" t="s">
        <v>730</v>
      </c>
      <c r="R333" s="155">
        <v>0</v>
      </c>
      <c r="S333" s="176">
        <v>0</v>
      </c>
      <c r="T333" s="182" t="e">
        <f>VLOOKUP(A333,#REF!,9,FALSE)</f>
        <v>#REF!</v>
      </c>
      <c r="U333" s="155" t="s">
        <v>632</v>
      </c>
      <c r="V333" s="155" t="s">
        <v>632</v>
      </c>
      <c r="W333" s="155">
        <v>0</v>
      </c>
      <c r="X333" s="155">
        <v>0</v>
      </c>
      <c r="Y333" s="183">
        <v>0</v>
      </c>
    </row>
    <row r="334" spans="1:25">
      <c r="A334" s="179">
        <v>222797244</v>
      </c>
      <c r="B334" t="s">
        <v>1471</v>
      </c>
      <c r="C334" t="s">
        <v>750</v>
      </c>
      <c r="D334" t="s">
        <v>989</v>
      </c>
      <c r="E334" t="s">
        <v>698</v>
      </c>
      <c r="F334" t="s">
        <v>2055</v>
      </c>
      <c r="G334" s="180" t="s">
        <v>1471</v>
      </c>
      <c r="H334" s="180" t="s">
        <v>2301</v>
      </c>
      <c r="I334" s="176" t="s">
        <v>1926</v>
      </c>
      <c r="J334" s="185" t="s">
        <v>730</v>
      </c>
      <c r="K334" t="s">
        <v>730</v>
      </c>
      <c r="L334" s="155">
        <v>0</v>
      </c>
      <c r="M334" s="155">
        <v>0</v>
      </c>
      <c r="N334" s="155">
        <v>0</v>
      </c>
      <c r="O334" s="155" t="s">
        <v>730</v>
      </c>
      <c r="P334" s="176" t="s">
        <v>730</v>
      </c>
      <c r="Q334" s="184" t="s">
        <v>730</v>
      </c>
      <c r="R334" s="155">
        <v>0</v>
      </c>
      <c r="S334" s="176">
        <v>0</v>
      </c>
      <c r="T334" s="182" t="e">
        <f>VLOOKUP(A334,#REF!,9,FALSE)</f>
        <v>#REF!</v>
      </c>
      <c r="U334" s="155" t="s">
        <v>632</v>
      </c>
      <c r="V334" s="155" t="s">
        <v>632</v>
      </c>
      <c r="W334" s="155">
        <v>0</v>
      </c>
      <c r="X334" s="155">
        <v>0</v>
      </c>
      <c r="Y334" s="183">
        <v>0</v>
      </c>
    </row>
    <row r="335" spans="1:25">
      <c r="A335" s="179">
        <v>222797245</v>
      </c>
      <c r="B335" t="s">
        <v>1473</v>
      </c>
      <c r="C335" t="s">
        <v>750</v>
      </c>
      <c r="D335" t="s">
        <v>989</v>
      </c>
      <c r="E335" t="s">
        <v>698</v>
      </c>
      <c r="F335" t="s">
        <v>2055</v>
      </c>
      <c r="G335" s="180" t="s">
        <v>1473</v>
      </c>
      <c r="H335" s="180" t="s">
        <v>2302</v>
      </c>
      <c r="I335" s="176" t="s">
        <v>1926</v>
      </c>
      <c r="J335" s="185" t="s">
        <v>730</v>
      </c>
      <c r="K335" t="s">
        <v>730</v>
      </c>
      <c r="L335" s="155">
        <v>0</v>
      </c>
      <c r="M335" s="155">
        <v>0</v>
      </c>
      <c r="N335" s="155">
        <v>0</v>
      </c>
      <c r="O335" s="155" t="s">
        <v>730</v>
      </c>
      <c r="P335" s="176" t="s">
        <v>730</v>
      </c>
      <c r="Q335" s="184" t="s">
        <v>730</v>
      </c>
      <c r="R335" s="155">
        <v>0</v>
      </c>
      <c r="S335" s="176">
        <v>0</v>
      </c>
      <c r="T335" s="182" t="e">
        <f>VLOOKUP(A335,#REF!,9,FALSE)</f>
        <v>#REF!</v>
      </c>
      <c r="U335" s="155" t="s">
        <v>632</v>
      </c>
      <c r="V335" s="155" t="s">
        <v>632</v>
      </c>
      <c r="W335" s="155">
        <v>0</v>
      </c>
      <c r="X335" s="155">
        <v>0</v>
      </c>
      <c r="Y335" s="183">
        <v>0</v>
      </c>
    </row>
    <row r="336" spans="1:25">
      <c r="A336" s="179">
        <v>222797246</v>
      </c>
      <c r="B336" t="s">
        <v>1475</v>
      </c>
      <c r="C336" t="s">
        <v>750</v>
      </c>
      <c r="D336" t="s">
        <v>989</v>
      </c>
      <c r="E336" t="s">
        <v>698</v>
      </c>
      <c r="F336" t="s">
        <v>2055</v>
      </c>
      <c r="G336" s="180" t="s">
        <v>1475</v>
      </c>
      <c r="H336" s="180" t="s">
        <v>2303</v>
      </c>
      <c r="I336" s="176" t="s">
        <v>1926</v>
      </c>
      <c r="J336" s="185" t="s">
        <v>730</v>
      </c>
      <c r="K336" t="s">
        <v>730</v>
      </c>
      <c r="L336" s="155">
        <v>0</v>
      </c>
      <c r="M336" s="155">
        <v>0</v>
      </c>
      <c r="N336" s="155">
        <v>0</v>
      </c>
      <c r="O336" s="155" t="s">
        <v>730</v>
      </c>
      <c r="P336" s="176" t="s">
        <v>730</v>
      </c>
      <c r="Q336" s="184" t="s">
        <v>730</v>
      </c>
      <c r="R336" s="155">
        <v>0</v>
      </c>
      <c r="S336" s="176">
        <v>0</v>
      </c>
      <c r="T336" s="182" t="e">
        <f>VLOOKUP(A336,#REF!,9,FALSE)</f>
        <v>#REF!</v>
      </c>
      <c r="U336" s="155" t="s">
        <v>632</v>
      </c>
      <c r="V336" s="155" t="s">
        <v>632</v>
      </c>
      <c r="W336" s="155">
        <v>0</v>
      </c>
      <c r="X336" s="155">
        <v>0</v>
      </c>
      <c r="Y336" s="183">
        <v>0</v>
      </c>
    </row>
    <row r="337" spans="1:25">
      <c r="A337" s="179">
        <v>222797247</v>
      </c>
      <c r="B337" t="s">
        <v>1477</v>
      </c>
      <c r="C337" t="s">
        <v>750</v>
      </c>
      <c r="D337" t="s">
        <v>989</v>
      </c>
      <c r="E337" t="s">
        <v>698</v>
      </c>
      <c r="F337" t="s">
        <v>2055</v>
      </c>
      <c r="G337" s="180" t="s">
        <v>1477</v>
      </c>
      <c r="H337" s="180" t="s">
        <v>2304</v>
      </c>
      <c r="I337" s="176" t="s">
        <v>1926</v>
      </c>
      <c r="J337" s="185" t="s">
        <v>730</v>
      </c>
      <c r="K337" t="s">
        <v>730</v>
      </c>
      <c r="L337" s="155">
        <v>0</v>
      </c>
      <c r="M337" s="155">
        <v>0</v>
      </c>
      <c r="N337" s="155">
        <v>0</v>
      </c>
      <c r="O337" s="155" t="s">
        <v>730</v>
      </c>
      <c r="P337" s="176" t="s">
        <v>730</v>
      </c>
      <c r="Q337" s="184" t="s">
        <v>730</v>
      </c>
      <c r="R337" s="155">
        <v>0</v>
      </c>
      <c r="S337" s="176">
        <v>0</v>
      </c>
      <c r="T337" s="182" t="e">
        <f>VLOOKUP(A337,#REF!,9,FALSE)</f>
        <v>#REF!</v>
      </c>
      <c r="U337" s="155" t="s">
        <v>632</v>
      </c>
      <c r="V337" s="155" t="s">
        <v>632</v>
      </c>
      <c r="W337" s="155">
        <v>0</v>
      </c>
      <c r="X337" s="155">
        <v>0</v>
      </c>
      <c r="Y337" s="183">
        <v>0</v>
      </c>
    </row>
    <row r="338" spans="1:25">
      <c r="A338" s="179">
        <v>222797248</v>
      </c>
      <c r="B338" t="s">
        <v>1479</v>
      </c>
      <c r="C338" t="s">
        <v>750</v>
      </c>
      <c r="D338" t="s">
        <v>989</v>
      </c>
      <c r="E338" t="s">
        <v>698</v>
      </c>
      <c r="F338" t="s">
        <v>2055</v>
      </c>
      <c r="G338" s="180" t="s">
        <v>1479</v>
      </c>
      <c r="H338" s="180" t="s">
        <v>2305</v>
      </c>
      <c r="I338" s="176" t="s">
        <v>1926</v>
      </c>
      <c r="J338" s="185" t="s">
        <v>730</v>
      </c>
      <c r="K338" t="s">
        <v>730</v>
      </c>
      <c r="L338" s="155">
        <v>0</v>
      </c>
      <c r="M338" s="155">
        <v>0</v>
      </c>
      <c r="N338" s="155">
        <v>0</v>
      </c>
      <c r="O338" s="155" t="s">
        <v>730</v>
      </c>
      <c r="P338" s="176" t="s">
        <v>730</v>
      </c>
      <c r="Q338" s="184" t="s">
        <v>730</v>
      </c>
      <c r="R338" s="155">
        <v>0</v>
      </c>
      <c r="S338" s="176">
        <v>0</v>
      </c>
      <c r="T338" s="182" t="e">
        <f>VLOOKUP(A338,#REF!,9,FALSE)</f>
        <v>#REF!</v>
      </c>
      <c r="U338" s="155" t="s">
        <v>632</v>
      </c>
      <c r="V338" s="155" t="s">
        <v>632</v>
      </c>
      <c r="W338" s="155">
        <v>0</v>
      </c>
      <c r="X338" s="155">
        <v>0</v>
      </c>
      <c r="Y338" s="183">
        <v>0</v>
      </c>
    </row>
    <row r="339" spans="1:25">
      <c r="A339" s="179">
        <v>222797249</v>
      </c>
      <c r="B339" t="s">
        <v>1481</v>
      </c>
      <c r="C339" t="s">
        <v>750</v>
      </c>
      <c r="D339" t="s">
        <v>989</v>
      </c>
      <c r="E339" t="s">
        <v>698</v>
      </c>
      <c r="F339" t="s">
        <v>2055</v>
      </c>
      <c r="G339" s="180" t="s">
        <v>1481</v>
      </c>
      <c r="H339" s="180" t="s">
        <v>2306</v>
      </c>
      <c r="I339" s="176" t="s">
        <v>1926</v>
      </c>
      <c r="J339" s="185" t="s">
        <v>730</v>
      </c>
      <c r="K339" t="s">
        <v>730</v>
      </c>
      <c r="L339" s="155">
        <v>0</v>
      </c>
      <c r="M339" s="155">
        <v>0</v>
      </c>
      <c r="N339" s="155">
        <v>0</v>
      </c>
      <c r="O339" s="155" t="s">
        <v>730</v>
      </c>
      <c r="P339" s="176" t="s">
        <v>730</v>
      </c>
      <c r="Q339" s="184" t="s">
        <v>730</v>
      </c>
      <c r="R339" s="155">
        <v>0</v>
      </c>
      <c r="S339" s="176">
        <v>0</v>
      </c>
      <c r="T339" s="182" t="e">
        <f>VLOOKUP(A339,#REF!,9,FALSE)</f>
        <v>#REF!</v>
      </c>
      <c r="U339" s="155" t="s">
        <v>632</v>
      </c>
      <c r="V339" s="155" t="s">
        <v>632</v>
      </c>
      <c r="W339" s="155">
        <v>0</v>
      </c>
      <c r="X339" s="155">
        <v>0</v>
      </c>
      <c r="Y339" s="183">
        <v>0</v>
      </c>
    </row>
    <row r="340" spans="1:25">
      <c r="A340" s="179">
        <v>222797250</v>
      </c>
      <c r="B340" t="s">
        <v>1483</v>
      </c>
      <c r="C340" t="s">
        <v>750</v>
      </c>
      <c r="D340" t="s">
        <v>989</v>
      </c>
      <c r="E340" t="s">
        <v>698</v>
      </c>
      <c r="F340" t="s">
        <v>2051</v>
      </c>
      <c r="G340" s="180" t="s">
        <v>1483</v>
      </c>
      <c r="H340" s="180" t="s">
        <v>2307</v>
      </c>
      <c r="I340" s="176" t="s">
        <v>1926</v>
      </c>
      <c r="J340" s="181">
        <v>42552</v>
      </c>
      <c r="K340" s="140">
        <v>46934</v>
      </c>
      <c r="L340" s="155">
        <v>0</v>
      </c>
      <c r="M340" s="155">
        <v>0</v>
      </c>
      <c r="N340" s="155">
        <v>0</v>
      </c>
      <c r="O340" s="155" t="s">
        <v>730</v>
      </c>
      <c r="P340" s="176" t="s">
        <v>730</v>
      </c>
      <c r="Q340" s="184" t="s">
        <v>730</v>
      </c>
      <c r="R340" s="155">
        <v>0</v>
      </c>
      <c r="S340" s="176">
        <v>0</v>
      </c>
      <c r="T340" s="182" t="e">
        <f>VLOOKUP(A340,#REF!,9,FALSE)</f>
        <v>#REF!</v>
      </c>
      <c r="U340" s="155" t="s">
        <v>632</v>
      </c>
      <c r="V340" s="155" t="s">
        <v>632</v>
      </c>
      <c r="W340" s="155">
        <v>0</v>
      </c>
      <c r="X340" s="155">
        <v>0</v>
      </c>
      <c r="Y340" s="183">
        <v>0</v>
      </c>
    </row>
    <row r="341" spans="1:25">
      <c r="A341" s="179">
        <v>222797251</v>
      </c>
      <c r="B341" t="s">
        <v>1485</v>
      </c>
      <c r="C341" t="s">
        <v>750</v>
      </c>
      <c r="D341" t="s">
        <v>989</v>
      </c>
      <c r="E341" t="s">
        <v>698</v>
      </c>
      <c r="F341" t="s">
        <v>2051</v>
      </c>
      <c r="G341" s="180" t="s">
        <v>1485</v>
      </c>
      <c r="H341" s="180" t="s">
        <v>2308</v>
      </c>
      <c r="I341" s="176" t="s">
        <v>1926</v>
      </c>
      <c r="J341" s="181">
        <v>42552</v>
      </c>
      <c r="K341" s="140">
        <v>46934</v>
      </c>
      <c r="L341" s="155">
        <v>0</v>
      </c>
      <c r="M341" s="155">
        <v>0</v>
      </c>
      <c r="N341" s="155">
        <v>0</v>
      </c>
      <c r="O341" s="155" t="s">
        <v>730</v>
      </c>
      <c r="P341" s="176" t="s">
        <v>730</v>
      </c>
      <c r="Q341" s="184" t="s">
        <v>730</v>
      </c>
      <c r="R341" s="155">
        <v>0</v>
      </c>
      <c r="S341" s="176">
        <v>0</v>
      </c>
      <c r="T341" s="182" t="e">
        <f>VLOOKUP(A341,#REF!,9,FALSE)</f>
        <v>#REF!</v>
      </c>
      <c r="U341" s="155" t="s">
        <v>632</v>
      </c>
      <c r="V341" s="155" t="s">
        <v>632</v>
      </c>
      <c r="W341" s="155">
        <v>0</v>
      </c>
      <c r="X341" s="155">
        <v>0</v>
      </c>
      <c r="Y341" s="183">
        <v>0</v>
      </c>
    </row>
    <row r="342" spans="1:25">
      <c r="A342" s="179">
        <v>222797252</v>
      </c>
      <c r="B342" t="s">
        <v>1487</v>
      </c>
      <c r="C342" t="s">
        <v>750</v>
      </c>
      <c r="D342" t="s">
        <v>989</v>
      </c>
      <c r="E342" t="s">
        <v>698</v>
      </c>
      <c r="F342" t="s">
        <v>2051</v>
      </c>
      <c r="G342" s="180" t="s">
        <v>1487</v>
      </c>
      <c r="H342" s="180" t="s">
        <v>2309</v>
      </c>
      <c r="I342" s="176" t="s">
        <v>1926</v>
      </c>
      <c r="J342" s="181">
        <v>42552</v>
      </c>
      <c r="K342" s="140">
        <v>46934</v>
      </c>
      <c r="L342" s="155">
        <v>0</v>
      </c>
      <c r="M342" s="155">
        <v>0</v>
      </c>
      <c r="N342" s="155">
        <v>0</v>
      </c>
      <c r="O342" s="155" t="s">
        <v>730</v>
      </c>
      <c r="P342" s="176" t="s">
        <v>730</v>
      </c>
      <c r="Q342" s="184" t="s">
        <v>730</v>
      </c>
      <c r="R342" s="155">
        <v>0</v>
      </c>
      <c r="S342" s="176">
        <v>0</v>
      </c>
      <c r="T342" s="182" t="e">
        <f>VLOOKUP(A342,#REF!,9,FALSE)</f>
        <v>#REF!</v>
      </c>
      <c r="U342" s="155" t="s">
        <v>632</v>
      </c>
      <c r="V342" s="155" t="s">
        <v>632</v>
      </c>
      <c r="W342" s="155">
        <v>0</v>
      </c>
      <c r="X342" s="155">
        <v>0</v>
      </c>
      <c r="Y342" s="183">
        <v>0</v>
      </c>
    </row>
    <row r="343" spans="1:25">
      <c r="A343" s="179">
        <v>222797253</v>
      </c>
      <c r="B343" t="s">
        <v>1489</v>
      </c>
      <c r="C343" t="s">
        <v>750</v>
      </c>
      <c r="D343" t="s">
        <v>989</v>
      </c>
      <c r="E343" t="s">
        <v>698</v>
      </c>
      <c r="F343" t="s">
        <v>2051</v>
      </c>
      <c r="G343" s="180" t="s">
        <v>1489</v>
      </c>
      <c r="H343" s="180" t="s">
        <v>2310</v>
      </c>
      <c r="I343" s="176" t="s">
        <v>1926</v>
      </c>
      <c r="J343" s="181">
        <v>42552</v>
      </c>
      <c r="K343" s="140">
        <v>46934</v>
      </c>
      <c r="L343" s="155">
        <v>0</v>
      </c>
      <c r="M343" s="155">
        <v>0</v>
      </c>
      <c r="N343" s="155">
        <v>0</v>
      </c>
      <c r="O343" s="155" t="s">
        <v>730</v>
      </c>
      <c r="P343" s="176" t="s">
        <v>730</v>
      </c>
      <c r="Q343" s="184" t="s">
        <v>730</v>
      </c>
      <c r="R343" s="155">
        <v>0</v>
      </c>
      <c r="S343" s="176">
        <v>0</v>
      </c>
      <c r="T343" s="182" t="e">
        <f>VLOOKUP(A343,#REF!,9,FALSE)</f>
        <v>#REF!</v>
      </c>
      <c r="U343" s="155" t="s">
        <v>632</v>
      </c>
      <c r="V343" s="155" t="s">
        <v>632</v>
      </c>
      <c r="W343" s="155">
        <v>0</v>
      </c>
      <c r="X343" s="155">
        <v>0</v>
      </c>
      <c r="Y343" s="183">
        <v>0</v>
      </c>
    </row>
    <row r="344" spans="1:25">
      <c r="A344" s="179">
        <v>222797254</v>
      </c>
      <c r="B344" t="s">
        <v>1491</v>
      </c>
      <c r="C344" t="s">
        <v>750</v>
      </c>
      <c r="D344" t="s">
        <v>989</v>
      </c>
      <c r="E344" t="s">
        <v>698</v>
      </c>
      <c r="F344" t="s">
        <v>2051</v>
      </c>
      <c r="G344" s="180" t="s">
        <v>1491</v>
      </c>
      <c r="H344" s="180" t="s">
        <v>2311</v>
      </c>
      <c r="I344" s="176" t="s">
        <v>1926</v>
      </c>
      <c r="J344" s="181">
        <v>42552</v>
      </c>
      <c r="K344" s="140">
        <v>46934</v>
      </c>
      <c r="L344" s="155">
        <v>0</v>
      </c>
      <c r="M344" s="155">
        <v>0</v>
      </c>
      <c r="N344" s="155">
        <v>0</v>
      </c>
      <c r="O344" s="155" t="s">
        <v>730</v>
      </c>
      <c r="P344" s="176" t="s">
        <v>730</v>
      </c>
      <c r="Q344" s="184" t="s">
        <v>730</v>
      </c>
      <c r="R344" s="155">
        <v>0</v>
      </c>
      <c r="S344" s="176">
        <v>0</v>
      </c>
      <c r="T344" s="182" t="e">
        <f>VLOOKUP(A344,#REF!,9,FALSE)</f>
        <v>#REF!</v>
      </c>
      <c r="U344" s="155" t="s">
        <v>632</v>
      </c>
      <c r="V344" s="155" t="s">
        <v>632</v>
      </c>
      <c r="W344" s="155">
        <v>0</v>
      </c>
      <c r="X344" s="155">
        <v>0</v>
      </c>
      <c r="Y344" s="183">
        <v>0</v>
      </c>
    </row>
    <row r="345" spans="1:25">
      <c r="A345" s="179">
        <v>222797255</v>
      </c>
      <c r="B345" t="s">
        <v>1493</v>
      </c>
      <c r="C345" t="s">
        <v>750</v>
      </c>
      <c r="D345" t="s">
        <v>989</v>
      </c>
      <c r="E345" t="s">
        <v>698</v>
      </c>
      <c r="F345" t="s">
        <v>2051</v>
      </c>
      <c r="G345" s="180" t="s">
        <v>1493</v>
      </c>
      <c r="H345" s="180" t="s">
        <v>2312</v>
      </c>
      <c r="I345" s="176" t="s">
        <v>1926</v>
      </c>
      <c r="J345" s="181">
        <v>42552</v>
      </c>
      <c r="K345" s="140">
        <v>46934</v>
      </c>
      <c r="L345" s="155">
        <v>0</v>
      </c>
      <c r="M345" s="155">
        <v>0</v>
      </c>
      <c r="N345" s="155">
        <v>0</v>
      </c>
      <c r="O345" s="155" t="s">
        <v>730</v>
      </c>
      <c r="P345" s="176" t="s">
        <v>730</v>
      </c>
      <c r="Q345" s="184" t="s">
        <v>730</v>
      </c>
      <c r="R345" s="155">
        <v>0</v>
      </c>
      <c r="S345" s="176">
        <v>0</v>
      </c>
      <c r="T345" s="182" t="e">
        <f>VLOOKUP(A345,#REF!,9,FALSE)</f>
        <v>#REF!</v>
      </c>
      <c r="U345" s="155" t="s">
        <v>632</v>
      </c>
      <c r="V345" s="155" t="s">
        <v>632</v>
      </c>
      <c r="W345" s="155">
        <v>0</v>
      </c>
      <c r="X345" s="155">
        <v>0</v>
      </c>
      <c r="Y345" s="183">
        <v>0</v>
      </c>
    </row>
    <row r="346" spans="1:25">
      <c r="A346" s="179">
        <v>222797256</v>
      </c>
      <c r="B346" t="s">
        <v>1495</v>
      </c>
      <c r="C346" t="s">
        <v>750</v>
      </c>
      <c r="D346" t="s">
        <v>989</v>
      </c>
      <c r="E346" t="s">
        <v>698</v>
      </c>
      <c r="F346" t="s">
        <v>2051</v>
      </c>
      <c r="G346" s="180" t="s">
        <v>1495</v>
      </c>
      <c r="H346" s="180" t="s">
        <v>2313</v>
      </c>
      <c r="I346" s="176" t="s">
        <v>1926</v>
      </c>
      <c r="J346" s="181">
        <v>42552</v>
      </c>
      <c r="K346" s="140">
        <v>46934</v>
      </c>
      <c r="L346" s="155">
        <v>0</v>
      </c>
      <c r="M346" s="155">
        <v>0</v>
      </c>
      <c r="N346" s="155">
        <v>0</v>
      </c>
      <c r="O346" s="155" t="s">
        <v>730</v>
      </c>
      <c r="P346" s="176" t="s">
        <v>730</v>
      </c>
      <c r="Q346" s="184" t="s">
        <v>730</v>
      </c>
      <c r="R346" s="155">
        <v>0</v>
      </c>
      <c r="S346" s="176">
        <v>0</v>
      </c>
      <c r="T346" s="182" t="e">
        <f>VLOOKUP(A346,#REF!,9,FALSE)</f>
        <v>#REF!</v>
      </c>
      <c r="U346" s="155" t="s">
        <v>632</v>
      </c>
      <c r="V346" s="155" t="s">
        <v>632</v>
      </c>
      <c r="W346" s="155">
        <v>0</v>
      </c>
      <c r="X346" s="155">
        <v>0</v>
      </c>
      <c r="Y346" s="183">
        <v>0</v>
      </c>
    </row>
    <row r="347" spans="1:25">
      <c r="A347" s="179">
        <v>222797257</v>
      </c>
      <c r="B347" t="s">
        <v>1497</v>
      </c>
      <c r="C347" t="s">
        <v>750</v>
      </c>
      <c r="D347" t="s">
        <v>989</v>
      </c>
      <c r="E347" t="s">
        <v>698</v>
      </c>
      <c r="F347" t="s">
        <v>2051</v>
      </c>
      <c r="G347" s="180" t="s">
        <v>1497</v>
      </c>
      <c r="H347" s="180" t="s">
        <v>2314</v>
      </c>
      <c r="I347" s="176" t="s">
        <v>1926</v>
      </c>
      <c r="J347" s="181">
        <v>42552</v>
      </c>
      <c r="K347" s="140">
        <v>46934</v>
      </c>
      <c r="L347" s="155">
        <v>0</v>
      </c>
      <c r="M347" s="155">
        <v>0</v>
      </c>
      <c r="N347" s="155">
        <v>0</v>
      </c>
      <c r="O347" s="155" t="s">
        <v>730</v>
      </c>
      <c r="P347" s="176" t="s">
        <v>730</v>
      </c>
      <c r="Q347" s="184" t="s">
        <v>730</v>
      </c>
      <c r="R347" s="155">
        <v>0</v>
      </c>
      <c r="S347" s="176">
        <v>0</v>
      </c>
      <c r="T347" s="182" t="e">
        <f>VLOOKUP(A347,#REF!,9,FALSE)</f>
        <v>#REF!</v>
      </c>
      <c r="U347" s="155" t="s">
        <v>632</v>
      </c>
      <c r="V347" s="155" t="s">
        <v>632</v>
      </c>
      <c r="W347" s="155">
        <v>0</v>
      </c>
      <c r="X347" s="155">
        <v>0</v>
      </c>
      <c r="Y347" s="183">
        <v>0</v>
      </c>
    </row>
    <row r="348" spans="1:25">
      <c r="A348" s="179">
        <v>222797258</v>
      </c>
      <c r="B348" t="s">
        <v>1499</v>
      </c>
      <c r="C348" t="s">
        <v>750</v>
      </c>
      <c r="D348" t="s">
        <v>989</v>
      </c>
      <c r="E348" t="s">
        <v>698</v>
      </c>
      <c r="F348" t="s">
        <v>2051</v>
      </c>
      <c r="G348" s="180" t="s">
        <v>1499</v>
      </c>
      <c r="H348" s="180" t="s">
        <v>2315</v>
      </c>
      <c r="I348" s="176" t="s">
        <v>1926</v>
      </c>
      <c r="J348" s="181">
        <v>42552</v>
      </c>
      <c r="K348" s="140">
        <v>46934</v>
      </c>
      <c r="L348" s="155">
        <v>0</v>
      </c>
      <c r="M348" s="155">
        <v>0</v>
      </c>
      <c r="N348" s="155">
        <v>0</v>
      </c>
      <c r="O348" s="155" t="s">
        <v>730</v>
      </c>
      <c r="P348" s="176" t="s">
        <v>730</v>
      </c>
      <c r="Q348" s="184" t="s">
        <v>730</v>
      </c>
      <c r="R348" s="155">
        <v>0</v>
      </c>
      <c r="S348" s="176">
        <v>0</v>
      </c>
      <c r="T348" s="182" t="e">
        <f>VLOOKUP(A348,#REF!,9,FALSE)</f>
        <v>#REF!</v>
      </c>
      <c r="U348" s="155" t="s">
        <v>632</v>
      </c>
      <c r="V348" s="155" t="s">
        <v>632</v>
      </c>
      <c r="W348" s="155">
        <v>0</v>
      </c>
      <c r="X348" s="155">
        <v>0</v>
      </c>
      <c r="Y348" s="183">
        <v>0</v>
      </c>
    </row>
    <row r="349" spans="1:25">
      <c r="A349" s="179">
        <v>222797259</v>
      </c>
      <c r="B349" t="s">
        <v>1501</v>
      </c>
      <c r="C349" t="s">
        <v>750</v>
      </c>
      <c r="D349" t="s">
        <v>989</v>
      </c>
      <c r="E349" t="s">
        <v>698</v>
      </c>
      <c r="F349" t="s">
        <v>2051</v>
      </c>
      <c r="G349" s="180" t="s">
        <v>1501</v>
      </c>
      <c r="H349" s="180" t="s">
        <v>2316</v>
      </c>
      <c r="I349" s="176" t="s">
        <v>1926</v>
      </c>
      <c r="J349" s="181">
        <v>42552</v>
      </c>
      <c r="K349" s="140">
        <v>46934</v>
      </c>
      <c r="L349" s="155">
        <v>0</v>
      </c>
      <c r="M349" s="155">
        <v>0</v>
      </c>
      <c r="N349" s="155">
        <v>0</v>
      </c>
      <c r="O349" s="155" t="s">
        <v>730</v>
      </c>
      <c r="P349" s="176" t="s">
        <v>730</v>
      </c>
      <c r="Q349" s="184" t="s">
        <v>730</v>
      </c>
      <c r="R349" s="155">
        <v>0</v>
      </c>
      <c r="S349" s="176">
        <v>0</v>
      </c>
      <c r="T349" s="182" t="e">
        <f>VLOOKUP(A349,#REF!,9,FALSE)</f>
        <v>#REF!</v>
      </c>
      <c r="U349" s="155" t="s">
        <v>632</v>
      </c>
      <c r="V349" s="155" t="s">
        <v>632</v>
      </c>
      <c r="W349" s="155">
        <v>0</v>
      </c>
      <c r="X349" s="155">
        <v>0</v>
      </c>
      <c r="Y349" s="183">
        <v>0</v>
      </c>
    </row>
    <row r="350" spans="1:25">
      <c r="A350" s="179">
        <v>222797260</v>
      </c>
      <c r="B350" t="s">
        <v>1503</v>
      </c>
      <c r="C350" t="s">
        <v>750</v>
      </c>
      <c r="D350" t="s">
        <v>989</v>
      </c>
      <c r="E350" t="s">
        <v>698</v>
      </c>
      <c r="F350" t="s">
        <v>2051</v>
      </c>
      <c r="G350" s="180" t="s">
        <v>1503</v>
      </c>
      <c r="H350" s="180" t="s">
        <v>2317</v>
      </c>
      <c r="I350" s="176" t="s">
        <v>1926</v>
      </c>
      <c r="J350" s="181">
        <v>42552</v>
      </c>
      <c r="K350" s="140">
        <v>46934</v>
      </c>
      <c r="L350" s="155">
        <v>0</v>
      </c>
      <c r="M350" s="155">
        <v>0</v>
      </c>
      <c r="N350" s="155">
        <v>0</v>
      </c>
      <c r="O350" s="155" t="s">
        <v>730</v>
      </c>
      <c r="P350" s="176" t="s">
        <v>730</v>
      </c>
      <c r="Q350" s="184" t="s">
        <v>730</v>
      </c>
      <c r="R350" s="155">
        <v>0</v>
      </c>
      <c r="S350" s="176">
        <v>0</v>
      </c>
      <c r="T350" s="182" t="e">
        <f>VLOOKUP(A350,#REF!,9,FALSE)</f>
        <v>#REF!</v>
      </c>
      <c r="U350" s="155" t="s">
        <v>632</v>
      </c>
      <c r="V350" s="155" t="s">
        <v>632</v>
      </c>
      <c r="W350" s="155">
        <v>0</v>
      </c>
      <c r="X350" s="155">
        <v>0</v>
      </c>
      <c r="Y350" s="183">
        <v>0</v>
      </c>
    </row>
    <row r="351" spans="1:25">
      <c r="A351" s="179">
        <v>222797261</v>
      </c>
      <c r="B351" t="s">
        <v>1505</v>
      </c>
      <c r="C351" t="s">
        <v>750</v>
      </c>
      <c r="D351" t="s">
        <v>989</v>
      </c>
      <c r="E351" t="s">
        <v>698</v>
      </c>
      <c r="F351" t="s">
        <v>2051</v>
      </c>
      <c r="G351" s="180" t="s">
        <v>1505</v>
      </c>
      <c r="H351" s="180" t="s">
        <v>2318</v>
      </c>
      <c r="I351" s="176" t="s">
        <v>1926</v>
      </c>
      <c r="J351" s="181">
        <v>42552</v>
      </c>
      <c r="K351" s="140">
        <v>46934</v>
      </c>
      <c r="L351" s="155">
        <v>0</v>
      </c>
      <c r="M351" s="155">
        <v>0</v>
      </c>
      <c r="N351" s="155">
        <v>0</v>
      </c>
      <c r="O351" s="155" t="s">
        <v>730</v>
      </c>
      <c r="P351" s="176" t="s">
        <v>730</v>
      </c>
      <c r="Q351" s="184" t="s">
        <v>730</v>
      </c>
      <c r="R351" s="155">
        <v>0</v>
      </c>
      <c r="S351" s="176">
        <v>0</v>
      </c>
      <c r="T351" s="182" t="e">
        <f>VLOOKUP(A351,#REF!,9,FALSE)</f>
        <v>#REF!</v>
      </c>
      <c r="U351" s="155" t="s">
        <v>632</v>
      </c>
      <c r="V351" s="155" t="s">
        <v>632</v>
      </c>
      <c r="W351" s="155">
        <v>0</v>
      </c>
      <c r="X351" s="155">
        <v>0</v>
      </c>
      <c r="Y351" s="183">
        <v>0</v>
      </c>
    </row>
    <row r="352" spans="1:25">
      <c r="A352" s="179">
        <v>222797262</v>
      </c>
      <c r="B352" t="s">
        <v>1507</v>
      </c>
      <c r="C352" t="s">
        <v>750</v>
      </c>
      <c r="D352" t="s">
        <v>989</v>
      </c>
      <c r="E352" t="s">
        <v>698</v>
      </c>
      <c r="F352" t="s">
        <v>2051</v>
      </c>
      <c r="G352" s="180" t="s">
        <v>1507</v>
      </c>
      <c r="H352" s="180" t="s">
        <v>2319</v>
      </c>
      <c r="I352" s="176" t="s">
        <v>1926</v>
      </c>
      <c r="J352" s="181">
        <v>42552</v>
      </c>
      <c r="K352" s="140">
        <v>46934</v>
      </c>
      <c r="L352" s="155">
        <v>0</v>
      </c>
      <c r="M352" s="155">
        <v>0</v>
      </c>
      <c r="N352" s="155">
        <v>0</v>
      </c>
      <c r="O352" s="155" t="s">
        <v>730</v>
      </c>
      <c r="P352" s="176" t="s">
        <v>730</v>
      </c>
      <c r="Q352" s="184" t="s">
        <v>730</v>
      </c>
      <c r="R352" s="155">
        <v>0</v>
      </c>
      <c r="S352" s="176">
        <v>0</v>
      </c>
      <c r="T352" s="182" t="e">
        <f>VLOOKUP(A352,#REF!,9,FALSE)</f>
        <v>#REF!</v>
      </c>
      <c r="U352" s="155" t="s">
        <v>632</v>
      </c>
      <c r="V352" s="155" t="s">
        <v>632</v>
      </c>
      <c r="W352" s="155">
        <v>0</v>
      </c>
      <c r="X352" s="155">
        <v>0</v>
      </c>
      <c r="Y352" s="183">
        <v>0</v>
      </c>
    </row>
    <row r="353" spans="1:25">
      <c r="A353" s="179">
        <v>222797263</v>
      </c>
      <c r="B353" t="s">
        <v>1509</v>
      </c>
      <c r="C353" t="s">
        <v>750</v>
      </c>
      <c r="D353" t="s">
        <v>989</v>
      </c>
      <c r="E353" t="s">
        <v>698</v>
      </c>
      <c r="F353" t="s">
        <v>2051</v>
      </c>
      <c r="G353" s="180" t="s">
        <v>1509</v>
      </c>
      <c r="H353" s="180" t="s">
        <v>2320</v>
      </c>
      <c r="I353" s="176" t="s">
        <v>1926</v>
      </c>
      <c r="J353" s="181">
        <v>42552</v>
      </c>
      <c r="K353" s="140">
        <v>46934</v>
      </c>
      <c r="L353" s="155">
        <v>0</v>
      </c>
      <c r="M353" s="155">
        <v>0</v>
      </c>
      <c r="N353" s="155">
        <v>0</v>
      </c>
      <c r="O353" s="155" t="s">
        <v>730</v>
      </c>
      <c r="P353" s="176" t="s">
        <v>730</v>
      </c>
      <c r="Q353" s="184" t="s">
        <v>730</v>
      </c>
      <c r="R353" s="155">
        <v>0</v>
      </c>
      <c r="S353" s="176">
        <v>0</v>
      </c>
      <c r="T353" s="182" t="e">
        <f>VLOOKUP(A353,#REF!,9,FALSE)</f>
        <v>#REF!</v>
      </c>
      <c r="U353" s="155" t="s">
        <v>632</v>
      </c>
      <c r="V353" s="155" t="s">
        <v>632</v>
      </c>
      <c r="W353" s="155">
        <v>0</v>
      </c>
      <c r="X353" s="155">
        <v>0</v>
      </c>
      <c r="Y353" s="183">
        <v>0</v>
      </c>
    </row>
    <row r="354" spans="1:25">
      <c r="A354" s="179">
        <v>222797264</v>
      </c>
      <c r="B354" t="s">
        <v>1511</v>
      </c>
      <c r="C354" t="s">
        <v>750</v>
      </c>
      <c r="D354" t="s">
        <v>989</v>
      </c>
      <c r="E354" t="s">
        <v>698</v>
      </c>
      <c r="F354" t="s">
        <v>2051</v>
      </c>
      <c r="G354" s="180" t="s">
        <v>1511</v>
      </c>
      <c r="H354" s="180" t="s">
        <v>2321</v>
      </c>
      <c r="I354" s="176" t="s">
        <v>1926</v>
      </c>
      <c r="J354" s="181">
        <v>42552</v>
      </c>
      <c r="K354" s="140">
        <v>46934</v>
      </c>
      <c r="L354" s="155">
        <v>0</v>
      </c>
      <c r="M354" s="155">
        <v>0</v>
      </c>
      <c r="N354" s="155">
        <v>0</v>
      </c>
      <c r="O354" s="155" t="s">
        <v>730</v>
      </c>
      <c r="P354" s="176" t="s">
        <v>730</v>
      </c>
      <c r="Q354" s="184" t="s">
        <v>730</v>
      </c>
      <c r="R354" s="155">
        <v>0</v>
      </c>
      <c r="S354" s="176">
        <v>0</v>
      </c>
      <c r="T354" s="182" t="e">
        <f>VLOOKUP(A354,#REF!,9,FALSE)</f>
        <v>#REF!</v>
      </c>
      <c r="U354" s="155" t="s">
        <v>632</v>
      </c>
      <c r="V354" s="155" t="s">
        <v>632</v>
      </c>
      <c r="W354" s="155">
        <v>0</v>
      </c>
      <c r="X354" s="155">
        <v>0</v>
      </c>
      <c r="Y354" s="183">
        <v>0</v>
      </c>
    </row>
    <row r="355" spans="1:25">
      <c r="A355" s="179">
        <v>222797265</v>
      </c>
      <c r="B355" t="s">
        <v>1513</v>
      </c>
      <c r="C355" t="s">
        <v>750</v>
      </c>
      <c r="D355" t="s">
        <v>989</v>
      </c>
      <c r="E355" t="s">
        <v>698</v>
      </c>
      <c r="F355" t="s">
        <v>2051</v>
      </c>
      <c r="G355" s="180" t="s">
        <v>1513</v>
      </c>
      <c r="H355" s="180" t="s">
        <v>2322</v>
      </c>
      <c r="I355" s="176" t="s">
        <v>1926</v>
      </c>
      <c r="J355" s="181">
        <v>42552</v>
      </c>
      <c r="K355" s="140">
        <v>46934</v>
      </c>
      <c r="L355" s="155">
        <v>0</v>
      </c>
      <c r="M355" s="155">
        <v>0</v>
      </c>
      <c r="N355" s="155">
        <v>0</v>
      </c>
      <c r="O355" s="155" t="s">
        <v>730</v>
      </c>
      <c r="P355" s="176" t="s">
        <v>730</v>
      </c>
      <c r="Q355" s="184" t="s">
        <v>730</v>
      </c>
      <c r="R355" s="155">
        <v>0</v>
      </c>
      <c r="S355" s="176">
        <v>0</v>
      </c>
      <c r="T355" s="182" t="e">
        <f>VLOOKUP(A355,#REF!,9,FALSE)</f>
        <v>#REF!</v>
      </c>
      <c r="U355" s="155" t="s">
        <v>632</v>
      </c>
      <c r="V355" s="155" t="s">
        <v>632</v>
      </c>
      <c r="W355" s="155">
        <v>0</v>
      </c>
      <c r="X355" s="155">
        <v>0</v>
      </c>
      <c r="Y355" s="183">
        <v>0</v>
      </c>
    </row>
    <row r="356" spans="1:25">
      <c r="A356" s="179">
        <v>222797266</v>
      </c>
      <c r="B356" t="s">
        <v>1515</v>
      </c>
      <c r="C356" t="s">
        <v>750</v>
      </c>
      <c r="D356" t="s">
        <v>989</v>
      </c>
      <c r="E356" t="s">
        <v>698</v>
      </c>
      <c r="F356" t="s">
        <v>2051</v>
      </c>
      <c r="G356" s="180" t="s">
        <v>1515</v>
      </c>
      <c r="H356" s="180" t="s">
        <v>2323</v>
      </c>
      <c r="I356" s="176" t="s">
        <v>1926</v>
      </c>
      <c r="J356" s="181">
        <v>42552</v>
      </c>
      <c r="K356" s="140">
        <v>46934</v>
      </c>
      <c r="L356" s="155">
        <v>0</v>
      </c>
      <c r="M356" s="155">
        <v>0</v>
      </c>
      <c r="N356" s="155">
        <v>0</v>
      </c>
      <c r="O356" s="155" t="s">
        <v>730</v>
      </c>
      <c r="P356" s="176" t="s">
        <v>730</v>
      </c>
      <c r="Q356" s="184" t="s">
        <v>730</v>
      </c>
      <c r="R356" s="155">
        <v>0</v>
      </c>
      <c r="S356" s="176">
        <v>0</v>
      </c>
      <c r="T356" s="182" t="e">
        <f>VLOOKUP(A356,#REF!,9,FALSE)</f>
        <v>#REF!</v>
      </c>
      <c r="U356" s="155" t="s">
        <v>632</v>
      </c>
      <c r="V356" s="155" t="s">
        <v>632</v>
      </c>
      <c r="W356" s="155">
        <v>0</v>
      </c>
      <c r="X356" s="155">
        <v>0</v>
      </c>
      <c r="Y356" s="183">
        <v>0</v>
      </c>
    </row>
    <row r="357" spans="1:25">
      <c r="A357" s="179">
        <v>222797267</v>
      </c>
      <c r="B357" t="s">
        <v>1517</v>
      </c>
      <c r="C357" t="s">
        <v>750</v>
      </c>
      <c r="D357" t="s">
        <v>989</v>
      </c>
      <c r="E357" t="s">
        <v>698</v>
      </c>
      <c r="F357" t="s">
        <v>2051</v>
      </c>
      <c r="G357" s="180" t="s">
        <v>1517</v>
      </c>
      <c r="H357" s="180" t="s">
        <v>2324</v>
      </c>
      <c r="I357" s="176" t="s">
        <v>1926</v>
      </c>
      <c r="J357" s="181">
        <v>42552</v>
      </c>
      <c r="K357" s="140">
        <v>46934</v>
      </c>
      <c r="L357" s="155">
        <v>0</v>
      </c>
      <c r="M357" s="155">
        <v>0</v>
      </c>
      <c r="N357" s="155">
        <v>0</v>
      </c>
      <c r="O357" s="155" t="s">
        <v>730</v>
      </c>
      <c r="P357" s="176" t="s">
        <v>730</v>
      </c>
      <c r="Q357" s="184" t="s">
        <v>730</v>
      </c>
      <c r="R357" s="155">
        <v>0</v>
      </c>
      <c r="S357" s="176">
        <v>0</v>
      </c>
      <c r="T357" s="182" t="e">
        <f>VLOOKUP(A357,#REF!,9,FALSE)</f>
        <v>#REF!</v>
      </c>
      <c r="U357" s="155" t="s">
        <v>632</v>
      </c>
      <c r="V357" s="155" t="s">
        <v>632</v>
      </c>
      <c r="W357" s="155">
        <v>0</v>
      </c>
      <c r="X357" s="155">
        <v>0</v>
      </c>
      <c r="Y357" s="183">
        <v>0</v>
      </c>
    </row>
    <row r="358" spans="1:25">
      <c r="A358" s="179">
        <v>222797268</v>
      </c>
      <c r="B358" t="s">
        <v>1519</v>
      </c>
      <c r="C358" t="s">
        <v>750</v>
      </c>
      <c r="D358" t="s">
        <v>989</v>
      </c>
      <c r="E358" t="s">
        <v>698</v>
      </c>
      <c r="F358" t="s">
        <v>2051</v>
      </c>
      <c r="G358" s="180" t="s">
        <v>1519</v>
      </c>
      <c r="H358" s="180" t="s">
        <v>2325</v>
      </c>
      <c r="I358" s="176" t="s">
        <v>1926</v>
      </c>
      <c r="J358" s="181">
        <v>42552</v>
      </c>
      <c r="K358" s="140">
        <v>46934</v>
      </c>
      <c r="L358" s="155">
        <v>0</v>
      </c>
      <c r="M358" s="155">
        <v>0</v>
      </c>
      <c r="N358" s="155">
        <v>0</v>
      </c>
      <c r="O358" s="155" t="s">
        <v>730</v>
      </c>
      <c r="P358" s="176" t="s">
        <v>730</v>
      </c>
      <c r="Q358" s="184" t="s">
        <v>730</v>
      </c>
      <c r="R358" s="155">
        <v>0</v>
      </c>
      <c r="S358" s="176">
        <v>0</v>
      </c>
      <c r="T358" s="182" t="e">
        <f>VLOOKUP(A358,#REF!,9,FALSE)</f>
        <v>#REF!</v>
      </c>
      <c r="U358" s="155" t="s">
        <v>632</v>
      </c>
      <c r="V358" s="155" t="s">
        <v>632</v>
      </c>
      <c r="W358" s="155">
        <v>0</v>
      </c>
      <c r="X358" s="155">
        <v>0</v>
      </c>
      <c r="Y358" s="183">
        <v>0</v>
      </c>
    </row>
    <row r="359" spans="1:25">
      <c r="A359" s="179">
        <v>222797269</v>
      </c>
      <c r="B359" t="s">
        <v>1521</v>
      </c>
      <c r="C359" t="s">
        <v>750</v>
      </c>
      <c r="D359" t="s">
        <v>989</v>
      </c>
      <c r="E359" t="s">
        <v>698</v>
      </c>
      <c r="F359" t="s">
        <v>2051</v>
      </c>
      <c r="G359" s="180" t="s">
        <v>1521</v>
      </c>
      <c r="H359" s="180" t="s">
        <v>2326</v>
      </c>
      <c r="I359" s="176" t="s">
        <v>1926</v>
      </c>
      <c r="J359" s="181">
        <v>42552</v>
      </c>
      <c r="K359" s="140">
        <v>46934</v>
      </c>
      <c r="L359" s="155">
        <v>0</v>
      </c>
      <c r="M359" s="155">
        <v>0</v>
      </c>
      <c r="N359" s="155">
        <v>0</v>
      </c>
      <c r="O359" s="155" t="s">
        <v>730</v>
      </c>
      <c r="P359" s="176" t="s">
        <v>730</v>
      </c>
      <c r="Q359" s="184" t="s">
        <v>730</v>
      </c>
      <c r="R359" s="155">
        <v>0</v>
      </c>
      <c r="S359" s="176">
        <v>0</v>
      </c>
      <c r="T359" s="182" t="e">
        <f>VLOOKUP(A359,#REF!,9,FALSE)</f>
        <v>#REF!</v>
      </c>
      <c r="U359" s="155" t="s">
        <v>632</v>
      </c>
      <c r="V359" s="155" t="s">
        <v>632</v>
      </c>
      <c r="W359" s="155">
        <v>0</v>
      </c>
      <c r="X359" s="155">
        <v>0</v>
      </c>
      <c r="Y359" s="183">
        <v>0</v>
      </c>
    </row>
    <row r="360" spans="1:25">
      <c r="A360" s="179">
        <v>222797270</v>
      </c>
      <c r="B360" t="s">
        <v>1523</v>
      </c>
      <c r="C360" t="s">
        <v>750</v>
      </c>
      <c r="D360" t="s">
        <v>989</v>
      </c>
      <c r="E360" t="s">
        <v>698</v>
      </c>
      <c r="F360" t="s">
        <v>2051</v>
      </c>
      <c r="G360" s="180" t="s">
        <v>1523</v>
      </c>
      <c r="H360" s="180" t="s">
        <v>2327</v>
      </c>
      <c r="I360" s="176" t="s">
        <v>1926</v>
      </c>
      <c r="J360" s="181">
        <v>42552</v>
      </c>
      <c r="K360" s="140">
        <v>46934</v>
      </c>
      <c r="L360" s="155">
        <v>0</v>
      </c>
      <c r="M360" s="155">
        <v>0</v>
      </c>
      <c r="N360" s="155">
        <v>0</v>
      </c>
      <c r="O360" s="155" t="s">
        <v>730</v>
      </c>
      <c r="P360" s="176" t="s">
        <v>730</v>
      </c>
      <c r="Q360" s="184" t="s">
        <v>730</v>
      </c>
      <c r="R360" s="155">
        <v>0</v>
      </c>
      <c r="S360" s="176">
        <v>0</v>
      </c>
      <c r="T360" s="182" t="e">
        <f>VLOOKUP(A360,#REF!,9,FALSE)</f>
        <v>#REF!</v>
      </c>
      <c r="U360" s="155" t="s">
        <v>632</v>
      </c>
      <c r="V360" s="155" t="s">
        <v>632</v>
      </c>
      <c r="W360" s="155">
        <v>0</v>
      </c>
      <c r="X360" s="155">
        <v>0</v>
      </c>
      <c r="Y360" s="183">
        <v>0</v>
      </c>
    </row>
    <row r="361" spans="1:25">
      <c r="A361" s="179">
        <v>222797271</v>
      </c>
      <c r="B361" t="s">
        <v>1525</v>
      </c>
      <c r="C361" t="s">
        <v>750</v>
      </c>
      <c r="D361" t="s">
        <v>989</v>
      </c>
      <c r="E361" t="s">
        <v>698</v>
      </c>
      <c r="F361" t="s">
        <v>2051</v>
      </c>
      <c r="G361" s="180" t="s">
        <v>1525</v>
      </c>
      <c r="H361" s="180" t="s">
        <v>2328</v>
      </c>
      <c r="I361" s="176" t="s">
        <v>1926</v>
      </c>
      <c r="J361" s="181">
        <v>42552</v>
      </c>
      <c r="K361" s="140">
        <v>46934</v>
      </c>
      <c r="L361" s="155">
        <v>0</v>
      </c>
      <c r="M361" s="155">
        <v>0</v>
      </c>
      <c r="N361" s="155">
        <v>0</v>
      </c>
      <c r="O361" s="155" t="s">
        <v>730</v>
      </c>
      <c r="P361" s="176" t="s">
        <v>730</v>
      </c>
      <c r="Q361" s="184" t="s">
        <v>730</v>
      </c>
      <c r="R361" s="155">
        <v>0</v>
      </c>
      <c r="S361" s="176">
        <v>0</v>
      </c>
      <c r="T361" s="182" t="e">
        <f>VLOOKUP(A361,#REF!,9,FALSE)</f>
        <v>#REF!</v>
      </c>
      <c r="U361" s="155" t="s">
        <v>632</v>
      </c>
      <c r="V361" s="155" t="s">
        <v>632</v>
      </c>
      <c r="W361" s="155">
        <v>0</v>
      </c>
      <c r="X361" s="155">
        <v>0</v>
      </c>
      <c r="Y361" s="183">
        <v>0</v>
      </c>
    </row>
    <row r="362" spans="1:25">
      <c r="A362" s="179">
        <v>222797272</v>
      </c>
      <c r="B362" t="s">
        <v>1527</v>
      </c>
      <c r="C362" t="s">
        <v>750</v>
      </c>
      <c r="D362" t="s">
        <v>989</v>
      </c>
      <c r="E362" t="s">
        <v>698</v>
      </c>
      <c r="F362" t="s">
        <v>2051</v>
      </c>
      <c r="G362" s="180" t="s">
        <v>1527</v>
      </c>
      <c r="H362" s="180" t="s">
        <v>2329</v>
      </c>
      <c r="I362" s="176" t="s">
        <v>1926</v>
      </c>
      <c r="J362" s="181">
        <v>42552</v>
      </c>
      <c r="K362" s="140">
        <v>46934</v>
      </c>
      <c r="L362" s="155">
        <v>0</v>
      </c>
      <c r="M362" s="155">
        <v>0</v>
      </c>
      <c r="N362" s="155">
        <v>0</v>
      </c>
      <c r="O362" s="155" t="s">
        <v>730</v>
      </c>
      <c r="P362" s="176" t="s">
        <v>730</v>
      </c>
      <c r="Q362" s="184" t="s">
        <v>730</v>
      </c>
      <c r="R362" s="155">
        <v>0</v>
      </c>
      <c r="S362" s="176">
        <v>0</v>
      </c>
      <c r="T362" s="182" t="e">
        <f>VLOOKUP(A362,#REF!,9,FALSE)</f>
        <v>#REF!</v>
      </c>
      <c r="U362" s="155" t="s">
        <v>632</v>
      </c>
      <c r="V362" s="155" t="s">
        <v>632</v>
      </c>
      <c r="W362" s="155">
        <v>0</v>
      </c>
      <c r="X362" s="155">
        <v>0</v>
      </c>
      <c r="Y362" s="183">
        <v>0</v>
      </c>
    </row>
    <row r="363" spans="1:25">
      <c r="A363" s="179">
        <v>222797273</v>
      </c>
      <c r="B363" t="s">
        <v>1529</v>
      </c>
      <c r="C363" t="s">
        <v>750</v>
      </c>
      <c r="D363" t="s">
        <v>989</v>
      </c>
      <c r="E363" t="s">
        <v>698</v>
      </c>
      <c r="F363" t="s">
        <v>2051</v>
      </c>
      <c r="G363" s="180" t="s">
        <v>1529</v>
      </c>
      <c r="H363" s="180" t="s">
        <v>2330</v>
      </c>
      <c r="I363" s="176" t="s">
        <v>1926</v>
      </c>
      <c r="J363" s="181">
        <v>42552</v>
      </c>
      <c r="K363" s="140">
        <v>46934</v>
      </c>
      <c r="L363" s="155">
        <v>0</v>
      </c>
      <c r="M363" s="155">
        <v>0</v>
      </c>
      <c r="N363" s="155">
        <v>0</v>
      </c>
      <c r="O363" s="155" t="s">
        <v>730</v>
      </c>
      <c r="P363" s="176" t="s">
        <v>730</v>
      </c>
      <c r="Q363" s="184" t="s">
        <v>730</v>
      </c>
      <c r="R363" s="155">
        <v>0</v>
      </c>
      <c r="S363" s="176">
        <v>0</v>
      </c>
      <c r="T363" s="182" t="e">
        <f>VLOOKUP(A363,#REF!,9,FALSE)</f>
        <v>#REF!</v>
      </c>
      <c r="U363" s="155" t="s">
        <v>632</v>
      </c>
      <c r="V363" s="155" t="s">
        <v>632</v>
      </c>
      <c r="W363" s="155">
        <v>0</v>
      </c>
      <c r="X363" s="155">
        <v>0</v>
      </c>
      <c r="Y363" s="183">
        <v>0</v>
      </c>
    </row>
    <row r="364" spans="1:25">
      <c r="A364" s="179">
        <v>222797274</v>
      </c>
      <c r="B364" t="s">
        <v>1531</v>
      </c>
      <c r="C364" t="s">
        <v>750</v>
      </c>
      <c r="D364" t="s">
        <v>989</v>
      </c>
      <c r="E364" t="s">
        <v>698</v>
      </c>
      <c r="F364" t="s">
        <v>2051</v>
      </c>
      <c r="G364" s="180" t="s">
        <v>1531</v>
      </c>
      <c r="H364" s="180" t="s">
        <v>2331</v>
      </c>
      <c r="I364" s="176" t="s">
        <v>1926</v>
      </c>
      <c r="J364" s="181">
        <v>42552</v>
      </c>
      <c r="K364" s="140">
        <v>46934</v>
      </c>
      <c r="L364" s="155">
        <v>0</v>
      </c>
      <c r="M364" s="155">
        <v>0</v>
      </c>
      <c r="N364" s="155">
        <v>0</v>
      </c>
      <c r="O364" s="155" t="s">
        <v>730</v>
      </c>
      <c r="P364" s="176" t="s">
        <v>730</v>
      </c>
      <c r="Q364" s="184" t="s">
        <v>730</v>
      </c>
      <c r="R364" s="155">
        <v>0</v>
      </c>
      <c r="S364" s="176">
        <v>0</v>
      </c>
      <c r="T364" s="182" t="e">
        <f>VLOOKUP(A364,#REF!,9,FALSE)</f>
        <v>#REF!</v>
      </c>
      <c r="U364" s="155" t="s">
        <v>632</v>
      </c>
      <c r="V364" s="155" t="s">
        <v>632</v>
      </c>
      <c r="W364" s="155">
        <v>0</v>
      </c>
      <c r="X364" s="155">
        <v>0</v>
      </c>
      <c r="Y364" s="183">
        <v>0</v>
      </c>
    </row>
    <row r="365" spans="1:25">
      <c r="A365" s="179">
        <v>222797275</v>
      </c>
      <c r="B365" t="s">
        <v>1533</v>
      </c>
      <c r="C365" t="s">
        <v>750</v>
      </c>
      <c r="D365" t="s">
        <v>989</v>
      </c>
      <c r="E365" t="s">
        <v>698</v>
      </c>
      <c r="F365" t="s">
        <v>2051</v>
      </c>
      <c r="G365" s="180" t="s">
        <v>1533</v>
      </c>
      <c r="H365" s="180" t="s">
        <v>2332</v>
      </c>
      <c r="I365" s="176" t="s">
        <v>1926</v>
      </c>
      <c r="J365" s="181">
        <v>42552</v>
      </c>
      <c r="K365" s="140">
        <v>46934</v>
      </c>
      <c r="L365" s="155">
        <v>0</v>
      </c>
      <c r="M365" s="155">
        <v>0</v>
      </c>
      <c r="N365" s="155">
        <v>0</v>
      </c>
      <c r="O365" s="155" t="s">
        <v>730</v>
      </c>
      <c r="P365" s="176" t="s">
        <v>730</v>
      </c>
      <c r="Q365" s="184" t="s">
        <v>730</v>
      </c>
      <c r="R365" s="155">
        <v>0</v>
      </c>
      <c r="S365" s="176">
        <v>0</v>
      </c>
      <c r="T365" s="182" t="e">
        <f>VLOOKUP(A365,#REF!,9,FALSE)</f>
        <v>#REF!</v>
      </c>
      <c r="U365" s="155" t="s">
        <v>632</v>
      </c>
      <c r="V365" s="155" t="s">
        <v>632</v>
      </c>
      <c r="W365" s="155">
        <v>0</v>
      </c>
      <c r="X365" s="155">
        <v>0</v>
      </c>
      <c r="Y365" s="183">
        <v>0</v>
      </c>
    </row>
    <row r="366" spans="1:25">
      <c r="A366" s="179">
        <v>222797276</v>
      </c>
      <c r="B366" t="s">
        <v>1535</v>
      </c>
      <c r="C366" t="s">
        <v>750</v>
      </c>
      <c r="D366" t="s">
        <v>989</v>
      </c>
      <c r="E366" t="s">
        <v>698</v>
      </c>
      <c r="F366" t="s">
        <v>2051</v>
      </c>
      <c r="G366" s="180" t="s">
        <v>1535</v>
      </c>
      <c r="H366" s="180" t="s">
        <v>2333</v>
      </c>
      <c r="I366" s="176" t="s">
        <v>1926</v>
      </c>
      <c r="J366" s="181">
        <v>42552</v>
      </c>
      <c r="K366" s="140">
        <v>46934</v>
      </c>
      <c r="L366" s="155">
        <v>0</v>
      </c>
      <c r="M366" s="155">
        <v>0</v>
      </c>
      <c r="N366" s="155">
        <v>0</v>
      </c>
      <c r="O366" s="155" t="s">
        <v>730</v>
      </c>
      <c r="P366" s="176" t="s">
        <v>730</v>
      </c>
      <c r="Q366" s="184" t="s">
        <v>730</v>
      </c>
      <c r="R366" s="155">
        <v>0</v>
      </c>
      <c r="S366" s="176">
        <v>0</v>
      </c>
      <c r="T366" s="182" t="e">
        <f>VLOOKUP(A366,#REF!,9,FALSE)</f>
        <v>#REF!</v>
      </c>
      <c r="U366" s="155" t="s">
        <v>632</v>
      </c>
      <c r="V366" s="155" t="s">
        <v>632</v>
      </c>
      <c r="W366" s="155">
        <v>0</v>
      </c>
      <c r="X366" s="155">
        <v>0</v>
      </c>
      <c r="Y366" s="183">
        <v>0</v>
      </c>
    </row>
    <row r="367" spans="1:25">
      <c r="A367" s="179">
        <v>222797277</v>
      </c>
      <c r="B367" t="s">
        <v>1537</v>
      </c>
      <c r="C367" t="s">
        <v>750</v>
      </c>
      <c r="D367" t="s">
        <v>989</v>
      </c>
      <c r="E367" t="s">
        <v>698</v>
      </c>
      <c r="F367" t="s">
        <v>2051</v>
      </c>
      <c r="G367" s="180" t="s">
        <v>1537</v>
      </c>
      <c r="H367" s="180" t="s">
        <v>2334</v>
      </c>
      <c r="I367" s="176" t="s">
        <v>1926</v>
      </c>
      <c r="J367" s="181">
        <v>42552</v>
      </c>
      <c r="K367" s="140">
        <v>46934</v>
      </c>
      <c r="L367" s="155">
        <v>0</v>
      </c>
      <c r="M367" s="155">
        <v>0</v>
      </c>
      <c r="N367" s="155">
        <v>0</v>
      </c>
      <c r="O367" s="155" t="s">
        <v>730</v>
      </c>
      <c r="P367" s="176" t="s">
        <v>730</v>
      </c>
      <c r="Q367" s="184" t="s">
        <v>730</v>
      </c>
      <c r="R367" s="155">
        <v>0</v>
      </c>
      <c r="S367" s="176">
        <v>0</v>
      </c>
      <c r="T367" s="182" t="e">
        <f>VLOOKUP(A367,#REF!,9,FALSE)</f>
        <v>#REF!</v>
      </c>
      <c r="U367" s="155" t="s">
        <v>632</v>
      </c>
      <c r="V367" s="155" t="s">
        <v>632</v>
      </c>
      <c r="W367" s="155">
        <v>0</v>
      </c>
      <c r="X367" s="155">
        <v>0</v>
      </c>
      <c r="Y367" s="183">
        <v>0</v>
      </c>
    </row>
    <row r="368" spans="1:25">
      <c r="A368" s="179">
        <v>222797278</v>
      </c>
      <c r="B368" t="s">
        <v>1539</v>
      </c>
      <c r="C368" t="s">
        <v>750</v>
      </c>
      <c r="D368" t="s">
        <v>989</v>
      </c>
      <c r="E368" t="s">
        <v>698</v>
      </c>
      <c r="F368" t="s">
        <v>2051</v>
      </c>
      <c r="G368" s="180" t="s">
        <v>1539</v>
      </c>
      <c r="H368" s="180" t="s">
        <v>2335</v>
      </c>
      <c r="I368" s="176" t="s">
        <v>1926</v>
      </c>
      <c r="J368" s="181">
        <v>42552</v>
      </c>
      <c r="K368" s="140">
        <v>46934</v>
      </c>
      <c r="L368" s="155">
        <v>0</v>
      </c>
      <c r="M368" s="155">
        <v>0</v>
      </c>
      <c r="N368" s="155">
        <v>0</v>
      </c>
      <c r="O368" s="155" t="s">
        <v>730</v>
      </c>
      <c r="P368" s="176" t="s">
        <v>730</v>
      </c>
      <c r="Q368" s="184" t="s">
        <v>730</v>
      </c>
      <c r="R368" s="155">
        <v>0</v>
      </c>
      <c r="S368" s="176">
        <v>0</v>
      </c>
      <c r="T368" s="182" t="e">
        <f>VLOOKUP(A368,#REF!,9,FALSE)</f>
        <v>#REF!</v>
      </c>
      <c r="U368" s="155" t="s">
        <v>632</v>
      </c>
      <c r="V368" s="155" t="s">
        <v>632</v>
      </c>
      <c r="W368" s="155">
        <v>0</v>
      </c>
      <c r="X368" s="155">
        <v>0</v>
      </c>
      <c r="Y368" s="183">
        <v>0</v>
      </c>
    </row>
    <row r="369" spans="1:25">
      <c r="A369" s="179">
        <v>222797279</v>
      </c>
      <c r="B369" t="s">
        <v>1541</v>
      </c>
      <c r="C369" t="s">
        <v>750</v>
      </c>
      <c r="D369" t="s">
        <v>989</v>
      </c>
      <c r="E369" t="s">
        <v>698</v>
      </c>
      <c r="F369" t="s">
        <v>2051</v>
      </c>
      <c r="G369" s="180" t="s">
        <v>1541</v>
      </c>
      <c r="H369" s="180" t="s">
        <v>2336</v>
      </c>
      <c r="I369" s="176" t="s">
        <v>1926</v>
      </c>
      <c r="J369" s="181">
        <v>42552</v>
      </c>
      <c r="K369" s="140">
        <v>46934</v>
      </c>
      <c r="L369" s="155">
        <v>0</v>
      </c>
      <c r="M369" s="155">
        <v>0</v>
      </c>
      <c r="N369" s="155">
        <v>0</v>
      </c>
      <c r="O369" s="155" t="s">
        <v>730</v>
      </c>
      <c r="P369" s="176" t="s">
        <v>730</v>
      </c>
      <c r="Q369" s="184" t="s">
        <v>730</v>
      </c>
      <c r="R369" s="155">
        <v>0</v>
      </c>
      <c r="S369" s="176">
        <v>0</v>
      </c>
      <c r="T369" s="182" t="e">
        <f>VLOOKUP(A369,#REF!,9,FALSE)</f>
        <v>#REF!</v>
      </c>
      <c r="U369" s="155" t="s">
        <v>632</v>
      </c>
      <c r="V369" s="155" t="s">
        <v>632</v>
      </c>
      <c r="W369" s="155">
        <v>0</v>
      </c>
      <c r="X369" s="155">
        <v>0</v>
      </c>
      <c r="Y369" s="183">
        <v>0</v>
      </c>
    </row>
    <row r="370" spans="1:25">
      <c r="A370" s="179">
        <v>222797280</v>
      </c>
      <c r="B370" t="s">
        <v>1543</v>
      </c>
      <c r="C370" t="s">
        <v>750</v>
      </c>
      <c r="D370" t="s">
        <v>989</v>
      </c>
      <c r="E370" t="s">
        <v>698</v>
      </c>
      <c r="F370" t="s">
        <v>2051</v>
      </c>
      <c r="G370" s="180" t="s">
        <v>1543</v>
      </c>
      <c r="H370" s="180" t="s">
        <v>2337</v>
      </c>
      <c r="I370" s="176" t="s">
        <v>1926</v>
      </c>
      <c r="J370" s="181">
        <v>42552</v>
      </c>
      <c r="K370" s="140">
        <v>46934</v>
      </c>
      <c r="L370" s="155">
        <v>0</v>
      </c>
      <c r="M370" s="155">
        <v>0</v>
      </c>
      <c r="N370" s="155">
        <v>0</v>
      </c>
      <c r="O370" s="155" t="s">
        <v>730</v>
      </c>
      <c r="P370" s="176" t="s">
        <v>730</v>
      </c>
      <c r="Q370" s="184" t="s">
        <v>730</v>
      </c>
      <c r="R370" s="155">
        <v>0</v>
      </c>
      <c r="S370" s="176">
        <v>0</v>
      </c>
      <c r="T370" s="182" t="e">
        <f>VLOOKUP(A370,#REF!,9,FALSE)</f>
        <v>#REF!</v>
      </c>
      <c r="U370" s="155" t="s">
        <v>632</v>
      </c>
      <c r="V370" s="155" t="s">
        <v>632</v>
      </c>
      <c r="W370" s="155">
        <v>0</v>
      </c>
      <c r="X370" s="155">
        <v>0</v>
      </c>
      <c r="Y370" s="183">
        <v>0</v>
      </c>
    </row>
    <row r="371" spans="1:25">
      <c r="A371" s="179">
        <v>222797281</v>
      </c>
      <c r="B371" t="s">
        <v>1545</v>
      </c>
      <c r="C371" t="s">
        <v>750</v>
      </c>
      <c r="D371" t="s">
        <v>989</v>
      </c>
      <c r="E371" t="s">
        <v>698</v>
      </c>
      <c r="F371" t="s">
        <v>2051</v>
      </c>
      <c r="G371" s="180" t="s">
        <v>1545</v>
      </c>
      <c r="H371" s="180" t="s">
        <v>2338</v>
      </c>
      <c r="I371" s="176" t="s">
        <v>1926</v>
      </c>
      <c r="J371" s="181">
        <v>42552</v>
      </c>
      <c r="K371" s="140">
        <v>46934</v>
      </c>
      <c r="L371" s="155">
        <v>0</v>
      </c>
      <c r="M371" s="155">
        <v>0</v>
      </c>
      <c r="N371" s="155">
        <v>0</v>
      </c>
      <c r="O371" s="155" t="s">
        <v>730</v>
      </c>
      <c r="P371" s="176" t="s">
        <v>730</v>
      </c>
      <c r="Q371" s="184" t="s">
        <v>730</v>
      </c>
      <c r="R371" s="155">
        <v>0</v>
      </c>
      <c r="S371" s="176">
        <v>0</v>
      </c>
      <c r="T371" s="182" t="e">
        <f>VLOOKUP(A371,#REF!,9,FALSE)</f>
        <v>#REF!</v>
      </c>
      <c r="U371" s="155" t="s">
        <v>632</v>
      </c>
      <c r="V371" s="155" t="s">
        <v>632</v>
      </c>
      <c r="W371" s="155">
        <v>0</v>
      </c>
      <c r="X371" s="155">
        <v>0</v>
      </c>
      <c r="Y371" s="183">
        <v>0</v>
      </c>
    </row>
    <row r="372" spans="1:25">
      <c r="A372" s="179">
        <v>222797282</v>
      </c>
      <c r="B372" t="s">
        <v>1547</v>
      </c>
      <c r="C372" t="s">
        <v>750</v>
      </c>
      <c r="D372" t="s">
        <v>989</v>
      </c>
      <c r="E372" t="s">
        <v>698</v>
      </c>
      <c r="F372" t="s">
        <v>2051</v>
      </c>
      <c r="G372" s="180" t="s">
        <v>1547</v>
      </c>
      <c r="H372" s="180" t="s">
        <v>2339</v>
      </c>
      <c r="I372" s="176" t="s">
        <v>1926</v>
      </c>
      <c r="J372" s="181">
        <v>42552</v>
      </c>
      <c r="K372" s="140">
        <v>46934</v>
      </c>
      <c r="L372" s="155">
        <v>0</v>
      </c>
      <c r="M372" s="155">
        <v>0</v>
      </c>
      <c r="N372" s="155">
        <v>0</v>
      </c>
      <c r="O372" s="155" t="s">
        <v>730</v>
      </c>
      <c r="P372" s="176" t="s">
        <v>730</v>
      </c>
      <c r="Q372" s="184" t="s">
        <v>730</v>
      </c>
      <c r="R372" s="155">
        <v>0</v>
      </c>
      <c r="S372" s="176">
        <v>0</v>
      </c>
      <c r="T372" s="182" t="e">
        <f>VLOOKUP(A372,#REF!,9,FALSE)</f>
        <v>#REF!</v>
      </c>
      <c r="U372" s="155" t="s">
        <v>632</v>
      </c>
      <c r="V372" s="155" t="s">
        <v>632</v>
      </c>
      <c r="W372" s="155">
        <v>0</v>
      </c>
      <c r="X372" s="155">
        <v>0</v>
      </c>
      <c r="Y372" s="183">
        <v>0</v>
      </c>
    </row>
    <row r="373" spans="1:25">
      <c r="A373" s="179">
        <v>222797283</v>
      </c>
      <c r="B373" t="s">
        <v>1549</v>
      </c>
      <c r="C373" t="s">
        <v>750</v>
      </c>
      <c r="D373" t="s">
        <v>989</v>
      </c>
      <c r="E373" t="s">
        <v>698</v>
      </c>
      <c r="F373" t="s">
        <v>2051</v>
      </c>
      <c r="G373" s="180" t="s">
        <v>1549</v>
      </c>
      <c r="H373" s="180" t="s">
        <v>2340</v>
      </c>
      <c r="I373" s="176" t="s">
        <v>1926</v>
      </c>
      <c r="J373" s="181">
        <v>42552</v>
      </c>
      <c r="K373" s="140">
        <v>46934</v>
      </c>
      <c r="L373" s="155">
        <v>0</v>
      </c>
      <c r="M373" s="155">
        <v>0</v>
      </c>
      <c r="N373" s="155">
        <v>0</v>
      </c>
      <c r="O373" s="155" t="s">
        <v>730</v>
      </c>
      <c r="P373" s="176" t="s">
        <v>730</v>
      </c>
      <c r="Q373" s="184" t="s">
        <v>730</v>
      </c>
      <c r="R373" s="155">
        <v>0</v>
      </c>
      <c r="S373" s="176">
        <v>0</v>
      </c>
      <c r="T373" s="182" t="e">
        <f>VLOOKUP(A373,#REF!,9,FALSE)</f>
        <v>#REF!</v>
      </c>
      <c r="U373" s="155" t="s">
        <v>632</v>
      </c>
      <c r="V373" s="155" t="s">
        <v>632</v>
      </c>
      <c r="W373" s="155">
        <v>0</v>
      </c>
      <c r="X373" s="155">
        <v>0</v>
      </c>
      <c r="Y373" s="183">
        <v>0</v>
      </c>
    </row>
    <row r="374" spans="1:25">
      <c r="A374" s="179">
        <v>222797284</v>
      </c>
      <c r="B374" t="s">
        <v>1551</v>
      </c>
      <c r="C374" t="s">
        <v>750</v>
      </c>
      <c r="D374" t="s">
        <v>989</v>
      </c>
      <c r="E374" t="s">
        <v>698</v>
      </c>
      <c r="F374" t="s">
        <v>2051</v>
      </c>
      <c r="G374" s="180" t="s">
        <v>1551</v>
      </c>
      <c r="H374" s="180" t="s">
        <v>2341</v>
      </c>
      <c r="I374" s="176" t="s">
        <v>1926</v>
      </c>
      <c r="J374" s="181">
        <v>42552</v>
      </c>
      <c r="K374" s="140">
        <v>46934</v>
      </c>
      <c r="L374" s="155">
        <v>0</v>
      </c>
      <c r="M374" s="155">
        <v>0</v>
      </c>
      <c r="N374" s="155">
        <v>0</v>
      </c>
      <c r="O374" s="155" t="s">
        <v>730</v>
      </c>
      <c r="P374" s="176" t="s">
        <v>730</v>
      </c>
      <c r="Q374" s="184" t="s">
        <v>730</v>
      </c>
      <c r="R374" s="155">
        <v>0</v>
      </c>
      <c r="S374" s="176">
        <v>0</v>
      </c>
      <c r="T374" s="182" t="e">
        <f>VLOOKUP(A374,#REF!,9,FALSE)</f>
        <v>#REF!</v>
      </c>
      <c r="U374" s="155" t="s">
        <v>632</v>
      </c>
      <c r="V374" s="155" t="s">
        <v>632</v>
      </c>
      <c r="W374" s="155">
        <v>0</v>
      </c>
      <c r="X374" s="155">
        <v>0</v>
      </c>
      <c r="Y374" s="183">
        <v>0</v>
      </c>
    </row>
    <row r="375" spans="1:25">
      <c r="A375" s="179">
        <v>222797285</v>
      </c>
      <c r="B375" t="s">
        <v>1553</v>
      </c>
      <c r="C375" t="s">
        <v>750</v>
      </c>
      <c r="D375" t="s">
        <v>989</v>
      </c>
      <c r="E375" t="s">
        <v>698</v>
      </c>
      <c r="F375" t="s">
        <v>2051</v>
      </c>
      <c r="G375" s="180" t="s">
        <v>1553</v>
      </c>
      <c r="H375" s="180" t="s">
        <v>2342</v>
      </c>
      <c r="I375" s="176" t="s">
        <v>1926</v>
      </c>
      <c r="J375" s="181">
        <v>42552</v>
      </c>
      <c r="K375" s="140">
        <v>46934</v>
      </c>
      <c r="L375" s="155">
        <v>0</v>
      </c>
      <c r="M375" s="155">
        <v>0</v>
      </c>
      <c r="N375" s="155">
        <v>0</v>
      </c>
      <c r="O375" s="155" t="s">
        <v>730</v>
      </c>
      <c r="P375" s="176" t="s">
        <v>730</v>
      </c>
      <c r="Q375" s="184" t="s">
        <v>730</v>
      </c>
      <c r="R375" s="155">
        <v>0</v>
      </c>
      <c r="S375" s="176">
        <v>0</v>
      </c>
      <c r="T375" s="182" t="e">
        <f>VLOOKUP(A375,#REF!,9,FALSE)</f>
        <v>#REF!</v>
      </c>
      <c r="U375" s="155" t="s">
        <v>632</v>
      </c>
      <c r="V375" s="155" t="s">
        <v>632</v>
      </c>
      <c r="W375" s="155">
        <v>0</v>
      </c>
      <c r="X375" s="155">
        <v>0</v>
      </c>
      <c r="Y375" s="183">
        <v>0</v>
      </c>
    </row>
    <row r="376" spans="1:25">
      <c r="A376" s="179">
        <v>222797286</v>
      </c>
      <c r="B376" t="s">
        <v>1555</v>
      </c>
      <c r="C376" t="s">
        <v>750</v>
      </c>
      <c r="D376" t="s">
        <v>989</v>
      </c>
      <c r="E376" t="s">
        <v>698</v>
      </c>
      <c r="F376" t="s">
        <v>2051</v>
      </c>
      <c r="G376" s="180" t="s">
        <v>1555</v>
      </c>
      <c r="H376" s="180" t="s">
        <v>2343</v>
      </c>
      <c r="I376" s="176" t="s">
        <v>1926</v>
      </c>
      <c r="J376" s="181">
        <v>42552</v>
      </c>
      <c r="K376" s="140">
        <v>46934</v>
      </c>
      <c r="L376" s="155">
        <v>0</v>
      </c>
      <c r="M376" s="155">
        <v>0</v>
      </c>
      <c r="N376" s="155">
        <v>0</v>
      </c>
      <c r="O376" s="155" t="s">
        <v>730</v>
      </c>
      <c r="P376" s="176" t="s">
        <v>730</v>
      </c>
      <c r="Q376" s="184" t="s">
        <v>730</v>
      </c>
      <c r="R376" s="155">
        <v>0</v>
      </c>
      <c r="S376" s="176">
        <v>0</v>
      </c>
      <c r="T376" s="182" t="e">
        <f>VLOOKUP(A376,#REF!,9,FALSE)</f>
        <v>#REF!</v>
      </c>
      <c r="U376" s="155" t="s">
        <v>632</v>
      </c>
      <c r="V376" s="155" t="s">
        <v>632</v>
      </c>
      <c r="W376" s="155">
        <v>0</v>
      </c>
      <c r="X376" s="155">
        <v>0</v>
      </c>
      <c r="Y376" s="183">
        <v>0</v>
      </c>
    </row>
    <row r="377" spans="1:25">
      <c r="A377" s="179">
        <v>222797287</v>
      </c>
      <c r="B377" t="s">
        <v>1557</v>
      </c>
      <c r="C377" t="s">
        <v>750</v>
      </c>
      <c r="D377" t="s">
        <v>989</v>
      </c>
      <c r="E377" t="s">
        <v>698</v>
      </c>
      <c r="F377" t="s">
        <v>2051</v>
      </c>
      <c r="G377" s="180" t="s">
        <v>1557</v>
      </c>
      <c r="H377" s="180" t="s">
        <v>2344</v>
      </c>
      <c r="I377" s="176" t="s">
        <v>1926</v>
      </c>
      <c r="J377" s="181">
        <v>42552</v>
      </c>
      <c r="K377" s="140">
        <v>46934</v>
      </c>
      <c r="L377" s="155">
        <v>0</v>
      </c>
      <c r="M377" s="155">
        <v>0</v>
      </c>
      <c r="N377" s="155">
        <v>0</v>
      </c>
      <c r="O377" s="155" t="s">
        <v>730</v>
      </c>
      <c r="P377" s="176" t="s">
        <v>730</v>
      </c>
      <c r="Q377" s="184" t="s">
        <v>730</v>
      </c>
      <c r="R377" s="155">
        <v>0</v>
      </c>
      <c r="S377" s="176">
        <v>0</v>
      </c>
      <c r="T377" s="182" t="e">
        <f>VLOOKUP(A377,#REF!,9,FALSE)</f>
        <v>#REF!</v>
      </c>
      <c r="U377" s="155" t="s">
        <v>632</v>
      </c>
      <c r="V377" s="155" t="s">
        <v>632</v>
      </c>
      <c r="W377" s="155">
        <v>0</v>
      </c>
      <c r="X377" s="155">
        <v>0</v>
      </c>
      <c r="Y377" s="183">
        <v>0</v>
      </c>
    </row>
    <row r="378" spans="1:25">
      <c r="A378" s="179">
        <v>222797288</v>
      </c>
      <c r="B378" t="s">
        <v>1559</v>
      </c>
      <c r="C378" t="s">
        <v>750</v>
      </c>
      <c r="D378" t="s">
        <v>989</v>
      </c>
      <c r="E378" t="s">
        <v>698</v>
      </c>
      <c r="F378" t="s">
        <v>2051</v>
      </c>
      <c r="G378" s="180" t="s">
        <v>1559</v>
      </c>
      <c r="H378" s="180" t="s">
        <v>2345</v>
      </c>
      <c r="I378" s="176" t="s">
        <v>1926</v>
      </c>
      <c r="J378" s="181">
        <v>42552</v>
      </c>
      <c r="K378" s="140">
        <v>46934</v>
      </c>
      <c r="L378" s="155">
        <v>0</v>
      </c>
      <c r="M378" s="155">
        <v>0</v>
      </c>
      <c r="N378" s="155">
        <v>0</v>
      </c>
      <c r="O378" s="155" t="s">
        <v>730</v>
      </c>
      <c r="P378" s="176" t="s">
        <v>730</v>
      </c>
      <c r="Q378" s="184" t="s">
        <v>730</v>
      </c>
      <c r="R378" s="155">
        <v>0</v>
      </c>
      <c r="S378" s="176">
        <v>0</v>
      </c>
      <c r="T378" s="182" t="e">
        <f>VLOOKUP(A378,#REF!,9,FALSE)</f>
        <v>#REF!</v>
      </c>
      <c r="U378" s="155" t="s">
        <v>632</v>
      </c>
      <c r="V378" s="155" t="s">
        <v>632</v>
      </c>
      <c r="W378" s="155">
        <v>0</v>
      </c>
      <c r="X378" s="155">
        <v>0</v>
      </c>
      <c r="Y378" s="183">
        <v>0</v>
      </c>
    </row>
    <row r="379" spans="1:25">
      <c r="A379" s="179">
        <v>222797289</v>
      </c>
      <c r="B379" t="s">
        <v>1561</v>
      </c>
      <c r="C379" t="s">
        <v>750</v>
      </c>
      <c r="D379" t="s">
        <v>989</v>
      </c>
      <c r="E379" t="s">
        <v>698</v>
      </c>
      <c r="F379" t="s">
        <v>2051</v>
      </c>
      <c r="G379" s="180" t="s">
        <v>1561</v>
      </c>
      <c r="H379" s="180" t="s">
        <v>2346</v>
      </c>
      <c r="I379" s="176" t="s">
        <v>1926</v>
      </c>
      <c r="J379" s="181">
        <v>42552</v>
      </c>
      <c r="K379" s="140">
        <v>46934</v>
      </c>
      <c r="L379" s="155">
        <v>0</v>
      </c>
      <c r="M379" s="155">
        <v>0</v>
      </c>
      <c r="N379" s="155">
        <v>0</v>
      </c>
      <c r="O379" s="155" t="s">
        <v>730</v>
      </c>
      <c r="P379" s="176" t="s">
        <v>730</v>
      </c>
      <c r="Q379" s="184" t="s">
        <v>730</v>
      </c>
      <c r="R379" s="155">
        <v>0</v>
      </c>
      <c r="S379" s="176">
        <v>0</v>
      </c>
      <c r="T379" s="182" t="e">
        <f>VLOOKUP(A379,#REF!,9,FALSE)</f>
        <v>#REF!</v>
      </c>
      <c r="U379" s="155" t="s">
        <v>632</v>
      </c>
      <c r="V379" s="155" t="s">
        <v>632</v>
      </c>
      <c r="W379" s="155">
        <v>0</v>
      </c>
      <c r="X379" s="155">
        <v>0</v>
      </c>
      <c r="Y379" s="183">
        <v>0</v>
      </c>
    </row>
    <row r="380" spans="1:25">
      <c r="A380" s="179">
        <v>222797290</v>
      </c>
      <c r="B380" t="s">
        <v>1563</v>
      </c>
      <c r="C380" t="s">
        <v>750</v>
      </c>
      <c r="D380" t="s">
        <v>989</v>
      </c>
      <c r="E380" t="s">
        <v>698</v>
      </c>
      <c r="F380" t="s">
        <v>2051</v>
      </c>
      <c r="G380" s="180" t="s">
        <v>1563</v>
      </c>
      <c r="H380" s="180" t="s">
        <v>2347</v>
      </c>
      <c r="I380" s="176" t="s">
        <v>1926</v>
      </c>
      <c r="J380" s="181">
        <v>42552</v>
      </c>
      <c r="K380" s="140">
        <v>46934</v>
      </c>
      <c r="L380" s="155">
        <v>0</v>
      </c>
      <c r="M380" s="155">
        <v>0</v>
      </c>
      <c r="N380" s="155">
        <v>0</v>
      </c>
      <c r="O380" s="155" t="s">
        <v>730</v>
      </c>
      <c r="P380" s="176" t="s">
        <v>730</v>
      </c>
      <c r="Q380" s="184" t="s">
        <v>730</v>
      </c>
      <c r="R380" s="155">
        <v>0</v>
      </c>
      <c r="S380" s="176">
        <v>0</v>
      </c>
      <c r="T380" s="182" t="e">
        <f>VLOOKUP(A380,#REF!,9,FALSE)</f>
        <v>#REF!</v>
      </c>
      <c r="U380" s="155" t="s">
        <v>632</v>
      </c>
      <c r="V380" s="155" t="s">
        <v>632</v>
      </c>
      <c r="W380" s="155">
        <v>0</v>
      </c>
      <c r="X380" s="155">
        <v>0</v>
      </c>
      <c r="Y380" s="183">
        <v>0</v>
      </c>
    </row>
    <row r="381" spans="1:25">
      <c r="A381" s="179">
        <v>222797291</v>
      </c>
      <c r="B381" t="s">
        <v>1565</v>
      </c>
      <c r="C381" t="s">
        <v>750</v>
      </c>
      <c r="D381" t="s">
        <v>989</v>
      </c>
      <c r="E381" t="s">
        <v>698</v>
      </c>
      <c r="F381" t="s">
        <v>2051</v>
      </c>
      <c r="G381" s="180" t="s">
        <v>1565</v>
      </c>
      <c r="H381" s="180" t="s">
        <v>2348</v>
      </c>
      <c r="I381" s="176" t="s">
        <v>1926</v>
      </c>
      <c r="J381" s="181">
        <v>42552</v>
      </c>
      <c r="K381" s="140">
        <v>46934</v>
      </c>
      <c r="L381" s="155">
        <v>0</v>
      </c>
      <c r="M381" s="155">
        <v>0</v>
      </c>
      <c r="N381" s="155">
        <v>0</v>
      </c>
      <c r="O381" s="155" t="s">
        <v>730</v>
      </c>
      <c r="P381" s="176" t="s">
        <v>730</v>
      </c>
      <c r="Q381" s="184" t="s">
        <v>730</v>
      </c>
      <c r="R381" s="155">
        <v>0</v>
      </c>
      <c r="S381" s="176">
        <v>0</v>
      </c>
      <c r="T381" s="182" t="e">
        <f>VLOOKUP(A381,#REF!,9,FALSE)</f>
        <v>#REF!</v>
      </c>
      <c r="U381" s="155" t="s">
        <v>632</v>
      </c>
      <c r="V381" s="155" t="s">
        <v>632</v>
      </c>
      <c r="W381" s="155">
        <v>0</v>
      </c>
      <c r="X381" s="155">
        <v>0</v>
      </c>
      <c r="Y381" s="183">
        <v>0</v>
      </c>
    </row>
    <row r="382" spans="1:25">
      <c r="A382" s="179">
        <v>222797292</v>
      </c>
      <c r="B382" t="s">
        <v>1567</v>
      </c>
      <c r="C382" t="s">
        <v>750</v>
      </c>
      <c r="D382" t="s">
        <v>989</v>
      </c>
      <c r="E382" t="s">
        <v>698</v>
      </c>
      <c r="F382" t="s">
        <v>2051</v>
      </c>
      <c r="G382" s="180" t="s">
        <v>1567</v>
      </c>
      <c r="H382" s="180" t="s">
        <v>2349</v>
      </c>
      <c r="I382" s="176" t="s">
        <v>1926</v>
      </c>
      <c r="J382" s="181">
        <v>42552</v>
      </c>
      <c r="K382" s="140">
        <v>46934</v>
      </c>
      <c r="L382" s="155">
        <v>0</v>
      </c>
      <c r="M382" s="155">
        <v>0</v>
      </c>
      <c r="N382" s="155">
        <v>0</v>
      </c>
      <c r="O382" s="155" t="s">
        <v>730</v>
      </c>
      <c r="P382" s="176" t="s">
        <v>730</v>
      </c>
      <c r="Q382" s="184" t="s">
        <v>730</v>
      </c>
      <c r="R382" s="155">
        <v>0</v>
      </c>
      <c r="S382" s="176">
        <v>0</v>
      </c>
      <c r="T382" s="182" t="e">
        <f>VLOOKUP(A382,#REF!,9,FALSE)</f>
        <v>#REF!</v>
      </c>
      <c r="U382" s="155" t="s">
        <v>632</v>
      </c>
      <c r="V382" s="155" t="s">
        <v>632</v>
      </c>
      <c r="W382" s="155">
        <v>0</v>
      </c>
      <c r="X382" s="155">
        <v>0</v>
      </c>
      <c r="Y382" s="183">
        <v>0</v>
      </c>
    </row>
    <row r="383" spans="1:25">
      <c r="A383" s="179">
        <v>222797293</v>
      </c>
      <c r="B383" t="s">
        <v>1569</v>
      </c>
      <c r="C383" t="s">
        <v>750</v>
      </c>
      <c r="D383" t="s">
        <v>989</v>
      </c>
      <c r="E383" t="s">
        <v>698</v>
      </c>
      <c r="F383" t="s">
        <v>2051</v>
      </c>
      <c r="G383" s="180" t="s">
        <v>1569</v>
      </c>
      <c r="H383" s="180" t="s">
        <v>2350</v>
      </c>
      <c r="I383" s="176" t="s">
        <v>1926</v>
      </c>
      <c r="J383" s="181">
        <v>42552</v>
      </c>
      <c r="K383" s="140">
        <v>46934</v>
      </c>
      <c r="L383" s="155">
        <v>0</v>
      </c>
      <c r="M383" s="155">
        <v>0</v>
      </c>
      <c r="N383" s="155">
        <v>0</v>
      </c>
      <c r="O383" s="155" t="s">
        <v>730</v>
      </c>
      <c r="P383" s="176" t="s">
        <v>730</v>
      </c>
      <c r="Q383" s="184" t="s">
        <v>730</v>
      </c>
      <c r="R383" s="155">
        <v>0</v>
      </c>
      <c r="S383" s="176">
        <v>0</v>
      </c>
      <c r="T383" s="182" t="e">
        <f>VLOOKUP(A383,#REF!,9,FALSE)</f>
        <v>#REF!</v>
      </c>
      <c r="U383" s="155" t="s">
        <v>632</v>
      </c>
      <c r="V383" s="155" t="s">
        <v>632</v>
      </c>
      <c r="W383" s="155">
        <v>0</v>
      </c>
      <c r="X383" s="155">
        <v>0</v>
      </c>
      <c r="Y383" s="183">
        <v>0</v>
      </c>
    </row>
    <row r="384" spans="1:25">
      <c r="A384" s="179">
        <v>222797294</v>
      </c>
      <c r="B384" t="s">
        <v>1571</v>
      </c>
      <c r="C384" t="s">
        <v>750</v>
      </c>
      <c r="D384" t="s">
        <v>989</v>
      </c>
      <c r="E384" t="s">
        <v>698</v>
      </c>
      <c r="F384" t="s">
        <v>2051</v>
      </c>
      <c r="G384" s="180" t="s">
        <v>1571</v>
      </c>
      <c r="H384" s="180" t="s">
        <v>2351</v>
      </c>
      <c r="I384" s="176" t="s">
        <v>1926</v>
      </c>
      <c r="J384" s="181">
        <v>42552</v>
      </c>
      <c r="K384" s="140">
        <v>46934</v>
      </c>
      <c r="L384" s="155">
        <v>0</v>
      </c>
      <c r="M384" s="155">
        <v>0</v>
      </c>
      <c r="N384" s="155">
        <v>0</v>
      </c>
      <c r="O384" s="155" t="s">
        <v>730</v>
      </c>
      <c r="P384" s="176" t="s">
        <v>730</v>
      </c>
      <c r="Q384" s="184" t="s">
        <v>730</v>
      </c>
      <c r="R384" s="155">
        <v>0</v>
      </c>
      <c r="S384" s="176">
        <v>0</v>
      </c>
      <c r="T384" s="182" t="e">
        <f>VLOOKUP(A384,#REF!,9,FALSE)</f>
        <v>#REF!</v>
      </c>
      <c r="U384" s="155" t="s">
        <v>632</v>
      </c>
      <c r="V384" s="155" t="s">
        <v>632</v>
      </c>
      <c r="W384" s="155">
        <v>0</v>
      </c>
      <c r="X384" s="155">
        <v>0</v>
      </c>
      <c r="Y384" s="183">
        <v>0</v>
      </c>
    </row>
    <row r="385" spans="1:25">
      <c r="A385" s="179">
        <v>222797295</v>
      </c>
      <c r="B385" t="s">
        <v>1573</v>
      </c>
      <c r="C385" t="s">
        <v>750</v>
      </c>
      <c r="D385" t="s">
        <v>989</v>
      </c>
      <c r="E385" t="s">
        <v>698</v>
      </c>
      <c r="F385" t="s">
        <v>2051</v>
      </c>
      <c r="G385" s="180" t="s">
        <v>1573</v>
      </c>
      <c r="H385" s="180" t="s">
        <v>2352</v>
      </c>
      <c r="I385" s="176" t="s">
        <v>1926</v>
      </c>
      <c r="J385" s="181">
        <v>42552</v>
      </c>
      <c r="K385" s="140">
        <v>46934</v>
      </c>
      <c r="L385" s="155">
        <v>0</v>
      </c>
      <c r="M385" s="155">
        <v>0</v>
      </c>
      <c r="N385" s="155">
        <v>0</v>
      </c>
      <c r="O385" s="155" t="s">
        <v>730</v>
      </c>
      <c r="P385" s="176" t="s">
        <v>730</v>
      </c>
      <c r="Q385" s="184" t="s">
        <v>730</v>
      </c>
      <c r="R385" s="155">
        <v>0</v>
      </c>
      <c r="S385" s="176">
        <v>0</v>
      </c>
      <c r="T385" s="182" t="e">
        <f>VLOOKUP(A385,#REF!,9,FALSE)</f>
        <v>#REF!</v>
      </c>
      <c r="U385" s="155" t="s">
        <v>632</v>
      </c>
      <c r="V385" s="155" t="s">
        <v>632</v>
      </c>
      <c r="W385" s="155">
        <v>0</v>
      </c>
      <c r="X385" s="155">
        <v>0</v>
      </c>
      <c r="Y385" s="183">
        <v>0</v>
      </c>
    </row>
    <row r="386" spans="1:25">
      <c r="A386" s="179">
        <v>222797296</v>
      </c>
      <c r="B386" t="s">
        <v>1575</v>
      </c>
      <c r="C386" t="s">
        <v>750</v>
      </c>
      <c r="D386" t="s">
        <v>989</v>
      </c>
      <c r="E386" t="s">
        <v>698</v>
      </c>
      <c r="F386" t="s">
        <v>2051</v>
      </c>
      <c r="G386" s="180" t="s">
        <v>1575</v>
      </c>
      <c r="H386" s="180" t="s">
        <v>2353</v>
      </c>
      <c r="I386" s="176" t="s">
        <v>1926</v>
      </c>
      <c r="J386" s="181">
        <v>42552</v>
      </c>
      <c r="K386" s="140">
        <v>46934</v>
      </c>
      <c r="L386" s="155">
        <v>0</v>
      </c>
      <c r="M386" s="155">
        <v>0</v>
      </c>
      <c r="N386" s="155">
        <v>0</v>
      </c>
      <c r="O386" s="155" t="s">
        <v>730</v>
      </c>
      <c r="P386" s="176" t="s">
        <v>730</v>
      </c>
      <c r="Q386" s="184" t="s">
        <v>730</v>
      </c>
      <c r="R386" s="155">
        <v>0</v>
      </c>
      <c r="S386" s="176">
        <v>0</v>
      </c>
      <c r="T386" s="182" t="e">
        <f>VLOOKUP(A386,#REF!,9,FALSE)</f>
        <v>#REF!</v>
      </c>
      <c r="U386" s="155" t="s">
        <v>632</v>
      </c>
      <c r="V386" s="155" t="s">
        <v>632</v>
      </c>
      <c r="W386" s="155">
        <v>0</v>
      </c>
      <c r="X386" s="155">
        <v>0</v>
      </c>
      <c r="Y386" s="183">
        <v>0</v>
      </c>
    </row>
    <row r="387" spans="1:25" ht="14.45" customHeight="1">
      <c r="A387" s="179">
        <v>222798001</v>
      </c>
      <c r="B387" t="s">
        <v>337</v>
      </c>
      <c r="C387" t="s">
        <v>625</v>
      </c>
      <c r="D387" t="s">
        <v>753</v>
      </c>
      <c r="E387" t="s">
        <v>698</v>
      </c>
      <c r="F387" t="s">
        <v>2066</v>
      </c>
      <c r="G387" s="180" t="s">
        <v>337</v>
      </c>
      <c r="H387" s="189" t="s">
        <v>2354</v>
      </c>
      <c r="I387" s="176" t="s">
        <v>1926</v>
      </c>
      <c r="J387" s="181">
        <v>44655</v>
      </c>
      <c r="K387" s="140">
        <v>46480</v>
      </c>
      <c r="L387" s="155">
        <v>0</v>
      </c>
      <c r="M387" s="155">
        <v>0</v>
      </c>
      <c r="N387" s="155">
        <v>0</v>
      </c>
      <c r="O387" s="155" t="s">
        <v>730</v>
      </c>
      <c r="P387" s="176" t="s">
        <v>730</v>
      </c>
      <c r="Q387" s="184" t="s">
        <v>730</v>
      </c>
      <c r="R387" s="155">
        <v>0</v>
      </c>
      <c r="S387" s="176">
        <v>0</v>
      </c>
      <c r="T387" s="182" t="e">
        <f>VLOOKUP(A387,#REF!,9,FALSE)</f>
        <v>#REF!</v>
      </c>
      <c r="U387" s="155" t="s">
        <v>632</v>
      </c>
      <c r="V387" s="155" t="s">
        <v>632</v>
      </c>
      <c r="W387" s="155">
        <v>0</v>
      </c>
      <c r="X387" s="155">
        <v>0</v>
      </c>
      <c r="Y387" s="183">
        <v>0</v>
      </c>
    </row>
    <row r="388" spans="1:25" ht="14.45" customHeight="1">
      <c r="A388" s="179">
        <v>222801001</v>
      </c>
      <c r="B388" t="s">
        <v>423</v>
      </c>
      <c r="C388" t="s">
        <v>625</v>
      </c>
      <c r="D388" t="s">
        <v>753</v>
      </c>
      <c r="E388" t="s">
        <v>698</v>
      </c>
      <c r="F388" t="s">
        <v>426</v>
      </c>
      <c r="G388" s="180" t="s">
        <v>423</v>
      </c>
      <c r="H388" s="189" t="s">
        <v>2355</v>
      </c>
      <c r="I388" s="176" t="s">
        <v>1926</v>
      </c>
      <c r="J388" s="181">
        <v>43719</v>
      </c>
      <c r="K388" s="140">
        <v>51023</v>
      </c>
      <c r="L388" s="155">
        <v>20</v>
      </c>
      <c r="M388" s="155">
        <v>0</v>
      </c>
      <c r="N388" s="155">
        <v>0</v>
      </c>
      <c r="O388" s="155" t="s">
        <v>730</v>
      </c>
      <c r="P388" s="176" t="s">
        <v>730</v>
      </c>
      <c r="Q388" s="182">
        <v>47372</v>
      </c>
      <c r="R388" s="155">
        <v>0</v>
      </c>
      <c r="S388" s="176">
        <v>0</v>
      </c>
      <c r="T388" s="182" t="e">
        <f>VLOOKUP(A388,#REF!,9,FALSE)</f>
        <v>#REF!</v>
      </c>
      <c r="U388" s="155" t="s">
        <v>518</v>
      </c>
      <c r="V388" s="155" t="s">
        <v>518</v>
      </c>
      <c r="W388" s="155">
        <v>0</v>
      </c>
      <c r="X388" s="155">
        <v>6</v>
      </c>
      <c r="Y388" s="183">
        <v>0</v>
      </c>
    </row>
    <row r="389" spans="1:25" ht="33" customHeight="1">
      <c r="A389" s="179">
        <v>222801002</v>
      </c>
      <c r="B389" t="s">
        <v>428</v>
      </c>
      <c r="C389" t="s">
        <v>625</v>
      </c>
      <c r="D389" t="s">
        <v>753</v>
      </c>
      <c r="E389" t="s">
        <v>698</v>
      </c>
      <c r="F389" t="s">
        <v>2356</v>
      </c>
      <c r="G389" s="155" t="s">
        <v>428</v>
      </c>
      <c r="H389" s="189" t="s">
        <v>2357</v>
      </c>
      <c r="I389" s="176" t="s">
        <v>1926</v>
      </c>
      <c r="J389" s="181">
        <v>43579</v>
      </c>
      <c r="K389" s="140">
        <v>47231</v>
      </c>
      <c r="L389" s="155">
        <v>10</v>
      </c>
      <c r="M389" s="155">
        <v>0</v>
      </c>
      <c r="N389" s="155">
        <v>0</v>
      </c>
      <c r="O389" s="155" t="s">
        <v>730</v>
      </c>
      <c r="P389" s="176" t="s">
        <v>730</v>
      </c>
      <c r="Q389" s="182">
        <v>45405</v>
      </c>
      <c r="R389" s="155">
        <v>0</v>
      </c>
      <c r="S389" s="176">
        <v>0</v>
      </c>
      <c r="T389" s="182" t="e">
        <f>VLOOKUP(A389,#REF!,9,FALSE)</f>
        <v>#REF!</v>
      </c>
      <c r="U389" s="155" t="s">
        <v>632</v>
      </c>
      <c r="V389" s="155" t="s">
        <v>518</v>
      </c>
      <c r="W389" s="155">
        <v>0</v>
      </c>
      <c r="X389" s="155">
        <v>6</v>
      </c>
      <c r="Y389" s="183">
        <v>0</v>
      </c>
    </row>
    <row r="390" spans="1:25" ht="33" customHeight="1">
      <c r="A390" s="179">
        <v>222801003</v>
      </c>
      <c r="B390" t="s">
        <v>432</v>
      </c>
      <c r="C390" t="s">
        <v>625</v>
      </c>
      <c r="D390" t="s">
        <v>753</v>
      </c>
      <c r="E390" t="s">
        <v>698</v>
      </c>
      <c r="F390" t="s">
        <v>2358</v>
      </c>
      <c r="G390" s="155" t="s">
        <v>432</v>
      </c>
      <c r="H390" s="189" t="s">
        <v>2359</v>
      </c>
      <c r="I390" s="176" t="s">
        <v>1926</v>
      </c>
      <c r="J390" s="181">
        <v>43532</v>
      </c>
      <c r="K390" s="140">
        <v>47184</v>
      </c>
      <c r="L390" s="155">
        <v>10</v>
      </c>
      <c r="M390" s="155">
        <v>0</v>
      </c>
      <c r="N390" s="155">
        <v>0</v>
      </c>
      <c r="O390" s="155" t="s">
        <v>730</v>
      </c>
      <c r="P390" s="176" t="s">
        <v>730</v>
      </c>
      <c r="Q390" s="182">
        <v>45359</v>
      </c>
      <c r="R390" s="155">
        <v>0</v>
      </c>
      <c r="S390" s="176">
        <v>0</v>
      </c>
      <c r="T390" s="182" t="e">
        <f>VLOOKUP(A390,#REF!,9,FALSE)</f>
        <v>#REF!</v>
      </c>
      <c r="U390" s="155" t="s">
        <v>518</v>
      </c>
      <c r="V390" s="155" t="s">
        <v>518</v>
      </c>
      <c r="W390" s="155">
        <v>0</v>
      </c>
      <c r="X390" s="155">
        <v>6</v>
      </c>
      <c r="Y390" s="183">
        <v>0</v>
      </c>
    </row>
    <row r="391" spans="1:25" ht="30">
      <c r="A391" s="179">
        <v>317359001</v>
      </c>
      <c r="B391" t="s">
        <v>849</v>
      </c>
      <c r="C391" t="s">
        <v>618</v>
      </c>
      <c r="D391" t="s">
        <v>753</v>
      </c>
      <c r="E391" t="s">
        <v>698</v>
      </c>
      <c r="F391" t="s">
        <v>2360</v>
      </c>
      <c r="G391" t="s">
        <v>849</v>
      </c>
      <c r="H391" s="155" t="s">
        <v>2361</v>
      </c>
      <c r="I391" s="176" t="s">
        <v>1926</v>
      </c>
      <c r="J391" s="181">
        <v>43348</v>
      </c>
      <c r="K391" s="140">
        <v>48826</v>
      </c>
      <c r="L391" s="155">
        <v>15</v>
      </c>
      <c r="M391" s="155">
        <v>0</v>
      </c>
      <c r="N391" s="155">
        <v>0</v>
      </c>
      <c r="O391" s="155" t="s">
        <v>730</v>
      </c>
      <c r="P391" s="176" t="s">
        <v>730</v>
      </c>
      <c r="Q391" s="182">
        <v>45174</v>
      </c>
      <c r="R391" s="155">
        <v>5</v>
      </c>
      <c r="S391" s="176">
        <v>6</v>
      </c>
      <c r="T391" s="182" t="e">
        <f>VLOOKUP(A391,#REF!,9,FALSE)</f>
        <v>#REF!</v>
      </c>
      <c r="U391" s="155" t="s">
        <v>632</v>
      </c>
      <c r="V391" s="155" t="s">
        <v>632</v>
      </c>
      <c r="W391" s="155">
        <v>0</v>
      </c>
      <c r="X391" s="155">
        <v>6</v>
      </c>
      <c r="Y391" s="183">
        <v>0</v>
      </c>
    </row>
    <row r="392" spans="1:25" ht="30">
      <c r="A392" s="179">
        <v>317359002</v>
      </c>
      <c r="B392" t="s">
        <v>851</v>
      </c>
      <c r="C392" t="s">
        <v>618</v>
      </c>
      <c r="D392" t="s">
        <v>753</v>
      </c>
      <c r="E392" t="s">
        <v>698</v>
      </c>
      <c r="F392" t="s">
        <v>2362</v>
      </c>
      <c r="G392" t="s">
        <v>851</v>
      </c>
      <c r="H392" s="155" t="s">
        <v>2363</v>
      </c>
      <c r="I392" s="176" t="s">
        <v>1926</v>
      </c>
      <c r="J392" s="181">
        <v>43185</v>
      </c>
      <c r="K392" s="140">
        <v>46837</v>
      </c>
      <c r="L392" s="155">
        <v>10</v>
      </c>
      <c r="M392" s="155">
        <v>0</v>
      </c>
      <c r="N392" s="155">
        <v>0</v>
      </c>
      <c r="O392" s="155" t="s">
        <v>730</v>
      </c>
      <c r="P392" s="176" t="s">
        <v>730</v>
      </c>
      <c r="Q392" s="184" t="s">
        <v>730</v>
      </c>
      <c r="R392" s="155">
        <v>0</v>
      </c>
      <c r="S392" s="176">
        <v>0</v>
      </c>
      <c r="T392" s="182" t="e">
        <f>VLOOKUP(A392,#REF!,9,FALSE)</f>
        <v>#REF!</v>
      </c>
      <c r="U392" s="155" t="s">
        <v>632</v>
      </c>
      <c r="V392" s="155" t="s">
        <v>632</v>
      </c>
      <c r="W392" s="155">
        <v>0</v>
      </c>
      <c r="X392" s="155">
        <v>0</v>
      </c>
      <c r="Y392" s="183">
        <v>0</v>
      </c>
    </row>
    <row r="393" spans="1:25" ht="30">
      <c r="A393" s="179">
        <v>317359003</v>
      </c>
      <c r="B393" t="s">
        <v>853</v>
      </c>
      <c r="C393" t="s">
        <v>618</v>
      </c>
      <c r="D393" t="s">
        <v>753</v>
      </c>
      <c r="E393" t="s">
        <v>698</v>
      </c>
      <c r="F393" t="s">
        <v>2362</v>
      </c>
      <c r="G393" t="s">
        <v>853</v>
      </c>
      <c r="H393" s="189" t="s">
        <v>2364</v>
      </c>
      <c r="I393" s="176" t="s">
        <v>1926</v>
      </c>
      <c r="J393" s="181">
        <v>44943</v>
      </c>
      <c r="K393" s="140">
        <v>48595</v>
      </c>
      <c r="L393" s="155">
        <v>10</v>
      </c>
      <c r="M393" s="155">
        <v>0</v>
      </c>
      <c r="N393" s="155">
        <v>0</v>
      </c>
      <c r="O393" s="155" t="s">
        <v>730</v>
      </c>
      <c r="P393" s="176" t="s">
        <v>730</v>
      </c>
      <c r="Q393" s="182">
        <v>46769</v>
      </c>
      <c r="R393" s="155">
        <v>0</v>
      </c>
      <c r="S393" s="176">
        <v>0</v>
      </c>
      <c r="T393" s="182" t="e">
        <f>VLOOKUP(A393,#REF!,9,FALSE)</f>
        <v>#REF!</v>
      </c>
      <c r="U393" s="155" t="s">
        <v>632</v>
      </c>
      <c r="V393" s="155" t="s">
        <v>632</v>
      </c>
      <c r="W393" s="155">
        <v>0</v>
      </c>
      <c r="X393" s="155">
        <v>0</v>
      </c>
      <c r="Y393" s="183">
        <v>0</v>
      </c>
    </row>
    <row r="394" spans="1:25" ht="30">
      <c r="A394" s="179">
        <v>317359004</v>
      </c>
      <c r="B394" t="s">
        <v>855</v>
      </c>
      <c r="C394" t="s">
        <v>618</v>
      </c>
      <c r="D394" t="s">
        <v>753</v>
      </c>
      <c r="E394" t="s">
        <v>698</v>
      </c>
      <c r="F394" t="s">
        <v>2362</v>
      </c>
      <c r="G394" t="s">
        <v>855</v>
      </c>
      <c r="H394" s="155" t="s">
        <v>2365</v>
      </c>
      <c r="I394" s="176" t="s">
        <v>1926</v>
      </c>
      <c r="J394" s="181">
        <v>44667</v>
      </c>
      <c r="K394" s="140">
        <v>48319</v>
      </c>
      <c r="L394" s="155">
        <v>10</v>
      </c>
      <c r="M394" s="155">
        <v>0</v>
      </c>
      <c r="N394" s="155">
        <v>0</v>
      </c>
      <c r="O394" s="155" t="s">
        <v>730</v>
      </c>
      <c r="P394" s="176" t="s">
        <v>730</v>
      </c>
      <c r="Q394" s="182">
        <v>46493</v>
      </c>
      <c r="R394" s="155">
        <v>5</v>
      </c>
      <c r="S394" s="176">
        <v>6</v>
      </c>
      <c r="T394" s="182" t="e">
        <f>VLOOKUP(A394,#REF!,9,FALSE)</f>
        <v>#REF!</v>
      </c>
      <c r="U394" s="155" t="s">
        <v>632</v>
      </c>
      <c r="V394" s="155" t="s">
        <v>632</v>
      </c>
      <c r="W394" s="155">
        <v>0</v>
      </c>
      <c r="X394" s="155">
        <v>6</v>
      </c>
      <c r="Y394" s="183">
        <v>0</v>
      </c>
    </row>
    <row r="395" spans="1:25" ht="30">
      <c r="A395" s="179">
        <v>317359005</v>
      </c>
      <c r="B395" t="s">
        <v>857</v>
      </c>
      <c r="C395" t="s">
        <v>618</v>
      </c>
      <c r="D395" t="s">
        <v>753</v>
      </c>
      <c r="E395" t="s">
        <v>698</v>
      </c>
      <c r="F395" t="s">
        <v>2362</v>
      </c>
      <c r="G395" t="s">
        <v>857</v>
      </c>
      <c r="H395" s="155" t="s">
        <v>2366</v>
      </c>
      <c r="I395" s="176" t="s">
        <v>1926</v>
      </c>
      <c r="J395" s="181">
        <v>44667</v>
      </c>
      <c r="K395" s="140">
        <v>48319</v>
      </c>
      <c r="L395" s="155">
        <v>10</v>
      </c>
      <c r="M395" s="155">
        <v>0</v>
      </c>
      <c r="N395" s="155">
        <v>0</v>
      </c>
      <c r="O395" s="155" t="s">
        <v>730</v>
      </c>
      <c r="P395" s="176" t="s">
        <v>730</v>
      </c>
      <c r="Q395" s="182">
        <v>46493</v>
      </c>
      <c r="R395" s="155">
        <v>5</v>
      </c>
      <c r="S395" s="176">
        <v>6</v>
      </c>
      <c r="T395" s="182" t="e">
        <f>VLOOKUP(A395,#REF!,9,FALSE)</f>
        <v>#REF!</v>
      </c>
      <c r="U395" s="155" t="s">
        <v>632</v>
      </c>
      <c r="V395" s="155" t="s">
        <v>518</v>
      </c>
      <c r="W395" s="155">
        <v>0</v>
      </c>
      <c r="X395" s="155">
        <v>6</v>
      </c>
      <c r="Y395" s="183">
        <v>0</v>
      </c>
    </row>
    <row r="396" spans="1:25" ht="30">
      <c r="A396" s="179">
        <v>317359006</v>
      </c>
      <c r="B396" t="s">
        <v>859</v>
      </c>
      <c r="C396" t="s">
        <v>618</v>
      </c>
      <c r="D396" t="s">
        <v>753</v>
      </c>
      <c r="E396" t="s">
        <v>698</v>
      </c>
      <c r="F396" t="s">
        <v>2362</v>
      </c>
      <c r="G396" t="s">
        <v>859</v>
      </c>
      <c r="H396" s="155" t="s">
        <v>2367</v>
      </c>
      <c r="I396" s="176" t="s">
        <v>1926</v>
      </c>
      <c r="J396" s="181">
        <v>41753</v>
      </c>
      <c r="K396" s="140">
        <v>47231</v>
      </c>
      <c r="L396" s="155">
        <v>15</v>
      </c>
      <c r="M396" s="155">
        <v>0</v>
      </c>
      <c r="N396" s="155">
        <v>0</v>
      </c>
      <c r="O396" s="155" t="s">
        <v>730</v>
      </c>
      <c r="P396" s="176" t="s">
        <v>730</v>
      </c>
      <c r="Q396" s="184" t="s">
        <v>730</v>
      </c>
      <c r="R396" s="155">
        <v>0</v>
      </c>
      <c r="S396" s="176">
        <v>0</v>
      </c>
      <c r="T396" s="182" t="e">
        <f>VLOOKUP(A396,#REF!,9,FALSE)</f>
        <v>#REF!</v>
      </c>
      <c r="U396" s="155" t="s">
        <v>632</v>
      </c>
      <c r="V396" s="155" t="s">
        <v>632</v>
      </c>
      <c r="W396" s="155">
        <v>0</v>
      </c>
      <c r="X396" s="155">
        <v>6</v>
      </c>
      <c r="Y396" s="183">
        <v>0</v>
      </c>
    </row>
    <row r="397" spans="1:25" ht="30">
      <c r="A397" s="179">
        <v>317359007</v>
      </c>
      <c r="B397" t="s">
        <v>861</v>
      </c>
      <c r="C397" t="s">
        <v>618</v>
      </c>
      <c r="D397" t="s">
        <v>753</v>
      </c>
      <c r="E397" t="s">
        <v>698</v>
      </c>
      <c r="F397" t="s">
        <v>2362</v>
      </c>
      <c r="G397" t="s">
        <v>861</v>
      </c>
      <c r="H397" s="155" t="s">
        <v>2368</v>
      </c>
      <c r="I397" s="176" t="s">
        <v>1926</v>
      </c>
      <c r="J397" s="181">
        <v>41753</v>
      </c>
      <c r="K397" s="140">
        <v>47231</v>
      </c>
      <c r="L397" s="155">
        <v>15</v>
      </c>
      <c r="M397" s="155">
        <v>0</v>
      </c>
      <c r="N397" s="155">
        <v>0</v>
      </c>
      <c r="O397" s="155" t="s">
        <v>730</v>
      </c>
      <c r="P397" s="176" t="s">
        <v>730</v>
      </c>
      <c r="Q397" s="182">
        <v>45406</v>
      </c>
      <c r="R397" s="155">
        <v>0</v>
      </c>
      <c r="S397" s="176">
        <v>0</v>
      </c>
      <c r="T397" s="182" t="e">
        <f>VLOOKUP(A397,#REF!,9,FALSE)</f>
        <v>#REF!</v>
      </c>
      <c r="U397" s="155" t="s">
        <v>632</v>
      </c>
      <c r="V397" s="155" t="s">
        <v>632</v>
      </c>
      <c r="W397" s="155">
        <v>0</v>
      </c>
      <c r="X397" s="155">
        <v>6</v>
      </c>
      <c r="Y397" s="183">
        <v>0</v>
      </c>
    </row>
    <row r="398" spans="1:25" ht="30">
      <c r="A398" s="179">
        <v>317359008</v>
      </c>
      <c r="B398" t="s">
        <v>863</v>
      </c>
      <c r="C398" t="s">
        <v>618</v>
      </c>
      <c r="D398" t="s">
        <v>753</v>
      </c>
      <c r="E398" t="s">
        <v>698</v>
      </c>
      <c r="F398" t="s">
        <v>2369</v>
      </c>
      <c r="G398" t="s">
        <v>863</v>
      </c>
      <c r="H398" s="155" t="s">
        <v>2370</v>
      </c>
      <c r="I398" s="176" t="s">
        <v>1926</v>
      </c>
      <c r="J398" s="181">
        <v>42018</v>
      </c>
      <c r="K398" s="140">
        <v>45670</v>
      </c>
      <c r="L398" s="155">
        <v>10</v>
      </c>
      <c r="M398" s="155">
        <v>0</v>
      </c>
      <c r="N398" s="155">
        <v>0</v>
      </c>
      <c r="O398" s="155" t="s">
        <v>730</v>
      </c>
      <c r="P398" s="176" t="s">
        <v>730</v>
      </c>
      <c r="Q398" s="184" t="s">
        <v>730</v>
      </c>
      <c r="R398" s="155">
        <v>0</v>
      </c>
      <c r="S398" s="176">
        <v>6</v>
      </c>
      <c r="T398" s="182" t="e">
        <f>VLOOKUP(A398,#REF!,9,FALSE)</f>
        <v>#REF!</v>
      </c>
      <c r="U398" s="155" t="s">
        <v>518</v>
      </c>
      <c r="V398" s="155" t="s">
        <v>518</v>
      </c>
      <c r="W398" s="155">
        <v>0</v>
      </c>
      <c r="X398" s="155">
        <v>0</v>
      </c>
      <c r="Y398" s="183">
        <v>6</v>
      </c>
    </row>
    <row r="399" spans="1:25" ht="30">
      <c r="A399" s="179">
        <v>317359009</v>
      </c>
      <c r="B399" t="s">
        <v>865</v>
      </c>
      <c r="C399" t="s">
        <v>618</v>
      </c>
      <c r="D399" t="s">
        <v>753</v>
      </c>
      <c r="E399" t="s">
        <v>698</v>
      </c>
      <c r="F399" t="s">
        <v>2371</v>
      </c>
      <c r="G399" t="s">
        <v>865</v>
      </c>
      <c r="H399" s="155" t="s">
        <v>2372</v>
      </c>
      <c r="I399" s="176" t="s">
        <v>1926</v>
      </c>
      <c r="J399" s="181">
        <v>44667</v>
      </c>
      <c r="K399" s="140">
        <v>50145</v>
      </c>
      <c r="L399" s="155">
        <v>15</v>
      </c>
      <c r="M399" s="155">
        <v>0</v>
      </c>
      <c r="N399" s="155">
        <v>0</v>
      </c>
      <c r="O399" s="155" t="s">
        <v>730</v>
      </c>
      <c r="P399" s="176" t="s">
        <v>730</v>
      </c>
      <c r="Q399" s="182">
        <v>46493</v>
      </c>
      <c r="R399" s="155">
        <v>1</v>
      </c>
      <c r="S399" s="176">
        <v>6</v>
      </c>
      <c r="T399" s="182" t="e">
        <f>VLOOKUP(A399,#REF!,9,FALSE)</f>
        <v>#REF!</v>
      </c>
      <c r="U399" s="155" t="s">
        <v>518</v>
      </c>
      <c r="V399" s="155" t="s">
        <v>518</v>
      </c>
      <c r="W399" s="155">
        <v>0</v>
      </c>
      <c r="X399" s="155">
        <v>6</v>
      </c>
      <c r="Y399" s="183">
        <v>0</v>
      </c>
    </row>
    <row r="400" spans="1:25" ht="30">
      <c r="A400" s="179">
        <v>317359010</v>
      </c>
      <c r="B400" t="s">
        <v>867</v>
      </c>
      <c r="C400" t="s">
        <v>618</v>
      </c>
      <c r="D400" t="s">
        <v>753</v>
      </c>
      <c r="E400" t="s">
        <v>698</v>
      </c>
      <c r="F400" t="s">
        <v>2373</v>
      </c>
      <c r="G400" t="s">
        <v>867</v>
      </c>
      <c r="H400" s="155" t="s">
        <v>2374</v>
      </c>
      <c r="I400" s="176" t="s">
        <v>1926</v>
      </c>
      <c r="J400" s="181">
        <v>41130</v>
      </c>
      <c r="K400" s="140">
        <v>48434</v>
      </c>
      <c r="L400" s="155">
        <v>20</v>
      </c>
      <c r="M400" s="155">
        <v>0</v>
      </c>
      <c r="N400" s="155">
        <v>0</v>
      </c>
      <c r="O400" s="155" t="s">
        <v>730</v>
      </c>
      <c r="P400" s="176" t="s">
        <v>730</v>
      </c>
      <c r="Q400" s="184" t="s">
        <v>730</v>
      </c>
      <c r="R400" s="155">
        <v>5</v>
      </c>
      <c r="S400" s="176">
        <v>6</v>
      </c>
      <c r="T400" s="182" t="e">
        <f>VLOOKUP(A400,#REF!,9,FALSE)</f>
        <v>#REF!</v>
      </c>
      <c r="U400" s="155" t="s">
        <v>632</v>
      </c>
      <c r="V400" s="155" t="s">
        <v>632</v>
      </c>
      <c r="W400" s="155">
        <v>0</v>
      </c>
      <c r="X400" s="155">
        <v>0</v>
      </c>
      <c r="Y400" s="183">
        <v>0</v>
      </c>
    </row>
    <row r="401" spans="1:25" ht="30">
      <c r="A401" s="179">
        <v>317360001</v>
      </c>
      <c r="B401" t="s">
        <v>869</v>
      </c>
      <c r="C401" t="s">
        <v>618</v>
      </c>
      <c r="D401" t="s">
        <v>753</v>
      </c>
      <c r="E401" t="s">
        <v>698</v>
      </c>
      <c r="F401" t="s">
        <v>2375</v>
      </c>
      <c r="G401" t="s">
        <v>869</v>
      </c>
      <c r="H401" s="155" t="s">
        <v>2376</v>
      </c>
      <c r="I401" s="176" t="s">
        <v>1926</v>
      </c>
      <c r="J401" s="181">
        <v>45445</v>
      </c>
      <c r="K401" s="140">
        <v>49096</v>
      </c>
      <c r="L401" s="155">
        <v>10</v>
      </c>
      <c r="M401" s="155">
        <v>0</v>
      </c>
      <c r="N401" s="155">
        <v>0</v>
      </c>
      <c r="O401" s="155" t="s">
        <v>730</v>
      </c>
      <c r="P401" s="176" t="s">
        <v>730</v>
      </c>
      <c r="Q401" s="182">
        <v>47271</v>
      </c>
      <c r="R401" s="155">
        <v>0</v>
      </c>
      <c r="S401" s="176">
        <v>0</v>
      </c>
      <c r="T401" s="182" t="e">
        <f>VLOOKUP(A401,#REF!,9,FALSE)</f>
        <v>#REF!</v>
      </c>
      <c r="U401" s="155" t="s">
        <v>518</v>
      </c>
      <c r="V401" s="155" t="s">
        <v>518</v>
      </c>
      <c r="W401" s="155">
        <v>0</v>
      </c>
      <c r="X401" s="155">
        <v>6</v>
      </c>
      <c r="Y401" s="183">
        <v>0</v>
      </c>
    </row>
    <row r="402" spans="1:25" ht="30">
      <c r="A402" s="179">
        <v>317360002</v>
      </c>
      <c r="B402" t="s">
        <v>871</v>
      </c>
      <c r="C402" t="s">
        <v>618</v>
      </c>
      <c r="D402" t="s">
        <v>753</v>
      </c>
      <c r="E402" t="s">
        <v>698</v>
      </c>
      <c r="F402" t="s">
        <v>2377</v>
      </c>
      <c r="G402" t="s">
        <v>871</v>
      </c>
      <c r="H402" s="155" t="s">
        <v>2378</v>
      </c>
      <c r="I402" s="176" t="s">
        <v>1926</v>
      </c>
      <c r="J402" s="181">
        <v>43007</v>
      </c>
      <c r="K402" s="140">
        <v>46658</v>
      </c>
      <c r="L402" s="155">
        <v>10</v>
      </c>
      <c r="M402" s="155">
        <v>0</v>
      </c>
      <c r="N402" s="155">
        <v>0</v>
      </c>
      <c r="O402" s="155" t="s">
        <v>730</v>
      </c>
      <c r="P402" s="176" t="s">
        <v>730</v>
      </c>
      <c r="Q402" s="182">
        <v>44833</v>
      </c>
      <c r="R402" s="155">
        <v>5</v>
      </c>
      <c r="S402" s="176">
        <v>3</v>
      </c>
      <c r="T402" s="182" t="e">
        <f>VLOOKUP(A402,#REF!,9,FALSE)</f>
        <v>#REF!</v>
      </c>
      <c r="U402" s="155" t="s">
        <v>632</v>
      </c>
      <c r="V402" s="155" t="s">
        <v>632</v>
      </c>
      <c r="W402" s="155">
        <v>0</v>
      </c>
      <c r="X402" s="155">
        <v>0</v>
      </c>
      <c r="Y402" s="183">
        <v>0</v>
      </c>
    </row>
    <row r="403" spans="1:25" ht="30">
      <c r="A403" s="179">
        <v>317360003</v>
      </c>
      <c r="B403" t="s">
        <v>873</v>
      </c>
      <c r="C403" t="s">
        <v>618</v>
      </c>
      <c r="D403" t="s">
        <v>753</v>
      </c>
      <c r="E403" t="s">
        <v>698</v>
      </c>
      <c r="F403" t="s">
        <v>2379</v>
      </c>
      <c r="G403" t="s">
        <v>873</v>
      </c>
      <c r="H403" s="155" t="s">
        <v>2380</v>
      </c>
      <c r="I403" s="176" t="s">
        <v>1926</v>
      </c>
      <c r="J403" s="181">
        <v>43007</v>
      </c>
      <c r="K403" s="140">
        <v>46658</v>
      </c>
      <c r="L403" s="155">
        <v>10</v>
      </c>
      <c r="M403" s="155">
        <v>0</v>
      </c>
      <c r="N403" s="155">
        <v>0</v>
      </c>
      <c r="O403" s="155" t="s">
        <v>730</v>
      </c>
      <c r="P403" s="176" t="s">
        <v>730</v>
      </c>
      <c r="Q403" s="182">
        <v>44833</v>
      </c>
      <c r="R403" s="155">
        <v>5</v>
      </c>
      <c r="S403" s="176">
        <v>3</v>
      </c>
      <c r="T403" s="182" t="e">
        <f>VLOOKUP(A403,#REF!,9,FALSE)</f>
        <v>#REF!</v>
      </c>
      <c r="U403" s="155" t="s">
        <v>632</v>
      </c>
      <c r="V403" s="155" t="s">
        <v>632</v>
      </c>
      <c r="W403" s="155">
        <v>0</v>
      </c>
      <c r="X403" s="155">
        <v>0</v>
      </c>
      <c r="Y403" s="183">
        <v>0</v>
      </c>
    </row>
    <row r="404" spans="1:25" ht="30">
      <c r="A404" s="179">
        <v>317360004</v>
      </c>
      <c r="B404" t="s">
        <v>875</v>
      </c>
      <c r="C404" t="s">
        <v>618</v>
      </c>
      <c r="D404" t="s">
        <v>753</v>
      </c>
      <c r="E404" t="s">
        <v>698</v>
      </c>
      <c r="F404" t="s">
        <v>2381</v>
      </c>
      <c r="G404" t="s">
        <v>875</v>
      </c>
      <c r="H404" s="155" t="s">
        <v>2382</v>
      </c>
      <c r="I404" s="176" t="s">
        <v>1926</v>
      </c>
      <c r="J404" s="181">
        <v>43008</v>
      </c>
      <c r="K404" s="140">
        <v>46659</v>
      </c>
      <c r="L404" s="155">
        <v>10</v>
      </c>
      <c r="M404" s="155">
        <v>0</v>
      </c>
      <c r="N404" s="155">
        <v>0</v>
      </c>
      <c r="O404" s="155" t="s">
        <v>730</v>
      </c>
      <c r="P404" s="176" t="s">
        <v>730</v>
      </c>
      <c r="Q404" s="182">
        <v>44834</v>
      </c>
      <c r="R404" s="155">
        <v>0</v>
      </c>
      <c r="S404" s="176">
        <v>3</v>
      </c>
      <c r="T404" s="182" t="e">
        <f>VLOOKUP(A404,#REF!,9,FALSE)</f>
        <v>#REF!</v>
      </c>
      <c r="U404" s="155" t="s">
        <v>632</v>
      </c>
      <c r="V404" s="155" t="s">
        <v>632</v>
      </c>
      <c r="W404" s="155">
        <v>0</v>
      </c>
      <c r="X404" s="155">
        <v>0</v>
      </c>
      <c r="Y404" s="183">
        <v>0</v>
      </c>
    </row>
    <row r="405" spans="1:25" ht="30">
      <c r="A405" s="179">
        <v>317360005</v>
      </c>
      <c r="B405" t="s">
        <v>877</v>
      </c>
      <c r="C405" t="s">
        <v>618</v>
      </c>
      <c r="D405" t="s">
        <v>753</v>
      </c>
      <c r="E405" t="s">
        <v>698</v>
      </c>
      <c r="F405" t="s">
        <v>2383</v>
      </c>
      <c r="G405" t="s">
        <v>877</v>
      </c>
      <c r="H405" s="155" t="s">
        <v>2384</v>
      </c>
      <c r="I405" s="176" t="s">
        <v>1926</v>
      </c>
      <c r="J405" s="181">
        <v>45226</v>
      </c>
      <c r="K405" s="140">
        <v>47052</v>
      </c>
      <c r="L405" s="155">
        <v>5</v>
      </c>
      <c r="M405" s="155">
        <v>0</v>
      </c>
      <c r="N405" s="155">
        <v>0</v>
      </c>
      <c r="O405" s="155" t="s">
        <v>730</v>
      </c>
      <c r="P405" s="176" t="s">
        <v>730</v>
      </c>
      <c r="Q405" s="184" t="s">
        <v>730</v>
      </c>
      <c r="R405" s="155">
        <v>0</v>
      </c>
      <c r="S405" s="176">
        <v>0</v>
      </c>
      <c r="T405" s="182" t="e">
        <f>VLOOKUP(A405,#REF!,9,FALSE)</f>
        <v>#REF!</v>
      </c>
      <c r="U405" s="155" t="s">
        <v>632</v>
      </c>
      <c r="V405" s="155" t="s">
        <v>632</v>
      </c>
      <c r="W405" s="155">
        <v>0</v>
      </c>
      <c r="X405" s="155">
        <v>6</v>
      </c>
      <c r="Y405" s="183">
        <v>0</v>
      </c>
    </row>
    <row r="406" spans="1:25" ht="30">
      <c r="A406" s="179">
        <v>317360011</v>
      </c>
      <c r="B406" t="s">
        <v>879</v>
      </c>
      <c r="C406" t="s">
        <v>618</v>
      </c>
      <c r="D406" t="s">
        <v>753</v>
      </c>
      <c r="E406" t="s">
        <v>698</v>
      </c>
      <c r="F406" t="s">
        <v>2381</v>
      </c>
      <c r="G406" t="s">
        <v>879</v>
      </c>
      <c r="H406" s="155" t="s">
        <v>2385</v>
      </c>
      <c r="I406" s="176" t="s">
        <v>1926</v>
      </c>
      <c r="J406" s="181">
        <v>43008</v>
      </c>
      <c r="K406" s="140">
        <v>46659</v>
      </c>
      <c r="L406" s="155">
        <v>10</v>
      </c>
      <c r="M406" s="155">
        <v>0</v>
      </c>
      <c r="N406" s="155">
        <v>0</v>
      </c>
      <c r="O406" s="155" t="s">
        <v>730</v>
      </c>
      <c r="P406" s="176" t="s">
        <v>730</v>
      </c>
      <c r="Q406" s="182">
        <v>44834</v>
      </c>
      <c r="R406" s="155">
        <v>0</v>
      </c>
      <c r="S406" s="176">
        <v>0</v>
      </c>
      <c r="T406" s="182" t="e">
        <f>VLOOKUP(A406,#REF!,9,FALSE)</f>
        <v>#REF!</v>
      </c>
      <c r="U406" s="155" t="s">
        <v>632</v>
      </c>
      <c r="V406" s="155" t="s">
        <v>632</v>
      </c>
      <c r="W406" s="155">
        <v>0</v>
      </c>
      <c r="X406" s="155">
        <v>0</v>
      </c>
      <c r="Y406" s="183">
        <v>0</v>
      </c>
    </row>
    <row r="407" spans="1:25" ht="30">
      <c r="A407" s="179">
        <v>317652001</v>
      </c>
      <c r="B407" t="s">
        <v>881</v>
      </c>
      <c r="C407" t="s">
        <v>618</v>
      </c>
      <c r="D407" t="s">
        <v>753</v>
      </c>
      <c r="E407" t="s">
        <v>698</v>
      </c>
      <c r="F407" t="s">
        <v>2386</v>
      </c>
      <c r="G407" t="s">
        <v>881</v>
      </c>
      <c r="H407" s="155" t="s">
        <v>2387</v>
      </c>
      <c r="I407" s="176" t="s">
        <v>1926</v>
      </c>
      <c r="J407" s="181">
        <v>41115</v>
      </c>
      <c r="K407" s="140">
        <v>46592</v>
      </c>
      <c r="L407" s="155">
        <v>15</v>
      </c>
      <c r="M407" s="155">
        <v>0</v>
      </c>
      <c r="N407" s="155">
        <v>0</v>
      </c>
      <c r="O407" s="155" t="s">
        <v>730</v>
      </c>
      <c r="P407" s="176" t="s">
        <v>730</v>
      </c>
      <c r="Q407" s="182">
        <v>44767</v>
      </c>
      <c r="R407" s="155">
        <v>5</v>
      </c>
      <c r="S407" s="176">
        <v>3</v>
      </c>
      <c r="T407" s="182" t="e">
        <f>VLOOKUP(A407,#REF!,9,FALSE)</f>
        <v>#REF!</v>
      </c>
      <c r="U407" s="155" t="s">
        <v>632</v>
      </c>
      <c r="V407" s="155" t="s">
        <v>632</v>
      </c>
      <c r="W407" s="155">
        <v>0</v>
      </c>
      <c r="X407" s="155">
        <v>0</v>
      </c>
      <c r="Y407" s="183">
        <v>0</v>
      </c>
    </row>
    <row r="408" spans="1:25" ht="30">
      <c r="A408" s="179">
        <v>317652002</v>
      </c>
      <c r="B408" t="s">
        <v>883</v>
      </c>
      <c r="C408" t="s">
        <v>618</v>
      </c>
      <c r="D408" t="s">
        <v>753</v>
      </c>
      <c r="E408" t="s">
        <v>698</v>
      </c>
      <c r="F408" t="s">
        <v>2388</v>
      </c>
      <c r="G408" t="s">
        <v>883</v>
      </c>
      <c r="H408" s="155" t="s">
        <v>2389</v>
      </c>
      <c r="I408" s="176" t="s">
        <v>1926</v>
      </c>
      <c r="J408" s="181">
        <v>44823</v>
      </c>
      <c r="K408" s="140">
        <v>48475</v>
      </c>
      <c r="L408" s="155">
        <v>10</v>
      </c>
      <c r="M408" s="155">
        <v>0</v>
      </c>
      <c r="N408" s="155">
        <v>0</v>
      </c>
      <c r="O408" s="155" t="s">
        <v>730</v>
      </c>
      <c r="P408" s="176" t="s">
        <v>730</v>
      </c>
      <c r="Q408" s="184" t="s">
        <v>730</v>
      </c>
      <c r="R408" s="155">
        <v>5</v>
      </c>
      <c r="S408" s="176">
        <v>6</v>
      </c>
      <c r="T408" s="182" t="e">
        <f>VLOOKUP(A408,#REF!,9,FALSE)</f>
        <v>#REF!</v>
      </c>
      <c r="U408" s="155" t="s">
        <v>518</v>
      </c>
      <c r="V408" s="155" t="s">
        <v>632</v>
      </c>
      <c r="W408" s="155">
        <v>0</v>
      </c>
      <c r="X408" s="155">
        <v>6</v>
      </c>
      <c r="Y408" s="183">
        <v>0</v>
      </c>
    </row>
    <row r="409" spans="1:25" ht="45">
      <c r="A409" s="179">
        <v>317652003</v>
      </c>
      <c r="B409" t="s">
        <v>885</v>
      </c>
      <c r="C409" t="s">
        <v>618</v>
      </c>
      <c r="D409" t="s">
        <v>753</v>
      </c>
      <c r="E409" t="s">
        <v>698</v>
      </c>
      <c r="F409" t="s">
        <v>2390</v>
      </c>
      <c r="G409" t="s">
        <v>885</v>
      </c>
      <c r="H409" s="155" t="s">
        <v>2391</v>
      </c>
      <c r="I409" s="176" t="s">
        <v>1926</v>
      </c>
      <c r="J409" s="181">
        <v>45327</v>
      </c>
      <c r="K409" s="140">
        <v>48979</v>
      </c>
      <c r="L409" s="155">
        <v>10</v>
      </c>
      <c r="M409" s="155">
        <v>0</v>
      </c>
      <c r="N409" s="155">
        <v>0</v>
      </c>
      <c r="O409" s="155" t="s">
        <v>730</v>
      </c>
      <c r="P409" s="176" t="s">
        <v>730</v>
      </c>
      <c r="Q409" s="182">
        <v>47154</v>
      </c>
      <c r="R409" s="155">
        <v>0</v>
      </c>
      <c r="S409" s="176">
        <v>6</v>
      </c>
      <c r="T409" s="182" t="e">
        <f>VLOOKUP(A409,#REF!,9,FALSE)</f>
        <v>#REF!</v>
      </c>
      <c r="U409" s="155" t="s">
        <v>632</v>
      </c>
      <c r="V409" s="155" t="s">
        <v>632</v>
      </c>
      <c r="W409" s="155">
        <v>0</v>
      </c>
      <c r="X409" s="155">
        <v>6</v>
      </c>
      <c r="Y409" s="183">
        <v>0</v>
      </c>
    </row>
    <row r="410" spans="1:25" ht="45">
      <c r="A410" s="179">
        <v>317652004</v>
      </c>
      <c r="B410" t="s">
        <v>887</v>
      </c>
      <c r="C410" t="s">
        <v>618</v>
      </c>
      <c r="D410" t="s">
        <v>753</v>
      </c>
      <c r="E410" t="s">
        <v>698</v>
      </c>
      <c r="F410" t="s">
        <v>2392</v>
      </c>
      <c r="G410" t="s">
        <v>887</v>
      </c>
      <c r="H410" s="155" t="s">
        <v>2393</v>
      </c>
      <c r="I410" s="176" t="s">
        <v>1926</v>
      </c>
      <c r="J410" s="181">
        <v>45327</v>
      </c>
      <c r="K410" s="140">
        <v>48979</v>
      </c>
      <c r="L410" s="155">
        <v>10</v>
      </c>
      <c r="M410" s="155">
        <v>0</v>
      </c>
      <c r="N410" s="155">
        <v>0</v>
      </c>
      <c r="O410" s="155" t="s">
        <v>730</v>
      </c>
      <c r="P410" s="176" t="s">
        <v>730</v>
      </c>
      <c r="Q410" s="182">
        <v>47154</v>
      </c>
      <c r="R410" s="155">
        <v>0</v>
      </c>
      <c r="S410" s="176">
        <v>0</v>
      </c>
      <c r="T410" s="182" t="e">
        <f>VLOOKUP(A410,#REF!,9,FALSE)</f>
        <v>#REF!</v>
      </c>
      <c r="U410" s="155" t="s">
        <v>632</v>
      </c>
      <c r="V410" s="155" t="s">
        <v>632</v>
      </c>
      <c r="W410" s="155">
        <v>0</v>
      </c>
      <c r="X410" s="155">
        <v>6</v>
      </c>
      <c r="Y410" s="183">
        <v>0</v>
      </c>
    </row>
    <row r="411" spans="1:25" ht="30">
      <c r="A411" s="179">
        <v>317652005</v>
      </c>
      <c r="B411" t="s">
        <v>889</v>
      </c>
      <c r="C411" t="s">
        <v>618</v>
      </c>
      <c r="D411" t="s">
        <v>753</v>
      </c>
      <c r="E411" t="s">
        <v>698</v>
      </c>
      <c r="F411" t="s">
        <v>2394</v>
      </c>
      <c r="G411" t="s">
        <v>889</v>
      </c>
      <c r="H411" s="155" t="s">
        <v>2395</v>
      </c>
      <c r="I411" s="176" t="s">
        <v>1926</v>
      </c>
      <c r="J411" s="181">
        <v>44470</v>
      </c>
      <c r="K411" s="140">
        <v>48121</v>
      </c>
      <c r="L411" s="155">
        <v>10</v>
      </c>
      <c r="M411" s="155">
        <v>0</v>
      </c>
      <c r="N411" s="155">
        <v>0</v>
      </c>
      <c r="O411" s="155" t="s">
        <v>730</v>
      </c>
      <c r="P411" s="176" t="s">
        <v>730</v>
      </c>
      <c r="Q411" s="182">
        <v>46296</v>
      </c>
      <c r="R411" s="155">
        <v>0</v>
      </c>
      <c r="S411" s="176">
        <v>0</v>
      </c>
      <c r="T411" s="182" t="e">
        <f>VLOOKUP(A411,#REF!,9,FALSE)</f>
        <v>#REF!</v>
      </c>
      <c r="U411" s="155" t="s">
        <v>632</v>
      </c>
      <c r="V411" s="155" t="s">
        <v>632</v>
      </c>
      <c r="W411" s="155">
        <v>0</v>
      </c>
      <c r="X411" s="155">
        <v>6</v>
      </c>
      <c r="Y411" s="183">
        <v>0</v>
      </c>
    </row>
    <row r="412" spans="1:25" ht="30">
      <c r="A412" s="179">
        <v>317652006</v>
      </c>
      <c r="B412" t="s">
        <v>891</v>
      </c>
      <c r="C412" t="s">
        <v>618</v>
      </c>
      <c r="D412" t="s">
        <v>753</v>
      </c>
      <c r="E412" t="s">
        <v>698</v>
      </c>
      <c r="F412" t="s">
        <v>2396</v>
      </c>
      <c r="G412" t="s">
        <v>891</v>
      </c>
      <c r="H412" s="155" t="s">
        <v>2397</v>
      </c>
      <c r="I412" s="176" t="s">
        <v>1926</v>
      </c>
      <c r="J412" s="181">
        <v>43789</v>
      </c>
      <c r="K412" s="140">
        <v>47441</v>
      </c>
      <c r="L412" s="155">
        <v>10</v>
      </c>
      <c r="M412" s="155">
        <v>0</v>
      </c>
      <c r="N412" s="155">
        <v>0</v>
      </c>
      <c r="O412" s="155" t="s">
        <v>730</v>
      </c>
      <c r="P412" s="176" t="s">
        <v>730</v>
      </c>
      <c r="Q412" s="182">
        <v>44516</v>
      </c>
      <c r="R412" s="155">
        <v>3</v>
      </c>
      <c r="S412" s="176">
        <v>6</v>
      </c>
      <c r="T412" s="182" t="e">
        <f>VLOOKUP(A412,#REF!,9,FALSE)</f>
        <v>#REF!</v>
      </c>
      <c r="U412" s="155" t="s">
        <v>518</v>
      </c>
      <c r="V412" s="155" t="s">
        <v>632</v>
      </c>
      <c r="W412" s="155">
        <v>0</v>
      </c>
      <c r="X412" s="155">
        <v>0</v>
      </c>
      <c r="Y412" s="183">
        <v>0</v>
      </c>
    </row>
    <row r="413" spans="1:25" ht="45">
      <c r="A413" s="179">
        <v>317652007</v>
      </c>
      <c r="B413" t="s">
        <v>893</v>
      </c>
      <c r="C413" t="s">
        <v>618</v>
      </c>
      <c r="D413" t="s">
        <v>753</v>
      </c>
      <c r="E413" t="s">
        <v>698</v>
      </c>
      <c r="F413" t="s">
        <v>2398</v>
      </c>
      <c r="G413" t="s">
        <v>893</v>
      </c>
      <c r="H413" s="155" t="s">
        <v>2399</v>
      </c>
      <c r="I413" s="176" t="s">
        <v>1926</v>
      </c>
      <c r="J413" s="181">
        <v>44886</v>
      </c>
      <c r="K413" s="140">
        <v>48538</v>
      </c>
      <c r="L413" s="155">
        <v>10</v>
      </c>
      <c r="M413" s="155">
        <v>0</v>
      </c>
      <c r="N413" s="155">
        <v>0</v>
      </c>
      <c r="O413" s="155" t="s">
        <v>730</v>
      </c>
      <c r="P413" s="176" t="s">
        <v>730</v>
      </c>
      <c r="Q413" s="182">
        <v>46712</v>
      </c>
      <c r="R413" s="155">
        <v>5</v>
      </c>
      <c r="S413" s="176">
        <v>6</v>
      </c>
      <c r="T413" s="182" t="e">
        <f>VLOOKUP(A413,#REF!,9,FALSE)</f>
        <v>#REF!</v>
      </c>
      <c r="U413" s="155" t="s">
        <v>632</v>
      </c>
      <c r="V413" s="155" t="s">
        <v>518</v>
      </c>
      <c r="W413" s="155">
        <v>0</v>
      </c>
      <c r="X413" s="155">
        <v>6</v>
      </c>
      <c r="Y413" s="183">
        <v>3</v>
      </c>
    </row>
    <row r="414" spans="1:25" ht="45">
      <c r="A414" s="179">
        <v>317652008</v>
      </c>
      <c r="B414" t="s">
        <v>895</v>
      </c>
      <c r="C414" t="s">
        <v>618</v>
      </c>
      <c r="D414" t="s">
        <v>753</v>
      </c>
      <c r="E414" t="s">
        <v>698</v>
      </c>
      <c r="F414" t="s">
        <v>2400</v>
      </c>
      <c r="G414" t="s">
        <v>895</v>
      </c>
      <c r="H414" s="155" t="s">
        <v>2401</v>
      </c>
      <c r="I414" s="176" t="s">
        <v>1926</v>
      </c>
      <c r="J414" s="181">
        <v>45040</v>
      </c>
      <c r="K414" s="140">
        <v>48692</v>
      </c>
      <c r="L414" s="155">
        <v>10</v>
      </c>
      <c r="M414" s="155">
        <v>0</v>
      </c>
      <c r="N414" s="155">
        <v>0</v>
      </c>
      <c r="O414" s="155" t="s">
        <v>730</v>
      </c>
      <c r="P414" s="176" t="s">
        <v>730</v>
      </c>
      <c r="Q414" s="182">
        <v>46728</v>
      </c>
      <c r="R414" s="155">
        <v>5</v>
      </c>
      <c r="S414" s="176">
        <v>3</v>
      </c>
      <c r="T414" s="182" t="e">
        <f>VLOOKUP(A414,#REF!,9,FALSE)</f>
        <v>#REF!</v>
      </c>
      <c r="U414" s="155" t="s">
        <v>632</v>
      </c>
      <c r="V414" s="155" t="s">
        <v>518</v>
      </c>
      <c r="W414" s="155">
        <v>0</v>
      </c>
      <c r="X414" s="155">
        <v>6</v>
      </c>
      <c r="Y414" s="183">
        <v>0</v>
      </c>
    </row>
    <row r="415" spans="1:25" ht="30">
      <c r="A415" s="179">
        <v>317652009</v>
      </c>
      <c r="B415" t="s">
        <v>509</v>
      </c>
      <c r="C415" t="s">
        <v>618</v>
      </c>
      <c r="D415" t="s">
        <v>753</v>
      </c>
      <c r="E415" t="s">
        <v>698</v>
      </c>
      <c r="F415" t="s">
        <v>2402</v>
      </c>
      <c r="G415" t="s">
        <v>509</v>
      </c>
      <c r="H415" s="155" t="s">
        <v>2403</v>
      </c>
      <c r="I415" s="176" t="s">
        <v>1926</v>
      </c>
      <c r="J415" s="181">
        <v>44886</v>
      </c>
      <c r="K415" s="140">
        <v>48538</v>
      </c>
      <c r="L415" s="155">
        <v>10</v>
      </c>
      <c r="M415" s="155">
        <v>0</v>
      </c>
      <c r="N415" s="155">
        <v>0</v>
      </c>
      <c r="O415" s="155" t="s">
        <v>730</v>
      </c>
      <c r="P415" s="176" t="s">
        <v>730</v>
      </c>
      <c r="Q415" s="182">
        <v>46712</v>
      </c>
      <c r="R415" s="155">
        <v>5</v>
      </c>
      <c r="S415" s="176">
        <v>6</v>
      </c>
      <c r="T415" s="182" t="e">
        <f>VLOOKUP(A415,#REF!,9,FALSE)</f>
        <v>#REF!</v>
      </c>
      <c r="U415" s="155" t="s">
        <v>632</v>
      </c>
      <c r="V415" s="155" t="s">
        <v>518</v>
      </c>
      <c r="W415" s="155">
        <v>0</v>
      </c>
      <c r="X415" s="155">
        <v>6</v>
      </c>
      <c r="Y415" s="183">
        <v>0</v>
      </c>
    </row>
    <row r="416" spans="1:25" ht="30">
      <c r="A416" s="179">
        <v>317652010</v>
      </c>
      <c r="B416" t="s">
        <v>897</v>
      </c>
      <c r="C416" t="s">
        <v>618</v>
      </c>
      <c r="D416" t="s">
        <v>753</v>
      </c>
      <c r="E416" t="s">
        <v>698</v>
      </c>
      <c r="F416" t="s">
        <v>2404</v>
      </c>
      <c r="G416" t="s">
        <v>897</v>
      </c>
      <c r="H416" s="155" t="s">
        <v>2405</v>
      </c>
      <c r="I416" s="176" t="s">
        <v>1926</v>
      </c>
      <c r="J416" s="181">
        <v>45257</v>
      </c>
      <c r="K416" s="140">
        <v>48909</v>
      </c>
      <c r="L416" s="155">
        <v>10</v>
      </c>
      <c r="M416" s="155">
        <v>0</v>
      </c>
      <c r="N416" s="155">
        <v>0</v>
      </c>
      <c r="O416" s="155" t="s">
        <v>730</v>
      </c>
      <c r="P416" s="176" t="s">
        <v>730</v>
      </c>
      <c r="Q416" s="182">
        <v>47084</v>
      </c>
      <c r="R416" s="155">
        <v>0</v>
      </c>
      <c r="S416" s="176">
        <v>0</v>
      </c>
      <c r="T416" s="182" t="e">
        <f>VLOOKUP(A416,#REF!,9,FALSE)</f>
        <v>#REF!</v>
      </c>
      <c r="U416" s="155" t="s">
        <v>632</v>
      </c>
      <c r="V416" s="155" t="s">
        <v>632</v>
      </c>
      <c r="W416" s="155">
        <v>0</v>
      </c>
      <c r="X416" s="155">
        <v>6</v>
      </c>
      <c r="Y416" s="183">
        <v>0</v>
      </c>
    </row>
    <row r="417" spans="1:25" ht="30">
      <c r="A417" s="179">
        <v>317652011</v>
      </c>
      <c r="B417" t="s">
        <v>899</v>
      </c>
      <c r="C417" t="s">
        <v>618</v>
      </c>
      <c r="D417" t="s">
        <v>753</v>
      </c>
      <c r="E417" t="s">
        <v>698</v>
      </c>
      <c r="F417" t="s">
        <v>2406</v>
      </c>
      <c r="G417" t="s">
        <v>899</v>
      </c>
      <c r="H417" s="155" t="s">
        <v>2407</v>
      </c>
      <c r="I417" s="176" t="s">
        <v>1926</v>
      </c>
      <c r="J417" s="181">
        <v>40731</v>
      </c>
      <c r="K417" s="140">
        <v>46209</v>
      </c>
      <c r="L417" s="155">
        <v>15</v>
      </c>
      <c r="M417" s="155">
        <v>0</v>
      </c>
      <c r="N417" s="155">
        <v>0</v>
      </c>
      <c r="O417" s="155" t="s">
        <v>730</v>
      </c>
      <c r="P417" s="176" t="s">
        <v>730</v>
      </c>
      <c r="Q417" s="182">
        <v>44384</v>
      </c>
      <c r="R417" s="155">
        <v>5</v>
      </c>
      <c r="S417" s="176">
        <v>6</v>
      </c>
      <c r="T417" s="182" t="e">
        <f>VLOOKUP(A417,#REF!,9,FALSE)</f>
        <v>#REF!</v>
      </c>
      <c r="U417" s="155" t="s">
        <v>632</v>
      </c>
      <c r="V417" s="155" t="s">
        <v>632</v>
      </c>
      <c r="W417" s="155">
        <v>0</v>
      </c>
      <c r="X417" s="155">
        <v>6</v>
      </c>
      <c r="Y417" s="183">
        <v>0</v>
      </c>
    </row>
    <row r="418" spans="1:25" ht="30">
      <c r="A418" s="179">
        <v>317652012</v>
      </c>
      <c r="B418" t="s">
        <v>901</v>
      </c>
      <c r="C418" t="s">
        <v>618</v>
      </c>
      <c r="D418" t="s">
        <v>753</v>
      </c>
      <c r="E418" t="s">
        <v>698</v>
      </c>
      <c r="F418" t="s">
        <v>2408</v>
      </c>
      <c r="G418" t="s">
        <v>901</v>
      </c>
      <c r="H418" s="155" t="s">
        <v>2409</v>
      </c>
      <c r="I418" s="176" t="s">
        <v>1926</v>
      </c>
      <c r="J418" s="181">
        <v>44425</v>
      </c>
      <c r="K418" s="140">
        <v>49903</v>
      </c>
      <c r="L418" s="155">
        <v>15</v>
      </c>
      <c r="M418" s="155">
        <v>0</v>
      </c>
      <c r="N418" s="155">
        <v>0</v>
      </c>
      <c r="O418" s="155" t="s">
        <v>730</v>
      </c>
      <c r="P418" s="176" t="s">
        <v>730</v>
      </c>
      <c r="Q418" s="182">
        <v>46251</v>
      </c>
      <c r="R418" s="155">
        <v>5</v>
      </c>
      <c r="S418" s="176">
        <v>6</v>
      </c>
      <c r="T418" s="182" t="e">
        <f>VLOOKUP(A418,#REF!,9,FALSE)</f>
        <v>#REF!</v>
      </c>
      <c r="U418" s="155" t="s">
        <v>632</v>
      </c>
      <c r="V418" s="155" t="s">
        <v>632</v>
      </c>
      <c r="W418" s="155">
        <v>0</v>
      </c>
      <c r="X418" s="155">
        <v>0</v>
      </c>
      <c r="Y418" s="183">
        <v>0</v>
      </c>
    </row>
    <row r="419" spans="1:25" ht="30">
      <c r="A419" s="179">
        <v>317652013</v>
      </c>
      <c r="B419" t="s">
        <v>903</v>
      </c>
      <c r="C419" t="s">
        <v>618</v>
      </c>
      <c r="D419" t="s">
        <v>753</v>
      </c>
      <c r="E419" t="s">
        <v>698</v>
      </c>
      <c r="F419" t="s">
        <v>2410</v>
      </c>
      <c r="G419" t="s">
        <v>903</v>
      </c>
      <c r="H419" s="155" t="s">
        <v>2411</v>
      </c>
      <c r="I419" s="176" t="s">
        <v>1926</v>
      </c>
      <c r="J419" s="181">
        <v>43590</v>
      </c>
      <c r="K419" s="140">
        <v>49068</v>
      </c>
      <c r="L419" s="155">
        <v>15</v>
      </c>
      <c r="M419" s="155">
        <v>0</v>
      </c>
      <c r="N419" s="155">
        <v>0</v>
      </c>
      <c r="O419" s="155" t="s">
        <v>730</v>
      </c>
      <c r="P419" s="176" t="s">
        <v>730</v>
      </c>
      <c r="Q419" s="182">
        <v>47243</v>
      </c>
      <c r="R419" s="155">
        <v>5</v>
      </c>
      <c r="S419" s="176">
        <v>6</v>
      </c>
      <c r="T419" s="182" t="e">
        <f>VLOOKUP(A419,#REF!,9,FALSE)</f>
        <v>#REF!</v>
      </c>
      <c r="U419" s="155" t="s">
        <v>518</v>
      </c>
      <c r="V419" s="155" t="s">
        <v>518</v>
      </c>
      <c r="W419" s="155">
        <v>0</v>
      </c>
      <c r="X419" s="155">
        <v>6</v>
      </c>
      <c r="Y419" s="183">
        <v>0</v>
      </c>
    </row>
    <row r="420" spans="1:25" ht="30">
      <c r="A420" s="179">
        <v>317652014</v>
      </c>
      <c r="B420" t="s">
        <v>905</v>
      </c>
      <c r="C420" t="s">
        <v>618</v>
      </c>
      <c r="D420" t="s">
        <v>753</v>
      </c>
      <c r="E420" t="s">
        <v>698</v>
      </c>
      <c r="F420" t="s">
        <v>2412</v>
      </c>
      <c r="G420" t="s">
        <v>905</v>
      </c>
      <c r="H420" s="155" t="s">
        <v>2413</v>
      </c>
      <c r="I420" s="176" t="s">
        <v>1926</v>
      </c>
      <c r="J420" s="181">
        <v>42729</v>
      </c>
      <c r="K420" s="140">
        <v>46380</v>
      </c>
      <c r="L420" s="155">
        <v>10</v>
      </c>
      <c r="M420" s="155">
        <v>0</v>
      </c>
      <c r="N420" s="155">
        <v>0</v>
      </c>
      <c r="O420" s="155" t="s">
        <v>730</v>
      </c>
      <c r="P420" s="176" t="s">
        <v>730</v>
      </c>
      <c r="Q420" s="182">
        <v>44555</v>
      </c>
      <c r="R420" s="155">
        <v>0</v>
      </c>
      <c r="S420" s="176">
        <v>6</v>
      </c>
      <c r="T420" s="182" t="e">
        <f>VLOOKUP(A420,#REF!,9,FALSE)</f>
        <v>#REF!</v>
      </c>
      <c r="U420" s="155" t="s">
        <v>632</v>
      </c>
      <c r="V420" s="155" t="s">
        <v>632</v>
      </c>
      <c r="W420" s="155">
        <v>0</v>
      </c>
      <c r="X420" s="155">
        <v>6</v>
      </c>
      <c r="Y420" s="183">
        <v>0</v>
      </c>
    </row>
    <row r="421" spans="1:25" ht="14.45" customHeight="1">
      <c r="A421" s="179">
        <v>317652015</v>
      </c>
      <c r="B421" t="s">
        <v>907</v>
      </c>
      <c r="C421" t="s">
        <v>618</v>
      </c>
      <c r="D421" t="s">
        <v>753</v>
      </c>
      <c r="E421" t="s">
        <v>698</v>
      </c>
      <c r="F421" t="s">
        <v>2414</v>
      </c>
      <c r="G421" s="180" t="s">
        <v>907</v>
      </c>
      <c r="H421" s="189" t="s">
        <v>2415</v>
      </c>
      <c r="I421" s="176" t="s">
        <v>1926</v>
      </c>
      <c r="J421" s="181">
        <v>44902</v>
      </c>
      <c r="K421" s="140">
        <v>50380</v>
      </c>
      <c r="L421" s="155">
        <v>15</v>
      </c>
      <c r="M421" s="155">
        <v>0</v>
      </c>
      <c r="N421" s="155">
        <v>0</v>
      </c>
      <c r="O421" s="155" t="s">
        <v>730</v>
      </c>
      <c r="P421" s="176" t="s">
        <v>730</v>
      </c>
      <c r="Q421" s="182">
        <v>46728</v>
      </c>
      <c r="R421" s="155">
        <v>5</v>
      </c>
      <c r="S421" s="176">
        <v>6</v>
      </c>
      <c r="T421" s="182" t="e">
        <f>VLOOKUP(A421,#REF!,9,FALSE)</f>
        <v>#REF!</v>
      </c>
      <c r="U421" s="155" t="s">
        <v>632</v>
      </c>
      <c r="V421" s="155" t="s">
        <v>632</v>
      </c>
      <c r="W421" s="155">
        <v>0</v>
      </c>
      <c r="X421" s="155">
        <v>6</v>
      </c>
      <c r="Y421" s="183">
        <v>0</v>
      </c>
    </row>
    <row r="422" spans="1:25" ht="45">
      <c r="A422" s="179">
        <v>317652016</v>
      </c>
      <c r="B422" t="s">
        <v>909</v>
      </c>
      <c r="C422" t="s">
        <v>618</v>
      </c>
      <c r="D422" t="s">
        <v>753</v>
      </c>
      <c r="E422" t="s">
        <v>698</v>
      </c>
      <c r="F422" t="s">
        <v>2416</v>
      </c>
      <c r="G422" t="s">
        <v>909</v>
      </c>
      <c r="H422" s="155" t="s">
        <v>2417</v>
      </c>
      <c r="I422" s="176" t="s">
        <v>1926</v>
      </c>
      <c r="J422" s="181">
        <v>41546</v>
      </c>
      <c r="K422" s="140">
        <v>47024</v>
      </c>
      <c r="L422" s="155">
        <v>15</v>
      </c>
      <c r="M422" s="155">
        <v>0</v>
      </c>
      <c r="N422" s="155">
        <v>0</v>
      </c>
      <c r="O422" s="155" t="s">
        <v>730</v>
      </c>
      <c r="P422" s="176" t="s">
        <v>730</v>
      </c>
      <c r="Q422" s="182">
        <v>45198</v>
      </c>
      <c r="R422" s="155">
        <v>5</v>
      </c>
      <c r="S422" s="176">
        <v>3</v>
      </c>
      <c r="T422" s="182" t="e">
        <f>VLOOKUP(A422,#REF!,9,FALSE)</f>
        <v>#REF!</v>
      </c>
      <c r="U422" s="155" t="s">
        <v>632</v>
      </c>
      <c r="V422" s="155" t="s">
        <v>632</v>
      </c>
      <c r="W422" s="155">
        <v>0</v>
      </c>
      <c r="X422" s="155">
        <v>6</v>
      </c>
      <c r="Y422" s="183">
        <v>0</v>
      </c>
    </row>
    <row r="423" spans="1:25" ht="30">
      <c r="A423" s="179">
        <v>317652017</v>
      </c>
      <c r="B423" t="s">
        <v>911</v>
      </c>
      <c r="C423" t="s">
        <v>618</v>
      </c>
      <c r="D423" t="s">
        <v>753</v>
      </c>
      <c r="E423" t="s">
        <v>698</v>
      </c>
      <c r="F423" t="s">
        <v>2418</v>
      </c>
      <c r="G423" t="s">
        <v>911</v>
      </c>
      <c r="H423" s="155" t="s">
        <v>2419</v>
      </c>
      <c r="I423" s="176" t="s">
        <v>1926</v>
      </c>
      <c r="J423" s="181">
        <v>41393</v>
      </c>
      <c r="K423" s="140">
        <v>46871</v>
      </c>
      <c r="L423" s="155">
        <v>15</v>
      </c>
      <c r="M423" s="155">
        <v>0</v>
      </c>
      <c r="N423" s="155">
        <v>0</v>
      </c>
      <c r="O423" s="155" t="s">
        <v>730</v>
      </c>
      <c r="P423" s="176" t="s">
        <v>730</v>
      </c>
      <c r="Q423" s="182">
        <v>46871</v>
      </c>
      <c r="R423" s="155">
        <v>5</v>
      </c>
      <c r="S423" s="176">
        <v>3</v>
      </c>
      <c r="T423" s="182" t="e">
        <f>VLOOKUP(A423,#REF!,9,FALSE)</f>
        <v>#REF!</v>
      </c>
      <c r="U423" s="155" t="s">
        <v>632</v>
      </c>
      <c r="V423" s="155" t="s">
        <v>632</v>
      </c>
      <c r="W423" s="155">
        <v>0</v>
      </c>
      <c r="X423" s="155">
        <v>6</v>
      </c>
      <c r="Y423" s="183">
        <v>0</v>
      </c>
    </row>
    <row r="424" spans="1:25" ht="30">
      <c r="A424" s="179">
        <v>317652018</v>
      </c>
      <c r="B424" t="s">
        <v>913</v>
      </c>
      <c r="C424" t="s">
        <v>618</v>
      </c>
      <c r="D424" t="s">
        <v>753</v>
      </c>
      <c r="E424" t="s">
        <v>698</v>
      </c>
      <c r="F424" t="s">
        <v>2420</v>
      </c>
      <c r="G424" t="s">
        <v>913</v>
      </c>
      <c r="H424" s="155" t="s">
        <v>2421</v>
      </c>
      <c r="I424" s="176" t="s">
        <v>1926</v>
      </c>
      <c r="J424" s="181">
        <v>40830</v>
      </c>
      <c r="K424" s="140">
        <v>48134</v>
      </c>
      <c r="L424" s="155">
        <v>20</v>
      </c>
      <c r="M424" s="155">
        <v>0</v>
      </c>
      <c r="N424" s="155">
        <v>0</v>
      </c>
      <c r="O424" s="155" t="s">
        <v>730</v>
      </c>
      <c r="P424" s="176" t="s">
        <v>730</v>
      </c>
      <c r="Q424" s="182">
        <v>44483</v>
      </c>
      <c r="R424" s="155">
        <v>5</v>
      </c>
      <c r="S424" s="176">
        <v>3</v>
      </c>
      <c r="T424" s="182" t="e">
        <f>VLOOKUP(A424,#REF!,9,FALSE)</f>
        <v>#REF!</v>
      </c>
      <c r="U424" s="155" t="s">
        <v>632</v>
      </c>
      <c r="V424" s="155" t="s">
        <v>632</v>
      </c>
      <c r="W424" s="155">
        <v>0</v>
      </c>
      <c r="X424" s="155">
        <v>6</v>
      </c>
      <c r="Y424" s="183">
        <v>0</v>
      </c>
    </row>
    <row r="425" spans="1:25" ht="30">
      <c r="A425" s="179">
        <v>317652019</v>
      </c>
      <c r="B425" t="s">
        <v>915</v>
      </c>
      <c r="C425" t="s">
        <v>618</v>
      </c>
      <c r="D425" t="s">
        <v>753</v>
      </c>
      <c r="E425" t="s">
        <v>698</v>
      </c>
      <c r="F425" t="s">
        <v>2422</v>
      </c>
      <c r="G425" t="s">
        <v>915</v>
      </c>
      <c r="H425" s="155" t="s">
        <v>2423</v>
      </c>
      <c r="I425" s="176" t="s">
        <v>1926</v>
      </c>
      <c r="J425" s="181">
        <v>43372</v>
      </c>
      <c r="K425" s="140">
        <v>48850</v>
      </c>
      <c r="L425" s="155">
        <v>15</v>
      </c>
      <c r="M425" s="155">
        <v>0</v>
      </c>
      <c r="N425" s="155">
        <v>0</v>
      </c>
      <c r="O425" s="155" t="s">
        <v>730</v>
      </c>
      <c r="P425" s="176" t="s">
        <v>730</v>
      </c>
      <c r="Q425" s="182">
        <v>45198</v>
      </c>
      <c r="R425" s="155">
        <v>5</v>
      </c>
      <c r="S425" s="176">
        <v>6</v>
      </c>
      <c r="T425" s="182" t="e">
        <f>VLOOKUP(A425,#REF!,9,FALSE)</f>
        <v>#REF!</v>
      </c>
      <c r="U425" s="155" t="s">
        <v>632</v>
      </c>
      <c r="V425" s="155" t="s">
        <v>632</v>
      </c>
      <c r="W425" s="155">
        <v>0</v>
      </c>
      <c r="X425" s="155">
        <v>6</v>
      </c>
      <c r="Y425" s="183">
        <v>0</v>
      </c>
    </row>
    <row r="426" spans="1:25" ht="45">
      <c r="A426" s="179">
        <v>317652020</v>
      </c>
      <c r="B426" t="s">
        <v>917</v>
      </c>
      <c r="C426" t="s">
        <v>618</v>
      </c>
      <c r="D426" t="s">
        <v>753</v>
      </c>
      <c r="E426" t="s">
        <v>698</v>
      </c>
      <c r="F426" t="s">
        <v>2424</v>
      </c>
      <c r="G426" t="s">
        <v>917</v>
      </c>
      <c r="H426" s="155" t="s">
        <v>2425</v>
      </c>
      <c r="I426" s="176" t="s">
        <v>1926</v>
      </c>
      <c r="J426" s="181">
        <v>40830</v>
      </c>
      <c r="K426" s="140">
        <v>48134</v>
      </c>
      <c r="L426" s="155">
        <v>20</v>
      </c>
      <c r="M426" s="155">
        <v>0</v>
      </c>
      <c r="N426" s="155">
        <v>0</v>
      </c>
      <c r="O426" s="155" t="s">
        <v>730</v>
      </c>
      <c r="P426" s="176" t="s">
        <v>730</v>
      </c>
      <c r="Q426" s="182">
        <v>44483</v>
      </c>
      <c r="R426" s="155">
        <v>5</v>
      </c>
      <c r="S426" s="176">
        <v>3</v>
      </c>
      <c r="T426" s="182" t="e">
        <f>VLOOKUP(A426,#REF!,9,FALSE)</f>
        <v>#REF!</v>
      </c>
      <c r="U426" s="155" t="s">
        <v>632</v>
      </c>
      <c r="V426" s="155" t="s">
        <v>632</v>
      </c>
      <c r="W426" s="155">
        <v>0</v>
      </c>
      <c r="X426" s="155">
        <v>6</v>
      </c>
      <c r="Y426" s="183">
        <v>0</v>
      </c>
    </row>
    <row r="427" spans="1:25" ht="30">
      <c r="A427" s="179">
        <v>317652021</v>
      </c>
      <c r="B427" t="s">
        <v>919</v>
      </c>
      <c r="C427" t="s">
        <v>618</v>
      </c>
      <c r="D427" t="s">
        <v>753</v>
      </c>
      <c r="E427" t="s">
        <v>698</v>
      </c>
      <c r="F427" t="s">
        <v>2426</v>
      </c>
      <c r="G427" t="s">
        <v>919</v>
      </c>
      <c r="H427" s="155" t="s">
        <v>2427</v>
      </c>
      <c r="I427" s="176" t="s">
        <v>1926</v>
      </c>
      <c r="J427" s="181">
        <v>40830</v>
      </c>
      <c r="K427" s="140">
        <v>48134</v>
      </c>
      <c r="L427" s="155">
        <v>20</v>
      </c>
      <c r="M427" s="155">
        <v>0</v>
      </c>
      <c r="N427" s="155">
        <v>0</v>
      </c>
      <c r="O427" s="155" t="s">
        <v>730</v>
      </c>
      <c r="P427" s="176" t="s">
        <v>730</v>
      </c>
      <c r="Q427" s="182">
        <v>44483</v>
      </c>
      <c r="R427" s="155">
        <v>5</v>
      </c>
      <c r="S427" s="176">
        <v>6</v>
      </c>
      <c r="T427" s="182" t="e">
        <f>VLOOKUP(A427,#REF!,9,FALSE)</f>
        <v>#REF!</v>
      </c>
      <c r="U427" s="155" t="s">
        <v>632</v>
      </c>
      <c r="V427" s="155" t="s">
        <v>632</v>
      </c>
      <c r="W427" s="155">
        <v>0</v>
      </c>
      <c r="X427" s="155">
        <v>0</v>
      </c>
      <c r="Y427" s="183">
        <v>0</v>
      </c>
    </row>
    <row r="428" spans="1:25" ht="30">
      <c r="A428" s="179">
        <v>317652022</v>
      </c>
      <c r="B428" t="s">
        <v>921</v>
      </c>
      <c r="C428" t="s">
        <v>618</v>
      </c>
      <c r="D428" t="s">
        <v>753</v>
      </c>
      <c r="E428" t="s">
        <v>698</v>
      </c>
      <c r="F428" t="s">
        <v>2426</v>
      </c>
      <c r="G428" t="s">
        <v>921</v>
      </c>
      <c r="H428" s="155" t="s">
        <v>2428</v>
      </c>
      <c r="I428" s="176" t="s">
        <v>1926</v>
      </c>
      <c r="J428" s="181">
        <v>41701</v>
      </c>
      <c r="K428" s="140">
        <v>48134</v>
      </c>
      <c r="L428" s="155">
        <v>17</v>
      </c>
      <c r="M428" s="155">
        <v>7</v>
      </c>
      <c r="N428" s="155">
        <v>11</v>
      </c>
      <c r="O428" s="155" t="s">
        <v>730</v>
      </c>
      <c r="P428" s="176" t="s">
        <v>730</v>
      </c>
      <c r="Q428" s="182">
        <v>44483</v>
      </c>
      <c r="R428" s="155">
        <v>5</v>
      </c>
      <c r="S428" s="176">
        <v>6</v>
      </c>
      <c r="T428" s="182" t="e">
        <f>VLOOKUP(A428,#REF!,9,FALSE)</f>
        <v>#REF!</v>
      </c>
      <c r="U428" s="155" t="s">
        <v>632</v>
      </c>
      <c r="V428" s="155" t="s">
        <v>632</v>
      </c>
      <c r="W428" s="155">
        <v>0</v>
      </c>
      <c r="X428" s="155">
        <v>0</v>
      </c>
      <c r="Y428" s="183">
        <v>0</v>
      </c>
    </row>
    <row r="429" spans="1:25" ht="30">
      <c r="A429" s="179">
        <v>317652023</v>
      </c>
      <c r="B429" t="s">
        <v>923</v>
      </c>
      <c r="C429" t="s">
        <v>618</v>
      </c>
      <c r="D429" t="s">
        <v>753</v>
      </c>
      <c r="E429" t="s">
        <v>698</v>
      </c>
      <c r="F429" t="s">
        <v>2429</v>
      </c>
      <c r="G429" t="s">
        <v>923</v>
      </c>
      <c r="H429" s="155" t="s">
        <v>2430</v>
      </c>
      <c r="I429" s="176" t="s">
        <v>1926</v>
      </c>
      <c r="J429" s="181">
        <v>43439</v>
      </c>
      <c r="K429" s="140">
        <v>48917</v>
      </c>
      <c r="L429" s="155">
        <v>15</v>
      </c>
      <c r="M429" s="155">
        <v>0</v>
      </c>
      <c r="N429" s="155">
        <v>0</v>
      </c>
      <c r="O429" s="155" t="s">
        <v>730</v>
      </c>
      <c r="P429" s="176" t="s">
        <v>730</v>
      </c>
      <c r="Q429" s="182">
        <v>45265</v>
      </c>
      <c r="R429" s="155">
        <v>0</v>
      </c>
      <c r="S429" s="176">
        <v>0</v>
      </c>
      <c r="T429" s="182" t="e">
        <f>VLOOKUP(A429,#REF!,9,FALSE)</f>
        <v>#REF!</v>
      </c>
      <c r="U429" s="155" t="s">
        <v>632</v>
      </c>
      <c r="V429" s="155" t="s">
        <v>632</v>
      </c>
      <c r="W429" s="155">
        <v>0</v>
      </c>
      <c r="X429" s="155">
        <v>6</v>
      </c>
      <c r="Y429" s="183">
        <v>0</v>
      </c>
    </row>
    <row r="430" spans="1:25" ht="14.45" customHeight="1">
      <c r="A430" s="179">
        <v>317652024</v>
      </c>
      <c r="B430" t="s">
        <v>925</v>
      </c>
      <c r="C430" t="s">
        <v>618</v>
      </c>
      <c r="D430" t="s">
        <v>753</v>
      </c>
      <c r="E430" t="s">
        <v>698</v>
      </c>
      <c r="F430" t="s">
        <v>2431</v>
      </c>
      <c r="G430" s="180" t="s">
        <v>925</v>
      </c>
      <c r="H430" s="189" t="s">
        <v>2432</v>
      </c>
      <c r="I430" s="176" t="s">
        <v>1926</v>
      </c>
      <c r="J430" s="181">
        <v>43590</v>
      </c>
      <c r="K430" s="140">
        <v>49068</v>
      </c>
      <c r="L430" s="155">
        <v>15</v>
      </c>
      <c r="M430" s="155">
        <v>0</v>
      </c>
      <c r="N430" s="155">
        <v>0</v>
      </c>
      <c r="O430" s="155" t="s">
        <v>730</v>
      </c>
      <c r="P430" s="176" t="s">
        <v>730</v>
      </c>
      <c r="Q430" s="182">
        <v>47243</v>
      </c>
      <c r="R430" s="155">
        <v>5</v>
      </c>
      <c r="S430" s="176">
        <v>3</v>
      </c>
      <c r="T430" s="182" t="e">
        <f>VLOOKUP(A430,#REF!,9,FALSE)</f>
        <v>#REF!</v>
      </c>
      <c r="U430" s="155" t="s">
        <v>518</v>
      </c>
      <c r="V430" s="155" t="s">
        <v>518</v>
      </c>
      <c r="W430" s="155">
        <v>0</v>
      </c>
      <c r="X430" s="155">
        <v>0</v>
      </c>
      <c r="Y430" s="183">
        <v>0</v>
      </c>
    </row>
    <row r="431" spans="1:25" ht="45">
      <c r="A431" s="179">
        <v>418550003</v>
      </c>
      <c r="B431" t="s">
        <v>927</v>
      </c>
      <c r="C431" t="s">
        <v>618</v>
      </c>
      <c r="D431" t="s">
        <v>753</v>
      </c>
      <c r="E431" t="s">
        <v>698</v>
      </c>
      <c r="F431" t="s">
        <v>2433</v>
      </c>
      <c r="G431" t="s">
        <v>927</v>
      </c>
      <c r="H431" s="189" t="s">
        <v>2434</v>
      </c>
      <c r="I431" s="176" t="s">
        <v>2435</v>
      </c>
      <c r="J431" s="181">
        <v>45169</v>
      </c>
      <c r="K431" s="140">
        <v>46995</v>
      </c>
      <c r="L431" s="155">
        <v>5</v>
      </c>
      <c r="M431" s="155">
        <v>0</v>
      </c>
      <c r="N431" s="155">
        <v>0</v>
      </c>
      <c r="O431" s="155" t="s">
        <v>730</v>
      </c>
      <c r="P431" s="176" t="s">
        <v>730</v>
      </c>
      <c r="Q431" s="184" t="s">
        <v>730</v>
      </c>
      <c r="R431" s="155">
        <v>0</v>
      </c>
      <c r="S431" s="176">
        <v>0</v>
      </c>
      <c r="T431" s="182" t="e">
        <f>VLOOKUP(A431,#REF!,9,FALSE)</f>
        <v>#REF!</v>
      </c>
      <c r="U431" s="155" t="s">
        <v>518</v>
      </c>
      <c r="V431" s="155" t="s">
        <v>518</v>
      </c>
      <c r="W431" s="155">
        <v>3</v>
      </c>
      <c r="X431" s="155">
        <v>0</v>
      </c>
      <c r="Y431" s="183">
        <v>3</v>
      </c>
    </row>
    <row r="432" spans="1:25" ht="30">
      <c r="A432" s="179">
        <v>418571002</v>
      </c>
      <c r="B432" t="s">
        <v>929</v>
      </c>
      <c r="C432" t="s">
        <v>618</v>
      </c>
      <c r="D432" t="s">
        <v>753</v>
      </c>
      <c r="E432" t="s">
        <v>698</v>
      </c>
      <c r="F432" t="s">
        <v>2436</v>
      </c>
      <c r="G432" t="s">
        <v>929</v>
      </c>
      <c r="H432" s="189" t="s">
        <v>2437</v>
      </c>
      <c r="I432" s="176" t="s">
        <v>1926</v>
      </c>
      <c r="J432" s="181">
        <v>45638</v>
      </c>
      <c r="K432" s="140">
        <v>47463</v>
      </c>
      <c r="L432" s="155">
        <v>5</v>
      </c>
      <c r="M432" s="155">
        <v>0</v>
      </c>
      <c r="N432" s="155">
        <v>0</v>
      </c>
      <c r="O432" s="155" t="s">
        <v>730</v>
      </c>
      <c r="P432" s="176" t="s">
        <v>730</v>
      </c>
      <c r="Q432" s="182">
        <v>46733</v>
      </c>
      <c r="R432" s="155">
        <v>0</v>
      </c>
      <c r="S432" s="176">
        <v>0</v>
      </c>
      <c r="T432" s="182" t="e">
        <f>VLOOKUP(A432,#REF!,9,FALSE)</f>
        <v>#REF!</v>
      </c>
      <c r="U432" s="155" t="s">
        <v>632</v>
      </c>
      <c r="V432" s="155" t="s">
        <v>518</v>
      </c>
      <c r="W432" s="155">
        <v>0</v>
      </c>
      <c r="X432" s="155">
        <v>6</v>
      </c>
      <c r="Y432" s="183">
        <v>0</v>
      </c>
    </row>
    <row r="433" spans="1:25" ht="45">
      <c r="A433" s="179">
        <v>418571003</v>
      </c>
      <c r="B433" t="s">
        <v>1667</v>
      </c>
      <c r="C433" t="s">
        <v>1668</v>
      </c>
      <c r="D433" t="s">
        <v>1665</v>
      </c>
      <c r="E433" t="s">
        <v>698</v>
      </c>
      <c r="F433" t="s">
        <v>2438</v>
      </c>
      <c r="G433" t="s">
        <v>1667</v>
      </c>
      <c r="H433" s="155" t="s">
        <v>2439</v>
      </c>
      <c r="I433" s="176" t="s">
        <v>1926</v>
      </c>
      <c r="J433" s="181">
        <v>45355</v>
      </c>
      <c r="K433" s="140">
        <v>47180</v>
      </c>
      <c r="L433" s="155">
        <v>5</v>
      </c>
      <c r="M433" s="155">
        <v>0</v>
      </c>
      <c r="N433" s="155">
        <v>0</v>
      </c>
      <c r="O433" s="155" t="s">
        <v>730</v>
      </c>
      <c r="P433" s="176" t="s">
        <v>730</v>
      </c>
      <c r="Q433" s="182">
        <v>44259</v>
      </c>
      <c r="R433" s="155">
        <v>1</v>
      </c>
      <c r="S433" s="176">
        <v>3</v>
      </c>
      <c r="T433" s="182" t="e">
        <f>VLOOKUP(A433,#REF!,9,FALSE)</f>
        <v>#REF!</v>
      </c>
      <c r="U433" s="155" t="s">
        <v>632</v>
      </c>
      <c r="V433" s="155" t="s">
        <v>632</v>
      </c>
      <c r="W433" s="155">
        <v>0</v>
      </c>
      <c r="X433" s="155">
        <v>0</v>
      </c>
      <c r="Y433" s="183">
        <v>0</v>
      </c>
    </row>
    <row r="434" spans="1:25" ht="30">
      <c r="A434" s="179">
        <v>418571004</v>
      </c>
      <c r="B434" t="s">
        <v>1670</v>
      </c>
      <c r="C434" t="s">
        <v>1668</v>
      </c>
      <c r="D434" t="s">
        <v>1665</v>
      </c>
      <c r="E434" t="s">
        <v>698</v>
      </c>
      <c r="F434" t="s">
        <v>2440</v>
      </c>
      <c r="G434" t="s">
        <v>1670</v>
      </c>
      <c r="H434" s="155" t="s">
        <v>2441</v>
      </c>
      <c r="I434" s="176" t="s">
        <v>1926</v>
      </c>
      <c r="J434" s="181">
        <v>43528</v>
      </c>
      <c r="K434" s="140">
        <v>45354</v>
      </c>
      <c r="L434" s="155">
        <v>5</v>
      </c>
      <c r="M434" s="155">
        <v>0</v>
      </c>
      <c r="N434" s="155">
        <v>0</v>
      </c>
      <c r="O434" s="155" t="s">
        <v>730</v>
      </c>
      <c r="P434" s="176" t="s">
        <v>730</v>
      </c>
      <c r="Q434" s="182">
        <v>44259</v>
      </c>
      <c r="R434" s="155">
        <v>1</v>
      </c>
      <c r="S434" s="176">
        <v>3</v>
      </c>
      <c r="T434" s="182" t="e">
        <f>VLOOKUP(A434,#REF!,9,FALSE)</f>
        <v>#REF!</v>
      </c>
      <c r="U434" s="155" t="s">
        <v>632</v>
      </c>
      <c r="V434" s="155" t="s">
        <v>632</v>
      </c>
      <c r="W434" s="155">
        <v>0</v>
      </c>
      <c r="X434" s="155">
        <v>0</v>
      </c>
      <c r="Y434" s="183">
        <v>0</v>
      </c>
    </row>
    <row r="435" spans="1:25" ht="30">
      <c r="A435" s="179">
        <v>418571005</v>
      </c>
      <c r="B435" t="s">
        <v>1672</v>
      </c>
      <c r="C435" t="s">
        <v>1668</v>
      </c>
      <c r="D435" t="s">
        <v>1665</v>
      </c>
      <c r="E435" t="s">
        <v>698</v>
      </c>
      <c r="F435" t="s">
        <v>2440</v>
      </c>
      <c r="G435" t="s">
        <v>1672</v>
      </c>
      <c r="H435" s="155" t="s">
        <v>2442</v>
      </c>
      <c r="I435" s="176" t="s">
        <v>1926</v>
      </c>
      <c r="J435" s="181">
        <v>43528</v>
      </c>
      <c r="K435" s="140">
        <v>45354</v>
      </c>
      <c r="L435" s="155">
        <v>5</v>
      </c>
      <c r="M435" s="155">
        <v>0</v>
      </c>
      <c r="N435" s="155">
        <v>0</v>
      </c>
      <c r="O435" s="155" t="s">
        <v>730</v>
      </c>
      <c r="P435" s="176" t="s">
        <v>730</v>
      </c>
      <c r="Q435" s="182">
        <v>44259</v>
      </c>
      <c r="R435" s="155">
        <v>1</v>
      </c>
      <c r="S435" s="176">
        <v>3</v>
      </c>
      <c r="T435" s="182" t="e">
        <f>VLOOKUP(A435,#REF!,9,FALSE)</f>
        <v>#REF!</v>
      </c>
      <c r="U435" s="155" t="s">
        <v>632</v>
      </c>
      <c r="V435" s="155" t="s">
        <v>632</v>
      </c>
      <c r="W435" s="155">
        <v>0</v>
      </c>
      <c r="X435" s="155">
        <v>0</v>
      </c>
      <c r="Y435" s="183">
        <v>0</v>
      </c>
    </row>
    <row r="436" spans="1:25" ht="30">
      <c r="A436" s="179">
        <v>418571006</v>
      </c>
      <c r="B436" t="s">
        <v>1674</v>
      </c>
      <c r="C436" t="s">
        <v>1668</v>
      </c>
      <c r="D436" t="s">
        <v>1665</v>
      </c>
      <c r="E436" t="s">
        <v>698</v>
      </c>
      <c r="F436" t="s">
        <v>2440</v>
      </c>
      <c r="G436" t="s">
        <v>1674</v>
      </c>
      <c r="H436" s="155" t="s">
        <v>2443</v>
      </c>
      <c r="I436" s="176" t="s">
        <v>1926</v>
      </c>
      <c r="J436" s="181">
        <v>43528</v>
      </c>
      <c r="K436" s="140">
        <v>45354</v>
      </c>
      <c r="L436" s="155">
        <v>5</v>
      </c>
      <c r="M436" s="155">
        <v>0</v>
      </c>
      <c r="N436" s="155">
        <v>0</v>
      </c>
      <c r="O436" s="155" t="s">
        <v>730</v>
      </c>
      <c r="P436" s="176" t="s">
        <v>730</v>
      </c>
      <c r="Q436" s="182">
        <v>44259</v>
      </c>
      <c r="R436" s="155">
        <v>1</v>
      </c>
      <c r="S436" s="176">
        <v>3</v>
      </c>
      <c r="T436" s="182" t="e">
        <f>VLOOKUP(A436,#REF!,9,FALSE)</f>
        <v>#REF!</v>
      </c>
      <c r="U436" s="155" t="s">
        <v>632</v>
      </c>
      <c r="V436" s="155" t="s">
        <v>632</v>
      </c>
      <c r="W436" s="155">
        <v>0</v>
      </c>
      <c r="X436" s="155">
        <v>0</v>
      </c>
      <c r="Y436" s="183">
        <v>0</v>
      </c>
    </row>
    <row r="437" spans="1:25" ht="30">
      <c r="A437" s="179">
        <v>418571007</v>
      </c>
      <c r="B437" t="s">
        <v>1676</v>
      </c>
      <c r="C437" t="s">
        <v>1668</v>
      </c>
      <c r="D437" t="s">
        <v>1665</v>
      </c>
      <c r="E437" t="s">
        <v>698</v>
      </c>
      <c r="F437" t="s">
        <v>2440</v>
      </c>
      <c r="G437" t="s">
        <v>1676</v>
      </c>
      <c r="H437" s="155" t="s">
        <v>2444</v>
      </c>
      <c r="I437" s="176" t="s">
        <v>1926</v>
      </c>
      <c r="J437" s="181">
        <v>43528</v>
      </c>
      <c r="K437" s="140">
        <v>45354</v>
      </c>
      <c r="L437" s="155">
        <v>5</v>
      </c>
      <c r="M437" s="155">
        <v>0</v>
      </c>
      <c r="N437" s="155">
        <v>0</v>
      </c>
      <c r="O437" s="155" t="s">
        <v>730</v>
      </c>
      <c r="P437" s="176" t="s">
        <v>730</v>
      </c>
      <c r="Q437" s="182">
        <v>44259</v>
      </c>
      <c r="R437" s="155">
        <v>1</v>
      </c>
      <c r="S437" s="176">
        <v>3</v>
      </c>
      <c r="T437" s="182" t="e">
        <f>VLOOKUP(A437,#REF!,9,FALSE)</f>
        <v>#REF!</v>
      </c>
      <c r="U437" s="155" t="s">
        <v>632</v>
      </c>
      <c r="V437" s="155" t="s">
        <v>632</v>
      </c>
      <c r="W437" s="155">
        <v>0</v>
      </c>
      <c r="X437" s="155">
        <v>0</v>
      </c>
      <c r="Y437" s="183">
        <v>0</v>
      </c>
    </row>
    <row r="438" spans="1:25" ht="30">
      <c r="A438" s="179">
        <v>418571008</v>
      </c>
      <c r="B438" t="s">
        <v>1678</v>
      </c>
      <c r="C438" t="s">
        <v>1668</v>
      </c>
      <c r="D438" t="s">
        <v>1665</v>
      </c>
      <c r="E438" t="s">
        <v>698</v>
      </c>
      <c r="F438" t="s">
        <v>2440</v>
      </c>
      <c r="G438" t="s">
        <v>1678</v>
      </c>
      <c r="H438" s="155" t="s">
        <v>2445</v>
      </c>
      <c r="I438" s="176" t="s">
        <v>1926</v>
      </c>
      <c r="J438" s="181">
        <v>43528</v>
      </c>
      <c r="K438" s="140">
        <v>45354</v>
      </c>
      <c r="L438" s="155">
        <v>5</v>
      </c>
      <c r="M438" s="155">
        <v>0</v>
      </c>
      <c r="N438" s="155">
        <v>0</v>
      </c>
      <c r="O438" s="155" t="s">
        <v>730</v>
      </c>
      <c r="P438" s="176" t="s">
        <v>730</v>
      </c>
      <c r="Q438" s="182">
        <v>44259</v>
      </c>
      <c r="R438" s="155">
        <v>1</v>
      </c>
      <c r="S438" s="176">
        <v>3</v>
      </c>
      <c r="T438" s="182" t="e">
        <f>VLOOKUP(A438,#REF!,9,FALSE)</f>
        <v>#REF!</v>
      </c>
      <c r="U438" s="155" t="s">
        <v>632</v>
      </c>
      <c r="V438" s="155" t="s">
        <v>632</v>
      </c>
      <c r="W438" s="155">
        <v>0</v>
      </c>
      <c r="X438" s="155">
        <v>0</v>
      </c>
      <c r="Y438" s="183">
        <v>0</v>
      </c>
    </row>
    <row r="439" spans="1:25" ht="30">
      <c r="A439" s="179">
        <v>418571009</v>
      </c>
      <c r="B439" t="s">
        <v>1680</v>
      </c>
      <c r="C439" t="s">
        <v>1668</v>
      </c>
      <c r="D439" t="s">
        <v>1665</v>
      </c>
      <c r="E439" t="s">
        <v>698</v>
      </c>
      <c r="F439" t="s">
        <v>2440</v>
      </c>
      <c r="G439" t="s">
        <v>1680</v>
      </c>
      <c r="H439" s="155" t="s">
        <v>2446</v>
      </c>
      <c r="I439" s="176" t="s">
        <v>1926</v>
      </c>
      <c r="J439" s="181">
        <v>43528</v>
      </c>
      <c r="K439" s="140">
        <v>45354</v>
      </c>
      <c r="L439" s="155">
        <v>5</v>
      </c>
      <c r="M439" s="155">
        <v>0</v>
      </c>
      <c r="N439" s="155">
        <v>0</v>
      </c>
      <c r="O439" s="155" t="s">
        <v>730</v>
      </c>
      <c r="P439" s="176" t="s">
        <v>730</v>
      </c>
      <c r="Q439" s="182">
        <v>44259</v>
      </c>
      <c r="R439" s="155">
        <v>1</v>
      </c>
      <c r="S439" s="176">
        <v>3</v>
      </c>
      <c r="T439" s="182" t="e">
        <f>VLOOKUP(A439,#REF!,9,FALSE)</f>
        <v>#REF!</v>
      </c>
      <c r="U439" s="155" t="s">
        <v>632</v>
      </c>
      <c r="V439" s="155" t="s">
        <v>632</v>
      </c>
      <c r="W439" s="155">
        <v>0</v>
      </c>
      <c r="X439" s="155">
        <v>0</v>
      </c>
      <c r="Y439" s="183">
        <v>0</v>
      </c>
    </row>
    <row r="440" spans="1:25" ht="30">
      <c r="A440" s="179">
        <v>418571010</v>
      </c>
      <c r="B440" t="s">
        <v>1682</v>
      </c>
      <c r="C440" t="s">
        <v>1668</v>
      </c>
      <c r="D440" t="s">
        <v>1665</v>
      </c>
      <c r="E440" t="s">
        <v>698</v>
      </c>
      <c r="F440" t="s">
        <v>2440</v>
      </c>
      <c r="G440" t="s">
        <v>1682</v>
      </c>
      <c r="H440" s="155" t="s">
        <v>2447</v>
      </c>
      <c r="I440" s="176" t="s">
        <v>1926</v>
      </c>
      <c r="J440" s="181">
        <v>43528</v>
      </c>
      <c r="K440" s="140">
        <v>45354</v>
      </c>
      <c r="L440" s="155">
        <v>5</v>
      </c>
      <c r="M440" s="155">
        <v>0</v>
      </c>
      <c r="N440" s="155">
        <v>0</v>
      </c>
      <c r="O440" s="155" t="s">
        <v>730</v>
      </c>
      <c r="P440" s="176" t="s">
        <v>730</v>
      </c>
      <c r="Q440" s="182">
        <v>44259</v>
      </c>
      <c r="R440" s="155">
        <v>1</v>
      </c>
      <c r="S440" s="176">
        <v>3</v>
      </c>
      <c r="T440" s="182" t="e">
        <f>VLOOKUP(A440,#REF!,9,FALSE)</f>
        <v>#REF!</v>
      </c>
      <c r="U440" s="155" t="s">
        <v>632</v>
      </c>
      <c r="V440" s="155" t="s">
        <v>632</v>
      </c>
      <c r="W440" s="155">
        <v>0</v>
      </c>
      <c r="X440" s="155">
        <v>0</v>
      </c>
      <c r="Y440" s="183">
        <v>0</v>
      </c>
    </row>
    <row r="441" spans="1:25" ht="30">
      <c r="A441" s="179">
        <v>418571011</v>
      </c>
      <c r="B441" t="s">
        <v>1684</v>
      </c>
      <c r="C441" t="s">
        <v>1668</v>
      </c>
      <c r="D441" t="s">
        <v>1665</v>
      </c>
      <c r="E441" t="s">
        <v>698</v>
      </c>
      <c r="F441" t="s">
        <v>2440</v>
      </c>
      <c r="G441" t="s">
        <v>1684</v>
      </c>
      <c r="H441" s="155" t="s">
        <v>2448</v>
      </c>
      <c r="I441" s="176" t="s">
        <v>1926</v>
      </c>
      <c r="J441" s="181">
        <v>43528</v>
      </c>
      <c r="K441" s="140">
        <v>45354</v>
      </c>
      <c r="L441" s="155">
        <v>5</v>
      </c>
      <c r="M441" s="155">
        <v>0</v>
      </c>
      <c r="N441" s="155">
        <v>0</v>
      </c>
      <c r="O441" s="155" t="s">
        <v>730</v>
      </c>
      <c r="P441" s="176" t="s">
        <v>730</v>
      </c>
      <c r="Q441" s="182">
        <v>44259</v>
      </c>
      <c r="R441" s="155">
        <v>1</v>
      </c>
      <c r="S441" s="176">
        <v>0</v>
      </c>
      <c r="T441" s="182" t="e">
        <f>VLOOKUP(A441,#REF!,9,FALSE)</f>
        <v>#REF!</v>
      </c>
      <c r="U441" s="155" t="s">
        <v>632</v>
      </c>
      <c r="V441" s="155" t="s">
        <v>632</v>
      </c>
      <c r="W441" s="155">
        <v>0</v>
      </c>
      <c r="X441" s="155">
        <v>0</v>
      </c>
      <c r="Y441" s="183">
        <v>0</v>
      </c>
    </row>
    <row r="442" spans="1:25" ht="30">
      <c r="A442" s="179">
        <v>418571012</v>
      </c>
      <c r="B442" t="s">
        <v>1686</v>
      </c>
      <c r="C442" t="s">
        <v>1668</v>
      </c>
      <c r="D442" t="s">
        <v>1665</v>
      </c>
      <c r="E442" t="s">
        <v>698</v>
      </c>
      <c r="F442" t="s">
        <v>2440</v>
      </c>
      <c r="G442" t="s">
        <v>1686</v>
      </c>
      <c r="H442" s="155" t="s">
        <v>2449</v>
      </c>
      <c r="I442" s="176" t="s">
        <v>1926</v>
      </c>
      <c r="J442" s="181">
        <v>43528</v>
      </c>
      <c r="K442" s="140">
        <v>45354</v>
      </c>
      <c r="L442" s="155">
        <v>5</v>
      </c>
      <c r="M442" s="155">
        <v>0</v>
      </c>
      <c r="N442" s="155">
        <v>0</v>
      </c>
      <c r="O442" s="155" t="s">
        <v>730</v>
      </c>
      <c r="P442" s="176" t="s">
        <v>730</v>
      </c>
      <c r="Q442" s="182">
        <v>44259</v>
      </c>
      <c r="R442" s="155">
        <v>1</v>
      </c>
      <c r="S442" s="176">
        <v>3</v>
      </c>
      <c r="T442" s="182" t="e">
        <f>VLOOKUP(A442,#REF!,9,FALSE)</f>
        <v>#REF!</v>
      </c>
      <c r="U442" s="155" t="s">
        <v>632</v>
      </c>
      <c r="V442" s="155" t="s">
        <v>632</v>
      </c>
      <c r="W442" s="155">
        <v>0</v>
      </c>
      <c r="X442" s="155">
        <v>0</v>
      </c>
      <c r="Y442" s="183">
        <v>0</v>
      </c>
    </row>
    <row r="443" spans="1:25" ht="30">
      <c r="A443" s="179">
        <v>418571013</v>
      </c>
      <c r="B443" t="s">
        <v>1688</v>
      </c>
      <c r="C443" t="s">
        <v>1668</v>
      </c>
      <c r="D443" t="s">
        <v>1665</v>
      </c>
      <c r="E443" t="s">
        <v>698</v>
      </c>
      <c r="F443" t="s">
        <v>2440</v>
      </c>
      <c r="G443" t="s">
        <v>1688</v>
      </c>
      <c r="H443" s="155" t="s">
        <v>2450</v>
      </c>
      <c r="I443" s="176" t="s">
        <v>1926</v>
      </c>
      <c r="J443" s="181">
        <v>43528</v>
      </c>
      <c r="K443" s="140">
        <v>45354</v>
      </c>
      <c r="L443" s="155">
        <v>5</v>
      </c>
      <c r="M443" s="155">
        <v>0</v>
      </c>
      <c r="N443" s="155">
        <v>0</v>
      </c>
      <c r="O443" s="155" t="s">
        <v>730</v>
      </c>
      <c r="P443" s="176" t="s">
        <v>730</v>
      </c>
      <c r="Q443" s="182">
        <v>44259</v>
      </c>
      <c r="R443" s="155">
        <v>1</v>
      </c>
      <c r="S443" s="176">
        <v>3</v>
      </c>
      <c r="T443" s="182" t="e">
        <f>VLOOKUP(A443,#REF!,9,FALSE)</f>
        <v>#REF!</v>
      </c>
      <c r="U443" s="155" t="s">
        <v>632</v>
      </c>
      <c r="V443" s="155" t="s">
        <v>632</v>
      </c>
      <c r="W443" s="155">
        <v>0</v>
      </c>
      <c r="X443" s="155">
        <v>0</v>
      </c>
      <c r="Y443" s="183">
        <v>0</v>
      </c>
    </row>
    <row r="444" spans="1:25" ht="30">
      <c r="A444" s="179">
        <v>418571014</v>
      </c>
      <c r="B444" t="s">
        <v>1690</v>
      </c>
      <c r="C444" t="s">
        <v>1668</v>
      </c>
      <c r="D444" t="s">
        <v>1665</v>
      </c>
      <c r="E444" t="s">
        <v>698</v>
      </c>
      <c r="F444" t="s">
        <v>2440</v>
      </c>
      <c r="G444" t="s">
        <v>1690</v>
      </c>
      <c r="H444" s="155" t="s">
        <v>2451</v>
      </c>
      <c r="I444" s="176" t="s">
        <v>1926</v>
      </c>
      <c r="J444" s="181">
        <v>43528</v>
      </c>
      <c r="K444" s="140">
        <v>45354</v>
      </c>
      <c r="L444" s="155">
        <v>5</v>
      </c>
      <c r="M444" s="155">
        <v>0</v>
      </c>
      <c r="N444" s="155">
        <v>0</v>
      </c>
      <c r="O444" s="155" t="s">
        <v>730</v>
      </c>
      <c r="P444" s="176" t="s">
        <v>730</v>
      </c>
      <c r="Q444" s="182">
        <v>44259</v>
      </c>
      <c r="R444" s="155">
        <v>1</v>
      </c>
      <c r="S444" s="176">
        <v>3</v>
      </c>
      <c r="T444" s="182" t="e">
        <f>VLOOKUP(A444,#REF!,9,FALSE)</f>
        <v>#REF!</v>
      </c>
      <c r="U444" s="155" t="s">
        <v>632</v>
      </c>
      <c r="V444" s="155" t="s">
        <v>632</v>
      </c>
      <c r="W444" s="155">
        <v>0</v>
      </c>
      <c r="X444" s="155">
        <v>0</v>
      </c>
      <c r="Y444" s="183">
        <v>0</v>
      </c>
    </row>
    <row r="445" spans="1:25" ht="30">
      <c r="A445" s="179">
        <v>418571015</v>
      </c>
      <c r="B445" t="s">
        <v>1692</v>
      </c>
      <c r="C445" t="s">
        <v>1668</v>
      </c>
      <c r="D445" t="s">
        <v>1665</v>
      </c>
      <c r="E445" t="s">
        <v>698</v>
      </c>
      <c r="F445" t="s">
        <v>2440</v>
      </c>
      <c r="G445" t="s">
        <v>1692</v>
      </c>
      <c r="H445" s="155" t="s">
        <v>2452</v>
      </c>
      <c r="I445" s="176" t="s">
        <v>1926</v>
      </c>
      <c r="J445" s="181">
        <v>43528</v>
      </c>
      <c r="K445" s="140">
        <v>45354</v>
      </c>
      <c r="L445" s="155">
        <v>5</v>
      </c>
      <c r="M445" s="155">
        <v>0</v>
      </c>
      <c r="N445" s="155">
        <v>0</v>
      </c>
      <c r="O445" s="155" t="s">
        <v>730</v>
      </c>
      <c r="P445" s="176" t="s">
        <v>730</v>
      </c>
      <c r="Q445" s="182">
        <v>44259</v>
      </c>
      <c r="R445" s="155">
        <v>1</v>
      </c>
      <c r="S445" s="176">
        <v>3</v>
      </c>
      <c r="T445" s="182" t="e">
        <f>VLOOKUP(A445,#REF!,9,FALSE)</f>
        <v>#REF!</v>
      </c>
      <c r="U445" s="155" t="s">
        <v>632</v>
      </c>
      <c r="V445" s="155" t="s">
        <v>632</v>
      </c>
      <c r="W445" s="155">
        <v>0</v>
      </c>
      <c r="X445" s="155">
        <v>0</v>
      </c>
      <c r="Y445" s="183">
        <v>0</v>
      </c>
    </row>
    <row r="446" spans="1:25" ht="30">
      <c r="A446" s="179">
        <v>418571016</v>
      </c>
      <c r="B446" t="s">
        <v>1694</v>
      </c>
      <c r="C446" t="s">
        <v>1668</v>
      </c>
      <c r="D446" t="s">
        <v>1665</v>
      </c>
      <c r="E446" t="s">
        <v>698</v>
      </c>
      <c r="F446" t="s">
        <v>2440</v>
      </c>
      <c r="G446" t="s">
        <v>1694</v>
      </c>
      <c r="H446" s="155" t="s">
        <v>2453</v>
      </c>
      <c r="I446" s="176" t="s">
        <v>1926</v>
      </c>
      <c r="J446" s="181">
        <v>43528</v>
      </c>
      <c r="K446" s="140">
        <v>45354</v>
      </c>
      <c r="L446" s="155">
        <v>5</v>
      </c>
      <c r="M446" s="155">
        <v>0</v>
      </c>
      <c r="N446" s="155">
        <v>0</v>
      </c>
      <c r="O446" s="155" t="s">
        <v>730</v>
      </c>
      <c r="P446" s="176" t="s">
        <v>730</v>
      </c>
      <c r="Q446" s="182">
        <v>44259</v>
      </c>
      <c r="R446" s="155">
        <v>1</v>
      </c>
      <c r="S446" s="176">
        <v>3</v>
      </c>
      <c r="T446" s="182" t="e">
        <f>VLOOKUP(A446,#REF!,9,FALSE)</f>
        <v>#REF!</v>
      </c>
      <c r="U446" s="155" t="s">
        <v>632</v>
      </c>
      <c r="V446" s="155" t="s">
        <v>632</v>
      </c>
      <c r="W446" s="155">
        <v>0</v>
      </c>
      <c r="X446" s="155">
        <v>0</v>
      </c>
      <c r="Y446" s="183">
        <v>0</v>
      </c>
    </row>
    <row r="447" spans="1:25" ht="30">
      <c r="A447" s="179">
        <v>418571017</v>
      </c>
      <c r="B447" t="s">
        <v>1696</v>
      </c>
      <c r="C447" t="s">
        <v>1668</v>
      </c>
      <c r="D447" t="s">
        <v>1665</v>
      </c>
      <c r="E447" t="s">
        <v>698</v>
      </c>
      <c r="F447" t="s">
        <v>2440</v>
      </c>
      <c r="G447" t="s">
        <v>1696</v>
      </c>
      <c r="H447" s="155" t="s">
        <v>2454</v>
      </c>
      <c r="I447" s="176" t="s">
        <v>1926</v>
      </c>
      <c r="J447" s="181">
        <v>43528</v>
      </c>
      <c r="K447" s="140">
        <v>45354</v>
      </c>
      <c r="L447" s="155">
        <v>5</v>
      </c>
      <c r="M447" s="155">
        <v>0</v>
      </c>
      <c r="N447" s="155">
        <v>0</v>
      </c>
      <c r="O447" s="155" t="s">
        <v>730</v>
      </c>
      <c r="P447" s="176" t="s">
        <v>730</v>
      </c>
      <c r="Q447" s="182">
        <v>44259</v>
      </c>
      <c r="R447" s="155">
        <v>1</v>
      </c>
      <c r="S447" s="176">
        <v>3</v>
      </c>
      <c r="T447" s="182" t="e">
        <f>VLOOKUP(A447,#REF!,9,FALSE)</f>
        <v>#REF!</v>
      </c>
      <c r="U447" s="155" t="s">
        <v>632</v>
      </c>
      <c r="V447" s="155" t="s">
        <v>632</v>
      </c>
      <c r="W447" s="155">
        <v>0</v>
      </c>
      <c r="X447" s="155">
        <v>0</v>
      </c>
      <c r="Y447" s="183">
        <v>0</v>
      </c>
    </row>
    <row r="448" spans="1:25" ht="30">
      <c r="A448" s="179">
        <v>418571018</v>
      </c>
      <c r="B448" t="s">
        <v>1698</v>
      </c>
      <c r="C448" t="s">
        <v>1668</v>
      </c>
      <c r="D448" t="s">
        <v>1665</v>
      </c>
      <c r="E448" t="s">
        <v>698</v>
      </c>
      <c r="F448" t="s">
        <v>2440</v>
      </c>
      <c r="G448" t="s">
        <v>1698</v>
      </c>
      <c r="H448" s="155" t="s">
        <v>2455</v>
      </c>
      <c r="I448" s="176" t="s">
        <v>1926</v>
      </c>
      <c r="J448" s="181">
        <v>43528</v>
      </c>
      <c r="K448" s="140">
        <v>45354</v>
      </c>
      <c r="L448" s="155">
        <v>5</v>
      </c>
      <c r="M448" s="155">
        <v>0</v>
      </c>
      <c r="N448" s="155">
        <v>0</v>
      </c>
      <c r="O448" s="155" t="s">
        <v>730</v>
      </c>
      <c r="P448" s="176" t="s">
        <v>730</v>
      </c>
      <c r="Q448" s="182">
        <v>44259</v>
      </c>
      <c r="R448" s="155">
        <v>1</v>
      </c>
      <c r="S448" s="176">
        <v>3</v>
      </c>
      <c r="T448" s="182" t="e">
        <f>VLOOKUP(A448,#REF!,9,FALSE)</f>
        <v>#REF!</v>
      </c>
      <c r="U448" s="155" t="s">
        <v>632</v>
      </c>
      <c r="V448" s="155" t="s">
        <v>632</v>
      </c>
      <c r="W448" s="155">
        <v>0</v>
      </c>
      <c r="X448" s="155">
        <v>0</v>
      </c>
      <c r="Y448" s="183">
        <v>0</v>
      </c>
    </row>
    <row r="449" spans="1:25" ht="30">
      <c r="A449" s="179">
        <v>418572001</v>
      </c>
      <c r="B449" t="s">
        <v>931</v>
      </c>
      <c r="C449" t="s">
        <v>618</v>
      </c>
      <c r="D449" t="s">
        <v>753</v>
      </c>
      <c r="E449" t="s">
        <v>698</v>
      </c>
      <c r="F449" t="s">
        <v>2456</v>
      </c>
      <c r="G449" t="s">
        <v>931</v>
      </c>
      <c r="H449" s="155" t="s">
        <v>2457</v>
      </c>
      <c r="I449" s="176" t="s">
        <v>1926</v>
      </c>
      <c r="J449" s="181">
        <v>42424</v>
      </c>
      <c r="K449" s="140">
        <v>47902</v>
      </c>
      <c r="L449" s="155">
        <v>15</v>
      </c>
      <c r="M449" s="155">
        <v>0</v>
      </c>
      <c r="N449" s="155">
        <v>0</v>
      </c>
      <c r="O449" s="155" t="s">
        <v>730</v>
      </c>
      <c r="P449" s="176" t="s">
        <v>730</v>
      </c>
      <c r="Q449" s="182">
        <v>44243</v>
      </c>
      <c r="R449" s="155">
        <v>5</v>
      </c>
      <c r="S449" s="176">
        <v>6</v>
      </c>
      <c r="T449" s="182" t="e">
        <f>VLOOKUP(A449,#REF!,9,FALSE)</f>
        <v>#REF!</v>
      </c>
      <c r="U449" s="155" t="s">
        <v>632</v>
      </c>
      <c r="V449" s="155" t="s">
        <v>632</v>
      </c>
      <c r="W449" s="155">
        <v>0</v>
      </c>
      <c r="X449" s="155">
        <v>6</v>
      </c>
      <c r="Y449" s="183">
        <v>0</v>
      </c>
    </row>
    <row r="450" spans="1:25" ht="45">
      <c r="A450" s="179">
        <v>418572002</v>
      </c>
      <c r="B450" t="s">
        <v>933</v>
      </c>
      <c r="C450" t="s">
        <v>618</v>
      </c>
      <c r="D450" t="s">
        <v>753</v>
      </c>
      <c r="E450" t="s">
        <v>698</v>
      </c>
      <c r="F450" t="s">
        <v>2458</v>
      </c>
      <c r="G450" t="s">
        <v>933</v>
      </c>
      <c r="H450" s="155" t="s">
        <v>2459</v>
      </c>
      <c r="I450" s="176" t="s">
        <v>1926</v>
      </c>
      <c r="J450" s="181">
        <v>44888</v>
      </c>
      <c r="K450" s="140">
        <v>46713</v>
      </c>
      <c r="L450" s="155">
        <v>5</v>
      </c>
      <c r="M450" s="155">
        <v>0</v>
      </c>
      <c r="N450" s="155">
        <v>0</v>
      </c>
      <c r="O450" s="155" t="s">
        <v>730</v>
      </c>
      <c r="P450" s="176" t="s">
        <v>730</v>
      </c>
      <c r="Q450" s="184" t="s">
        <v>730</v>
      </c>
      <c r="R450" s="155">
        <v>0</v>
      </c>
      <c r="S450" s="176">
        <v>0</v>
      </c>
      <c r="T450" s="182" t="e">
        <f>VLOOKUP(A450,#REF!,9,FALSE)</f>
        <v>#REF!</v>
      </c>
      <c r="U450" s="155" t="s">
        <v>632</v>
      </c>
      <c r="V450" s="155" t="s">
        <v>632</v>
      </c>
      <c r="W450" s="155">
        <v>0</v>
      </c>
      <c r="X450" s="155">
        <v>6</v>
      </c>
      <c r="Y450" s="183">
        <v>0</v>
      </c>
    </row>
    <row r="451" spans="1:25" ht="45">
      <c r="A451" s="179">
        <v>418572004</v>
      </c>
      <c r="B451" t="s">
        <v>1700</v>
      </c>
      <c r="C451" t="s">
        <v>1668</v>
      </c>
      <c r="D451" t="s">
        <v>1665</v>
      </c>
      <c r="E451" t="s">
        <v>698</v>
      </c>
      <c r="F451" t="s">
        <v>2460</v>
      </c>
      <c r="G451" t="s">
        <v>1700</v>
      </c>
      <c r="H451" s="155" t="s">
        <v>2461</v>
      </c>
      <c r="I451" s="176" t="s">
        <v>1926</v>
      </c>
      <c r="J451" s="181">
        <v>45536</v>
      </c>
      <c r="K451" s="140">
        <v>47361</v>
      </c>
      <c r="L451" s="155">
        <v>5</v>
      </c>
      <c r="M451" s="155">
        <v>0</v>
      </c>
      <c r="N451" s="155">
        <v>0</v>
      </c>
      <c r="O451" s="155" t="s">
        <v>730</v>
      </c>
      <c r="P451" s="176" t="s">
        <v>730</v>
      </c>
      <c r="Q451" s="182">
        <v>45901</v>
      </c>
      <c r="R451" s="155">
        <v>1</v>
      </c>
      <c r="S451" s="176">
        <v>6</v>
      </c>
      <c r="T451" s="182" t="e">
        <f>VLOOKUP(A451,#REF!,9,FALSE)</f>
        <v>#REF!</v>
      </c>
      <c r="U451" s="155" t="s">
        <v>632</v>
      </c>
      <c r="V451" s="155" t="s">
        <v>632</v>
      </c>
      <c r="W451" s="155">
        <v>0</v>
      </c>
      <c r="X451" s="155">
        <v>6</v>
      </c>
      <c r="Y451" s="183">
        <v>0</v>
      </c>
    </row>
    <row r="452" spans="1:25" ht="30">
      <c r="A452" s="179">
        <v>418572005</v>
      </c>
      <c r="B452" t="s">
        <v>1702</v>
      </c>
      <c r="C452" t="s">
        <v>1668</v>
      </c>
      <c r="D452" t="s">
        <v>1665</v>
      </c>
      <c r="E452" t="s">
        <v>698</v>
      </c>
      <c r="F452" t="s">
        <v>2440</v>
      </c>
      <c r="G452" t="s">
        <v>1702</v>
      </c>
      <c r="H452" s="155" t="s">
        <v>2462</v>
      </c>
      <c r="I452" s="176" t="s">
        <v>1926</v>
      </c>
      <c r="J452" s="181">
        <v>45536</v>
      </c>
      <c r="K452" s="140">
        <v>47361</v>
      </c>
      <c r="L452" s="155">
        <v>5</v>
      </c>
      <c r="M452" s="155">
        <v>0</v>
      </c>
      <c r="N452" s="155">
        <v>0</v>
      </c>
      <c r="O452" s="155" t="s">
        <v>730</v>
      </c>
      <c r="P452" s="176" t="s">
        <v>730</v>
      </c>
      <c r="Q452" s="182">
        <v>45901</v>
      </c>
      <c r="R452" s="155">
        <v>1</v>
      </c>
      <c r="S452" s="176">
        <v>6</v>
      </c>
      <c r="T452" s="182" t="e">
        <f>VLOOKUP(A452,#REF!,9,FALSE)</f>
        <v>#REF!</v>
      </c>
      <c r="U452" s="155" t="s">
        <v>632</v>
      </c>
      <c r="V452" s="155" t="s">
        <v>632</v>
      </c>
      <c r="W452" s="155">
        <v>0</v>
      </c>
      <c r="X452" s="155">
        <v>6</v>
      </c>
      <c r="Y452" s="183">
        <v>0</v>
      </c>
    </row>
    <row r="453" spans="1:25" ht="30">
      <c r="A453" s="179">
        <v>418572006</v>
      </c>
      <c r="B453" t="s">
        <v>1704</v>
      </c>
      <c r="C453" t="s">
        <v>1668</v>
      </c>
      <c r="D453" t="s">
        <v>1665</v>
      </c>
      <c r="E453" t="s">
        <v>698</v>
      </c>
      <c r="F453" t="s">
        <v>2440</v>
      </c>
      <c r="G453" t="s">
        <v>1704</v>
      </c>
      <c r="H453" s="155" t="s">
        <v>2463</v>
      </c>
      <c r="I453" s="176" t="s">
        <v>1926</v>
      </c>
      <c r="J453" s="181">
        <v>45536</v>
      </c>
      <c r="K453" s="140">
        <v>47361</v>
      </c>
      <c r="L453" s="155">
        <v>5</v>
      </c>
      <c r="M453" s="155">
        <v>0</v>
      </c>
      <c r="N453" s="155">
        <v>0</v>
      </c>
      <c r="O453" s="155" t="s">
        <v>730</v>
      </c>
      <c r="P453" s="176" t="s">
        <v>730</v>
      </c>
      <c r="Q453" s="182">
        <v>45901</v>
      </c>
      <c r="R453" s="155">
        <v>1</v>
      </c>
      <c r="S453" s="176">
        <v>6</v>
      </c>
      <c r="T453" s="182" t="e">
        <f>VLOOKUP(A453,#REF!,9,FALSE)</f>
        <v>#REF!</v>
      </c>
      <c r="U453" s="155" t="s">
        <v>632</v>
      </c>
      <c r="V453" s="155" t="s">
        <v>632</v>
      </c>
      <c r="W453" s="155">
        <v>0</v>
      </c>
      <c r="X453" s="155">
        <v>6</v>
      </c>
      <c r="Y453" s="183">
        <v>0</v>
      </c>
    </row>
    <row r="454" spans="1:25" ht="30">
      <c r="A454" s="179">
        <v>418572007</v>
      </c>
      <c r="B454" t="s">
        <v>1706</v>
      </c>
      <c r="C454" t="s">
        <v>1668</v>
      </c>
      <c r="D454" t="s">
        <v>1665</v>
      </c>
      <c r="E454" t="s">
        <v>698</v>
      </c>
      <c r="F454" t="s">
        <v>2440</v>
      </c>
      <c r="G454" t="s">
        <v>1706</v>
      </c>
      <c r="H454" s="155" t="s">
        <v>2464</v>
      </c>
      <c r="I454" s="176" t="s">
        <v>1926</v>
      </c>
      <c r="J454" s="181">
        <v>45536</v>
      </c>
      <c r="K454" s="140">
        <v>47361</v>
      </c>
      <c r="L454" s="155">
        <v>5</v>
      </c>
      <c r="M454" s="155">
        <v>0</v>
      </c>
      <c r="N454" s="155">
        <v>0</v>
      </c>
      <c r="O454" s="155" t="s">
        <v>730</v>
      </c>
      <c r="P454" s="176" t="s">
        <v>730</v>
      </c>
      <c r="Q454" s="182">
        <v>45901</v>
      </c>
      <c r="R454" s="155">
        <v>1</v>
      </c>
      <c r="S454" s="176">
        <v>6</v>
      </c>
      <c r="T454" s="182" t="e">
        <f>VLOOKUP(A454,#REF!,9,FALSE)</f>
        <v>#REF!</v>
      </c>
      <c r="U454" s="155" t="s">
        <v>632</v>
      </c>
      <c r="V454" s="155" t="s">
        <v>632</v>
      </c>
      <c r="W454" s="155">
        <v>0</v>
      </c>
      <c r="X454" s="155">
        <v>6</v>
      </c>
      <c r="Y454" s="183">
        <v>0</v>
      </c>
    </row>
    <row r="455" spans="1:25" ht="30">
      <c r="A455" s="179">
        <v>418572008</v>
      </c>
      <c r="B455" t="s">
        <v>1708</v>
      </c>
      <c r="C455" t="s">
        <v>1668</v>
      </c>
      <c r="D455" t="s">
        <v>1665</v>
      </c>
      <c r="E455" t="s">
        <v>698</v>
      </c>
      <c r="F455" t="s">
        <v>2440</v>
      </c>
      <c r="G455" t="s">
        <v>1708</v>
      </c>
      <c r="H455" s="155" t="s">
        <v>2465</v>
      </c>
      <c r="I455" s="176" t="s">
        <v>1926</v>
      </c>
      <c r="J455" s="181">
        <v>45536</v>
      </c>
      <c r="K455" s="140">
        <v>47361</v>
      </c>
      <c r="L455" s="155">
        <v>5</v>
      </c>
      <c r="M455" s="155">
        <v>0</v>
      </c>
      <c r="N455" s="155">
        <v>0</v>
      </c>
      <c r="O455" s="155" t="s">
        <v>730</v>
      </c>
      <c r="P455" s="176" t="s">
        <v>730</v>
      </c>
      <c r="Q455" s="182">
        <v>45901</v>
      </c>
      <c r="R455" s="155">
        <v>1</v>
      </c>
      <c r="S455" s="176">
        <v>6</v>
      </c>
      <c r="T455" s="182" t="e">
        <f>VLOOKUP(A455,#REF!,9,FALSE)</f>
        <v>#REF!</v>
      </c>
      <c r="U455" s="155" t="s">
        <v>632</v>
      </c>
      <c r="V455" s="155" t="s">
        <v>632</v>
      </c>
      <c r="W455" s="155">
        <v>0</v>
      </c>
      <c r="X455" s="155">
        <v>6</v>
      </c>
      <c r="Y455" s="183">
        <v>0</v>
      </c>
    </row>
    <row r="456" spans="1:25" ht="30">
      <c r="A456" s="179">
        <v>418572009</v>
      </c>
      <c r="B456" t="s">
        <v>1710</v>
      </c>
      <c r="C456" t="s">
        <v>1668</v>
      </c>
      <c r="D456" t="s">
        <v>1665</v>
      </c>
      <c r="E456" t="s">
        <v>698</v>
      </c>
      <c r="F456" t="s">
        <v>2440</v>
      </c>
      <c r="G456" t="s">
        <v>1710</v>
      </c>
      <c r="H456" s="155" t="s">
        <v>2466</v>
      </c>
      <c r="I456" s="176" t="s">
        <v>1926</v>
      </c>
      <c r="J456" s="181">
        <v>45536</v>
      </c>
      <c r="K456" s="140">
        <v>47361</v>
      </c>
      <c r="L456" s="155">
        <v>5</v>
      </c>
      <c r="M456" s="155">
        <v>0</v>
      </c>
      <c r="N456" s="155">
        <v>0</v>
      </c>
      <c r="O456" s="155" t="s">
        <v>730</v>
      </c>
      <c r="P456" s="176" t="s">
        <v>730</v>
      </c>
      <c r="Q456" s="182">
        <v>45901</v>
      </c>
      <c r="R456" s="155">
        <v>1</v>
      </c>
      <c r="S456" s="176">
        <v>6</v>
      </c>
      <c r="T456" s="182" t="e">
        <f>VLOOKUP(A456,#REF!,9,FALSE)</f>
        <v>#REF!</v>
      </c>
      <c r="U456" s="155" t="s">
        <v>632</v>
      </c>
      <c r="V456" s="155" t="s">
        <v>632</v>
      </c>
      <c r="W456" s="155">
        <v>0</v>
      </c>
      <c r="X456" s="155">
        <v>6</v>
      </c>
      <c r="Y456" s="183">
        <v>0</v>
      </c>
    </row>
    <row r="457" spans="1:25" ht="30">
      <c r="A457" s="179">
        <v>418572010</v>
      </c>
      <c r="B457" t="s">
        <v>1712</v>
      </c>
      <c r="C457" t="s">
        <v>1668</v>
      </c>
      <c r="D457" t="s">
        <v>1665</v>
      </c>
      <c r="E457" t="s">
        <v>698</v>
      </c>
      <c r="F457" t="s">
        <v>2440</v>
      </c>
      <c r="G457" t="s">
        <v>1712</v>
      </c>
      <c r="H457" s="155" t="s">
        <v>2467</v>
      </c>
      <c r="I457" s="176" t="s">
        <v>1926</v>
      </c>
      <c r="J457" s="181">
        <v>45536</v>
      </c>
      <c r="K457" s="140">
        <v>47361</v>
      </c>
      <c r="L457" s="155">
        <v>5</v>
      </c>
      <c r="M457" s="155">
        <v>0</v>
      </c>
      <c r="N457" s="155">
        <v>0</v>
      </c>
      <c r="O457" s="155" t="s">
        <v>730</v>
      </c>
      <c r="P457" s="176" t="s">
        <v>730</v>
      </c>
      <c r="Q457" s="182">
        <v>45901</v>
      </c>
      <c r="R457" s="155">
        <v>1</v>
      </c>
      <c r="S457" s="176">
        <v>6</v>
      </c>
      <c r="T457" s="182" t="e">
        <f>VLOOKUP(A457,#REF!,9,FALSE)</f>
        <v>#REF!</v>
      </c>
      <c r="U457" s="155" t="s">
        <v>632</v>
      </c>
      <c r="V457" s="155" t="s">
        <v>632</v>
      </c>
      <c r="W457" s="155">
        <v>0</v>
      </c>
      <c r="X457" s="155">
        <v>6</v>
      </c>
      <c r="Y457" s="183">
        <v>0</v>
      </c>
    </row>
    <row r="458" spans="1:25" ht="30">
      <c r="A458" s="179">
        <v>418572011</v>
      </c>
      <c r="B458" t="s">
        <v>1714</v>
      </c>
      <c r="C458" t="s">
        <v>1668</v>
      </c>
      <c r="D458" t="s">
        <v>1665</v>
      </c>
      <c r="E458" t="s">
        <v>698</v>
      </c>
      <c r="F458" t="s">
        <v>2440</v>
      </c>
      <c r="G458" t="s">
        <v>1714</v>
      </c>
      <c r="H458" s="155" t="s">
        <v>2468</v>
      </c>
      <c r="I458" s="176" t="s">
        <v>1926</v>
      </c>
      <c r="J458" s="181">
        <v>45536</v>
      </c>
      <c r="K458" s="140">
        <v>47361</v>
      </c>
      <c r="L458" s="155">
        <v>5</v>
      </c>
      <c r="M458" s="155">
        <v>0</v>
      </c>
      <c r="N458" s="155">
        <v>0</v>
      </c>
      <c r="O458" s="155" t="s">
        <v>730</v>
      </c>
      <c r="P458" s="176" t="s">
        <v>730</v>
      </c>
      <c r="Q458" s="182">
        <v>45901</v>
      </c>
      <c r="R458" s="155">
        <v>1</v>
      </c>
      <c r="S458" s="176">
        <v>6</v>
      </c>
      <c r="T458" s="182" t="e">
        <f>VLOOKUP(A458,#REF!,9,FALSE)</f>
        <v>#REF!</v>
      </c>
      <c r="U458" s="155" t="s">
        <v>632</v>
      </c>
      <c r="V458" s="155" t="s">
        <v>632</v>
      </c>
      <c r="W458" s="155">
        <v>0</v>
      </c>
      <c r="X458" s="155">
        <v>6</v>
      </c>
      <c r="Y458" s="183">
        <v>0</v>
      </c>
    </row>
    <row r="459" spans="1:25" ht="30">
      <c r="A459" s="179">
        <v>418572012</v>
      </c>
      <c r="B459" t="s">
        <v>1716</v>
      </c>
      <c r="C459" t="s">
        <v>1668</v>
      </c>
      <c r="D459" t="s">
        <v>1665</v>
      </c>
      <c r="E459" t="s">
        <v>698</v>
      </c>
      <c r="F459" t="s">
        <v>2440</v>
      </c>
      <c r="G459" t="s">
        <v>1716</v>
      </c>
      <c r="H459" s="155" t="s">
        <v>2469</v>
      </c>
      <c r="I459" s="176" t="s">
        <v>1926</v>
      </c>
      <c r="J459" s="181">
        <v>45536</v>
      </c>
      <c r="K459" s="140">
        <v>47361</v>
      </c>
      <c r="L459" s="155">
        <v>5</v>
      </c>
      <c r="M459" s="155">
        <v>0</v>
      </c>
      <c r="N459" s="155">
        <v>0</v>
      </c>
      <c r="O459" s="155" t="s">
        <v>730</v>
      </c>
      <c r="P459" s="176" t="s">
        <v>730</v>
      </c>
      <c r="Q459" s="182">
        <v>45901</v>
      </c>
      <c r="R459" s="155">
        <v>1</v>
      </c>
      <c r="S459" s="176">
        <v>6</v>
      </c>
      <c r="T459" s="182" t="e">
        <f>VLOOKUP(A459,#REF!,9,FALSE)</f>
        <v>#REF!</v>
      </c>
      <c r="U459" s="155" t="s">
        <v>632</v>
      </c>
      <c r="V459" s="155" t="s">
        <v>632</v>
      </c>
      <c r="W459" s="155">
        <v>0</v>
      </c>
      <c r="X459" s="155">
        <v>6</v>
      </c>
      <c r="Y459" s="183">
        <v>0</v>
      </c>
    </row>
    <row r="460" spans="1:25" ht="30">
      <c r="A460" s="179">
        <v>418572013</v>
      </c>
      <c r="B460" t="s">
        <v>1718</v>
      </c>
      <c r="C460" t="s">
        <v>1668</v>
      </c>
      <c r="D460" t="s">
        <v>1665</v>
      </c>
      <c r="E460" t="s">
        <v>698</v>
      </c>
      <c r="F460" t="s">
        <v>2440</v>
      </c>
      <c r="G460" t="s">
        <v>1718</v>
      </c>
      <c r="H460" s="155" t="s">
        <v>2470</v>
      </c>
      <c r="I460" s="176" t="s">
        <v>1926</v>
      </c>
      <c r="J460" s="181">
        <v>45536</v>
      </c>
      <c r="K460" s="140">
        <v>47361</v>
      </c>
      <c r="L460" s="155">
        <v>5</v>
      </c>
      <c r="M460" s="155">
        <v>0</v>
      </c>
      <c r="N460" s="155">
        <v>0</v>
      </c>
      <c r="O460" s="155" t="s">
        <v>730</v>
      </c>
      <c r="P460" s="176" t="s">
        <v>730</v>
      </c>
      <c r="Q460" s="182">
        <v>45901</v>
      </c>
      <c r="R460" s="155">
        <v>1</v>
      </c>
      <c r="S460" s="176">
        <v>6</v>
      </c>
      <c r="T460" s="182" t="e">
        <f>VLOOKUP(A460,#REF!,9,FALSE)</f>
        <v>#REF!</v>
      </c>
      <c r="U460" s="155" t="s">
        <v>632</v>
      </c>
      <c r="V460" s="155" t="s">
        <v>632</v>
      </c>
      <c r="W460" s="155">
        <v>0</v>
      </c>
      <c r="X460" s="155">
        <v>6</v>
      </c>
      <c r="Y460" s="183">
        <v>0</v>
      </c>
    </row>
    <row r="461" spans="1:25" ht="30">
      <c r="A461" s="179">
        <v>418572014</v>
      </c>
      <c r="B461" t="s">
        <v>1720</v>
      </c>
      <c r="C461" t="s">
        <v>1668</v>
      </c>
      <c r="D461" t="s">
        <v>1665</v>
      </c>
      <c r="E461" t="s">
        <v>698</v>
      </c>
      <c r="F461" t="s">
        <v>2440</v>
      </c>
      <c r="G461" t="s">
        <v>1720</v>
      </c>
      <c r="H461" s="155" t="s">
        <v>2471</v>
      </c>
      <c r="I461" s="176" t="s">
        <v>1926</v>
      </c>
      <c r="J461" s="181">
        <v>45536</v>
      </c>
      <c r="K461" s="140">
        <v>47361</v>
      </c>
      <c r="L461" s="155">
        <v>5</v>
      </c>
      <c r="M461" s="155">
        <v>0</v>
      </c>
      <c r="N461" s="155">
        <v>0</v>
      </c>
      <c r="O461" s="155" t="s">
        <v>730</v>
      </c>
      <c r="P461" s="176" t="s">
        <v>730</v>
      </c>
      <c r="Q461" s="182">
        <v>45901</v>
      </c>
      <c r="R461" s="155">
        <v>1</v>
      </c>
      <c r="S461" s="176">
        <v>6</v>
      </c>
      <c r="T461" s="182" t="e">
        <f>VLOOKUP(A461,#REF!,9,FALSE)</f>
        <v>#REF!</v>
      </c>
      <c r="U461" s="155" t="s">
        <v>632</v>
      </c>
      <c r="V461" s="155" t="s">
        <v>632</v>
      </c>
      <c r="W461" s="155">
        <v>0</v>
      </c>
      <c r="X461" s="155">
        <v>6</v>
      </c>
      <c r="Y461" s="183">
        <v>0</v>
      </c>
    </row>
    <row r="462" spans="1:25" ht="30">
      <c r="A462" s="179">
        <v>418572015</v>
      </c>
      <c r="B462" t="s">
        <v>1722</v>
      </c>
      <c r="C462" t="s">
        <v>1668</v>
      </c>
      <c r="D462" t="s">
        <v>1665</v>
      </c>
      <c r="E462" t="s">
        <v>698</v>
      </c>
      <c r="F462" t="s">
        <v>2440</v>
      </c>
      <c r="G462" t="s">
        <v>1722</v>
      </c>
      <c r="H462" s="155" t="s">
        <v>2472</v>
      </c>
      <c r="I462" s="176" t="s">
        <v>1926</v>
      </c>
      <c r="J462" s="181">
        <v>45536</v>
      </c>
      <c r="K462" s="140">
        <v>47361</v>
      </c>
      <c r="L462" s="155">
        <v>5</v>
      </c>
      <c r="M462" s="155">
        <v>0</v>
      </c>
      <c r="N462" s="155">
        <v>0</v>
      </c>
      <c r="O462" s="155" t="s">
        <v>730</v>
      </c>
      <c r="P462" s="176" t="s">
        <v>730</v>
      </c>
      <c r="Q462" s="182">
        <v>45901</v>
      </c>
      <c r="R462" s="155">
        <v>1</v>
      </c>
      <c r="S462" s="176">
        <v>6</v>
      </c>
      <c r="T462" s="182" t="e">
        <f>VLOOKUP(A462,#REF!,9,FALSE)</f>
        <v>#REF!</v>
      </c>
      <c r="U462" s="155" t="s">
        <v>632</v>
      </c>
      <c r="V462" s="155" t="s">
        <v>632</v>
      </c>
      <c r="W462" s="155">
        <v>0</v>
      </c>
      <c r="X462" s="155">
        <v>6</v>
      </c>
      <c r="Y462" s="183">
        <v>0</v>
      </c>
    </row>
    <row r="463" spans="1:25" ht="30">
      <c r="A463" s="179">
        <v>418572016</v>
      </c>
      <c r="B463" t="s">
        <v>1724</v>
      </c>
      <c r="C463" t="s">
        <v>1668</v>
      </c>
      <c r="D463" t="s">
        <v>1665</v>
      </c>
      <c r="E463" t="s">
        <v>698</v>
      </c>
      <c r="F463" t="s">
        <v>2440</v>
      </c>
      <c r="G463" t="s">
        <v>1724</v>
      </c>
      <c r="H463" s="155" t="s">
        <v>2473</v>
      </c>
      <c r="I463" s="176" t="s">
        <v>1926</v>
      </c>
      <c r="J463" s="181">
        <v>45536</v>
      </c>
      <c r="K463" s="140">
        <v>47361</v>
      </c>
      <c r="L463" s="155">
        <v>5</v>
      </c>
      <c r="M463" s="155">
        <v>0</v>
      </c>
      <c r="N463" s="155">
        <v>0</v>
      </c>
      <c r="O463" s="155" t="s">
        <v>730</v>
      </c>
      <c r="P463" s="176" t="s">
        <v>730</v>
      </c>
      <c r="Q463" s="182">
        <v>45901</v>
      </c>
      <c r="R463" s="155">
        <v>1</v>
      </c>
      <c r="S463" s="176">
        <v>6</v>
      </c>
      <c r="T463" s="182" t="e">
        <f>VLOOKUP(A463,#REF!,9,FALSE)</f>
        <v>#REF!</v>
      </c>
      <c r="U463" s="155" t="s">
        <v>632</v>
      </c>
      <c r="V463" s="155" t="s">
        <v>632</v>
      </c>
      <c r="W463" s="155">
        <v>0</v>
      </c>
      <c r="X463" s="155">
        <v>6</v>
      </c>
      <c r="Y463" s="183">
        <v>0</v>
      </c>
    </row>
    <row r="464" spans="1:25" ht="30">
      <c r="A464" s="179">
        <v>418572017</v>
      </c>
      <c r="B464" t="s">
        <v>1726</v>
      </c>
      <c r="C464" t="s">
        <v>1668</v>
      </c>
      <c r="D464" t="s">
        <v>1665</v>
      </c>
      <c r="E464" t="s">
        <v>698</v>
      </c>
      <c r="F464" t="s">
        <v>2440</v>
      </c>
      <c r="G464" t="s">
        <v>1726</v>
      </c>
      <c r="H464" s="155" t="s">
        <v>2474</v>
      </c>
      <c r="I464" s="176" t="s">
        <v>1926</v>
      </c>
      <c r="J464" s="181">
        <v>45536</v>
      </c>
      <c r="K464" s="140">
        <v>47361</v>
      </c>
      <c r="L464" s="155">
        <v>5</v>
      </c>
      <c r="M464" s="155">
        <v>0</v>
      </c>
      <c r="N464" s="155">
        <v>0</v>
      </c>
      <c r="O464" s="155" t="s">
        <v>730</v>
      </c>
      <c r="P464" s="176" t="s">
        <v>730</v>
      </c>
      <c r="Q464" s="182">
        <v>45901</v>
      </c>
      <c r="R464" s="155">
        <v>1</v>
      </c>
      <c r="S464" s="176">
        <v>6</v>
      </c>
      <c r="T464" s="182" t="e">
        <f>VLOOKUP(A464,#REF!,9,FALSE)</f>
        <v>#REF!</v>
      </c>
      <c r="U464" s="155" t="s">
        <v>632</v>
      </c>
      <c r="V464" s="155" t="s">
        <v>632</v>
      </c>
      <c r="W464" s="155">
        <v>0</v>
      </c>
      <c r="X464" s="155">
        <v>6</v>
      </c>
      <c r="Y464" s="183">
        <v>0</v>
      </c>
    </row>
    <row r="465" spans="1:25" ht="30">
      <c r="A465" s="179">
        <v>418572018</v>
      </c>
      <c r="B465" t="s">
        <v>1728</v>
      </c>
      <c r="C465" t="s">
        <v>1668</v>
      </c>
      <c r="D465" t="s">
        <v>1665</v>
      </c>
      <c r="E465" t="s">
        <v>698</v>
      </c>
      <c r="F465" t="s">
        <v>2440</v>
      </c>
      <c r="G465" t="s">
        <v>2475</v>
      </c>
      <c r="H465" s="155" t="s">
        <v>2476</v>
      </c>
      <c r="I465" s="176" t="s">
        <v>1926</v>
      </c>
      <c r="J465" s="181">
        <v>45536</v>
      </c>
      <c r="K465" s="140">
        <v>47361</v>
      </c>
      <c r="L465" s="155">
        <v>5</v>
      </c>
      <c r="M465" s="155">
        <v>0</v>
      </c>
      <c r="N465" s="155">
        <v>0</v>
      </c>
      <c r="O465" s="155" t="s">
        <v>730</v>
      </c>
      <c r="P465" s="176" t="s">
        <v>730</v>
      </c>
      <c r="Q465" s="182">
        <v>45901</v>
      </c>
      <c r="R465" s="155">
        <v>1</v>
      </c>
      <c r="S465" s="176">
        <v>6</v>
      </c>
      <c r="T465" s="182" t="e">
        <f>VLOOKUP(A465,#REF!,9,FALSE)</f>
        <v>#REF!</v>
      </c>
      <c r="U465" s="155" t="s">
        <v>632</v>
      </c>
      <c r="V465" s="155" t="s">
        <v>632</v>
      </c>
      <c r="W465" s="155">
        <v>0</v>
      </c>
      <c r="X465" s="155">
        <v>6</v>
      </c>
      <c r="Y465" s="183">
        <v>0</v>
      </c>
    </row>
    <row r="466" spans="1:25" ht="30">
      <c r="A466" s="179">
        <v>418572019</v>
      </c>
      <c r="B466" t="s">
        <v>1730</v>
      </c>
      <c r="C466" t="s">
        <v>1668</v>
      </c>
      <c r="D466" t="s">
        <v>1665</v>
      </c>
      <c r="E466" t="s">
        <v>698</v>
      </c>
      <c r="F466" t="s">
        <v>2440</v>
      </c>
      <c r="G466" t="s">
        <v>1730</v>
      </c>
      <c r="H466" s="155" t="s">
        <v>2477</v>
      </c>
      <c r="I466" s="176" t="s">
        <v>1926</v>
      </c>
      <c r="J466" s="181">
        <v>45536</v>
      </c>
      <c r="K466" s="140">
        <v>47361</v>
      </c>
      <c r="L466" s="155">
        <v>5</v>
      </c>
      <c r="M466" s="155">
        <v>0</v>
      </c>
      <c r="N466" s="155">
        <v>0</v>
      </c>
      <c r="O466" s="155" t="s">
        <v>730</v>
      </c>
      <c r="P466" s="176" t="s">
        <v>730</v>
      </c>
      <c r="Q466" s="182">
        <v>45901</v>
      </c>
      <c r="R466" s="155">
        <v>1</v>
      </c>
      <c r="S466" s="176">
        <v>6</v>
      </c>
      <c r="T466" s="182" t="e">
        <f>VLOOKUP(A466,#REF!,9,FALSE)</f>
        <v>#REF!</v>
      </c>
      <c r="U466" s="155" t="s">
        <v>632</v>
      </c>
      <c r="V466" s="155" t="s">
        <v>632</v>
      </c>
      <c r="W466" s="155">
        <v>0</v>
      </c>
      <c r="X466" s="155">
        <v>6</v>
      </c>
      <c r="Y466" s="183">
        <v>0</v>
      </c>
    </row>
    <row r="467" spans="1:25" ht="30">
      <c r="A467" s="179">
        <v>418572020</v>
      </c>
      <c r="B467" t="s">
        <v>1732</v>
      </c>
      <c r="C467" t="s">
        <v>1668</v>
      </c>
      <c r="D467" t="s">
        <v>1665</v>
      </c>
      <c r="E467" t="s">
        <v>698</v>
      </c>
      <c r="F467" t="s">
        <v>2440</v>
      </c>
      <c r="G467" t="s">
        <v>1732</v>
      </c>
      <c r="H467" s="155" t="s">
        <v>2478</v>
      </c>
      <c r="I467" s="176" t="s">
        <v>1926</v>
      </c>
      <c r="J467" s="181">
        <v>45536</v>
      </c>
      <c r="K467" s="140">
        <v>47361</v>
      </c>
      <c r="L467" s="155">
        <v>5</v>
      </c>
      <c r="M467" s="155">
        <v>0</v>
      </c>
      <c r="N467" s="155">
        <v>0</v>
      </c>
      <c r="O467" s="155" t="s">
        <v>730</v>
      </c>
      <c r="P467" s="176" t="s">
        <v>730</v>
      </c>
      <c r="Q467" s="182">
        <v>45901</v>
      </c>
      <c r="R467" s="155">
        <v>1</v>
      </c>
      <c r="S467" s="176">
        <v>6</v>
      </c>
      <c r="T467" s="182" t="e">
        <f>VLOOKUP(A467,#REF!,9,FALSE)</f>
        <v>#REF!</v>
      </c>
      <c r="U467" s="155" t="s">
        <v>632</v>
      </c>
      <c r="V467" s="155" t="s">
        <v>632</v>
      </c>
      <c r="W467" s="155">
        <v>0</v>
      </c>
      <c r="X467" s="155">
        <v>6</v>
      </c>
      <c r="Y467" s="183">
        <v>0</v>
      </c>
    </row>
    <row r="468" spans="1:25" ht="30">
      <c r="A468" s="179">
        <v>418572021</v>
      </c>
      <c r="B468" t="s">
        <v>1734</v>
      </c>
      <c r="C468" t="s">
        <v>1668</v>
      </c>
      <c r="D468" t="s">
        <v>1665</v>
      </c>
      <c r="E468" t="s">
        <v>698</v>
      </c>
      <c r="F468" t="s">
        <v>2440</v>
      </c>
      <c r="G468" t="s">
        <v>1734</v>
      </c>
      <c r="H468" s="155" t="s">
        <v>2479</v>
      </c>
      <c r="I468" s="176" t="s">
        <v>1926</v>
      </c>
      <c r="J468" s="181">
        <v>45536</v>
      </c>
      <c r="K468" s="140">
        <v>47361</v>
      </c>
      <c r="L468" s="155">
        <v>5</v>
      </c>
      <c r="M468" s="155">
        <v>0</v>
      </c>
      <c r="N468" s="155">
        <v>0</v>
      </c>
      <c r="O468" s="155" t="s">
        <v>730</v>
      </c>
      <c r="P468" s="176" t="s">
        <v>730</v>
      </c>
      <c r="Q468" s="182">
        <v>45901</v>
      </c>
      <c r="R468" s="155">
        <v>1</v>
      </c>
      <c r="S468" s="176">
        <v>6</v>
      </c>
      <c r="T468" s="182" t="e">
        <f>VLOOKUP(A468,#REF!,9,FALSE)</f>
        <v>#REF!</v>
      </c>
      <c r="U468" s="155" t="s">
        <v>632</v>
      </c>
      <c r="V468" s="155" t="s">
        <v>632</v>
      </c>
      <c r="W468" s="155">
        <v>0</v>
      </c>
      <c r="X468" s="155">
        <v>6</v>
      </c>
      <c r="Y468" s="183">
        <v>0</v>
      </c>
    </row>
    <row r="469" spans="1:25" ht="30">
      <c r="A469" s="179">
        <v>418572022</v>
      </c>
      <c r="B469" t="s">
        <v>1736</v>
      </c>
      <c r="C469" t="s">
        <v>1668</v>
      </c>
      <c r="D469" t="s">
        <v>1665</v>
      </c>
      <c r="E469" t="s">
        <v>698</v>
      </c>
      <c r="F469" t="s">
        <v>2440</v>
      </c>
      <c r="G469" t="s">
        <v>1736</v>
      </c>
      <c r="H469" s="155" t="s">
        <v>2480</v>
      </c>
      <c r="I469" s="176" t="s">
        <v>1926</v>
      </c>
      <c r="J469" s="181">
        <v>45536</v>
      </c>
      <c r="K469" s="140">
        <v>47361</v>
      </c>
      <c r="L469" s="155">
        <v>5</v>
      </c>
      <c r="M469" s="155">
        <v>0</v>
      </c>
      <c r="N469" s="155">
        <v>0</v>
      </c>
      <c r="O469" s="155" t="s">
        <v>730</v>
      </c>
      <c r="P469" s="176" t="s">
        <v>730</v>
      </c>
      <c r="Q469" s="182">
        <v>45901</v>
      </c>
      <c r="R469" s="155">
        <v>1</v>
      </c>
      <c r="S469" s="176">
        <v>6</v>
      </c>
      <c r="T469" s="182" t="e">
        <f>VLOOKUP(A469,#REF!,9,FALSE)</f>
        <v>#REF!</v>
      </c>
      <c r="U469" s="155" t="s">
        <v>632</v>
      </c>
      <c r="V469" s="155" t="s">
        <v>632</v>
      </c>
      <c r="W469" s="155">
        <v>0</v>
      </c>
      <c r="X469" s="155">
        <v>6</v>
      </c>
      <c r="Y469" s="183">
        <v>0</v>
      </c>
    </row>
    <row r="470" spans="1:25" ht="30">
      <c r="A470" s="179">
        <v>418572023</v>
      </c>
      <c r="B470" t="s">
        <v>1738</v>
      </c>
      <c r="C470" t="s">
        <v>1668</v>
      </c>
      <c r="D470" t="s">
        <v>1665</v>
      </c>
      <c r="E470" t="s">
        <v>698</v>
      </c>
      <c r="F470" t="s">
        <v>2440</v>
      </c>
      <c r="G470" t="s">
        <v>1738</v>
      </c>
      <c r="H470" s="155" t="s">
        <v>2481</v>
      </c>
      <c r="I470" s="176" t="s">
        <v>1926</v>
      </c>
      <c r="J470" s="181">
        <v>45536</v>
      </c>
      <c r="K470" s="140">
        <v>47361</v>
      </c>
      <c r="L470" s="155">
        <v>5</v>
      </c>
      <c r="M470" s="155">
        <v>0</v>
      </c>
      <c r="N470" s="155">
        <v>0</v>
      </c>
      <c r="O470" s="155" t="s">
        <v>730</v>
      </c>
      <c r="P470" s="176" t="s">
        <v>730</v>
      </c>
      <c r="Q470" s="182">
        <v>45901</v>
      </c>
      <c r="R470" s="155">
        <v>1</v>
      </c>
      <c r="S470" s="176">
        <v>6</v>
      </c>
      <c r="T470" s="182" t="e">
        <f>VLOOKUP(A470,#REF!,9,FALSE)</f>
        <v>#REF!</v>
      </c>
      <c r="U470" s="155" t="s">
        <v>632</v>
      </c>
      <c r="V470" s="155" t="s">
        <v>632</v>
      </c>
      <c r="W470" s="155">
        <v>0</v>
      </c>
      <c r="X470" s="155">
        <v>6</v>
      </c>
      <c r="Y470" s="183">
        <v>0</v>
      </c>
    </row>
    <row r="471" spans="1:25" ht="30">
      <c r="A471" s="179">
        <v>418572024</v>
      </c>
      <c r="B471" t="s">
        <v>1740</v>
      </c>
      <c r="C471" t="s">
        <v>1668</v>
      </c>
      <c r="D471" t="s">
        <v>1665</v>
      </c>
      <c r="E471" t="s">
        <v>698</v>
      </c>
      <c r="F471" t="s">
        <v>2440</v>
      </c>
      <c r="G471" t="s">
        <v>1740</v>
      </c>
      <c r="H471" s="155" t="s">
        <v>2482</v>
      </c>
      <c r="I471" s="176" t="s">
        <v>1926</v>
      </c>
      <c r="J471" s="181">
        <v>45536</v>
      </c>
      <c r="K471" s="140">
        <v>47361</v>
      </c>
      <c r="L471" s="155">
        <v>5</v>
      </c>
      <c r="M471" s="155">
        <v>0</v>
      </c>
      <c r="N471" s="155">
        <v>0</v>
      </c>
      <c r="O471" s="155" t="s">
        <v>730</v>
      </c>
      <c r="P471" s="176" t="s">
        <v>730</v>
      </c>
      <c r="Q471" s="182">
        <v>45901</v>
      </c>
      <c r="R471" s="155">
        <v>1</v>
      </c>
      <c r="S471" s="176">
        <v>6</v>
      </c>
      <c r="T471" s="182" t="e">
        <f>VLOOKUP(A471,#REF!,9,FALSE)</f>
        <v>#REF!</v>
      </c>
      <c r="U471" s="155" t="s">
        <v>632</v>
      </c>
      <c r="V471" s="155" t="s">
        <v>632</v>
      </c>
      <c r="W471" s="155">
        <v>0</v>
      </c>
      <c r="X471" s="155">
        <v>6</v>
      </c>
      <c r="Y471" s="183">
        <v>0</v>
      </c>
    </row>
    <row r="472" spans="1:25" ht="30">
      <c r="A472" s="179">
        <v>418572025</v>
      </c>
      <c r="B472" t="s">
        <v>1742</v>
      </c>
      <c r="C472" t="s">
        <v>1668</v>
      </c>
      <c r="D472" t="s">
        <v>1665</v>
      </c>
      <c r="E472" t="s">
        <v>698</v>
      </c>
      <c r="F472" t="s">
        <v>2440</v>
      </c>
      <c r="G472" t="s">
        <v>1742</v>
      </c>
      <c r="H472" s="155" t="s">
        <v>2483</v>
      </c>
      <c r="I472" s="176" t="s">
        <v>1926</v>
      </c>
      <c r="J472" s="181">
        <v>45536</v>
      </c>
      <c r="K472" s="140">
        <v>47361</v>
      </c>
      <c r="L472" s="155">
        <v>5</v>
      </c>
      <c r="M472" s="155">
        <v>0</v>
      </c>
      <c r="N472" s="155">
        <v>0</v>
      </c>
      <c r="O472" s="155" t="s">
        <v>730</v>
      </c>
      <c r="P472" s="176" t="s">
        <v>730</v>
      </c>
      <c r="Q472" s="182">
        <v>45901</v>
      </c>
      <c r="R472" s="155">
        <v>1</v>
      </c>
      <c r="S472" s="176">
        <v>6</v>
      </c>
      <c r="T472" s="182" t="e">
        <f>VLOOKUP(A472,#REF!,9,FALSE)</f>
        <v>#REF!</v>
      </c>
      <c r="U472" s="155" t="s">
        <v>632</v>
      </c>
      <c r="V472" s="155" t="s">
        <v>632</v>
      </c>
      <c r="W472" s="155">
        <v>0</v>
      </c>
      <c r="X472" s="155">
        <v>6</v>
      </c>
      <c r="Y472" s="183">
        <v>0</v>
      </c>
    </row>
    <row r="473" spans="1:25" ht="30">
      <c r="A473" s="179">
        <v>418572026</v>
      </c>
      <c r="B473" t="s">
        <v>1744</v>
      </c>
      <c r="C473" t="s">
        <v>1668</v>
      </c>
      <c r="D473" t="s">
        <v>1665</v>
      </c>
      <c r="E473" t="s">
        <v>698</v>
      </c>
      <c r="F473" t="s">
        <v>2440</v>
      </c>
      <c r="G473" t="s">
        <v>1744</v>
      </c>
      <c r="H473" s="155" t="s">
        <v>2484</v>
      </c>
      <c r="I473" s="176" t="s">
        <v>1926</v>
      </c>
      <c r="J473" s="181">
        <v>45536</v>
      </c>
      <c r="K473" s="140">
        <v>47361</v>
      </c>
      <c r="L473" s="155">
        <v>5</v>
      </c>
      <c r="M473" s="155">
        <v>0</v>
      </c>
      <c r="N473" s="155">
        <v>0</v>
      </c>
      <c r="O473" s="155" t="s">
        <v>730</v>
      </c>
      <c r="P473" s="176" t="s">
        <v>730</v>
      </c>
      <c r="Q473" s="182">
        <v>45901</v>
      </c>
      <c r="R473" s="155">
        <v>1</v>
      </c>
      <c r="S473" s="176">
        <v>6</v>
      </c>
      <c r="T473" s="182" t="e">
        <f>VLOOKUP(A473,#REF!,9,FALSE)</f>
        <v>#REF!</v>
      </c>
      <c r="U473" s="155" t="s">
        <v>632</v>
      </c>
      <c r="V473" s="155" t="s">
        <v>632</v>
      </c>
      <c r="W473" s="155">
        <v>0</v>
      </c>
      <c r="X473" s="155">
        <v>6</v>
      </c>
      <c r="Y473" s="183">
        <v>0</v>
      </c>
    </row>
    <row r="474" spans="1:25" ht="30">
      <c r="A474" s="179">
        <v>418572027</v>
      </c>
      <c r="B474" t="s">
        <v>1746</v>
      </c>
      <c r="C474" t="s">
        <v>1668</v>
      </c>
      <c r="D474" t="s">
        <v>1665</v>
      </c>
      <c r="E474" t="s">
        <v>698</v>
      </c>
      <c r="F474" t="s">
        <v>2440</v>
      </c>
      <c r="G474" t="s">
        <v>1746</v>
      </c>
      <c r="H474" s="155" t="s">
        <v>2485</v>
      </c>
      <c r="I474" s="176" t="s">
        <v>1926</v>
      </c>
      <c r="J474" s="181">
        <v>45536</v>
      </c>
      <c r="K474" s="140">
        <v>47361</v>
      </c>
      <c r="L474" s="155">
        <v>5</v>
      </c>
      <c r="M474" s="155">
        <v>0</v>
      </c>
      <c r="N474" s="155">
        <v>0</v>
      </c>
      <c r="O474" s="155" t="s">
        <v>730</v>
      </c>
      <c r="P474" s="176" t="s">
        <v>730</v>
      </c>
      <c r="Q474" s="182">
        <v>45901</v>
      </c>
      <c r="R474" s="155">
        <v>1</v>
      </c>
      <c r="S474" s="176">
        <v>6</v>
      </c>
      <c r="T474" s="182" t="e">
        <f>VLOOKUP(A474,#REF!,9,FALSE)</f>
        <v>#REF!</v>
      </c>
      <c r="U474" s="155" t="s">
        <v>632</v>
      </c>
      <c r="V474" s="155" t="s">
        <v>632</v>
      </c>
      <c r="W474" s="155">
        <v>0</v>
      </c>
      <c r="X474" s="155">
        <v>6</v>
      </c>
      <c r="Y474" s="183">
        <v>0</v>
      </c>
    </row>
    <row r="475" spans="1:25" ht="30">
      <c r="A475" s="179">
        <v>418572028</v>
      </c>
      <c r="B475" t="s">
        <v>1748</v>
      </c>
      <c r="C475" t="s">
        <v>1668</v>
      </c>
      <c r="D475" t="s">
        <v>1665</v>
      </c>
      <c r="E475" t="s">
        <v>698</v>
      </c>
      <c r="F475" t="s">
        <v>2440</v>
      </c>
      <c r="G475" t="s">
        <v>1748</v>
      </c>
      <c r="H475" s="155" t="s">
        <v>2486</v>
      </c>
      <c r="I475" s="176" t="s">
        <v>1926</v>
      </c>
      <c r="J475" s="181">
        <v>45536</v>
      </c>
      <c r="K475" s="140">
        <v>47361</v>
      </c>
      <c r="L475" s="155">
        <v>5</v>
      </c>
      <c r="M475" s="155">
        <v>0</v>
      </c>
      <c r="N475" s="155">
        <v>0</v>
      </c>
      <c r="O475" s="155" t="s">
        <v>730</v>
      </c>
      <c r="P475" s="176" t="s">
        <v>730</v>
      </c>
      <c r="Q475" s="182">
        <v>45901</v>
      </c>
      <c r="R475" s="155">
        <v>1</v>
      </c>
      <c r="S475" s="176">
        <v>6</v>
      </c>
      <c r="T475" s="182" t="e">
        <f>VLOOKUP(A475,#REF!,9,FALSE)</f>
        <v>#REF!</v>
      </c>
      <c r="U475" s="155" t="s">
        <v>632</v>
      </c>
      <c r="V475" s="155" t="s">
        <v>632</v>
      </c>
      <c r="W475" s="155">
        <v>0</v>
      </c>
      <c r="X475" s="155">
        <v>6</v>
      </c>
      <c r="Y475" s="183">
        <v>0</v>
      </c>
    </row>
    <row r="476" spans="1:25" ht="30">
      <c r="A476" s="179">
        <v>418572029</v>
      </c>
      <c r="B476" t="s">
        <v>1750</v>
      </c>
      <c r="C476" t="s">
        <v>1668</v>
      </c>
      <c r="D476" t="s">
        <v>1665</v>
      </c>
      <c r="E476" t="s">
        <v>698</v>
      </c>
      <c r="F476" t="s">
        <v>2440</v>
      </c>
      <c r="G476" t="s">
        <v>1750</v>
      </c>
      <c r="H476" s="155" t="s">
        <v>2487</v>
      </c>
      <c r="I476" s="176" t="s">
        <v>1926</v>
      </c>
      <c r="J476" s="181">
        <v>45536</v>
      </c>
      <c r="K476" s="140">
        <v>47361</v>
      </c>
      <c r="L476" s="155">
        <v>5</v>
      </c>
      <c r="M476" s="155">
        <v>0</v>
      </c>
      <c r="N476" s="155">
        <v>0</v>
      </c>
      <c r="O476" s="155" t="s">
        <v>730</v>
      </c>
      <c r="P476" s="176" t="s">
        <v>730</v>
      </c>
      <c r="Q476" s="182">
        <v>45901</v>
      </c>
      <c r="R476" s="155">
        <v>1</v>
      </c>
      <c r="S476" s="176">
        <v>6</v>
      </c>
      <c r="T476" s="182" t="e">
        <f>VLOOKUP(A476,#REF!,9,FALSE)</f>
        <v>#REF!</v>
      </c>
      <c r="U476" s="155" t="s">
        <v>632</v>
      </c>
      <c r="V476" s="155" t="s">
        <v>632</v>
      </c>
      <c r="W476" s="155">
        <v>0</v>
      </c>
      <c r="X476" s="155">
        <v>6</v>
      </c>
      <c r="Y476" s="183">
        <v>0</v>
      </c>
    </row>
    <row r="477" spans="1:25" ht="30">
      <c r="A477" s="179">
        <v>418572030</v>
      </c>
      <c r="B477" t="s">
        <v>1752</v>
      </c>
      <c r="C477" t="s">
        <v>1668</v>
      </c>
      <c r="D477" t="s">
        <v>1665</v>
      </c>
      <c r="E477" t="s">
        <v>698</v>
      </c>
      <c r="F477" t="s">
        <v>2440</v>
      </c>
      <c r="G477" t="s">
        <v>1752</v>
      </c>
      <c r="H477" s="155" t="s">
        <v>2488</v>
      </c>
      <c r="I477" s="176" t="s">
        <v>1926</v>
      </c>
      <c r="J477" s="181">
        <v>45536</v>
      </c>
      <c r="K477" s="140">
        <v>47361</v>
      </c>
      <c r="L477" s="155">
        <v>5</v>
      </c>
      <c r="M477" s="155">
        <v>0</v>
      </c>
      <c r="N477" s="155">
        <v>0</v>
      </c>
      <c r="O477" s="155" t="s">
        <v>730</v>
      </c>
      <c r="P477" s="176" t="s">
        <v>730</v>
      </c>
      <c r="Q477" s="182">
        <v>45901</v>
      </c>
      <c r="R477" s="155">
        <v>1</v>
      </c>
      <c r="S477" s="176">
        <v>6</v>
      </c>
      <c r="T477" s="182" t="e">
        <f>VLOOKUP(A477,#REF!,9,FALSE)</f>
        <v>#REF!</v>
      </c>
      <c r="U477" s="155" t="s">
        <v>632</v>
      </c>
      <c r="V477" s="155" t="s">
        <v>632</v>
      </c>
      <c r="W477" s="155">
        <v>0</v>
      </c>
      <c r="X477" s="155">
        <v>6</v>
      </c>
      <c r="Y477" s="183">
        <v>0</v>
      </c>
    </row>
    <row r="478" spans="1:25" ht="30">
      <c r="A478" s="179">
        <v>418572031</v>
      </c>
      <c r="B478" t="s">
        <v>1754</v>
      </c>
      <c r="C478" t="s">
        <v>1668</v>
      </c>
      <c r="D478" t="s">
        <v>1665</v>
      </c>
      <c r="E478" t="s">
        <v>698</v>
      </c>
      <c r="F478" t="s">
        <v>2440</v>
      </c>
      <c r="G478" t="s">
        <v>1754</v>
      </c>
      <c r="H478" s="155" t="s">
        <v>2489</v>
      </c>
      <c r="I478" s="176" t="s">
        <v>1926</v>
      </c>
      <c r="J478" s="181">
        <v>45536</v>
      </c>
      <c r="K478" s="140">
        <v>47361</v>
      </c>
      <c r="L478" s="155">
        <v>5</v>
      </c>
      <c r="M478" s="155">
        <v>0</v>
      </c>
      <c r="N478" s="155">
        <v>0</v>
      </c>
      <c r="O478" s="155" t="s">
        <v>730</v>
      </c>
      <c r="P478" s="176" t="s">
        <v>730</v>
      </c>
      <c r="Q478" s="182">
        <v>45901</v>
      </c>
      <c r="R478" s="155">
        <v>1</v>
      </c>
      <c r="S478" s="176">
        <v>6</v>
      </c>
      <c r="T478" s="182" t="e">
        <f>VLOOKUP(A478,#REF!,9,FALSE)</f>
        <v>#REF!</v>
      </c>
      <c r="U478" s="155" t="s">
        <v>632</v>
      </c>
      <c r="V478" s="155" t="s">
        <v>632</v>
      </c>
      <c r="W478" s="155">
        <v>0</v>
      </c>
      <c r="X478" s="155">
        <v>6</v>
      </c>
      <c r="Y478" s="183">
        <v>0</v>
      </c>
    </row>
    <row r="479" spans="1:25" ht="30">
      <c r="A479" s="179">
        <v>418572032</v>
      </c>
      <c r="B479" t="s">
        <v>1756</v>
      </c>
      <c r="C479" t="s">
        <v>1668</v>
      </c>
      <c r="D479" t="s">
        <v>1665</v>
      </c>
      <c r="E479" t="s">
        <v>698</v>
      </c>
      <c r="F479" t="s">
        <v>2440</v>
      </c>
      <c r="G479" t="s">
        <v>1756</v>
      </c>
      <c r="H479" s="155" t="s">
        <v>2490</v>
      </c>
      <c r="I479" s="176" t="s">
        <v>1926</v>
      </c>
      <c r="J479" s="181">
        <v>45536</v>
      </c>
      <c r="K479" s="140">
        <v>47361</v>
      </c>
      <c r="L479" s="155">
        <v>5</v>
      </c>
      <c r="M479" s="155">
        <v>0</v>
      </c>
      <c r="N479" s="155">
        <v>0</v>
      </c>
      <c r="O479" s="155" t="s">
        <v>730</v>
      </c>
      <c r="P479" s="176" t="s">
        <v>730</v>
      </c>
      <c r="Q479" s="182">
        <v>45901</v>
      </c>
      <c r="R479" s="155">
        <v>1</v>
      </c>
      <c r="S479" s="176">
        <v>6</v>
      </c>
      <c r="T479" s="182" t="e">
        <f>VLOOKUP(A479,#REF!,9,FALSE)</f>
        <v>#REF!</v>
      </c>
      <c r="U479" s="155" t="s">
        <v>632</v>
      </c>
      <c r="V479" s="155" t="s">
        <v>632</v>
      </c>
      <c r="W479" s="155">
        <v>0</v>
      </c>
      <c r="X479" s="155">
        <v>6</v>
      </c>
      <c r="Y479" s="183">
        <v>0</v>
      </c>
    </row>
    <row r="480" spans="1:25" ht="30">
      <c r="A480" s="179">
        <v>418572033</v>
      </c>
      <c r="B480" t="s">
        <v>1758</v>
      </c>
      <c r="C480" t="s">
        <v>1668</v>
      </c>
      <c r="D480" t="s">
        <v>1665</v>
      </c>
      <c r="E480" t="s">
        <v>698</v>
      </c>
      <c r="F480" t="s">
        <v>2440</v>
      </c>
      <c r="G480" t="s">
        <v>1758</v>
      </c>
      <c r="H480" s="155" t="s">
        <v>2491</v>
      </c>
      <c r="I480" s="176" t="s">
        <v>1926</v>
      </c>
      <c r="J480" s="181">
        <v>45536</v>
      </c>
      <c r="K480" s="140">
        <v>47361</v>
      </c>
      <c r="L480" s="155">
        <v>5</v>
      </c>
      <c r="M480" s="155">
        <v>0</v>
      </c>
      <c r="N480" s="155">
        <v>0</v>
      </c>
      <c r="O480" s="155" t="s">
        <v>730</v>
      </c>
      <c r="P480" s="176" t="s">
        <v>730</v>
      </c>
      <c r="Q480" s="182">
        <v>45901</v>
      </c>
      <c r="R480" s="155">
        <v>1</v>
      </c>
      <c r="S480" s="176">
        <v>6</v>
      </c>
      <c r="T480" s="182" t="e">
        <f>VLOOKUP(A480,#REF!,9,FALSE)</f>
        <v>#REF!</v>
      </c>
      <c r="U480" s="155" t="s">
        <v>632</v>
      </c>
      <c r="V480" s="155" t="s">
        <v>632</v>
      </c>
      <c r="W480" s="155">
        <v>0</v>
      </c>
      <c r="X480" s="155">
        <v>6</v>
      </c>
      <c r="Y480" s="183">
        <v>0</v>
      </c>
    </row>
    <row r="481" spans="1:25" ht="30">
      <c r="A481" s="179">
        <v>418572034</v>
      </c>
      <c r="B481" t="s">
        <v>1760</v>
      </c>
      <c r="C481" t="s">
        <v>1668</v>
      </c>
      <c r="D481" t="s">
        <v>1665</v>
      </c>
      <c r="E481" t="s">
        <v>698</v>
      </c>
      <c r="F481" t="s">
        <v>2440</v>
      </c>
      <c r="G481" t="s">
        <v>1760</v>
      </c>
      <c r="H481" s="155" t="s">
        <v>2492</v>
      </c>
      <c r="I481" s="176" t="s">
        <v>1926</v>
      </c>
      <c r="J481" s="181">
        <v>45536</v>
      </c>
      <c r="K481" s="140">
        <v>47361</v>
      </c>
      <c r="L481" s="155">
        <v>5</v>
      </c>
      <c r="M481" s="155">
        <v>0</v>
      </c>
      <c r="N481" s="155">
        <v>0</v>
      </c>
      <c r="O481" s="155" t="s">
        <v>730</v>
      </c>
      <c r="P481" s="176" t="s">
        <v>730</v>
      </c>
      <c r="Q481" s="182">
        <v>45901</v>
      </c>
      <c r="R481" s="155">
        <v>1</v>
      </c>
      <c r="S481" s="176">
        <v>6</v>
      </c>
      <c r="T481" s="182" t="e">
        <f>VLOOKUP(A481,#REF!,9,FALSE)</f>
        <v>#REF!</v>
      </c>
      <c r="U481" s="155" t="s">
        <v>632</v>
      </c>
      <c r="V481" s="155" t="s">
        <v>632</v>
      </c>
      <c r="W481" s="155">
        <v>0</v>
      </c>
      <c r="X481" s="155">
        <v>6</v>
      </c>
      <c r="Y481" s="183">
        <v>0</v>
      </c>
    </row>
    <row r="482" spans="1:25" ht="30">
      <c r="A482" s="179">
        <v>418572035</v>
      </c>
      <c r="B482" t="s">
        <v>1762</v>
      </c>
      <c r="C482" t="s">
        <v>1668</v>
      </c>
      <c r="D482" t="s">
        <v>1665</v>
      </c>
      <c r="E482" t="s">
        <v>698</v>
      </c>
      <c r="F482" t="s">
        <v>2440</v>
      </c>
      <c r="G482" t="s">
        <v>1762</v>
      </c>
      <c r="H482" s="155" t="s">
        <v>2493</v>
      </c>
      <c r="I482" s="176" t="s">
        <v>1926</v>
      </c>
      <c r="J482" s="181">
        <v>45536</v>
      </c>
      <c r="K482" s="140">
        <v>47361</v>
      </c>
      <c r="L482" s="155">
        <v>5</v>
      </c>
      <c r="M482" s="155">
        <v>0</v>
      </c>
      <c r="N482" s="155">
        <v>0</v>
      </c>
      <c r="O482" s="155" t="s">
        <v>730</v>
      </c>
      <c r="P482" s="176" t="s">
        <v>730</v>
      </c>
      <c r="Q482" s="182">
        <v>45901</v>
      </c>
      <c r="R482" s="155">
        <v>1</v>
      </c>
      <c r="S482" s="176">
        <v>6</v>
      </c>
      <c r="T482" s="182" t="e">
        <f>VLOOKUP(A482,#REF!,9,FALSE)</f>
        <v>#REF!</v>
      </c>
      <c r="U482" s="155" t="s">
        <v>632</v>
      </c>
      <c r="V482" s="155" t="s">
        <v>632</v>
      </c>
      <c r="W482" s="155">
        <v>0</v>
      </c>
      <c r="X482" s="155">
        <v>6</v>
      </c>
      <c r="Y482" s="183">
        <v>0</v>
      </c>
    </row>
    <row r="483" spans="1:25" ht="30">
      <c r="A483" s="179">
        <v>418572036</v>
      </c>
      <c r="B483" t="s">
        <v>1764</v>
      </c>
      <c r="C483" t="s">
        <v>1668</v>
      </c>
      <c r="D483" t="s">
        <v>1665</v>
      </c>
      <c r="E483" t="s">
        <v>698</v>
      </c>
      <c r="F483" t="s">
        <v>2440</v>
      </c>
      <c r="G483" t="s">
        <v>1764</v>
      </c>
      <c r="H483" s="155" t="s">
        <v>2494</v>
      </c>
      <c r="I483" s="176" t="s">
        <v>1926</v>
      </c>
      <c r="J483" s="181">
        <v>45536</v>
      </c>
      <c r="K483" s="140">
        <v>47361</v>
      </c>
      <c r="L483" s="155">
        <v>5</v>
      </c>
      <c r="M483" s="155">
        <v>0</v>
      </c>
      <c r="N483" s="155">
        <v>0</v>
      </c>
      <c r="O483" s="155" t="s">
        <v>730</v>
      </c>
      <c r="P483" s="176" t="s">
        <v>730</v>
      </c>
      <c r="Q483" s="182">
        <v>45901</v>
      </c>
      <c r="R483" s="155">
        <v>1</v>
      </c>
      <c r="S483" s="176">
        <v>6</v>
      </c>
      <c r="T483" s="182" t="e">
        <f>VLOOKUP(A483,#REF!,9,FALSE)</f>
        <v>#REF!</v>
      </c>
      <c r="U483" s="155" t="s">
        <v>632</v>
      </c>
      <c r="V483" s="155" t="s">
        <v>632</v>
      </c>
      <c r="W483" s="155">
        <v>0</v>
      </c>
      <c r="X483" s="155">
        <v>6</v>
      </c>
      <c r="Y483" s="183">
        <v>0</v>
      </c>
    </row>
    <row r="484" spans="1:25" ht="30">
      <c r="A484" s="179">
        <v>418572037</v>
      </c>
      <c r="B484" t="s">
        <v>1766</v>
      </c>
      <c r="C484" t="s">
        <v>1668</v>
      </c>
      <c r="D484" t="s">
        <v>1665</v>
      </c>
      <c r="E484" t="s">
        <v>698</v>
      </c>
      <c r="F484" t="s">
        <v>2440</v>
      </c>
      <c r="G484" t="s">
        <v>1766</v>
      </c>
      <c r="H484" s="155" t="s">
        <v>2495</v>
      </c>
      <c r="I484" s="176" t="s">
        <v>1926</v>
      </c>
      <c r="J484" s="181">
        <v>45536</v>
      </c>
      <c r="K484" s="140">
        <v>47361</v>
      </c>
      <c r="L484" s="155">
        <v>5</v>
      </c>
      <c r="M484" s="155">
        <v>0</v>
      </c>
      <c r="N484" s="155">
        <v>0</v>
      </c>
      <c r="O484" s="155" t="s">
        <v>730</v>
      </c>
      <c r="P484" s="176" t="s">
        <v>730</v>
      </c>
      <c r="Q484" s="182">
        <v>45901</v>
      </c>
      <c r="R484" s="155">
        <v>1</v>
      </c>
      <c r="S484" s="176">
        <v>6</v>
      </c>
      <c r="T484" s="182" t="e">
        <f>VLOOKUP(A484,#REF!,9,FALSE)</f>
        <v>#REF!</v>
      </c>
      <c r="U484" s="155" t="s">
        <v>632</v>
      </c>
      <c r="V484" s="155" t="s">
        <v>632</v>
      </c>
      <c r="W484" s="155">
        <v>0</v>
      </c>
      <c r="X484" s="155">
        <v>6</v>
      </c>
      <c r="Y484" s="183">
        <v>0</v>
      </c>
    </row>
    <row r="485" spans="1:25" ht="30">
      <c r="A485" s="179">
        <v>418572038</v>
      </c>
      <c r="B485" t="s">
        <v>1768</v>
      </c>
      <c r="C485" t="s">
        <v>1668</v>
      </c>
      <c r="D485" t="s">
        <v>1665</v>
      </c>
      <c r="E485" t="s">
        <v>698</v>
      </c>
      <c r="F485" t="s">
        <v>2440</v>
      </c>
      <c r="G485" t="s">
        <v>1768</v>
      </c>
      <c r="H485" s="155" t="s">
        <v>2496</v>
      </c>
      <c r="I485" s="176" t="s">
        <v>1926</v>
      </c>
      <c r="J485" s="181">
        <v>45536</v>
      </c>
      <c r="K485" s="140">
        <v>47361</v>
      </c>
      <c r="L485" s="155">
        <v>5</v>
      </c>
      <c r="M485" s="155">
        <v>0</v>
      </c>
      <c r="N485" s="155">
        <v>0</v>
      </c>
      <c r="O485" s="155" t="s">
        <v>730</v>
      </c>
      <c r="P485" s="176" t="s">
        <v>730</v>
      </c>
      <c r="Q485" s="182">
        <v>45901</v>
      </c>
      <c r="R485" s="155">
        <v>1</v>
      </c>
      <c r="S485" s="176">
        <v>6</v>
      </c>
      <c r="T485" s="182" t="e">
        <f>VLOOKUP(A485,#REF!,9,FALSE)</f>
        <v>#REF!</v>
      </c>
      <c r="U485" s="155" t="s">
        <v>632</v>
      </c>
      <c r="V485" s="155" t="s">
        <v>632</v>
      </c>
      <c r="W485" s="155">
        <v>0</v>
      </c>
      <c r="X485" s="155">
        <v>6</v>
      </c>
      <c r="Y485" s="183">
        <v>0</v>
      </c>
    </row>
    <row r="486" spans="1:25" ht="30">
      <c r="A486" s="179">
        <v>418572039</v>
      </c>
      <c r="B486" t="s">
        <v>1770</v>
      </c>
      <c r="C486" t="s">
        <v>1668</v>
      </c>
      <c r="D486" t="s">
        <v>1665</v>
      </c>
      <c r="E486" t="s">
        <v>698</v>
      </c>
      <c r="F486" t="s">
        <v>2440</v>
      </c>
      <c r="G486" t="s">
        <v>1770</v>
      </c>
      <c r="H486" s="155" t="s">
        <v>2497</v>
      </c>
      <c r="I486" s="176" t="s">
        <v>1926</v>
      </c>
      <c r="J486" s="181">
        <v>45536</v>
      </c>
      <c r="K486" s="140">
        <v>47361</v>
      </c>
      <c r="L486" s="155">
        <v>5</v>
      </c>
      <c r="M486" s="155">
        <v>0</v>
      </c>
      <c r="N486" s="155">
        <v>0</v>
      </c>
      <c r="O486" s="155" t="s">
        <v>730</v>
      </c>
      <c r="P486" s="176" t="s">
        <v>730</v>
      </c>
      <c r="Q486" s="182">
        <v>45901</v>
      </c>
      <c r="R486" s="155">
        <v>1</v>
      </c>
      <c r="S486" s="176">
        <v>6</v>
      </c>
      <c r="T486" s="182" t="e">
        <f>VLOOKUP(A486,#REF!,9,FALSE)</f>
        <v>#REF!</v>
      </c>
      <c r="U486" s="155" t="s">
        <v>632</v>
      </c>
      <c r="V486" s="155" t="s">
        <v>632</v>
      </c>
      <c r="W486" s="155">
        <v>0</v>
      </c>
      <c r="X486" s="155">
        <v>6</v>
      </c>
      <c r="Y486" s="183">
        <v>0</v>
      </c>
    </row>
    <row r="487" spans="1:25" ht="30">
      <c r="A487" s="179">
        <v>418572040</v>
      </c>
      <c r="B487" t="s">
        <v>1772</v>
      </c>
      <c r="C487" t="s">
        <v>1668</v>
      </c>
      <c r="D487" t="s">
        <v>1665</v>
      </c>
      <c r="E487" t="s">
        <v>698</v>
      </c>
      <c r="F487" t="s">
        <v>2440</v>
      </c>
      <c r="G487" t="s">
        <v>1772</v>
      </c>
      <c r="H487" s="155" t="s">
        <v>2498</v>
      </c>
      <c r="I487" s="176" t="s">
        <v>1926</v>
      </c>
      <c r="J487" s="181">
        <v>45536</v>
      </c>
      <c r="K487" s="140">
        <v>47361</v>
      </c>
      <c r="L487" s="155">
        <v>5</v>
      </c>
      <c r="M487" s="155">
        <v>0</v>
      </c>
      <c r="N487" s="155">
        <v>0</v>
      </c>
      <c r="O487" s="155" t="s">
        <v>730</v>
      </c>
      <c r="P487" s="176" t="s">
        <v>730</v>
      </c>
      <c r="Q487" s="182">
        <v>45901</v>
      </c>
      <c r="R487" s="155">
        <v>1</v>
      </c>
      <c r="S487" s="176">
        <v>6</v>
      </c>
      <c r="T487" s="182" t="e">
        <f>VLOOKUP(A487,#REF!,9,FALSE)</f>
        <v>#REF!</v>
      </c>
      <c r="U487" s="155" t="s">
        <v>632</v>
      </c>
      <c r="V487" s="155" t="s">
        <v>632</v>
      </c>
      <c r="W487" s="155">
        <v>0</v>
      </c>
      <c r="X487" s="155">
        <v>6</v>
      </c>
      <c r="Y487" s="183">
        <v>0</v>
      </c>
    </row>
    <row r="488" spans="1:25" ht="30">
      <c r="A488" s="179">
        <v>418572041</v>
      </c>
      <c r="B488" t="s">
        <v>1774</v>
      </c>
      <c r="C488" t="s">
        <v>1668</v>
      </c>
      <c r="D488" t="s">
        <v>1665</v>
      </c>
      <c r="E488" t="s">
        <v>698</v>
      </c>
      <c r="F488" t="s">
        <v>2440</v>
      </c>
      <c r="G488" t="s">
        <v>1774</v>
      </c>
      <c r="H488" s="155" t="s">
        <v>2499</v>
      </c>
      <c r="I488" s="176" t="s">
        <v>1926</v>
      </c>
      <c r="J488" s="181">
        <v>45536</v>
      </c>
      <c r="K488" s="140">
        <v>47361</v>
      </c>
      <c r="L488" s="155">
        <v>5</v>
      </c>
      <c r="M488" s="155">
        <v>0</v>
      </c>
      <c r="N488" s="155">
        <v>0</v>
      </c>
      <c r="O488" s="155" t="s">
        <v>730</v>
      </c>
      <c r="P488" s="176" t="s">
        <v>730</v>
      </c>
      <c r="Q488" s="182">
        <v>45901</v>
      </c>
      <c r="R488" s="155">
        <v>1</v>
      </c>
      <c r="S488" s="176">
        <v>6</v>
      </c>
      <c r="T488" s="182" t="e">
        <f>VLOOKUP(A488,#REF!,9,FALSE)</f>
        <v>#REF!</v>
      </c>
      <c r="U488" s="155" t="s">
        <v>632</v>
      </c>
      <c r="V488" s="155" t="s">
        <v>632</v>
      </c>
      <c r="W488" s="155">
        <v>0</v>
      </c>
      <c r="X488" s="155">
        <v>6</v>
      </c>
      <c r="Y488" s="183">
        <v>0</v>
      </c>
    </row>
    <row r="489" spans="1:25" ht="30">
      <c r="A489" s="179">
        <v>418572042</v>
      </c>
      <c r="B489" t="s">
        <v>1776</v>
      </c>
      <c r="C489" t="s">
        <v>1668</v>
      </c>
      <c r="D489" t="s">
        <v>1665</v>
      </c>
      <c r="E489" t="s">
        <v>698</v>
      </c>
      <c r="F489" t="s">
        <v>2440</v>
      </c>
      <c r="G489" t="s">
        <v>1776</v>
      </c>
      <c r="H489" s="155" t="s">
        <v>2500</v>
      </c>
      <c r="I489" s="176" t="s">
        <v>1926</v>
      </c>
      <c r="J489" s="181">
        <v>45536</v>
      </c>
      <c r="K489" s="140">
        <v>47361</v>
      </c>
      <c r="L489" s="155">
        <v>5</v>
      </c>
      <c r="M489" s="155">
        <v>0</v>
      </c>
      <c r="N489" s="155">
        <v>0</v>
      </c>
      <c r="O489" s="155" t="s">
        <v>730</v>
      </c>
      <c r="P489" s="176" t="s">
        <v>730</v>
      </c>
      <c r="Q489" s="182">
        <v>45901</v>
      </c>
      <c r="R489" s="155">
        <v>1</v>
      </c>
      <c r="S489" s="176">
        <v>6</v>
      </c>
      <c r="T489" s="182" t="e">
        <f>VLOOKUP(A489,#REF!,9,FALSE)</f>
        <v>#REF!</v>
      </c>
      <c r="U489" s="155" t="s">
        <v>632</v>
      </c>
      <c r="V489" s="155" t="s">
        <v>632</v>
      </c>
      <c r="W489" s="155">
        <v>0</v>
      </c>
      <c r="X489" s="155">
        <v>6</v>
      </c>
      <c r="Y489" s="183">
        <v>0</v>
      </c>
    </row>
    <row r="490" spans="1:25" ht="30">
      <c r="A490" s="179">
        <v>418572043</v>
      </c>
      <c r="B490" t="s">
        <v>1778</v>
      </c>
      <c r="C490" t="s">
        <v>1668</v>
      </c>
      <c r="D490" t="s">
        <v>1665</v>
      </c>
      <c r="E490" t="s">
        <v>698</v>
      </c>
      <c r="F490" t="s">
        <v>2440</v>
      </c>
      <c r="G490" t="s">
        <v>1778</v>
      </c>
      <c r="H490" s="155" t="s">
        <v>2501</v>
      </c>
      <c r="I490" s="176" t="s">
        <v>1926</v>
      </c>
      <c r="J490" s="181">
        <v>45536</v>
      </c>
      <c r="K490" s="140">
        <v>47361</v>
      </c>
      <c r="L490" s="155">
        <v>5</v>
      </c>
      <c r="M490" s="155">
        <v>0</v>
      </c>
      <c r="N490" s="155">
        <v>0</v>
      </c>
      <c r="O490" s="155" t="s">
        <v>730</v>
      </c>
      <c r="P490" s="176" t="s">
        <v>730</v>
      </c>
      <c r="Q490" s="182">
        <v>45901</v>
      </c>
      <c r="R490" s="155">
        <v>1</v>
      </c>
      <c r="S490" s="176">
        <v>6</v>
      </c>
      <c r="T490" s="182" t="e">
        <f>VLOOKUP(A490,#REF!,9,FALSE)</f>
        <v>#REF!</v>
      </c>
      <c r="U490" s="155" t="s">
        <v>632</v>
      </c>
      <c r="V490" s="155" t="s">
        <v>632</v>
      </c>
      <c r="W490" s="155">
        <v>0</v>
      </c>
      <c r="X490" s="155">
        <v>6</v>
      </c>
      <c r="Y490" s="183">
        <v>0</v>
      </c>
    </row>
    <row r="491" spans="1:25" ht="30">
      <c r="A491" s="179">
        <v>418572044</v>
      </c>
      <c r="B491" t="s">
        <v>1780</v>
      </c>
      <c r="C491" t="s">
        <v>1668</v>
      </c>
      <c r="D491" t="s">
        <v>1665</v>
      </c>
      <c r="E491" t="s">
        <v>698</v>
      </c>
      <c r="F491" t="s">
        <v>2440</v>
      </c>
      <c r="G491" t="s">
        <v>1780</v>
      </c>
      <c r="H491" s="155" t="s">
        <v>2502</v>
      </c>
      <c r="I491" s="176" t="s">
        <v>1926</v>
      </c>
      <c r="J491" s="181">
        <v>45536</v>
      </c>
      <c r="K491" s="140">
        <v>47361</v>
      </c>
      <c r="L491" s="155">
        <v>5</v>
      </c>
      <c r="M491" s="155">
        <v>0</v>
      </c>
      <c r="N491" s="155">
        <v>0</v>
      </c>
      <c r="O491" s="155" t="s">
        <v>730</v>
      </c>
      <c r="P491" s="176" t="s">
        <v>730</v>
      </c>
      <c r="Q491" s="182">
        <v>45901</v>
      </c>
      <c r="R491" s="155">
        <v>1</v>
      </c>
      <c r="S491" s="176">
        <v>6</v>
      </c>
      <c r="T491" s="182" t="e">
        <f>VLOOKUP(A491,#REF!,9,FALSE)</f>
        <v>#REF!</v>
      </c>
      <c r="U491" s="155" t="s">
        <v>632</v>
      </c>
      <c r="V491" s="155" t="s">
        <v>632</v>
      </c>
      <c r="W491" s="155">
        <v>0</v>
      </c>
      <c r="X491" s="155">
        <v>6</v>
      </c>
      <c r="Y491" s="183">
        <v>0</v>
      </c>
    </row>
    <row r="492" spans="1:25" ht="30">
      <c r="A492" s="179">
        <v>418572045</v>
      </c>
      <c r="B492" t="s">
        <v>1782</v>
      </c>
      <c r="C492" t="s">
        <v>1668</v>
      </c>
      <c r="D492" t="s">
        <v>1665</v>
      </c>
      <c r="E492" t="s">
        <v>698</v>
      </c>
      <c r="F492" t="s">
        <v>2440</v>
      </c>
      <c r="G492" t="s">
        <v>1782</v>
      </c>
      <c r="H492" s="155" t="s">
        <v>2503</v>
      </c>
      <c r="I492" s="176" t="s">
        <v>1926</v>
      </c>
      <c r="J492" s="181">
        <v>45536</v>
      </c>
      <c r="K492" s="140">
        <v>47361</v>
      </c>
      <c r="L492" s="155">
        <v>5</v>
      </c>
      <c r="M492" s="155">
        <v>0</v>
      </c>
      <c r="N492" s="155">
        <v>0</v>
      </c>
      <c r="O492" s="155" t="s">
        <v>730</v>
      </c>
      <c r="P492" s="176" t="s">
        <v>730</v>
      </c>
      <c r="Q492" s="182">
        <v>45901</v>
      </c>
      <c r="R492" s="155">
        <v>1</v>
      </c>
      <c r="S492" s="176">
        <v>6</v>
      </c>
      <c r="T492" s="182" t="e">
        <f>VLOOKUP(A492,#REF!,9,FALSE)</f>
        <v>#REF!</v>
      </c>
      <c r="U492" s="155" t="s">
        <v>632</v>
      </c>
      <c r="V492" s="155" t="s">
        <v>632</v>
      </c>
      <c r="W492" s="155">
        <v>0</v>
      </c>
      <c r="X492" s="155">
        <v>6</v>
      </c>
      <c r="Y492" s="183">
        <v>0</v>
      </c>
    </row>
    <row r="493" spans="1:25" ht="30">
      <c r="A493" s="179">
        <v>418572046</v>
      </c>
      <c r="B493" t="s">
        <v>1784</v>
      </c>
      <c r="C493" t="s">
        <v>1668</v>
      </c>
      <c r="D493" t="s">
        <v>1665</v>
      </c>
      <c r="E493" t="s">
        <v>698</v>
      </c>
      <c r="F493" t="s">
        <v>2440</v>
      </c>
      <c r="G493" t="s">
        <v>1784</v>
      </c>
      <c r="H493" s="155" t="s">
        <v>2504</v>
      </c>
      <c r="I493" s="176" t="s">
        <v>1926</v>
      </c>
      <c r="J493" s="181">
        <v>45536</v>
      </c>
      <c r="K493" s="140">
        <v>47361</v>
      </c>
      <c r="L493" s="155">
        <v>5</v>
      </c>
      <c r="M493" s="155">
        <v>0</v>
      </c>
      <c r="N493" s="155">
        <v>0</v>
      </c>
      <c r="O493" s="155" t="s">
        <v>730</v>
      </c>
      <c r="P493" s="176" t="s">
        <v>730</v>
      </c>
      <c r="Q493" s="182">
        <v>45901</v>
      </c>
      <c r="R493" s="155">
        <v>1</v>
      </c>
      <c r="S493" s="176">
        <v>6</v>
      </c>
      <c r="T493" s="182" t="e">
        <f>VLOOKUP(A493,#REF!,9,FALSE)</f>
        <v>#REF!</v>
      </c>
      <c r="U493" s="155" t="s">
        <v>632</v>
      </c>
      <c r="V493" s="155" t="s">
        <v>632</v>
      </c>
      <c r="W493" s="155">
        <v>0</v>
      </c>
      <c r="X493" s="155">
        <v>6</v>
      </c>
      <c r="Y493" s="183">
        <v>0</v>
      </c>
    </row>
    <row r="494" spans="1:25" ht="30">
      <c r="A494" s="179">
        <v>418572047</v>
      </c>
      <c r="B494" t="s">
        <v>1786</v>
      </c>
      <c r="C494" t="s">
        <v>1668</v>
      </c>
      <c r="D494" t="s">
        <v>1665</v>
      </c>
      <c r="E494" t="s">
        <v>698</v>
      </c>
      <c r="F494" t="s">
        <v>2440</v>
      </c>
      <c r="G494" t="s">
        <v>1786</v>
      </c>
      <c r="H494" s="155" t="s">
        <v>2505</v>
      </c>
      <c r="I494" s="176" t="s">
        <v>1926</v>
      </c>
      <c r="J494" s="181">
        <v>45536</v>
      </c>
      <c r="K494" s="140">
        <v>47361</v>
      </c>
      <c r="L494" s="155">
        <v>5</v>
      </c>
      <c r="M494" s="155">
        <v>0</v>
      </c>
      <c r="N494" s="155">
        <v>0</v>
      </c>
      <c r="O494" s="155" t="s">
        <v>730</v>
      </c>
      <c r="P494" s="176" t="s">
        <v>730</v>
      </c>
      <c r="Q494" s="182">
        <v>45901</v>
      </c>
      <c r="R494" s="155">
        <v>1</v>
      </c>
      <c r="S494" s="176">
        <v>6</v>
      </c>
      <c r="T494" s="182" t="e">
        <f>VLOOKUP(A494,#REF!,9,FALSE)</f>
        <v>#REF!</v>
      </c>
      <c r="U494" s="155" t="s">
        <v>632</v>
      </c>
      <c r="V494" s="155" t="s">
        <v>632</v>
      </c>
      <c r="W494" s="155">
        <v>0</v>
      </c>
      <c r="X494" s="155">
        <v>6</v>
      </c>
      <c r="Y494" s="183">
        <v>0</v>
      </c>
    </row>
    <row r="495" spans="1:25" ht="30">
      <c r="A495" s="179">
        <v>418572048</v>
      </c>
      <c r="B495" t="s">
        <v>1788</v>
      </c>
      <c r="C495" t="s">
        <v>1668</v>
      </c>
      <c r="D495" t="s">
        <v>1665</v>
      </c>
      <c r="E495" t="s">
        <v>698</v>
      </c>
      <c r="F495" t="s">
        <v>2440</v>
      </c>
      <c r="G495" t="s">
        <v>1788</v>
      </c>
      <c r="H495" s="155" t="s">
        <v>2506</v>
      </c>
      <c r="I495" s="176" t="s">
        <v>1926</v>
      </c>
      <c r="J495" s="181">
        <v>45536</v>
      </c>
      <c r="K495" s="140">
        <v>47361</v>
      </c>
      <c r="L495" s="155">
        <v>5</v>
      </c>
      <c r="M495" s="155">
        <v>0</v>
      </c>
      <c r="N495" s="155">
        <v>0</v>
      </c>
      <c r="O495" s="155" t="s">
        <v>730</v>
      </c>
      <c r="P495" s="176" t="s">
        <v>730</v>
      </c>
      <c r="Q495" s="182">
        <v>45901</v>
      </c>
      <c r="R495" s="155">
        <v>1</v>
      </c>
      <c r="S495" s="176">
        <v>6</v>
      </c>
      <c r="T495" s="182" t="e">
        <f>VLOOKUP(A495,#REF!,9,FALSE)</f>
        <v>#REF!</v>
      </c>
      <c r="U495" s="155" t="s">
        <v>632</v>
      </c>
      <c r="V495" s="155" t="s">
        <v>632</v>
      </c>
      <c r="W495" s="155">
        <v>0</v>
      </c>
      <c r="X495" s="155">
        <v>6</v>
      </c>
      <c r="Y495" s="183">
        <v>0</v>
      </c>
    </row>
    <row r="496" spans="1:25" ht="30">
      <c r="A496" s="179">
        <v>418572049</v>
      </c>
      <c r="B496" t="s">
        <v>1790</v>
      </c>
      <c r="C496" t="s">
        <v>1668</v>
      </c>
      <c r="D496" t="s">
        <v>1665</v>
      </c>
      <c r="E496" t="s">
        <v>698</v>
      </c>
      <c r="F496" t="s">
        <v>2440</v>
      </c>
      <c r="G496" t="s">
        <v>1790</v>
      </c>
      <c r="H496" s="155" t="s">
        <v>2507</v>
      </c>
      <c r="I496" s="176" t="s">
        <v>1926</v>
      </c>
      <c r="J496" s="181">
        <v>45536</v>
      </c>
      <c r="K496" s="140">
        <v>47361</v>
      </c>
      <c r="L496" s="155">
        <v>5</v>
      </c>
      <c r="M496" s="155">
        <v>0</v>
      </c>
      <c r="N496" s="155">
        <v>0</v>
      </c>
      <c r="O496" s="155" t="s">
        <v>730</v>
      </c>
      <c r="P496" s="176" t="s">
        <v>730</v>
      </c>
      <c r="Q496" s="182">
        <v>45901</v>
      </c>
      <c r="R496" s="155">
        <v>1</v>
      </c>
      <c r="S496" s="176">
        <v>6</v>
      </c>
      <c r="T496" s="182" t="e">
        <f>VLOOKUP(A496,#REF!,9,FALSE)</f>
        <v>#REF!</v>
      </c>
      <c r="U496" s="155" t="s">
        <v>632</v>
      </c>
      <c r="V496" s="155" t="s">
        <v>632</v>
      </c>
      <c r="W496" s="155">
        <v>0</v>
      </c>
      <c r="X496" s="155">
        <v>6</v>
      </c>
      <c r="Y496" s="183">
        <v>0</v>
      </c>
    </row>
    <row r="497" spans="1:25" ht="30">
      <c r="A497" s="179">
        <v>418572050</v>
      </c>
      <c r="B497" t="s">
        <v>1792</v>
      </c>
      <c r="C497" t="s">
        <v>1668</v>
      </c>
      <c r="D497" t="s">
        <v>1665</v>
      </c>
      <c r="E497" t="s">
        <v>698</v>
      </c>
      <c r="F497" t="s">
        <v>2440</v>
      </c>
      <c r="G497" t="s">
        <v>1792</v>
      </c>
      <c r="H497" s="155" t="s">
        <v>2508</v>
      </c>
      <c r="I497" s="176" t="s">
        <v>1926</v>
      </c>
      <c r="J497" s="181">
        <v>45536</v>
      </c>
      <c r="K497" s="140">
        <v>47361</v>
      </c>
      <c r="L497" s="155">
        <v>5</v>
      </c>
      <c r="M497" s="155">
        <v>0</v>
      </c>
      <c r="N497" s="155">
        <v>0</v>
      </c>
      <c r="O497" s="155" t="s">
        <v>730</v>
      </c>
      <c r="P497" s="176" t="s">
        <v>730</v>
      </c>
      <c r="Q497" s="182">
        <v>45901</v>
      </c>
      <c r="R497" s="155">
        <v>1</v>
      </c>
      <c r="S497" s="176">
        <v>6</v>
      </c>
      <c r="T497" s="182" t="e">
        <f>VLOOKUP(A497,#REF!,9,FALSE)</f>
        <v>#REF!</v>
      </c>
      <c r="U497" s="155" t="s">
        <v>632</v>
      </c>
      <c r="V497" s="155" t="s">
        <v>632</v>
      </c>
      <c r="W497" s="155">
        <v>0</v>
      </c>
      <c r="X497" s="155">
        <v>6</v>
      </c>
      <c r="Y497" s="183">
        <v>0</v>
      </c>
    </row>
    <row r="498" spans="1:25" ht="30">
      <c r="A498" s="179">
        <v>418572051</v>
      </c>
      <c r="B498" t="s">
        <v>1794</v>
      </c>
      <c r="C498" t="s">
        <v>1668</v>
      </c>
      <c r="D498" t="s">
        <v>1665</v>
      </c>
      <c r="E498" t="s">
        <v>698</v>
      </c>
      <c r="F498" t="s">
        <v>2440</v>
      </c>
      <c r="G498" t="s">
        <v>1794</v>
      </c>
      <c r="H498" s="155" t="s">
        <v>2509</v>
      </c>
      <c r="I498" s="176" t="s">
        <v>1926</v>
      </c>
      <c r="J498" s="181">
        <v>45536</v>
      </c>
      <c r="K498" s="140">
        <v>47361</v>
      </c>
      <c r="L498" s="155">
        <v>5</v>
      </c>
      <c r="M498" s="155">
        <v>0</v>
      </c>
      <c r="N498" s="155">
        <v>0</v>
      </c>
      <c r="O498" s="155" t="s">
        <v>730</v>
      </c>
      <c r="P498" s="176" t="s">
        <v>730</v>
      </c>
      <c r="Q498" s="182">
        <v>45901</v>
      </c>
      <c r="R498" s="155">
        <v>1</v>
      </c>
      <c r="S498" s="176">
        <v>6</v>
      </c>
      <c r="T498" s="182" t="e">
        <f>VLOOKUP(A498,#REF!,9,FALSE)</f>
        <v>#REF!</v>
      </c>
      <c r="U498" s="155" t="s">
        <v>632</v>
      </c>
      <c r="V498" s="155" t="s">
        <v>632</v>
      </c>
      <c r="W498" s="155">
        <v>0</v>
      </c>
      <c r="X498" s="155">
        <v>6</v>
      </c>
      <c r="Y498" s="183">
        <v>0</v>
      </c>
    </row>
    <row r="499" spans="1:25" ht="30">
      <c r="A499" s="179">
        <v>418572052</v>
      </c>
      <c r="B499" t="s">
        <v>1796</v>
      </c>
      <c r="C499" t="s">
        <v>1668</v>
      </c>
      <c r="D499" t="s">
        <v>1665</v>
      </c>
      <c r="E499" t="s">
        <v>698</v>
      </c>
      <c r="F499" t="s">
        <v>2440</v>
      </c>
      <c r="G499" t="s">
        <v>1796</v>
      </c>
      <c r="H499" s="155" t="s">
        <v>2510</v>
      </c>
      <c r="I499" s="176" t="s">
        <v>1926</v>
      </c>
      <c r="J499" s="181">
        <v>45536</v>
      </c>
      <c r="K499" s="140">
        <v>47361</v>
      </c>
      <c r="L499" s="155">
        <v>5</v>
      </c>
      <c r="M499" s="155">
        <v>0</v>
      </c>
      <c r="N499" s="155">
        <v>0</v>
      </c>
      <c r="O499" s="155" t="s">
        <v>730</v>
      </c>
      <c r="P499" s="176" t="s">
        <v>730</v>
      </c>
      <c r="Q499" s="182">
        <v>45901</v>
      </c>
      <c r="R499" s="155">
        <v>1</v>
      </c>
      <c r="S499" s="176">
        <v>6</v>
      </c>
      <c r="T499" s="182" t="e">
        <f>VLOOKUP(A499,#REF!,9,FALSE)</f>
        <v>#REF!</v>
      </c>
      <c r="U499" s="155" t="s">
        <v>632</v>
      </c>
      <c r="V499" s="155" t="s">
        <v>632</v>
      </c>
      <c r="W499" s="155">
        <v>0</v>
      </c>
      <c r="X499" s="155">
        <v>6</v>
      </c>
      <c r="Y499" s="183">
        <v>0</v>
      </c>
    </row>
    <row r="500" spans="1:25" ht="30">
      <c r="A500" s="179">
        <v>418572053</v>
      </c>
      <c r="B500" t="s">
        <v>1798</v>
      </c>
      <c r="C500" t="s">
        <v>1668</v>
      </c>
      <c r="D500" t="s">
        <v>1665</v>
      </c>
      <c r="E500" t="s">
        <v>698</v>
      </c>
      <c r="F500" t="s">
        <v>2440</v>
      </c>
      <c r="G500" t="s">
        <v>1798</v>
      </c>
      <c r="H500" s="155" t="s">
        <v>2511</v>
      </c>
      <c r="I500" s="176" t="s">
        <v>1926</v>
      </c>
      <c r="J500" s="181">
        <v>45536</v>
      </c>
      <c r="K500" s="140">
        <v>47361</v>
      </c>
      <c r="L500" s="155">
        <v>5</v>
      </c>
      <c r="M500" s="155">
        <v>0</v>
      </c>
      <c r="N500" s="155">
        <v>0</v>
      </c>
      <c r="O500" s="155" t="s">
        <v>730</v>
      </c>
      <c r="P500" s="176" t="s">
        <v>730</v>
      </c>
      <c r="Q500" s="182">
        <v>45901</v>
      </c>
      <c r="R500" s="155">
        <v>1</v>
      </c>
      <c r="S500" s="176">
        <v>6</v>
      </c>
      <c r="T500" s="182" t="e">
        <f>VLOOKUP(A500,#REF!,9,FALSE)</f>
        <v>#REF!</v>
      </c>
      <c r="U500" s="155" t="s">
        <v>632</v>
      </c>
      <c r="V500" s="155" t="s">
        <v>632</v>
      </c>
      <c r="W500" s="155">
        <v>0</v>
      </c>
      <c r="X500" s="155">
        <v>6</v>
      </c>
      <c r="Y500" s="183">
        <v>0</v>
      </c>
    </row>
    <row r="501" spans="1:25" ht="30">
      <c r="A501" s="179">
        <v>418572054</v>
      </c>
      <c r="B501" t="s">
        <v>1800</v>
      </c>
      <c r="C501" t="s">
        <v>1668</v>
      </c>
      <c r="D501" t="s">
        <v>1665</v>
      </c>
      <c r="E501" t="s">
        <v>698</v>
      </c>
      <c r="F501" t="s">
        <v>2440</v>
      </c>
      <c r="G501" t="s">
        <v>1800</v>
      </c>
      <c r="H501" s="155" t="s">
        <v>2512</v>
      </c>
      <c r="I501" s="176" t="s">
        <v>1926</v>
      </c>
      <c r="J501" s="181">
        <v>45536</v>
      </c>
      <c r="K501" s="140">
        <v>47361</v>
      </c>
      <c r="L501" s="155">
        <v>5</v>
      </c>
      <c r="M501" s="155">
        <v>0</v>
      </c>
      <c r="N501" s="155">
        <v>0</v>
      </c>
      <c r="O501" s="155" t="s">
        <v>730</v>
      </c>
      <c r="P501" s="176" t="s">
        <v>730</v>
      </c>
      <c r="Q501" s="182">
        <v>45901</v>
      </c>
      <c r="R501" s="155">
        <v>1</v>
      </c>
      <c r="S501" s="176">
        <v>6</v>
      </c>
      <c r="T501" s="182" t="e">
        <f>VLOOKUP(A501,#REF!,9,FALSE)</f>
        <v>#REF!</v>
      </c>
      <c r="U501" s="155" t="s">
        <v>632</v>
      </c>
      <c r="V501" s="155" t="s">
        <v>632</v>
      </c>
      <c r="W501" s="155">
        <v>0</v>
      </c>
      <c r="X501" s="155">
        <v>6</v>
      </c>
      <c r="Y501" s="183">
        <v>0</v>
      </c>
    </row>
    <row r="502" spans="1:25" ht="30">
      <c r="A502" s="179">
        <v>418572055</v>
      </c>
      <c r="B502" t="s">
        <v>1802</v>
      </c>
      <c r="C502" t="s">
        <v>1668</v>
      </c>
      <c r="D502" t="s">
        <v>1665</v>
      </c>
      <c r="E502" t="s">
        <v>698</v>
      </c>
      <c r="F502" t="s">
        <v>2440</v>
      </c>
      <c r="G502" t="s">
        <v>1802</v>
      </c>
      <c r="H502" s="155" t="s">
        <v>2513</v>
      </c>
      <c r="I502" s="176" t="s">
        <v>1926</v>
      </c>
      <c r="J502" s="181">
        <v>45536</v>
      </c>
      <c r="K502" s="140">
        <v>47361</v>
      </c>
      <c r="L502" s="155">
        <v>5</v>
      </c>
      <c r="M502" s="155">
        <v>0</v>
      </c>
      <c r="N502" s="155">
        <v>0</v>
      </c>
      <c r="O502" s="155" t="s">
        <v>730</v>
      </c>
      <c r="P502" s="176" t="s">
        <v>730</v>
      </c>
      <c r="Q502" s="182">
        <v>45901</v>
      </c>
      <c r="R502" s="155">
        <v>1</v>
      </c>
      <c r="S502" s="176">
        <v>6</v>
      </c>
      <c r="T502" s="182" t="e">
        <f>VLOOKUP(A502,#REF!,9,FALSE)</f>
        <v>#REF!</v>
      </c>
      <c r="U502" s="155" t="s">
        <v>632</v>
      </c>
      <c r="V502" s="155" t="s">
        <v>632</v>
      </c>
      <c r="W502" s="155">
        <v>0</v>
      </c>
      <c r="X502" s="155">
        <v>6</v>
      </c>
      <c r="Y502" s="183">
        <v>0</v>
      </c>
    </row>
    <row r="503" spans="1:25" ht="30">
      <c r="A503" s="179">
        <v>418572056</v>
      </c>
      <c r="B503" t="s">
        <v>1804</v>
      </c>
      <c r="C503" t="s">
        <v>1668</v>
      </c>
      <c r="D503" t="s">
        <v>1665</v>
      </c>
      <c r="E503" t="s">
        <v>698</v>
      </c>
      <c r="F503" t="s">
        <v>2440</v>
      </c>
      <c r="G503" t="s">
        <v>1804</v>
      </c>
      <c r="H503" s="155" t="s">
        <v>2514</v>
      </c>
      <c r="I503" s="176" t="s">
        <v>1926</v>
      </c>
      <c r="J503" s="181">
        <v>45536</v>
      </c>
      <c r="K503" s="140">
        <v>47361</v>
      </c>
      <c r="L503" s="155">
        <v>5</v>
      </c>
      <c r="M503" s="155">
        <v>0</v>
      </c>
      <c r="N503" s="155">
        <v>0</v>
      </c>
      <c r="O503" s="155" t="s">
        <v>730</v>
      </c>
      <c r="P503" s="176" t="s">
        <v>730</v>
      </c>
      <c r="Q503" s="182">
        <v>45901</v>
      </c>
      <c r="R503" s="155">
        <v>1</v>
      </c>
      <c r="S503" s="176">
        <v>6</v>
      </c>
      <c r="T503" s="182" t="e">
        <f>VLOOKUP(A503,#REF!,9,FALSE)</f>
        <v>#REF!</v>
      </c>
      <c r="U503" s="155" t="s">
        <v>632</v>
      </c>
      <c r="V503" s="155" t="s">
        <v>632</v>
      </c>
      <c r="W503" s="155">
        <v>0</v>
      </c>
      <c r="X503" s="155">
        <v>6</v>
      </c>
      <c r="Y503" s="183">
        <v>0</v>
      </c>
    </row>
    <row r="504" spans="1:25" ht="30">
      <c r="A504" s="179">
        <v>418572057</v>
      </c>
      <c r="B504" t="s">
        <v>1806</v>
      </c>
      <c r="C504" t="s">
        <v>1668</v>
      </c>
      <c r="D504" t="s">
        <v>1665</v>
      </c>
      <c r="E504" t="s">
        <v>698</v>
      </c>
      <c r="F504" t="s">
        <v>2440</v>
      </c>
      <c r="G504" t="s">
        <v>1806</v>
      </c>
      <c r="H504" s="155" t="s">
        <v>2515</v>
      </c>
      <c r="I504" s="176" t="s">
        <v>1926</v>
      </c>
      <c r="J504" s="181">
        <v>45536</v>
      </c>
      <c r="K504" s="140">
        <v>47361</v>
      </c>
      <c r="L504" s="155">
        <v>5</v>
      </c>
      <c r="M504" s="155">
        <v>0</v>
      </c>
      <c r="N504" s="155">
        <v>0</v>
      </c>
      <c r="O504" s="155" t="s">
        <v>730</v>
      </c>
      <c r="P504" s="176" t="s">
        <v>730</v>
      </c>
      <c r="Q504" s="182">
        <v>45901</v>
      </c>
      <c r="R504" s="155">
        <v>1</v>
      </c>
      <c r="S504" s="176">
        <v>6</v>
      </c>
      <c r="T504" s="182" t="e">
        <f>VLOOKUP(A504,#REF!,9,FALSE)</f>
        <v>#REF!</v>
      </c>
      <c r="U504" s="155" t="s">
        <v>632</v>
      </c>
      <c r="V504" s="155" t="s">
        <v>632</v>
      </c>
      <c r="W504" s="155">
        <v>0</v>
      </c>
      <c r="X504" s="155">
        <v>6</v>
      </c>
      <c r="Y504" s="183">
        <v>0</v>
      </c>
    </row>
    <row r="505" spans="1:25" ht="30">
      <c r="A505" s="179">
        <v>418572058</v>
      </c>
      <c r="B505" t="s">
        <v>1808</v>
      </c>
      <c r="C505" t="s">
        <v>1668</v>
      </c>
      <c r="D505" t="s">
        <v>1665</v>
      </c>
      <c r="E505" t="s">
        <v>698</v>
      </c>
      <c r="F505" t="s">
        <v>2440</v>
      </c>
      <c r="G505" t="s">
        <v>1808</v>
      </c>
      <c r="H505" s="155" t="s">
        <v>2516</v>
      </c>
      <c r="I505" s="176" t="s">
        <v>1926</v>
      </c>
      <c r="J505" s="181">
        <v>45536</v>
      </c>
      <c r="K505" s="140">
        <v>47361</v>
      </c>
      <c r="L505" s="155">
        <v>5</v>
      </c>
      <c r="M505" s="155">
        <v>0</v>
      </c>
      <c r="N505" s="155">
        <v>0</v>
      </c>
      <c r="O505" s="155" t="s">
        <v>730</v>
      </c>
      <c r="P505" s="176" t="s">
        <v>730</v>
      </c>
      <c r="Q505" s="182">
        <v>45901</v>
      </c>
      <c r="R505" s="155">
        <v>1</v>
      </c>
      <c r="S505" s="176">
        <v>6</v>
      </c>
      <c r="T505" s="182" t="e">
        <f>VLOOKUP(A505,#REF!,9,FALSE)</f>
        <v>#REF!</v>
      </c>
      <c r="U505" s="155" t="s">
        <v>632</v>
      </c>
      <c r="V505" s="155" t="s">
        <v>632</v>
      </c>
      <c r="W505" s="155">
        <v>0</v>
      </c>
      <c r="X505" s="155">
        <v>6</v>
      </c>
      <c r="Y505" s="183">
        <v>0</v>
      </c>
    </row>
    <row r="506" spans="1:25" ht="30">
      <c r="A506" s="179">
        <v>418572059</v>
      </c>
      <c r="B506" t="s">
        <v>1810</v>
      </c>
      <c r="C506" t="s">
        <v>1668</v>
      </c>
      <c r="D506" t="s">
        <v>1665</v>
      </c>
      <c r="E506" t="s">
        <v>698</v>
      </c>
      <c r="F506" t="s">
        <v>2440</v>
      </c>
      <c r="G506" t="s">
        <v>1810</v>
      </c>
      <c r="H506" s="155" t="s">
        <v>2517</v>
      </c>
      <c r="I506" s="176" t="s">
        <v>1926</v>
      </c>
      <c r="J506" s="181">
        <v>45536</v>
      </c>
      <c r="K506" s="140">
        <v>47361</v>
      </c>
      <c r="L506" s="155">
        <v>5</v>
      </c>
      <c r="M506" s="155">
        <v>0</v>
      </c>
      <c r="N506" s="155">
        <v>0</v>
      </c>
      <c r="O506" s="155" t="s">
        <v>730</v>
      </c>
      <c r="P506" s="176" t="s">
        <v>730</v>
      </c>
      <c r="Q506" s="182">
        <v>45901</v>
      </c>
      <c r="R506" s="155">
        <v>1</v>
      </c>
      <c r="S506" s="176">
        <v>6</v>
      </c>
      <c r="T506" s="182" t="e">
        <f>VLOOKUP(A506,#REF!,9,FALSE)</f>
        <v>#REF!</v>
      </c>
      <c r="U506" s="155" t="s">
        <v>632</v>
      </c>
      <c r="V506" s="155" t="s">
        <v>632</v>
      </c>
      <c r="W506" s="155">
        <v>0</v>
      </c>
      <c r="X506" s="155">
        <v>6</v>
      </c>
      <c r="Y506" s="183">
        <v>0</v>
      </c>
    </row>
    <row r="507" spans="1:25" ht="30">
      <c r="A507" s="179">
        <v>418572060</v>
      </c>
      <c r="B507" t="s">
        <v>1812</v>
      </c>
      <c r="C507" t="s">
        <v>1668</v>
      </c>
      <c r="D507" t="s">
        <v>1665</v>
      </c>
      <c r="E507" t="s">
        <v>698</v>
      </c>
      <c r="F507" t="s">
        <v>2440</v>
      </c>
      <c r="G507" t="s">
        <v>1812</v>
      </c>
      <c r="H507" s="155" t="s">
        <v>2518</v>
      </c>
      <c r="I507" s="176" t="s">
        <v>1926</v>
      </c>
      <c r="J507" s="181">
        <v>45536</v>
      </c>
      <c r="K507" s="140">
        <v>47361</v>
      </c>
      <c r="L507" s="155">
        <v>5</v>
      </c>
      <c r="M507" s="155">
        <v>0</v>
      </c>
      <c r="N507" s="155">
        <v>0</v>
      </c>
      <c r="O507" s="155" t="s">
        <v>730</v>
      </c>
      <c r="P507" s="176" t="s">
        <v>730</v>
      </c>
      <c r="Q507" s="182">
        <v>45901</v>
      </c>
      <c r="R507" s="155">
        <v>1</v>
      </c>
      <c r="S507" s="176">
        <v>6</v>
      </c>
      <c r="T507" s="182" t="e">
        <f>VLOOKUP(A507,#REF!,9,FALSE)</f>
        <v>#REF!</v>
      </c>
      <c r="U507" s="155" t="s">
        <v>632</v>
      </c>
      <c r="V507" s="155" t="s">
        <v>632</v>
      </c>
      <c r="W507" s="155">
        <v>0</v>
      </c>
      <c r="X507" s="155">
        <v>6</v>
      </c>
      <c r="Y507" s="183">
        <v>0</v>
      </c>
    </row>
    <row r="508" spans="1:25" ht="30">
      <c r="A508" s="179">
        <v>418572061</v>
      </c>
      <c r="B508" t="s">
        <v>1814</v>
      </c>
      <c r="C508" t="s">
        <v>1668</v>
      </c>
      <c r="D508" t="s">
        <v>1665</v>
      </c>
      <c r="E508" t="s">
        <v>698</v>
      </c>
      <c r="F508" t="s">
        <v>2440</v>
      </c>
      <c r="G508" t="s">
        <v>1814</v>
      </c>
      <c r="H508" s="155" t="s">
        <v>2519</v>
      </c>
      <c r="I508" s="176" t="s">
        <v>1926</v>
      </c>
      <c r="J508" s="181">
        <v>45536</v>
      </c>
      <c r="K508" s="140">
        <v>47361</v>
      </c>
      <c r="L508" s="155">
        <v>5</v>
      </c>
      <c r="M508" s="155">
        <v>0</v>
      </c>
      <c r="N508" s="155">
        <v>0</v>
      </c>
      <c r="O508" s="155" t="s">
        <v>730</v>
      </c>
      <c r="P508" s="176" t="s">
        <v>730</v>
      </c>
      <c r="Q508" s="182">
        <v>45901</v>
      </c>
      <c r="R508" s="155">
        <v>1</v>
      </c>
      <c r="S508" s="176">
        <v>6</v>
      </c>
      <c r="T508" s="182" t="e">
        <f>VLOOKUP(A508,#REF!,9,FALSE)</f>
        <v>#REF!</v>
      </c>
      <c r="U508" s="155" t="s">
        <v>632</v>
      </c>
      <c r="V508" s="155" t="s">
        <v>632</v>
      </c>
      <c r="W508" s="155">
        <v>0</v>
      </c>
      <c r="X508" s="155">
        <v>6</v>
      </c>
      <c r="Y508" s="183">
        <v>0</v>
      </c>
    </row>
    <row r="509" spans="1:25" ht="30">
      <c r="A509" s="179">
        <v>418572062</v>
      </c>
      <c r="B509" t="s">
        <v>1816</v>
      </c>
      <c r="C509" t="s">
        <v>1668</v>
      </c>
      <c r="D509" t="s">
        <v>1665</v>
      </c>
      <c r="E509" t="s">
        <v>698</v>
      </c>
      <c r="F509" t="s">
        <v>2440</v>
      </c>
      <c r="G509" t="s">
        <v>1816</v>
      </c>
      <c r="H509" s="155" t="s">
        <v>2520</v>
      </c>
      <c r="I509" s="176" t="s">
        <v>1926</v>
      </c>
      <c r="J509" s="181">
        <v>45536</v>
      </c>
      <c r="K509" s="140">
        <v>47361</v>
      </c>
      <c r="L509" s="155">
        <v>5</v>
      </c>
      <c r="M509" s="155">
        <v>0</v>
      </c>
      <c r="N509" s="155">
        <v>0</v>
      </c>
      <c r="O509" s="155" t="s">
        <v>730</v>
      </c>
      <c r="P509" s="176" t="s">
        <v>730</v>
      </c>
      <c r="Q509" s="182">
        <v>45901</v>
      </c>
      <c r="R509" s="155">
        <v>1</v>
      </c>
      <c r="S509" s="176">
        <v>6</v>
      </c>
      <c r="T509" s="182" t="e">
        <f>VLOOKUP(A509,#REF!,9,FALSE)</f>
        <v>#REF!</v>
      </c>
      <c r="U509" s="155" t="s">
        <v>632</v>
      </c>
      <c r="V509" s="155" t="s">
        <v>632</v>
      </c>
      <c r="W509" s="155">
        <v>0</v>
      </c>
      <c r="X509" s="155">
        <v>6</v>
      </c>
      <c r="Y509" s="183">
        <v>0</v>
      </c>
    </row>
    <row r="510" spans="1:25" ht="30">
      <c r="A510" s="179">
        <v>418572063</v>
      </c>
      <c r="B510" t="s">
        <v>1818</v>
      </c>
      <c r="C510" t="s">
        <v>1668</v>
      </c>
      <c r="D510" t="s">
        <v>1665</v>
      </c>
      <c r="E510" t="s">
        <v>698</v>
      </c>
      <c r="F510" t="s">
        <v>2440</v>
      </c>
      <c r="G510" t="s">
        <v>1818</v>
      </c>
      <c r="H510" s="155" t="s">
        <v>2521</v>
      </c>
      <c r="I510" s="176" t="s">
        <v>1926</v>
      </c>
      <c r="J510" s="181">
        <v>45536</v>
      </c>
      <c r="K510" s="140">
        <v>47361</v>
      </c>
      <c r="L510" s="155">
        <v>5</v>
      </c>
      <c r="M510" s="155">
        <v>0</v>
      </c>
      <c r="N510" s="155">
        <v>0</v>
      </c>
      <c r="O510" s="155" t="s">
        <v>730</v>
      </c>
      <c r="P510" s="176" t="s">
        <v>730</v>
      </c>
      <c r="Q510" s="182">
        <v>45901</v>
      </c>
      <c r="R510" s="155">
        <v>1</v>
      </c>
      <c r="S510" s="176">
        <v>6</v>
      </c>
      <c r="T510" s="182" t="e">
        <f>VLOOKUP(A510,#REF!,9,FALSE)</f>
        <v>#REF!</v>
      </c>
      <c r="U510" s="155" t="s">
        <v>632</v>
      </c>
      <c r="V510" s="155" t="s">
        <v>632</v>
      </c>
      <c r="W510" s="155">
        <v>0</v>
      </c>
      <c r="X510" s="155">
        <v>6</v>
      </c>
      <c r="Y510" s="183">
        <v>0</v>
      </c>
    </row>
    <row r="511" spans="1:25" ht="30">
      <c r="A511" s="179">
        <v>418572064</v>
      </c>
      <c r="B511" t="s">
        <v>1820</v>
      </c>
      <c r="C511" t="s">
        <v>1668</v>
      </c>
      <c r="D511" t="s">
        <v>1665</v>
      </c>
      <c r="E511" t="s">
        <v>698</v>
      </c>
      <c r="F511" t="s">
        <v>2440</v>
      </c>
      <c r="G511" t="s">
        <v>1820</v>
      </c>
      <c r="H511" s="155" t="s">
        <v>2522</v>
      </c>
      <c r="I511" s="176" t="s">
        <v>1926</v>
      </c>
      <c r="J511" s="181">
        <v>45536</v>
      </c>
      <c r="K511" s="140">
        <v>47361</v>
      </c>
      <c r="L511" s="155">
        <v>5</v>
      </c>
      <c r="M511" s="155">
        <v>0</v>
      </c>
      <c r="N511" s="155">
        <v>0</v>
      </c>
      <c r="O511" s="155" t="s">
        <v>730</v>
      </c>
      <c r="P511" s="176" t="s">
        <v>730</v>
      </c>
      <c r="Q511" s="182">
        <v>45901</v>
      </c>
      <c r="R511" s="155">
        <v>1</v>
      </c>
      <c r="S511" s="176">
        <v>6</v>
      </c>
      <c r="T511" s="182" t="e">
        <f>VLOOKUP(A511,#REF!,9,FALSE)</f>
        <v>#REF!</v>
      </c>
      <c r="U511" s="155" t="s">
        <v>632</v>
      </c>
      <c r="V511" s="155" t="s">
        <v>632</v>
      </c>
      <c r="W511" s="155">
        <v>0</v>
      </c>
      <c r="X511" s="155">
        <v>6</v>
      </c>
      <c r="Y511" s="183">
        <v>0</v>
      </c>
    </row>
    <row r="512" spans="1:25" ht="30">
      <c r="A512" s="179">
        <v>418572065</v>
      </c>
      <c r="B512" t="s">
        <v>1822</v>
      </c>
      <c r="C512" t="s">
        <v>1668</v>
      </c>
      <c r="D512" t="s">
        <v>1665</v>
      </c>
      <c r="E512" t="s">
        <v>698</v>
      </c>
      <c r="F512" t="s">
        <v>2440</v>
      </c>
      <c r="G512" t="s">
        <v>1822</v>
      </c>
      <c r="H512" s="155" t="s">
        <v>2523</v>
      </c>
      <c r="I512" s="176" t="s">
        <v>1926</v>
      </c>
      <c r="J512" s="181">
        <v>45536</v>
      </c>
      <c r="K512" s="140">
        <v>47361</v>
      </c>
      <c r="L512" s="155">
        <v>5</v>
      </c>
      <c r="M512" s="155">
        <v>0</v>
      </c>
      <c r="N512" s="155">
        <v>0</v>
      </c>
      <c r="O512" s="155" t="s">
        <v>730</v>
      </c>
      <c r="P512" s="176" t="s">
        <v>730</v>
      </c>
      <c r="Q512" s="182">
        <v>45901</v>
      </c>
      <c r="R512" s="155">
        <v>1</v>
      </c>
      <c r="S512" s="176">
        <v>6</v>
      </c>
      <c r="T512" s="182" t="e">
        <f>VLOOKUP(A512,#REF!,9,FALSE)</f>
        <v>#REF!</v>
      </c>
      <c r="U512" s="155" t="s">
        <v>632</v>
      </c>
      <c r="V512" s="155" t="s">
        <v>632</v>
      </c>
      <c r="W512" s="155">
        <v>0</v>
      </c>
      <c r="X512" s="155">
        <v>6</v>
      </c>
      <c r="Y512" s="183">
        <v>0</v>
      </c>
    </row>
    <row r="513" spans="1:25" ht="30">
      <c r="A513" s="179">
        <v>418572066</v>
      </c>
      <c r="B513" t="s">
        <v>1824</v>
      </c>
      <c r="C513" t="s">
        <v>1668</v>
      </c>
      <c r="D513" t="s">
        <v>1665</v>
      </c>
      <c r="E513" t="s">
        <v>698</v>
      </c>
      <c r="F513" t="s">
        <v>2440</v>
      </c>
      <c r="G513" t="s">
        <v>1824</v>
      </c>
      <c r="H513" s="155" t="s">
        <v>2524</v>
      </c>
      <c r="I513" s="176" t="s">
        <v>1926</v>
      </c>
      <c r="J513" s="181">
        <v>45536</v>
      </c>
      <c r="K513" s="140">
        <v>47361</v>
      </c>
      <c r="L513" s="155">
        <v>5</v>
      </c>
      <c r="M513" s="155">
        <v>0</v>
      </c>
      <c r="N513" s="155">
        <v>0</v>
      </c>
      <c r="O513" s="155" t="s">
        <v>730</v>
      </c>
      <c r="P513" s="176" t="s">
        <v>730</v>
      </c>
      <c r="Q513" s="182">
        <v>45901</v>
      </c>
      <c r="R513" s="155">
        <v>1</v>
      </c>
      <c r="S513" s="176">
        <v>6</v>
      </c>
      <c r="T513" s="182" t="e">
        <f>VLOOKUP(A513,#REF!,9,FALSE)</f>
        <v>#REF!</v>
      </c>
      <c r="U513" s="155" t="s">
        <v>632</v>
      </c>
      <c r="V513" s="155" t="s">
        <v>632</v>
      </c>
      <c r="W513" s="155">
        <v>0</v>
      </c>
      <c r="X513" s="155">
        <v>6</v>
      </c>
      <c r="Y513" s="183">
        <v>0</v>
      </c>
    </row>
    <row r="514" spans="1:25" ht="30">
      <c r="A514" s="179">
        <v>418572067</v>
      </c>
      <c r="B514" t="s">
        <v>1826</v>
      </c>
      <c r="C514" t="s">
        <v>1668</v>
      </c>
      <c r="D514" t="s">
        <v>1665</v>
      </c>
      <c r="E514" t="s">
        <v>698</v>
      </c>
      <c r="F514" t="s">
        <v>2440</v>
      </c>
      <c r="G514" t="s">
        <v>1826</v>
      </c>
      <c r="H514" s="155" t="s">
        <v>2525</v>
      </c>
      <c r="I514" s="176" t="s">
        <v>1926</v>
      </c>
      <c r="J514" s="181">
        <v>45536</v>
      </c>
      <c r="K514" s="140">
        <v>47361</v>
      </c>
      <c r="L514" s="155">
        <v>5</v>
      </c>
      <c r="M514" s="155">
        <v>0</v>
      </c>
      <c r="N514" s="155">
        <v>0</v>
      </c>
      <c r="O514" s="155" t="s">
        <v>730</v>
      </c>
      <c r="P514" s="176" t="s">
        <v>730</v>
      </c>
      <c r="Q514" s="182">
        <v>45901</v>
      </c>
      <c r="R514" s="155">
        <v>1</v>
      </c>
      <c r="S514" s="176">
        <v>6</v>
      </c>
      <c r="T514" s="182" t="e">
        <f>VLOOKUP(A514,#REF!,9,FALSE)</f>
        <v>#REF!</v>
      </c>
      <c r="U514" s="155" t="s">
        <v>632</v>
      </c>
      <c r="V514" s="155" t="s">
        <v>632</v>
      </c>
      <c r="W514" s="155">
        <v>0</v>
      </c>
      <c r="X514" s="155">
        <v>6</v>
      </c>
      <c r="Y514" s="183">
        <v>0</v>
      </c>
    </row>
    <row r="515" spans="1:25" ht="30">
      <c r="A515" s="179">
        <v>418572068</v>
      </c>
      <c r="B515" t="s">
        <v>1828</v>
      </c>
      <c r="C515" t="s">
        <v>1668</v>
      </c>
      <c r="D515" t="s">
        <v>1665</v>
      </c>
      <c r="E515" t="s">
        <v>698</v>
      </c>
      <c r="F515" t="s">
        <v>2440</v>
      </c>
      <c r="G515" t="s">
        <v>1828</v>
      </c>
      <c r="H515" s="155" t="s">
        <v>2526</v>
      </c>
      <c r="I515" s="176" t="s">
        <v>1926</v>
      </c>
      <c r="J515" s="181">
        <v>45536</v>
      </c>
      <c r="K515" s="140">
        <v>47361</v>
      </c>
      <c r="L515" s="155">
        <v>5</v>
      </c>
      <c r="M515" s="155">
        <v>0</v>
      </c>
      <c r="N515" s="155">
        <v>0</v>
      </c>
      <c r="O515" s="155" t="s">
        <v>730</v>
      </c>
      <c r="P515" s="176" t="s">
        <v>730</v>
      </c>
      <c r="Q515" s="182">
        <v>45901</v>
      </c>
      <c r="R515" s="155">
        <v>1</v>
      </c>
      <c r="S515" s="176">
        <v>6</v>
      </c>
      <c r="T515" s="182" t="e">
        <f>VLOOKUP(A515,#REF!,9,FALSE)</f>
        <v>#REF!</v>
      </c>
      <c r="U515" s="155" t="s">
        <v>632</v>
      </c>
      <c r="V515" s="155" t="s">
        <v>632</v>
      </c>
      <c r="W515" s="155">
        <v>0</v>
      </c>
      <c r="X515" s="155">
        <v>6</v>
      </c>
      <c r="Y515" s="183">
        <v>0</v>
      </c>
    </row>
    <row r="516" spans="1:25" ht="30">
      <c r="A516" s="179">
        <v>418572069</v>
      </c>
      <c r="B516" t="s">
        <v>1830</v>
      </c>
      <c r="C516" t="s">
        <v>1668</v>
      </c>
      <c r="D516" t="s">
        <v>1665</v>
      </c>
      <c r="E516" t="s">
        <v>698</v>
      </c>
      <c r="F516" t="s">
        <v>2440</v>
      </c>
      <c r="G516" t="s">
        <v>1830</v>
      </c>
      <c r="H516" s="155" t="s">
        <v>2527</v>
      </c>
      <c r="I516" s="176" t="s">
        <v>1926</v>
      </c>
      <c r="J516" s="181">
        <v>45536</v>
      </c>
      <c r="K516" s="140">
        <v>47361</v>
      </c>
      <c r="L516" s="155">
        <v>5</v>
      </c>
      <c r="M516" s="155">
        <v>0</v>
      </c>
      <c r="N516" s="155">
        <v>0</v>
      </c>
      <c r="O516" s="155" t="s">
        <v>730</v>
      </c>
      <c r="P516" s="176" t="s">
        <v>730</v>
      </c>
      <c r="Q516" s="182">
        <v>45901</v>
      </c>
      <c r="R516" s="155">
        <v>1</v>
      </c>
      <c r="S516" s="176">
        <v>6</v>
      </c>
      <c r="T516" s="182" t="e">
        <f>VLOOKUP(A516,#REF!,9,FALSE)</f>
        <v>#REF!</v>
      </c>
      <c r="U516" s="155" t="s">
        <v>632</v>
      </c>
      <c r="V516" s="155" t="s">
        <v>632</v>
      </c>
      <c r="W516" s="155">
        <v>0</v>
      </c>
      <c r="X516" s="155">
        <v>6</v>
      </c>
      <c r="Y516" s="183">
        <v>0</v>
      </c>
    </row>
    <row r="517" spans="1:25" ht="30">
      <c r="A517" s="179">
        <v>418572070</v>
      </c>
      <c r="B517" t="s">
        <v>1832</v>
      </c>
      <c r="C517" t="s">
        <v>1668</v>
      </c>
      <c r="D517" t="s">
        <v>1665</v>
      </c>
      <c r="E517" t="s">
        <v>698</v>
      </c>
      <c r="F517" t="s">
        <v>2440</v>
      </c>
      <c r="G517" t="s">
        <v>1832</v>
      </c>
      <c r="H517" s="155" t="s">
        <v>2528</v>
      </c>
      <c r="I517" s="176" t="s">
        <v>1926</v>
      </c>
      <c r="J517" s="181">
        <v>45536</v>
      </c>
      <c r="K517" s="140">
        <v>47361</v>
      </c>
      <c r="L517" s="155">
        <v>5</v>
      </c>
      <c r="M517" s="155">
        <v>0</v>
      </c>
      <c r="N517" s="155">
        <v>0</v>
      </c>
      <c r="O517" s="155" t="s">
        <v>730</v>
      </c>
      <c r="P517" s="176" t="s">
        <v>730</v>
      </c>
      <c r="Q517" s="182">
        <v>45901</v>
      </c>
      <c r="R517" s="155">
        <v>1</v>
      </c>
      <c r="S517" s="176">
        <v>6</v>
      </c>
      <c r="T517" s="182" t="e">
        <f>VLOOKUP(A517,#REF!,9,FALSE)</f>
        <v>#REF!</v>
      </c>
      <c r="U517" s="155" t="s">
        <v>632</v>
      </c>
      <c r="V517" s="155" t="s">
        <v>632</v>
      </c>
      <c r="W517" s="155">
        <v>0</v>
      </c>
      <c r="X517" s="155">
        <v>6</v>
      </c>
      <c r="Y517" s="183">
        <v>0</v>
      </c>
    </row>
    <row r="518" spans="1:25" ht="30">
      <c r="A518" s="179">
        <v>418572071</v>
      </c>
      <c r="B518" t="s">
        <v>1834</v>
      </c>
      <c r="C518" t="s">
        <v>1668</v>
      </c>
      <c r="D518" t="s">
        <v>1665</v>
      </c>
      <c r="E518" t="s">
        <v>698</v>
      </c>
      <c r="F518" t="s">
        <v>2440</v>
      </c>
      <c r="G518" t="s">
        <v>1834</v>
      </c>
      <c r="H518" s="155" t="s">
        <v>2529</v>
      </c>
      <c r="I518" s="176" t="s">
        <v>1926</v>
      </c>
      <c r="J518" s="181">
        <v>45536</v>
      </c>
      <c r="K518" s="140">
        <v>47361</v>
      </c>
      <c r="L518" s="155">
        <v>5</v>
      </c>
      <c r="M518" s="155">
        <v>0</v>
      </c>
      <c r="N518" s="155">
        <v>0</v>
      </c>
      <c r="O518" s="155" t="s">
        <v>730</v>
      </c>
      <c r="P518" s="176" t="s">
        <v>730</v>
      </c>
      <c r="Q518" s="182">
        <v>45901</v>
      </c>
      <c r="R518" s="155">
        <v>1</v>
      </c>
      <c r="S518" s="176">
        <v>6</v>
      </c>
      <c r="T518" s="182" t="e">
        <f>VLOOKUP(A518,#REF!,9,FALSE)</f>
        <v>#REF!</v>
      </c>
      <c r="U518" s="155" t="s">
        <v>632</v>
      </c>
      <c r="V518" s="155" t="s">
        <v>632</v>
      </c>
      <c r="W518" s="155">
        <v>0</v>
      </c>
      <c r="X518" s="155">
        <v>6</v>
      </c>
      <c r="Y518" s="183">
        <v>0</v>
      </c>
    </row>
    <row r="519" spans="1:25" ht="30">
      <c r="A519" s="179">
        <v>418572072</v>
      </c>
      <c r="B519" t="s">
        <v>1836</v>
      </c>
      <c r="C519" t="s">
        <v>1668</v>
      </c>
      <c r="D519" t="s">
        <v>1665</v>
      </c>
      <c r="E519" t="s">
        <v>698</v>
      </c>
      <c r="F519" t="s">
        <v>2440</v>
      </c>
      <c r="G519" t="s">
        <v>1836</v>
      </c>
      <c r="H519" s="155" t="s">
        <v>2530</v>
      </c>
      <c r="I519" s="176" t="s">
        <v>1926</v>
      </c>
      <c r="J519" s="181">
        <v>45536</v>
      </c>
      <c r="K519" s="140">
        <v>47361</v>
      </c>
      <c r="L519" s="155">
        <v>5</v>
      </c>
      <c r="M519" s="155">
        <v>0</v>
      </c>
      <c r="N519" s="155">
        <v>0</v>
      </c>
      <c r="O519" s="155" t="s">
        <v>730</v>
      </c>
      <c r="P519" s="176" t="s">
        <v>730</v>
      </c>
      <c r="Q519" s="182">
        <v>45901</v>
      </c>
      <c r="R519" s="155">
        <v>1</v>
      </c>
      <c r="S519" s="176">
        <v>6</v>
      </c>
      <c r="T519" s="182" t="e">
        <f>VLOOKUP(A519,#REF!,9,FALSE)</f>
        <v>#REF!</v>
      </c>
      <c r="U519" s="155" t="s">
        <v>632</v>
      </c>
      <c r="V519" s="155" t="s">
        <v>632</v>
      </c>
      <c r="W519" s="155">
        <v>0</v>
      </c>
      <c r="X519" s="155">
        <v>6</v>
      </c>
      <c r="Y519" s="183">
        <v>0</v>
      </c>
    </row>
    <row r="520" spans="1:25" ht="30">
      <c r="A520" s="179">
        <v>418572073</v>
      </c>
      <c r="B520" t="s">
        <v>1838</v>
      </c>
      <c r="C520" t="s">
        <v>1668</v>
      </c>
      <c r="D520" t="s">
        <v>1665</v>
      </c>
      <c r="E520" t="s">
        <v>698</v>
      </c>
      <c r="F520" t="s">
        <v>2440</v>
      </c>
      <c r="G520" t="s">
        <v>1838</v>
      </c>
      <c r="H520" s="155" t="s">
        <v>2531</v>
      </c>
      <c r="I520" s="176" t="s">
        <v>1926</v>
      </c>
      <c r="J520" s="181">
        <v>45536</v>
      </c>
      <c r="K520" s="140">
        <v>47361</v>
      </c>
      <c r="L520" s="155">
        <v>5</v>
      </c>
      <c r="M520" s="155">
        <v>0</v>
      </c>
      <c r="N520" s="155">
        <v>0</v>
      </c>
      <c r="O520" s="155" t="s">
        <v>730</v>
      </c>
      <c r="P520" s="176" t="s">
        <v>730</v>
      </c>
      <c r="Q520" s="182">
        <v>45901</v>
      </c>
      <c r="R520" s="155">
        <v>1</v>
      </c>
      <c r="S520" s="176">
        <v>6</v>
      </c>
      <c r="T520" s="182" t="e">
        <f>VLOOKUP(A520,#REF!,9,FALSE)</f>
        <v>#REF!</v>
      </c>
      <c r="U520" s="155" t="s">
        <v>632</v>
      </c>
      <c r="V520" s="155" t="s">
        <v>632</v>
      </c>
      <c r="W520" s="155">
        <v>0</v>
      </c>
      <c r="X520" s="155">
        <v>6</v>
      </c>
      <c r="Y520" s="183">
        <v>0</v>
      </c>
    </row>
    <row r="521" spans="1:25" ht="30">
      <c r="A521" s="179">
        <v>418572074</v>
      </c>
      <c r="B521" t="s">
        <v>1840</v>
      </c>
      <c r="C521" t="s">
        <v>1668</v>
      </c>
      <c r="D521" t="s">
        <v>1665</v>
      </c>
      <c r="E521" t="s">
        <v>698</v>
      </c>
      <c r="F521" t="s">
        <v>2440</v>
      </c>
      <c r="G521" t="s">
        <v>1840</v>
      </c>
      <c r="H521" s="155" t="s">
        <v>2532</v>
      </c>
      <c r="I521" s="176" t="s">
        <v>1926</v>
      </c>
      <c r="J521" s="181">
        <v>45536</v>
      </c>
      <c r="K521" s="140">
        <v>47361</v>
      </c>
      <c r="L521" s="155">
        <v>5</v>
      </c>
      <c r="M521" s="155">
        <v>0</v>
      </c>
      <c r="N521" s="155">
        <v>0</v>
      </c>
      <c r="O521" s="155" t="s">
        <v>730</v>
      </c>
      <c r="P521" s="176" t="s">
        <v>730</v>
      </c>
      <c r="Q521" s="182">
        <v>45901</v>
      </c>
      <c r="R521" s="155">
        <v>1</v>
      </c>
      <c r="S521" s="176">
        <v>6</v>
      </c>
      <c r="T521" s="182" t="e">
        <f>VLOOKUP(A521,#REF!,9,FALSE)</f>
        <v>#REF!</v>
      </c>
      <c r="U521" s="155" t="s">
        <v>632</v>
      </c>
      <c r="V521" s="155" t="s">
        <v>632</v>
      </c>
      <c r="W521" s="155">
        <v>0</v>
      </c>
      <c r="X521" s="155">
        <v>6</v>
      </c>
      <c r="Y521" s="183">
        <v>0</v>
      </c>
    </row>
    <row r="522" spans="1:25" ht="30">
      <c r="A522" s="179">
        <v>418572075</v>
      </c>
      <c r="B522" t="s">
        <v>1842</v>
      </c>
      <c r="C522" t="s">
        <v>1668</v>
      </c>
      <c r="D522" t="s">
        <v>1665</v>
      </c>
      <c r="E522" t="s">
        <v>698</v>
      </c>
      <c r="F522" t="s">
        <v>2440</v>
      </c>
      <c r="G522" t="s">
        <v>1842</v>
      </c>
      <c r="H522" s="155" t="s">
        <v>2533</v>
      </c>
      <c r="I522" s="176" t="s">
        <v>1926</v>
      </c>
      <c r="J522" s="181">
        <v>45536</v>
      </c>
      <c r="K522" s="140">
        <v>47361</v>
      </c>
      <c r="L522" s="155">
        <v>5</v>
      </c>
      <c r="M522" s="155">
        <v>0</v>
      </c>
      <c r="N522" s="155">
        <v>0</v>
      </c>
      <c r="O522" s="155" t="s">
        <v>730</v>
      </c>
      <c r="P522" s="176" t="s">
        <v>730</v>
      </c>
      <c r="Q522" s="182">
        <v>45901</v>
      </c>
      <c r="R522" s="155">
        <v>1</v>
      </c>
      <c r="S522" s="176">
        <v>6</v>
      </c>
      <c r="T522" s="182" t="e">
        <f>VLOOKUP(A522,#REF!,9,FALSE)</f>
        <v>#REF!</v>
      </c>
      <c r="U522" s="155" t="s">
        <v>632</v>
      </c>
      <c r="V522" s="155" t="s">
        <v>632</v>
      </c>
      <c r="W522" s="155">
        <v>0</v>
      </c>
      <c r="X522" s="155">
        <v>6</v>
      </c>
      <c r="Y522" s="183">
        <v>0</v>
      </c>
    </row>
    <row r="523" spans="1:25" ht="30">
      <c r="A523" s="179">
        <v>418572076</v>
      </c>
      <c r="B523" t="s">
        <v>1844</v>
      </c>
      <c r="C523" t="s">
        <v>1668</v>
      </c>
      <c r="D523" t="s">
        <v>1665</v>
      </c>
      <c r="E523" t="s">
        <v>698</v>
      </c>
      <c r="F523" t="s">
        <v>2440</v>
      </c>
      <c r="G523" t="s">
        <v>1844</v>
      </c>
      <c r="H523" s="155" t="s">
        <v>2534</v>
      </c>
      <c r="I523" s="176" t="s">
        <v>1926</v>
      </c>
      <c r="J523" s="181">
        <v>45536</v>
      </c>
      <c r="K523" s="140">
        <v>47361</v>
      </c>
      <c r="L523" s="155">
        <v>5</v>
      </c>
      <c r="M523" s="155">
        <v>0</v>
      </c>
      <c r="N523" s="155">
        <v>0</v>
      </c>
      <c r="O523" s="155" t="s">
        <v>730</v>
      </c>
      <c r="P523" s="176" t="s">
        <v>730</v>
      </c>
      <c r="Q523" s="182">
        <v>45901</v>
      </c>
      <c r="R523" s="155">
        <v>1</v>
      </c>
      <c r="S523" s="176">
        <v>6</v>
      </c>
      <c r="T523" s="182" t="e">
        <f>VLOOKUP(A523,#REF!,9,FALSE)</f>
        <v>#REF!</v>
      </c>
      <c r="U523" s="155" t="s">
        <v>632</v>
      </c>
      <c r="V523" s="155" t="s">
        <v>632</v>
      </c>
      <c r="W523" s="155">
        <v>0</v>
      </c>
      <c r="X523" s="155">
        <v>6</v>
      </c>
      <c r="Y523" s="183">
        <v>0</v>
      </c>
    </row>
    <row r="524" spans="1:25" ht="30">
      <c r="A524" s="179">
        <v>418572077</v>
      </c>
      <c r="B524" t="s">
        <v>1846</v>
      </c>
      <c r="C524" t="s">
        <v>1668</v>
      </c>
      <c r="D524" t="s">
        <v>1665</v>
      </c>
      <c r="E524" t="s">
        <v>698</v>
      </c>
      <c r="F524" t="s">
        <v>2440</v>
      </c>
      <c r="G524" t="s">
        <v>1846</v>
      </c>
      <c r="H524" s="155" t="s">
        <v>2535</v>
      </c>
      <c r="I524" s="176" t="s">
        <v>1926</v>
      </c>
      <c r="J524" s="181">
        <v>45536</v>
      </c>
      <c r="K524" s="140">
        <v>47361</v>
      </c>
      <c r="L524" s="155">
        <v>5</v>
      </c>
      <c r="M524" s="155">
        <v>0</v>
      </c>
      <c r="N524" s="155">
        <v>0</v>
      </c>
      <c r="O524" s="155" t="s">
        <v>730</v>
      </c>
      <c r="P524" s="176" t="s">
        <v>730</v>
      </c>
      <c r="Q524" s="182">
        <v>45901</v>
      </c>
      <c r="R524" s="155">
        <v>1</v>
      </c>
      <c r="S524" s="176">
        <v>6</v>
      </c>
      <c r="T524" s="182" t="e">
        <f>VLOOKUP(A524,#REF!,9,FALSE)</f>
        <v>#REF!</v>
      </c>
      <c r="U524" s="155" t="s">
        <v>632</v>
      </c>
      <c r="V524" s="155" t="s">
        <v>632</v>
      </c>
      <c r="W524" s="155">
        <v>0</v>
      </c>
      <c r="X524" s="155">
        <v>6</v>
      </c>
      <c r="Y524" s="183">
        <v>0</v>
      </c>
    </row>
    <row r="525" spans="1:25" ht="30">
      <c r="A525" s="179">
        <v>418572078</v>
      </c>
      <c r="B525" t="s">
        <v>1848</v>
      </c>
      <c r="C525" t="s">
        <v>1668</v>
      </c>
      <c r="D525" t="s">
        <v>1665</v>
      </c>
      <c r="E525" t="s">
        <v>698</v>
      </c>
      <c r="F525" t="s">
        <v>2440</v>
      </c>
      <c r="G525" t="s">
        <v>1848</v>
      </c>
      <c r="H525" s="155" t="s">
        <v>2536</v>
      </c>
      <c r="I525" s="176" t="s">
        <v>1926</v>
      </c>
      <c r="J525" s="181">
        <v>45536</v>
      </c>
      <c r="K525" s="140">
        <v>47361</v>
      </c>
      <c r="L525" s="155">
        <v>5</v>
      </c>
      <c r="M525" s="155">
        <v>0</v>
      </c>
      <c r="N525" s="155">
        <v>0</v>
      </c>
      <c r="O525" s="155" t="s">
        <v>730</v>
      </c>
      <c r="P525" s="176" t="s">
        <v>730</v>
      </c>
      <c r="Q525" s="182">
        <v>45901</v>
      </c>
      <c r="R525" s="155">
        <v>1</v>
      </c>
      <c r="S525" s="176">
        <v>6</v>
      </c>
      <c r="T525" s="182" t="e">
        <f>VLOOKUP(A525,#REF!,9,FALSE)</f>
        <v>#REF!</v>
      </c>
      <c r="U525" s="155" t="s">
        <v>632</v>
      </c>
      <c r="V525" s="155" t="s">
        <v>632</v>
      </c>
      <c r="W525" s="155">
        <v>0</v>
      </c>
      <c r="X525" s="155">
        <v>6</v>
      </c>
      <c r="Y525" s="183">
        <v>0</v>
      </c>
    </row>
    <row r="526" spans="1:25" ht="30">
      <c r="A526" s="179">
        <v>418572079</v>
      </c>
      <c r="B526" t="s">
        <v>1850</v>
      </c>
      <c r="C526" t="s">
        <v>1668</v>
      </c>
      <c r="D526" t="s">
        <v>1665</v>
      </c>
      <c r="E526" t="s">
        <v>698</v>
      </c>
      <c r="F526" t="s">
        <v>2440</v>
      </c>
      <c r="G526" t="s">
        <v>1850</v>
      </c>
      <c r="H526" s="155" t="s">
        <v>2537</v>
      </c>
      <c r="I526" s="176" t="s">
        <v>1926</v>
      </c>
      <c r="J526" s="181">
        <v>45536</v>
      </c>
      <c r="K526" s="140">
        <v>47361</v>
      </c>
      <c r="L526" s="155">
        <v>5</v>
      </c>
      <c r="M526" s="155">
        <v>0</v>
      </c>
      <c r="N526" s="155">
        <v>0</v>
      </c>
      <c r="O526" s="155" t="s">
        <v>730</v>
      </c>
      <c r="P526" s="176" t="s">
        <v>730</v>
      </c>
      <c r="Q526" s="182">
        <v>45901</v>
      </c>
      <c r="R526" s="155">
        <v>1</v>
      </c>
      <c r="S526" s="176">
        <v>6</v>
      </c>
      <c r="T526" s="182" t="e">
        <f>VLOOKUP(A526,#REF!,9,FALSE)</f>
        <v>#REF!</v>
      </c>
      <c r="U526" s="155" t="s">
        <v>632</v>
      </c>
      <c r="V526" s="155" t="s">
        <v>632</v>
      </c>
      <c r="W526" s="155">
        <v>0</v>
      </c>
      <c r="X526" s="155">
        <v>6</v>
      </c>
      <c r="Y526" s="183">
        <v>0</v>
      </c>
    </row>
    <row r="527" spans="1:25" ht="30">
      <c r="A527" s="179">
        <v>418572080</v>
      </c>
      <c r="B527" t="s">
        <v>1852</v>
      </c>
      <c r="C527" t="s">
        <v>1668</v>
      </c>
      <c r="D527" t="s">
        <v>1665</v>
      </c>
      <c r="E527" t="s">
        <v>698</v>
      </c>
      <c r="F527" t="s">
        <v>2440</v>
      </c>
      <c r="G527" t="s">
        <v>1852</v>
      </c>
      <c r="H527" s="155" t="s">
        <v>2538</v>
      </c>
      <c r="I527" s="176" t="s">
        <v>1926</v>
      </c>
      <c r="J527" s="181">
        <v>45536</v>
      </c>
      <c r="K527" s="140">
        <v>47361</v>
      </c>
      <c r="L527" s="155">
        <v>5</v>
      </c>
      <c r="M527" s="155">
        <v>0</v>
      </c>
      <c r="N527" s="155">
        <v>0</v>
      </c>
      <c r="O527" s="155" t="s">
        <v>730</v>
      </c>
      <c r="P527" s="176" t="s">
        <v>730</v>
      </c>
      <c r="Q527" s="182">
        <v>45901</v>
      </c>
      <c r="R527" s="155">
        <v>1</v>
      </c>
      <c r="S527" s="176">
        <v>6</v>
      </c>
      <c r="T527" s="182" t="e">
        <f>VLOOKUP(A527,#REF!,9,FALSE)</f>
        <v>#REF!</v>
      </c>
      <c r="U527" s="155" t="s">
        <v>632</v>
      </c>
      <c r="V527" s="155" t="s">
        <v>632</v>
      </c>
      <c r="W527" s="155">
        <v>0</v>
      </c>
      <c r="X527" s="155">
        <v>6</v>
      </c>
      <c r="Y527" s="183">
        <v>0</v>
      </c>
    </row>
    <row r="528" spans="1:25" ht="30">
      <c r="A528" s="179">
        <v>418572081</v>
      </c>
      <c r="B528" t="s">
        <v>1854</v>
      </c>
      <c r="C528" t="s">
        <v>1668</v>
      </c>
      <c r="D528" t="s">
        <v>1665</v>
      </c>
      <c r="E528" t="s">
        <v>698</v>
      </c>
      <c r="F528" t="s">
        <v>2440</v>
      </c>
      <c r="G528" t="s">
        <v>1854</v>
      </c>
      <c r="H528" s="155" t="s">
        <v>2539</v>
      </c>
      <c r="I528" s="176" t="s">
        <v>1926</v>
      </c>
      <c r="J528" s="181">
        <v>45536</v>
      </c>
      <c r="K528" s="140">
        <v>47361</v>
      </c>
      <c r="L528" s="155">
        <v>5</v>
      </c>
      <c r="M528" s="155">
        <v>0</v>
      </c>
      <c r="N528" s="155">
        <v>0</v>
      </c>
      <c r="O528" s="155" t="s">
        <v>730</v>
      </c>
      <c r="P528" s="176" t="s">
        <v>730</v>
      </c>
      <c r="Q528" s="182">
        <v>45901</v>
      </c>
      <c r="R528" s="155">
        <v>1</v>
      </c>
      <c r="S528" s="176">
        <v>6</v>
      </c>
      <c r="T528" s="182" t="e">
        <f>VLOOKUP(A528,#REF!,9,FALSE)</f>
        <v>#REF!</v>
      </c>
      <c r="U528" s="155" t="s">
        <v>632</v>
      </c>
      <c r="V528" s="155" t="s">
        <v>632</v>
      </c>
      <c r="W528" s="155">
        <v>0</v>
      </c>
      <c r="X528" s="155">
        <v>6</v>
      </c>
      <c r="Y528" s="183">
        <v>0</v>
      </c>
    </row>
    <row r="529" spans="1:25" ht="30">
      <c r="A529" s="179">
        <v>418572082</v>
      </c>
      <c r="B529" t="s">
        <v>1856</v>
      </c>
      <c r="C529" t="s">
        <v>1668</v>
      </c>
      <c r="D529" t="s">
        <v>1665</v>
      </c>
      <c r="E529" t="s">
        <v>698</v>
      </c>
      <c r="F529" t="s">
        <v>2440</v>
      </c>
      <c r="G529" t="s">
        <v>1856</v>
      </c>
      <c r="H529" s="155" t="s">
        <v>2540</v>
      </c>
      <c r="I529" s="176" t="s">
        <v>1926</v>
      </c>
      <c r="J529" s="181">
        <v>45536</v>
      </c>
      <c r="K529" s="140">
        <v>47361</v>
      </c>
      <c r="L529" s="155">
        <v>5</v>
      </c>
      <c r="M529" s="155">
        <v>0</v>
      </c>
      <c r="N529" s="155">
        <v>0</v>
      </c>
      <c r="O529" s="155" t="s">
        <v>730</v>
      </c>
      <c r="P529" s="176" t="s">
        <v>730</v>
      </c>
      <c r="Q529" s="182">
        <v>45901</v>
      </c>
      <c r="R529" s="155">
        <v>1</v>
      </c>
      <c r="S529" s="176">
        <v>6</v>
      </c>
      <c r="T529" s="182" t="e">
        <f>VLOOKUP(A529,#REF!,9,FALSE)</f>
        <v>#REF!</v>
      </c>
      <c r="U529" s="155" t="s">
        <v>632</v>
      </c>
      <c r="V529" s="155" t="s">
        <v>632</v>
      </c>
      <c r="W529" s="155">
        <v>0</v>
      </c>
      <c r="X529" s="155">
        <v>6</v>
      </c>
      <c r="Y529" s="183">
        <v>0</v>
      </c>
    </row>
    <row r="530" spans="1:25" ht="30">
      <c r="A530" s="179">
        <v>418572083</v>
      </c>
      <c r="B530" t="s">
        <v>1858</v>
      </c>
      <c r="C530" t="s">
        <v>1668</v>
      </c>
      <c r="D530" t="s">
        <v>1665</v>
      </c>
      <c r="E530" t="s">
        <v>698</v>
      </c>
      <c r="F530" t="s">
        <v>2440</v>
      </c>
      <c r="G530" t="s">
        <v>1858</v>
      </c>
      <c r="H530" s="155" t="s">
        <v>2541</v>
      </c>
      <c r="I530" s="176" t="s">
        <v>1926</v>
      </c>
      <c r="J530" s="181">
        <v>45536</v>
      </c>
      <c r="K530" s="140">
        <v>47361</v>
      </c>
      <c r="L530" s="155">
        <v>5</v>
      </c>
      <c r="M530" s="155">
        <v>0</v>
      </c>
      <c r="N530" s="155">
        <v>0</v>
      </c>
      <c r="O530" s="155" t="s">
        <v>730</v>
      </c>
      <c r="P530" s="176" t="s">
        <v>730</v>
      </c>
      <c r="Q530" s="182">
        <v>45901</v>
      </c>
      <c r="R530" s="155">
        <v>1</v>
      </c>
      <c r="S530" s="176">
        <v>6</v>
      </c>
      <c r="T530" s="182" t="e">
        <f>VLOOKUP(A530,#REF!,9,FALSE)</f>
        <v>#REF!</v>
      </c>
      <c r="U530" s="155" t="s">
        <v>632</v>
      </c>
      <c r="V530" s="155" t="s">
        <v>632</v>
      </c>
      <c r="W530" s="155">
        <v>0</v>
      </c>
      <c r="X530" s="155">
        <v>6</v>
      </c>
      <c r="Y530" s="183">
        <v>0</v>
      </c>
    </row>
    <row r="531" spans="1:25" ht="30">
      <c r="A531" s="179">
        <v>418572084</v>
      </c>
      <c r="B531" t="s">
        <v>1860</v>
      </c>
      <c r="C531" t="s">
        <v>1668</v>
      </c>
      <c r="D531" t="s">
        <v>1665</v>
      </c>
      <c r="E531" t="s">
        <v>698</v>
      </c>
      <c r="F531" t="s">
        <v>2440</v>
      </c>
      <c r="G531" t="s">
        <v>1860</v>
      </c>
      <c r="H531" s="155" t="s">
        <v>2542</v>
      </c>
      <c r="I531" s="176" t="s">
        <v>1926</v>
      </c>
      <c r="J531" s="181">
        <v>45536</v>
      </c>
      <c r="K531" s="140">
        <v>47361</v>
      </c>
      <c r="L531" s="155">
        <v>5</v>
      </c>
      <c r="M531" s="155">
        <v>0</v>
      </c>
      <c r="N531" s="155">
        <v>0</v>
      </c>
      <c r="O531" s="155" t="s">
        <v>730</v>
      </c>
      <c r="P531" s="176" t="s">
        <v>730</v>
      </c>
      <c r="Q531" s="182">
        <v>45901</v>
      </c>
      <c r="R531" s="155">
        <v>1</v>
      </c>
      <c r="S531" s="176">
        <v>6</v>
      </c>
      <c r="T531" s="182" t="e">
        <f>VLOOKUP(A531,#REF!,9,FALSE)</f>
        <v>#REF!</v>
      </c>
      <c r="U531" s="155" t="s">
        <v>632</v>
      </c>
      <c r="V531" s="155" t="s">
        <v>632</v>
      </c>
      <c r="W531" s="155">
        <v>0</v>
      </c>
      <c r="X531" s="155">
        <v>6</v>
      </c>
      <c r="Y531" s="183">
        <v>0</v>
      </c>
    </row>
    <row r="532" spans="1:25" ht="30">
      <c r="A532" s="179">
        <v>418572085</v>
      </c>
      <c r="B532" t="s">
        <v>1862</v>
      </c>
      <c r="C532" t="s">
        <v>1668</v>
      </c>
      <c r="D532" t="s">
        <v>1665</v>
      </c>
      <c r="E532" t="s">
        <v>698</v>
      </c>
      <c r="F532" t="s">
        <v>2440</v>
      </c>
      <c r="G532" t="s">
        <v>1862</v>
      </c>
      <c r="H532" s="155" t="s">
        <v>2543</v>
      </c>
      <c r="I532" s="176" t="s">
        <v>1926</v>
      </c>
      <c r="J532" s="181">
        <v>45536</v>
      </c>
      <c r="K532" s="140">
        <v>47361</v>
      </c>
      <c r="L532" s="155">
        <v>5</v>
      </c>
      <c r="M532" s="155">
        <v>0</v>
      </c>
      <c r="N532" s="155">
        <v>0</v>
      </c>
      <c r="O532" s="155" t="s">
        <v>730</v>
      </c>
      <c r="P532" s="176" t="s">
        <v>730</v>
      </c>
      <c r="Q532" s="182">
        <v>45901</v>
      </c>
      <c r="R532" s="155">
        <v>1</v>
      </c>
      <c r="S532" s="176">
        <v>6</v>
      </c>
      <c r="T532" s="182" t="e">
        <f>VLOOKUP(A532,#REF!,9,FALSE)</f>
        <v>#REF!</v>
      </c>
      <c r="U532" s="155" t="s">
        <v>632</v>
      </c>
      <c r="V532" s="155" t="s">
        <v>632</v>
      </c>
      <c r="W532" s="155">
        <v>0</v>
      </c>
      <c r="X532" s="155">
        <v>6</v>
      </c>
      <c r="Y532" s="183">
        <v>0</v>
      </c>
    </row>
    <row r="533" spans="1:25" ht="30">
      <c r="A533" s="179">
        <v>418572086</v>
      </c>
      <c r="B533" t="s">
        <v>1864</v>
      </c>
      <c r="C533" t="s">
        <v>1668</v>
      </c>
      <c r="D533" t="s">
        <v>1665</v>
      </c>
      <c r="E533" t="s">
        <v>698</v>
      </c>
      <c r="F533" t="s">
        <v>2440</v>
      </c>
      <c r="G533" t="s">
        <v>1864</v>
      </c>
      <c r="H533" s="155" t="s">
        <v>2544</v>
      </c>
      <c r="I533" s="176" t="s">
        <v>1926</v>
      </c>
      <c r="J533" s="181">
        <v>45536</v>
      </c>
      <c r="K533" s="140">
        <v>47361</v>
      </c>
      <c r="L533" s="155">
        <v>5</v>
      </c>
      <c r="M533" s="155">
        <v>0</v>
      </c>
      <c r="N533" s="155">
        <v>0</v>
      </c>
      <c r="O533" s="155" t="s">
        <v>730</v>
      </c>
      <c r="P533" s="176" t="s">
        <v>730</v>
      </c>
      <c r="Q533" s="182">
        <v>45901</v>
      </c>
      <c r="R533" s="155">
        <v>1</v>
      </c>
      <c r="S533" s="176">
        <v>6</v>
      </c>
      <c r="T533" s="182" t="e">
        <f>VLOOKUP(A533,#REF!,9,FALSE)</f>
        <v>#REF!</v>
      </c>
      <c r="U533" s="155" t="s">
        <v>632</v>
      </c>
      <c r="V533" s="155" t="s">
        <v>632</v>
      </c>
      <c r="W533" s="155">
        <v>0</v>
      </c>
      <c r="X533" s="155">
        <v>6</v>
      </c>
      <c r="Y533" s="183">
        <v>0</v>
      </c>
    </row>
    <row r="534" spans="1:25" ht="30">
      <c r="A534" s="179">
        <v>418572094</v>
      </c>
      <c r="B534" t="s">
        <v>1866</v>
      </c>
      <c r="C534" t="s">
        <v>1668</v>
      </c>
      <c r="D534" t="s">
        <v>1665</v>
      </c>
      <c r="E534" t="s">
        <v>698</v>
      </c>
      <c r="F534" t="s">
        <v>2440</v>
      </c>
      <c r="G534" t="s">
        <v>1866</v>
      </c>
      <c r="H534" s="155" t="s">
        <v>2545</v>
      </c>
      <c r="I534" s="176" t="s">
        <v>1926</v>
      </c>
      <c r="J534" s="181">
        <v>45536</v>
      </c>
      <c r="K534" s="140">
        <v>47361</v>
      </c>
      <c r="L534" s="155">
        <v>5</v>
      </c>
      <c r="M534" s="155">
        <v>0</v>
      </c>
      <c r="N534" s="155">
        <v>0</v>
      </c>
      <c r="O534" s="155" t="s">
        <v>730</v>
      </c>
      <c r="P534" s="176" t="s">
        <v>730</v>
      </c>
      <c r="Q534" s="182">
        <v>45901</v>
      </c>
      <c r="R534" s="155">
        <v>1</v>
      </c>
      <c r="S534" s="176">
        <v>6</v>
      </c>
      <c r="T534" s="182" t="e">
        <f>VLOOKUP(A534,#REF!,9,FALSE)</f>
        <v>#REF!</v>
      </c>
      <c r="U534" s="155" t="s">
        <v>632</v>
      </c>
      <c r="V534" s="155" t="s">
        <v>632</v>
      </c>
      <c r="W534" s="155">
        <v>0</v>
      </c>
      <c r="X534" s="155">
        <v>6</v>
      </c>
      <c r="Y534" s="183">
        <v>0</v>
      </c>
    </row>
    <row r="535" spans="1:25" ht="30">
      <c r="A535" s="179">
        <v>418572095</v>
      </c>
      <c r="B535" t="s">
        <v>1868</v>
      </c>
      <c r="C535" t="s">
        <v>1668</v>
      </c>
      <c r="D535" t="s">
        <v>1665</v>
      </c>
      <c r="E535" t="s">
        <v>698</v>
      </c>
      <c r="F535" t="s">
        <v>2440</v>
      </c>
      <c r="G535" t="s">
        <v>1868</v>
      </c>
      <c r="H535" s="155" t="s">
        <v>2546</v>
      </c>
      <c r="I535" s="176" t="s">
        <v>1926</v>
      </c>
      <c r="J535" s="181">
        <v>45536</v>
      </c>
      <c r="K535" s="140">
        <v>47361</v>
      </c>
      <c r="L535" s="155">
        <v>5</v>
      </c>
      <c r="M535" s="155">
        <v>0</v>
      </c>
      <c r="N535" s="155">
        <v>0</v>
      </c>
      <c r="O535" s="155" t="s">
        <v>730</v>
      </c>
      <c r="P535" s="176" t="s">
        <v>730</v>
      </c>
      <c r="Q535" s="182">
        <v>45901</v>
      </c>
      <c r="R535" s="155">
        <v>1</v>
      </c>
      <c r="S535" s="176">
        <v>6</v>
      </c>
      <c r="T535" s="182" t="e">
        <f>VLOOKUP(A535,#REF!,9,FALSE)</f>
        <v>#REF!</v>
      </c>
      <c r="U535" s="155" t="s">
        <v>632</v>
      </c>
      <c r="V535" s="155" t="s">
        <v>632</v>
      </c>
      <c r="W535" s="155">
        <v>0</v>
      </c>
      <c r="X535" s="155">
        <v>6</v>
      </c>
      <c r="Y535" s="183">
        <v>0</v>
      </c>
    </row>
    <row r="536" spans="1:25" ht="30">
      <c r="A536" s="179">
        <v>418572096</v>
      </c>
      <c r="B536" t="s">
        <v>1870</v>
      </c>
      <c r="C536" t="s">
        <v>1668</v>
      </c>
      <c r="D536" t="s">
        <v>1665</v>
      </c>
      <c r="E536" t="s">
        <v>698</v>
      </c>
      <c r="F536" t="s">
        <v>2440</v>
      </c>
      <c r="G536" t="s">
        <v>1870</v>
      </c>
      <c r="H536" s="155" t="s">
        <v>2547</v>
      </c>
      <c r="I536" s="176" t="s">
        <v>1926</v>
      </c>
      <c r="J536" s="181">
        <v>45536</v>
      </c>
      <c r="K536" s="140">
        <v>47361</v>
      </c>
      <c r="L536" s="155">
        <v>5</v>
      </c>
      <c r="M536" s="155">
        <v>0</v>
      </c>
      <c r="N536" s="155">
        <v>0</v>
      </c>
      <c r="O536" s="155" t="s">
        <v>730</v>
      </c>
      <c r="P536" s="176" t="s">
        <v>730</v>
      </c>
      <c r="Q536" s="182">
        <v>45901</v>
      </c>
      <c r="R536" s="155">
        <v>1</v>
      </c>
      <c r="S536" s="176">
        <v>6</v>
      </c>
      <c r="T536" s="182" t="e">
        <f>VLOOKUP(A536,#REF!,9,FALSE)</f>
        <v>#REF!</v>
      </c>
      <c r="U536" s="155" t="s">
        <v>632</v>
      </c>
      <c r="V536" s="155" t="s">
        <v>632</v>
      </c>
      <c r="W536" s="155">
        <v>0</v>
      </c>
      <c r="X536" s="155">
        <v>6</v>
      </c>
      <c r="Y536" s="183">
        <v>0</v>
      </c>
    </row>
    <row r="537" spans="1:25" ht="30">
      <c r="A537" s="179">
        <v>418572097</v>
      </c>
      <c r="B537" t="s">
        <v>1872</v>
      </c>
      <c r="C537" t="s">
        <v>1668</v>
      </c>
      <c r="D537" t="s">
        <v>1665</v>
      </c>
      <c r="E537" t="s">
        <v>698</v>
      </c>
      <c r="F537" t="s">
        <v>2440</v>
      </c>
      <c r="G537" t="s">
        <v>1872</v>
      </c>
      <c r="H537" s="155" t="s">
        <v>2548</v>
      </c>
      <c r="I537" s="176" t="s">
        <v>1926</v>
      </c>
      <c r="J537" s="181">
        <v>45536</v>
      </c>
      <c r="K537" s="140">
        <v>47361</v>
      </c>
      <c r="L537" s="155">
        <v>5</v>
      </c>
      <c r="M537" s="155">
        <v>0</v>
      </c>
      <c r="N537" s="155">
        <v>0</v>
      </c>
      <c r="O537" s="155" t="s">
        <v>730</v>
      </c>
      <c r="P537" s="176" t="s">
        <v>730</v>
      </c>
      <c r="Q537" s="182">
        <v>45901</v>
      </c>
      <c r="R537" s="155">
        <v>1</v>
      </c>
      <c r="S537" s="176">
        <v>6</v>
      </c>
      <c r="T537" s="182" t="e">
        <f>VLOOKUP(A537,#REF!,9,FALSE)</f>
        <v>#REF!</v>
      </c>
      <c r="U537" s="155" t="s">
        <v>632</v>
      </c>
      <c r="V537" s="155" t="s">
        <v>632</v>
      </c>
      <c r="W537" s="155">
        <v>0</v>
      </c>
      <c r="X537" s="155">
        <v>6</v>
      </c>
      <c r="Y537" s="183">
        <v>0</v>
      </c>
    </row>
    <row r="538" spans="1:25" ht="30">
      <c r="A538" s="179">
        <v>418572098</v>
      </c>
      <c r="B538" t="s">
        <v>1874</v>
      </c>
      <c r="C538" t="s">
        <v>1668</v>
      </c>
      <c r="D538" t="s">
        <v>1665</v>
      </c>
      <c r="E538" t="s">
        <v>698</v>
      </c>
      <c r="F538" t="s">
        <v>2440</v>
      </c>
      <c r="G538" t="s">
        <v>1874</v>
      </c>
      <c r="H538" s="155" t="s">
        <v>2549</v>
      </c>
      <c r="I538" s="176" t="s">
        <v>1926</v>
      </c>
      <c r="J538" s="181">
        <v>45536</v>
      </c>
      <c r="K538" s="140">
        <v>47361</v>
      </c>
      <c r="L538" s="155">
        <v>5</v>
      </c>
      <c r="M538" s="155">
        <v>0</v>
      </c>
      <c r="N538" s="155">
        <v>0</v>
      </c>
      <c r="O538" s="155" t="s">
        <v>730</v>
      </c>
      <c r="P538" s="176" t="s">
        <v>730</v>
      </c>
      <c r="Q538" s="182">
        <v>45901</v>
      </c>
      <c r="R538" s="155">
        <v>1</v>
      </c>
      <c r="S538" s="176">
        <v>6</v>
      </c>
      <c r="T538" s="182" t="e">
        <f>VLOOKUP(A538,#REF!,9,FALSE)</f>
        <v>#REF!</v>
      </c>
      <c r="U538" s="155" t="s">
        <v>632</v>
      </c>
      <c r="V538" s="155" t="s">
        <v>632</v>
      </c>
      <c r="W538" s="155">
        <v>0</v>
      </c>
      <c r="X538" s="155">
        <v>6</v>
      </c>
      <c r="Y538" s="183">
        <v>0</v>
      </c>
    </row>
    <row r="539" spans="1:25" ht="30">
      <c r="A539" s="179">
        <v>418572099</v>
      </c>
      <c r="B539" t="s">
        <v>1876</v>
      </c>
      <c r="C539" t="s">
        <v>1668</v>
      </c>
      <c r="D539" t="s">
        <v>1665</v>
      </c>
      <c r="E539" t="s">
        <v>698</v>
      </c>
      <c r="F539" t="s">
        <v>2440</v>
      </c>
      <c r="G539" t="s">
        <v>1876</v>
      </c>
      <c r="H539" s="155" t="s">
        <v>2550</v>
      </c>
      <c r="I539" s="176" t="s">
        <v>1926</v>
      </c>
      <c r="J539" s="181">
        <v>45536</v>
      </c>
      <c r="K539" s="140">
        <v>47361</v>
      </c>
      <c r="L539" s="155">
        <v>5</v>
      </c>
      <c r="M539" s="155">
        <v>0</v>
      </c>
      <c r="N539" s="155">
        <v>0</v>
      </c>
      <c r="O539" s="155" t="s">
        <v>730</v>
      </c>
      <c r="P539" s="176" t="s">
        <v>730</v>
      </c>
      <c r="Q539" s="182">
        <v>45901</v>
      </c>
      <c r="R539" s="155">
        <v>1</v>
      </c>
      <c r="S539" s="176">
        <v>6</v>
      </c>
      <c r="T539" s="182" t="e">
        <f>VLOOKUP(A539,#REF!,9,FALSE)</f>
        <v>#REF!</v>
      </c>
      <c r="U539" s="155" t="s">
        <v>632</v>
      </c>
      <c r="V539" s="155" t="s">
        <v>632</v>
      </c>
      <c r="W539" s="155">
        <v>0</v>
      </c>
      <c r="X539" s="155">
        <v>6</v>
      </c>
      <c r="Y539" s="183">
        <v>0</v>
      </c>
    </row>
    <row r="540" spans="1:25" ht="30">
      <c r="A540" s="179">
        <v>418572100</v>
      </c>
      <c r="B540" t="s">
        <v>1878</v>
      </c>
      <c r="C540" t="s">
        <v>1668</v>
      </c>
      <c r="D540" t="s">
        <v>1665</v>
      </c>
      <c r="E540" t="s">
        <v>698</v>
      </c>
      <c r="F540" t="s">
        <v>2440</v>
      </c>
      <c r="G540" t="s">
        <v>1878</v>
      </c>
      <c r="H540" s="155" t="s">
        <v>2551</v>
      </c>
      <c r="I540" s="176" t="s">
        <v>1926</v>
      </c>
      <c r="J540" s="181">
        <v>45536</v>
      </c>
      <c r="K540" s="140">
        <v>47361</v>
      </c>
      <c r="L540" s="155">
        <v>5</v>
      </c>
      <c r="M540" s="155">
        <v>0</v>
      </c>
      <c r="N540" s="155">
        <v>0</v>
      </c>
      <c r="O540" s="155" t="s">
        <v>730</v>
      </c>
      <c r="P540" s="176" t="s">
        <v>730</v>
      </c>
      <c r="Q540" s="182">
        <v>45901</v>
      </c>
      <c r="R540" s="155">
        <v>1</v>
      </c>
      <c r="S540" s="176">
        <v>6</v>
      </c>
      <c r="T540" s="182" t="e">
        <f>VLOOKUP(A540,#REF!,9,FALSE)</f>
        <v>#REF!</v>
      </c>
      <c r="U540" s="155" t="s">
        <v>632</v>
      </c>
      <c r="V540" s="155" t="s">
        <v>632</v>
      </c>
      <c r="W540" s="155">
        <v>0</v>
      </c>
      <c r="X540" s="155">
        <v>6</v>
      </c>
      <c r="Y540" s="183">
        <v>0</v>
      </c>
    </row>
    <row r="541" spans="1:25" ht="30">
      <c r="A541" s="179">
        <v>418576005</v>
      </c>
      <c r="B541" t="s">
        <v>555</v>
      </c>
      <c r="C541" t="s">
        <v>618</v>
      </c>
      <c r="D541" t="s">
        <v>753</v>
      </c>
      <c r="E541" t="s">
        <v>698</v>
      </c>
      <c r="F541" t="s">
        <v>2552</v>
      </c>
      <c r="G541" t="s">
        <v>555</v>
      </c>
      <c r="H541" s="155" t="s">
        <v>2553</v>
      </c>
      <c r="I541" s="176" t="s">
        <v>1926</v>
      </c>
      <c r="J541" s="181">
        <v>45071</v>
      </c>
      <c r="K541" t="s">
        <v>730</v>
      </c>
      <c r="L541" s="155">
        <v>0</v>
      </c>
      <c r="M541" s="155">
        <v>0</v>
      </c>
      <c r="N541" s="155">
        <v>0</v>
      </c>
      <c r="O541" s="155" t="s">
        <v>730</v>
      </c>
      <c r="P541" s="176" t="s">
        <v>730</v>
      </c>
      <c r="Q541" s="184" t="s">
        <v>730</v>
      </c>
      <c r="R541" s="155">
        <v>0</v>
      </c>
      <c r="S541" s="176">
        <v>0</v>
      </c>
      <c r="T541" s="182" t="e">
        <f>VLOOKUP(A541,#REF!,9,FALSE)</f>
        <v>#REF!</v>
      </c>
      <c r="U541" s="155" t="s">
        <v>518</v>
      </c>
      <c r="V541" s="155" t="s">
        <v>518</v>
      </c>
      <c r="W541" s="155">
        <v>0</v>
      </c>
      <c r="X541" s="155">
        <v>0</v>
      </c>
      <c r="Y541" s="183">
        <v>6</v>
      </c>
    </row>
    <row r="542" spans="1:25" ht="30">
      <c r="A542" s="179">
        <v>418576006</v>
      </c>
      <c r="B542" t="s">
        <v>935</v>
      </c>
      <c r="C542" t="s">
        <v>618</v>
      </c>
      <c r="D542" t="s">
        <v>753</v>
      </c>
      <c r="E542" t="s">
        <v>698</v>
      </c>
      <c r="F542" t="s">
        <v>2554</v>
      </c>
      <c r="G542" t="s">
        <v>935</v>
      </c>
      <c r="H542" s="155" t="s">
        <v>2555</v>
      </c>
      <c r="I542" s="176" t="s">
        <v>1926</v>
      </c>
      <c r="J542" s="181">
        <v>45071</v>
      </c>
      <c r="K542" t="s">
        <v>730</v>
      </c>
      <c r="L542" s="155">
        <v>0</v>
      </c>
      <c r="M542" s="155">
        <v>0</v>
      </c>
      <c r="N542" s="155">
        <v>0</v>
      </c>
      <c r="O542" s="155" t="s">
        <v>730</v>
      </c>
      <c r="P542" s="176" t="s">
        <v>730</v>
      </c>
      <c r="Q542" s="184" t="s">
        <v>730</v>
      </c>
      <c r="R542" s="155">
        <v>0</v>
      </c>
      <c r="S542" s="176">
        <v>6</v>
      </c>
      <c r="T542" s="182" t="e">
        <f>VLOOKUP(A542,#REF!,9,FALSE)</f>
        <v>#REF!</v>
      </c>
      <c r="U542" s="155" t="s">
        <v>632</v>
      </c>
      <c r="V542" s="155" t="s">
        <v>632</v>
      </c>
      <c r="W542" s="155">
        <v>0</v>
      </c>
      <c r="X542" s="155">
        <v>0</v>
      </c>
      <c r="Y542" s="183">
        <v>0</v>
      </c>
    </row>
    <row r="543" spans="1:25" ht="30">
      <c r="A543" s="179">
        <v>418576007</v>
      </c>
      <c r="B543" t="s">
        <v>937</v>
      </c>
      <c r="C543" t="s">
        <v>618</v>
      </c>
      <c r="D543" t="s">
        <v>753</v>
      </c>
      <c r="E543" t="s">
        <v>698</v>
      </c>
      <c r="F543" t="s">
        <v>2556</v>
      </c>
      <c r="G543" t="s">
        <v>937</v>
      </c>
      <c r="H543" s="155" t="s">
        <v>2557</v>
      </c>
      <c r="I543" s="176" t="s">
        <v>1926</v>
      </c>
      <c r="J543" s="181">
        <v>45336</v>
      </c>
      <c r="K543" s="140">
        <v>46431</v>
      </c>
      <c r="L543" s="155">
        <v>3</v>
      </c>
      <c r="M543" s="155">
        <v>0</v>
      </c>
      <c r="N543" s="155">
        <v>0</v>
      </c>
      <c r="O543" s="155" t="s">
        <v>730</v>
      </c>
      <c r="P543" s="176" t="s">
        <v>730</v>
      </c>
      <c r="Q543" s="184" t="s">
        <v>730</v>
      </c>
      <c r="R543" s="155">
        <v>0</v>
      </c>
      <c r="S543" s="176">
        <v>0</v>
      </c>
      <c r="T543" s="182" t="e">
        <f>VLOOKUP(A543,#REF!,9,FALSE)</f>
        <v>#REF!</v>
      </c>
      <c r="U543" s="155" t="s">
        <v>518</v>
      </c>
      <c r="V543" s="155" t="s">
        <v>518</v>
      </c>
      <c r="W543" s="155">
        <v>0</v>
      </c>
      <c r="X543" s="155">
        <v>6</v>
      </c>
      <c r="Y543" s="183">
        <v>0</v>
      </c>
    </row>
    <row r="544" spans="1:25" ht="30">
      <c r="A544" s="179">
        <v>418576008</v>
      </c>
      <c r="B544" t="s">
        <v>939</v>
      </c>
      <c r="C544" t="s">
        <v>618</v>
      </c>
      <c r="D544" t="s">
        <v>753</v>
      </c>
      <c r="E544" t="s">
        <v>698</v>
      </c>
      <c r="F544" t="s">
        <v>2556</v>
      </c>
      <c r="G544" t="s">
        <v>939</v>
      </c>
      <c r="H544" s="155" t="s">
        <v>2558</v>
      </c>
      <c r="I544" s="176" t="s">
        <v>1926</v>
      </c>
      <c r="J544" s="181">
        <v>45270</v>
      </c>
      <c r="K544" s="140">
        <v>46365</v>
      </c>
      <c r="L544" s="155">
        <v>3</v>
      </c>
      <c r="M544" s="155">
        <v>0</v>
      </c>
      <c r="N544" s="155">
        <v>0</v>
      </c>
      <c r="O544" s="155" t="s">
        <v>730</v>
      </c>
      <c r="P544" s="176" t="s">
        <v>730</v>
      </c>
      <c r="Q544" s="184" t="s">
        <v>730</v>
      </c>
      <c r="R544" s="155">
        <v>5</v>
      </c>
      <c r="S544" s="176">
        <v>6</v>
      </c>
      <c r="T544" s="182" t="e">
        <f>VLOOKUP(A544,#REF!,9,FALSE)</f>
        <v>#REF!</v>
      </c>
      <c r="U544" s="155" t="s">
        <v>518</v>
      </c>
      <c r="V544" s="155" t="s">
        <v>518</v>
      </c>
      <c r="W544" s="155">
        <v>0</v>
      </c>
      <c r="X544" s="155">
        <v>6</v>
      </c>
      <c r="Y544" s="183">
        <v>0</v>
      </c>
    </row>
    <row r="545" spans="1:25" ht="30">
      <c r="A545" s="179">
        <v>418576009</v>
      </c>
      <c r="B545" t="s">
        <v>941</v>
      </c>
      <c r="C545" t="s">
        <v>618</v>
      </c>
      <c r="D545" t="s">
        <v>753</v>
      </c>
      <c r="E545" t="s">
        <v>698</v>
      </c>
      <c r="F545" t="s">
        <v>2559</v>
      </c>
      <c r="G545" t="s">
        <v>941</v>
      </c>
      <c r="H545" s="155" t="s">
        <v>2560</v>
      </c>
      <c r="I545" s="176" t="s">
        <v>1926</v>
      </c>
      <c r="J545" s="181">
        <v>45595</v>
      </c>
      <c r="K545" s="140">
        <v>46324</v>
      </c>
      <c r="L545" s="155">
        <v>2</v>
      </c>
      <c r="M545" s="155">
        <v>0</v>
      </c>
      <c r="N545" s="155">
        <v>0</v>
      </c>
      <c r="O545" s="155" t="s">
        <v>730</v>
      </c>
      <c r="P545" s="176" t="s">
        <v>730</v>
      </c>
      <c r="Q545" s="184" t="s">
        <v>730</v>
      </c>
      <c r="R545" s="155">
        <v>5</v>
      </c>
      <c r="S545" s="176">
        <v>6</v>
      </c>
      <c r="T545" s="182" t="e">
        <f>VLOOKUP(A545,#REF!,9,FALSE)</f>
        <v>#REF!</v>
      </c>
      <c r="U545" s="155" t="s">
        <v>632</v>
      </c>
      <c r="V545" s="155" t="s">
        <v>518</v>
      </c>
      <c r="W545" s="155">
        <v>0</v>
      </c>
      <c r="X545" s="155">
        <v>6</v>
      </c>
      <c r="Y545" s="183">
        <v>6</v>
      </c>
    </row>
    <row r="546" spans="1:25" ht="30">
      <c r="A546" s="179">
        <v>418576119</v>
      </c>
      <c r="B546" t="s">
        <v>943</v>
      </c>
      <c r="C546" t="s">
        <v>750</v>
      </c>
      <c r="D546" t="s">
        <v>753</v>
      </c>
      <c r="E546" t="s">
        <v>698</v>
      </c>
      <c r="F546" t="s">
        <v>2556</v>
      </c>
      <c r="G546" t="s">
        <v>943</v>
      </c>
      <c r="H546" s="155" t="s">
        <v>2561</v>
      </c>
      <c r="I546" s="176" t="s">
        <v>1926</v>
      </c>
      <c r="J546" s="181">
        <v>42096</v>
      </c>
      <c r="K546" s="140">
        <v>45748</v>
      </c>
      <c r="L546" s="155">
        <v>10</v>
      </c>
      <c r="M546" s="155">
        <v>0</v>
      </c>
      <c r="N546" s="155">
        <v>0</v>
      </c>
      <c r="O546" s="155" t="s">
        <v>730</v>
      </c>
      <c r="P546" s="176" t="s">
        <v>730</v>
      </c>
      <c r="Q546" s="184" t="s">
        <v>730</v>
      </c>
      <c r="R546" s="155">
        <v>0</v>
      </c>
      <c r="S546" s="176">
        <v>0</v>
      </c>
      <c r="T546" s="182" t="e">
        <f>VLOOKUP(A546,#REF!,9,FALSE)</f>
        <v>#REF!</v>
      </c>
      <c r="U546" s="155" t="s">
        <v>632</v>
      </c>
      <c r="V546" s="155" t="s">
        <v>632</v>
      </c>
      <c r="W546" s="155">
        <v>0</v>
      </c>
      <c r="X546" s="155">
        <v>0</v>
      </c>
      <c r="Y546" s="183">
        <v>6</v>
      </c>
    </row>
    <row r="547" spans="1:25" ht="30">
      <c r="A547" s="179">
        <v>418576123</v>
      </c>
      <c r="B547" t="s">
        <v>945</v>
      </c>
      <c r="C547" t="s">
        <v>618</v>
      </c>
      <c r="D547" t="s">
        <v>753</v>
      </c>
      <c r="E547" t="s">
        <v>698</v>
      </c>
      <c r="F547" t="s">
        <v>2562</v>
      </c>
      <c r="G547" t="s">
        <v>945</v>
      </c>
      <c r="H547" s="155" t="s">
        <v>2563</v>
      </c>
      <c r="I547" s="176" t="s">
        <v>1926</v>
      </c>
      <c r="J547" s="181">
        <v>44728</v>
      </c>
      <c r="K547" s="140">
        <v>46553</v>
      </c>
      <c r="L547" s="155">
        <v>5</v>
      </c>
      <c r="M547" s="155">
        <v>0</v>
      </c>
      <c r="N547" s="155">
        <v>0</v>
      </c>
      <c r="O547" s="155" t="s">
        <v>730</v>
      </c>
      <c r="P547" s="176" t="s">
        <v>730</v>
      </c>
      <c r="Q547" s="184" t="s">
        <v>730</v>
      </c>
      <c r="R547" s="155">
        <v>0</v>
      </c>
      <c r="S547" s="176">
        <v>0</v>
      </c>
      <c r="T547" s="182" t="e">
        <f>VLOOKUP(A547,#REF!,9,FALSE)</f>
        <v>#REF!</v>
      </c>
      <c r="U547" s="155" t="s">
        <v>632</v>
      </c>
      <c r="V547" s="155" t="s">
        <v>518</v>
      </c>
      <c r="W547" s="155">
        <v>0</v>
      </c>
      <c r="X547" s="155">
        <v>6</v>
      </c>
      <c r="Y547" s="183">
        <v>6</v>
      </c>
    </row>
    <row r="548" spans="1:25" ht="30">
      <c r="A548" s="179">
        <v>418576124</v>
      </c>
      <c r="B548" t="s">
        <v>947</v>
      </c>
      <c r="C548" t="s">
        <v>618</v>
      </c>
      <c r="D548" t="s">
        <v>753</v>
      </c>
      <c r="E548" t="s">
        <v>698</v>
      </c>
      <c r="F548" t="s">
        <v>2562</v>
      </c>
      <c r="G548" t="s">
        <v>947</v>
      </c>
      <c r="H548" s="155" t="s">
        <v>2564</v>
      </c>
      <c r="I548" s="176" t="s">
        <v>1926</v>
      </c>
      <c r="J548" s="181">
        <v>45617</v>
      </c>
      <c r="K548" s="140">
        <v>46553</v>
      </c>
      <c r="L548" s="155">
        <v>2</v>
      </c>
      <c r="M548" s="155">
        <v>6</v>
      </c>
      <c r="N548" s="155">
        <v>26</v>
      </c>
      <c r="O548" s="155" t="s">
        <v>730</v>
      </c>
      <c r="P548" s="176" t="s">
        <v>730</v>
      </c>
      <c r="Q548" s="184" t="s">
        <v>730</v>
      </c>
      <c r="R548" s="155">
        <v>0</v>
      </c>
      <c r="S548" s="176">
        <v>0</v>
      </c>
      <c r="T548" s="182" t="e">
        <f>VLOOKUP(A548,#REF!,9,FALSE)</f>
        <v>#REF!</v>
      </c>
      <c r="U548" s="155" t="s">
        <v>518</v>
      </c>
      <c r="V548" s="155" t="s">
        <v>632</v>
      </c>
      <c r="W548" s="155">
        <v>0</v>
      </c>
      <c r="X548" s="155">
        <v>0</v>
      </c>
      <c r="Y548" s="183">
        <v>0</v>
      </c>
    </row>
    <row r="549" spans="1:25" ht="30">
      <c r="A549" s="179">
        <v>418576125</v>
      </c>
      <c r="B549" t="s">
        <v>949</v>
      </c>
      <c r="C549" t="s">
        <v>950</v>
      </c>
      <c r="D549" t="s">
        <v>753</v>
      </c>
      <c r="E549" t="s">
        <v>698</v>
      </c>
      <c r="F549" t="s">
        <v>2565</v>
      </c>
      <c r="G549" t="s">
        <v>949</v>
      </c>
      <c r="H549" s="155" t="s">
        <v>2566</v>
      </c>
      <c r="I549" s="176" t="s">
        <v>1926</v>
      </c>
      <c r="J549" s="181">
        <v>34971</v>
      </c>
      <c r="K549" s="140">
        <v>71130</v>
      </c>
      <c r="L549" s="155">
        <v>99</v>
      </c>
      <c r="M549" s="155">
        <v>0</v>
      </c>
      <c r="N549" s="155">
        <v>0</v>
      </c>
      <c r="O549" s="155" t="s">
        <v>730</v>
      </c>
      <c r="P549" s="176" t="s">
        <v>730</v>
      </c>
      <c r="Q549" s="184" t="s">
        <v>730</v>
      </c>
      <c r="R549" s="155">
        <v>0</v>
      </c>
      <c r="S549" s="176">
        <v>0</v>
      </c>
      <c r="T549" s="182" t="e">
        <f>VLOOKUP(A549,#REF!,9,FALSE)</f>
        <v>#REF!</v>
      </c>
      <c r="U549" s="155" t="s">
        <v>632</v>
      </c>
      <c r="V549" s="155" t="s">
        <v>632</v>
      </c>
      <c r="W549" s="155">
        <v>0</v>
      </c>
      <c r="X549" s="155">
        <v>0</v>
      </c>
      <c r="Y549" s="183">
        <v>0</v>
      </c>
    </row>
    <row r="550" spans="1:25" ht="45">
      <c r="A550" s="179">
        <v>418577012</v>
      </c>
      <c r="B550" t="s">
        <v>567</v>
      </c>
      <c r="C550" t="s">
        <v>618</v>
      </c>
      <c r="D550" t="s">
        <v>753</v>
      </c>
      <c r="E550" t="s">
        <v>698</v>
      </c>
      <c r="F550" t="s">
        <v>2567</v>
      </c>
      <c r="G550" t="s">
        <v>567</v>
      </c>
      <c r="H550" s="155" t="s">
        <v>2568</v>
      </c>
      <c r="I550" s="176" t="s">
        <v>1926</v>
      </c>
      <c r="J550" s="181">
        <v>44104</v>
      </c>
      <c r="K550" s="140">
        <v>45929</v>
      </c>
      <c r="L550" s="155">
        <v>5</v>
      </c>
      <c r="M550" s="155">
        <v>0</v>
      </c>
      <c r="N550" s="155">
        <v>0</v>
      </c>
      <c r="O550" s="155" t="s">
        <v>730</v>
      </c>
      <c r="P550" s="176" t="s">
        <v>730</v>
      </c>
      <c r="Q550" s="182">
        <v>45199</v>
      </c>
      <c r="R550" s="155">
        <v>0</v>
      </c>
      <c r="S550" s="176">
        <v>3</v>
      </c>
      <c r="T550" s="182" t="e">
        <f>VLOOKUP(A550,#REF!,9,FALSE)</f>
        <v>#REF!</v>
      </c>
      <c r="U550" s="155" t="s">
        <v>632</v>
      </c>
      <c r="V550" s="155" t="s">
        <v>632</v>
      </c>
      <c r="W550" s="155">
        <v>0</v>
      </c>
      <c r="X550" s="155">
        <v>0</v>
      </c>
      <c r="Y550" s="183">
        <v>3</v>
      </c>
    </row>
    <row r="551" spans="1:25" ht="30">
      <c r="A551" s="179">
        <v>418577013</v>
      </c>
      <c r="B551" t="s">
        <v>578</v>
      </c>
      <c r="C551" t="s">
        <v>618</v>
      </c>
      <c r="D551" t="s">
        <v>753</v>
      </c>
      <c r="E551" t="s">
        <v>698</v>
      </c>
      <c r="F551" t="s">
        <v>2569</v>
      </c>
      <c r="G551" t="s">
        <v>578</v>
      </c>
      <c r="H551" s="155" t="s">
        <v>2570</v>
      </c>
      <c r="I551" s="176" t="s">
        <v>1926</v>
      </c>
      <c r="J551" s="181">
        <v>42095</v>
      </c>
      <c r="K551" s="140">
        <v>45747</v>
      </c>
      <c r="L551" s="155">
        <v>10</v>
      </c>
      <c r="M551" s="155">
        <v>0</v>
      </c>
      <c r="N551" s="155">
        <v>0</v>
      </c>
      <c r="O551" s="155" t="s">
        <v>730</v>
      </c>
      <c r="P551" s="176" t="s">
        <v>730</v>
      </c>
      <c r="Q551" s="182">
        <v>43922</v>
      </c>
      <c r="R551" s="155">
        <v>0</v>
      </c>
      <c r="S551" s="176">
        <v>0</v>
      </c>
      <c r="T551" s="182" t="e">
        <f>VLOOKUP(A551,#REF!,9,FALSE)</f>
        <v>#REF!</v>
      </c>
      <c r="U551" s="155" t="s">
        <v>632</v>
      </c>
      <c r="V551" s="155" t="s">
        <v>632</v>
      </c>
      <c r="W551" s="155">
        <v>0</v>
      </c>
      <c r="X551" s="155">
        <v>0</v>
      </c>
      <c r="Y551" s="183">
        <v>0</v>
      </c>
    </row>
    <row r="552" spans="1:25" ht="30">
      <c r="A552" s="179">
        <v>418577015</v>
      </c>
      <c r="B552" t="s">
        <v>952</v>
      </c>
      <c r="C552" t="s">
        <v>618</v>
      </c>
      <c r="D552" t="s">
        <v>753</v>
      </c>
      <c r="E552" t="s">
        <v>698</v>
      </c>
      <c r="F552" t="s">
        <v>2571</v>
      </c>
      <c r="G552" t="s">
        <v>952</v>
      </c>
      <c r="H552" s="155" t="s">
        <v>2572</v>
      </c>
      <c r="I552" s="176" t="s">
        <v>1926</v>
      </c>
      <c r="J552" s="181">
        <v>45378</v>
      </c>
      <c r="K552" s="140">
        <v>47933</v>
      </c>
      <c r="L552" s="155">
        <v>7</v>
      </c>
      <c r="M552" s="155">
        <v>0</v>
      </c>
      <c r="N552" s="155">
        <v>0</v>
      </c>
      <c r="O552" s="155" t="s">
        <v>730</v>
      </c>
      <c r="P552" s="176" t="s">
        <v>730</v>
      </c>
      <c r="Q552" s="182">
        <v>46108</v>
      </c>
      <c r="R552" s="155">
        <v>0</v>
      </c>
      <c r="S552" s="176">
        <v>3</v>
      </c>
      <c r="T552" s="182" t="e">
        <f>VLOOKUP(A552,#REF!,9,FALSE)</f>
        <v>#REF!</v>
      </c>
      <c r="U552" s="155" t="s">
        <v>632</v>
      </c>
      <c r="V552" s="155" t="s">
        <v>518</v>
      </c>
      <c r="W552" s="155">
        <v>0</v>
      </c>
      <c r="X552" s="155">
        <v>6</v>
      </c>
      <c r="Y552" s="183">
        <v>3</v>
      </c>
    </row>
    <row r="553" spans="1:25" ht="45">
      <c r="A553" s="179">
        <v>418577016</v>
      </c>
      <c r="B553" t="s">
        <v>954</v>
      </c>
      <c r="C553" t="s">
        <v>618</v>
      </c>
      <c r="D553" t="s">
        <v>753</v>
      </c>
      <c r="E553" t="s">
        <v>698</v>
      </c>
      <c r="F553" t="s">
        <v>2573</v>
      </c>
      <c r="G553" t="s">
        <v>954</v>
      </c>
      <c r="H553" s="155" t="s">
        <v>2574</v>
      </c>
      <c r="I553" s="176" t="s">
        <v>1926</v>
      </c>
      <c r="J553" s="181">
        <v>45405</v>
      </c>
      <c r="K553" s="140">
        <v>47230</v>
      </c>
      <c r="L553" s="155">
        <v>5</v>
      </c>
      <c r="M553" s="155">
        <v>0</v>
      </c>
      <c r="N553" s="155">
        <v>0</v>
      </c>
      <c r="O553" s="155" t="s">
        <v>730</v>
      </c>
      <c r="P553" s="176" t="s">
        <v>730</v>
      </c>
      <c r="Q553" s="184" t="s">
        <v>730</v>
      </c>
      <c r="R553" s="155">
        <v>0</v>
      </c>
      <c r="S553" s="176">
        <v>0</v>
      </c>
      <c r="T553" s="182" t="e">
        <f>VLOOKUP(A553,#REF!,9,FALSE)</f>
        <v>#REF!</v>
      </c>
      <c r="U553" s="155" t="s">
        <v>518</v>
      </c>
      <c r="V553" s="155" t="s">
        <v>518</v>
      </c>
      <c r="W553" s="155">
        <v>0</v>
      </c>
      <c r="X553" s="155">
        <v>6</v>
      </c>
      <c r="Y553" s="183">
        <v>0</v>
      </c>
    </row>
    <row r="554" spans="1:25" ht="45">
      <c r="A554" s="179">
        <v>418577037</v>
      </c>
      <c r="B554" t="s">
        <v>956</v>
      </c>
      <c r="C554" t="s">
        <v>950</v>
      </c>
      <c r="D554" t="s">
        <v>753</v>
      </c>
      <c r="E554" t="s">
        <v>698</v>
      </c>
      <c r="F554" t="s">
        <v>2575</v>
      </c>
      <c r="G554" t="s">
        <v>956</v>
      </c>
      <c r="H554" s="155" t="s">
        <v>2576</v>
      </c>
      <c r="I554" s="176" t="s">
        <v>1926</v>
      </c>
      <c r="J554" s="181">
        <v>19078</v>
      </c>
      <c r="K554" s="140">
        <v>44644</v>
      </c>
      <c r="L554" s="155">
        <v>70</v>
      </c>
      <c r="M554" s="155">
        <v>0</v>
      </c>
      <c r="N554" s="155">
        <v>0</v>
      </c>
      <c r="O554" s="155" t="s">
        <v>730</v>
      </c>
      <c r="P554" s="176" t="s">
        <v>730</v>
      </c>
      <c r="Q554" s="184" t="s">
        <v>730</v>
      </c>
      <c r="R554" s="155">
        <v>0</v>
      </c>
      <c r="S554" s="176">
        <v>0</v>
      </c>
      <c r="T554" s="182" t="e">
        <f>VLOOKUP(A554,#REF!,9,FALSE)</f>
        <v>#REF!</v>
      </c>
      <c r="U554" s="155" t="s">
        <v>632</v>
      </c>
      <c r="V554" s="155" t="s">
        <v>632</v>
      </c>
      <c r="W554" s="155">
        <v>0</v>
      </c>
      <c r="X554" s="155">
        <v>0</v>
      </c>
      <c r="Y554" s="183">
        <v>0</v>
      </c>
    </row>
    <row r="555" spans="1:25" ht="30">
      <c r="A555" s="179">
        <v>418578012</v>
      </c>
      <c r="B555" t="s">
        <v>958</v>
      </c>
      <c r="C555" t="s">
        <v>618</v>
      </c>
      <c r="D555" t="s">
        <v>753</v>
      </c>
      <c r="E555" t="s">
        <v>698</v>
      </c>
      <c r="F555" t="s">
        <v>2577</v>
      </c>
      <c r="G555" t="s">
        <v>958</v>
      </c>
      <c r="H555" s="155" t="s">
        <v>2578</v>
      </c>
      <c r="I555" s="176" t="s">
        <v>1926</v>
      </c>
      <c r="J555" s="181">
        <v>43864</v>
      </c>
      <c r="K555" s="140">
        <v>47516</v>
      </c>
      <c r="L555" s="155">
        <v>10</v>
      </c>
      <c r="M555" s="155">
        <v>0</v>
      </c>
      <c r="N555" s="155">
        <v>0</v>
      </c>
      <c r="O555" s="155" t="s">
        <v>730</v>
      </c>
      <c r="P555" s="176" t="s">
        <v>730</v>
      </c>
      <c r="Q555" s="182">
        <v>45691</v>
      </c>
      <c r="R555" s="155">
        <v>5</v>
      </c>
      <c r="S555" s="176">
        <v>6</v>
      </c>
      <c r="T555" s="182" t="e">
        <f>VLOOKUP(A555,#REF!,9,FALSE)</f>
        <v>#REF!</v>
      </c>
      <c r="U555" s="155" t="s">
        <v>632</v>
      </c>
      <c r="V555" s="155" t="s">
        <v>632</v>
      </c>
      <c r="W555" s="155">
        <v>0</v>
      </c>
      <c r="X555" s="155">
        <v>0</v>
      </c>
      <c r="Y555" s="183">
        <v>3</v>
      </c>
    </row>
    <row r="556" spans="1:25" ht="45">
      <c r="A556" s="179">
        <v>418578013</v>
      </c>
      <c r="B556" t="s">
        <v>960</v>
      </c>
      <c r="C556" t="s">
        <v>618</v>
      </c>
      <c r="D556" t="s">
        <v>753</v>
      </c>
      <c r="E556" t="s">
        <v>698</v>
      </c>
      <c r="F556" t="s">
        <v>2579</v>
      </c>
      <c r="G556" t="s">
        <v>960</v>
      </c>
      <c r="H556" s="155" t="s">
        <v>2580</v>
      </c>
      <c r="I556" s="176" t="s">
        <v>1926</v>
      </c>
      <c r="J556" s="181">
        <v>43864</v>
      </c>
      <c r="K556" s="140">
        <v>47516</v>
      </c>
      <c r="L556" s="155">
        <v>10</v>
      </c>
      <c r="M556" s="155">
        <v>0</v>
      </c>
      <c r="N556" s="155">
        <v>0</v>
      </c>
      <c r="O556" s="155" t="s">
        <v>730</v>
      </c>
      <c r="P556" s="176" t="s">
        <v>730</v>
      </c>
      <c r="Q556" s="182">
        <v>45691</v>
      </c>
      <c r="R556" s="155">
        <v>0</v>
      </c>
      <c r="S556" s="176">
        <v>6</v>
      </c>
      <c r="T556" s="182" t="e">
        <f>VLOOKUP(A556,#REF!,9,FALSE)</f>
        <v>#REF!</v>
      </c>
      <c r="U556" s="155" t="s">
        <v>632</v>
      </c>
      <c r="V556" s="155" t="s">
        <v>632</v>
      </c>
      <c r="W556" s="155">
        <v>0</v>
      </c>
      <c r="X556" s="155">
        <v>0</v>
      </c>
      <c r="Y556" s="183">
        <v>0</v>
      </c>
    </row>
    <row r="557" spans="1:25" ht="30">
      <c r="A557" s="179">
        <v>418578018</v>
      </c>
      <c r="B557" t="s">
        <v>962</v>
      </c>
      <c r="C557" t="s">
        <v>618</v>
      </c>
      <c r="D557" t="s">
        <v>753</v>
      </c>
      <c r="E557" t="s">
        <v>698</v>
      </c>
      <c r="F557" t="s">
        <v>2581</v>
      </c>
      <c r="G557" t="s">
        <v>962</v>
      </c>
      <c r="H557" s="189" t="s">
        <v>2437</v>
      </c>
      <c r="I557" s="176" t="s">
        <v>1926</v>
      </c>
      <c r="J557" s="181">
        <v>45548</v>
      </c>
      <c r="K557" s="140">
        <v>46642</v>
      </c>
      <c r="L557" s="155">
        <v>3</v>
      </c>
      <c r="M557" s="155">
        <v>0</v>
      </c>
      <c r="N557" s="155">
        <v>0</v>
      </c>
      <c r="O557" s="155" t="s">
        <v>730</v>
      </c>
      <c r="P557" s="176" t="s">
        <v>730</v>
      </c>
      <c r="Q557" s="184" t="s">
        <v>730</v>
      </c>
      <c r="R557" s="155">
        <v>0</v>
      </c>
      <c r="S557" s="176">
        <v>0</v>
      </c>
      <c r="T557" s="182" t="e">
        <f>VLOOKUP(A557,#REF!,9,FALSE)</f>
        <v>#REF!</v>
      </c>
      <c r="U557" s="155" t="s">
        <v>632</v>
      </c>
      <c r="V557" s="155" t="s">
        <v>518</v>
      </c>
      <c r="W557" s="155">
        <v>0</v>
      </c>
      <c r="X557" s="155">
        <v>6</v>
      </c>
      <c r="Y557" s="183">
        <v>0</v>
      </c>
    </row>
    <row r="558" spans="1:25" ht="30">
      <c r="A558" s="179">
        <v>418578019</v>
      </c>
      <c r="B558" t="s">
        <v>964</v>
      </c>
      <c r="C558" t="s">
        <v>618</v>
      </c>
      <c r="D558" t="s">
        <v>753</v>
      </c>
      <c r="E558" t="s">
        <v>698</v>
      </c>
      <c r="F558" t="s">
        <v>2582</v>
      </c>
      <c r="G558" t="s">
        <v>964</v>
      </c>
      <c r="H558" s="155" t="s">
        <v>2583</v>
      </c>
      <c r="I558" s="176" t="s">
        <v>1926</v>
      </c>
      <c r="J558" s="181">
        <v>45516</v>
      </c>
      <c r="K558" s="140">
        <v>47341</v>
      </c>
      <c r="L558" s="155">
        <v>5</v>
      </c>
      <c r="M558" s="155">
        <v>0</v>
      </c>
      <c r="N558" s="155">
        <v>0</v>
      </c>
      <c r="O558" s="155" t="s">
        <v>730</v>
      </c>
      <c r="P558" s="176" t="s">
        <v>730</v>
      </c>
      <c r="Q558" s="184" t="s">
        <v>730</v>
      </c>
      <c r="R558" s="155">
        <v>0</v>
      </c>
      <c r="S558" s="176">
        <v>0</v>
      </c>
      <c r="T558" s="182" t="e">
        <f>VLOOKUP(A558,#REF!,9,FALSE)</f>
        <v>#REF!</v>
      </c>
      <c r="U558" s="155" t="s">
        <v>518</v>
      </c>
      <c r="V558" s="155" t="s">
        <v>518</v>
      </c>
      <c r="W558" s="155">
        <v>0</v>
      </c>
      <c r="X558" s="155">
        <v>6</v>
      </c>
      <c r="Y558" s="183">
        <v>0</v>
      </c>
    </row>
    <row r="559" spans="1:25" ht="30">
      <c r="A559" s="179">
        <v>418578021</v>
      </c>
      <c r="B559" t="s">
        <v>966</v>
      </c>
      <c r="C559" t="s">
        <v>618</v>
      </c>
      <c r="D559" t="s">
        <v>753</v>
      </c>
      <c r="E559" t="s">
        <v>698</v>
      </c>
      <c r="F559" t="s">
        <v>2584</v>
      </c>
      <c r="G559" t="s">
        <v>966</v>
      </c>
      <c r="H559" s="155" t="s">
        <v>2585</v>
      </c>
      <c r="I559" s="176" t="s">
        <v>1926</v>
      </c>
      <c r="J559" s="181">
        <v>43725</v>
      </c>
      <c r="K559" s="140">
        <v>45916</v>
      </c>
      <c r="L559" s="155">
        <v>6</v>
      </c>
      <c r="M559" s="155">
        <v>0</v>
      </c>
      <c r="N559" s="155">
        <v>0</v>
      </c>
      <c r="O559" s="155" t="s">
        <v>730</v>
      </c>
      <c r="P559" s="176" t="s">
        <v>730</v>
      </c>
      <c r="Q559" s="182">
        <v>44821</v>
      </c>
      <c r="R559" s="155">
        <v>0</v>
      </c>
      <c r="S559" s="176">
        <v>6</v>
      </c>
      <c r="T559" s="182" t="e">
        <f>VLOOKUP(A559,#REF!,9,FALSE)</f>
        <v>#REF!</v>
      </c>
      <c r="U559" s="155" t="s">
        <v>632</v>
      </c>
      <c r="V559" s="155" t="s">
        <v>518</v>
      </c>
      <c r="W559" s="155">
        <v>0</v>
      </c>
      <c r="X559" s="155">
        <v>0</v>
      </c>
      <c r="Y559" s="183">
        <v>0</v>
      </c>
    </row>
    <row r="560" spans="1:25" ht="45">
      <c r="A560" s="179">
        <v>418578024</v>
      </c>
      <c r="B560" t="s">
        <v>968</v>
      </c>
      <c r="C560" t="s">
        <v>618</v>
      </c>
      <c r="D560" t="s">
        <v>753</v>
      </c>
      <c r="E560" t="s">
        <v>698</v>
      </c>
      <c r="F560" t="s">
        <v>2586</v>
      </c>
      <c r="G560" t="s">
        <v>968</v>
      </c>
      <c r="H560" s="155" t="s">
        <v>2587</v>
      </c>
      <c r="I560" s="176" t="s">
        <v>1926</v>
      </c>
      <c r="J560" s="181">
        <v>44182</v>
      </c>
      <c r="K560" s="140">
        <v>47468</v>
      </c>
      <c r="L560" s="155">
        <v>9</v>
      </c>
      <c r="M560" s="155">
        <v>0</v>
      </c>
      <c r="N560" s="155">
        <v>0</v>
      </c>
      <c r="O560" s="155" t="s">
        <v>730</v>
      </c>
      <c r="P560" s="176" t="s">
        <v>730</v>
      </c>
      <c r="Q560" s="182">
        <v>46008</v>
      </c>
      <c r="R560" s="155">
        <v>5</v>
      </c>
      <c r="S560" s="176">
        <v>3</v>
      </c>
      <c r="T560" s="182" t="e">
        <f>VLOOKUP(A560,#REF!,9,FALSE)</f>
        <v>#REF!</v>
      </c>
      <c r="U560" s="155" t="s">
        <v>632</v>
      </c>
      <c r="V560" s="155" t="s">
        <v>518</v>
      </c>
      <c r="W560" s="155">
        <v>3</v>
      </c>
      <c r="X560" s="155">
        <v>0</v>
      </c>
      <c r="Y560" s="183">
        <v>3</v>
      </c>
    </row>
    <row r="561" spans="1:25" ht="14.45" customHeight="1">
      <c r="A561" s="179">
        <v>418578096</v>
      </c>
      <c r="B561" t="s">
        <v>970</v>
      </c>
      <c r="C561" t="s">
        <v>618</v>
      </c>
      <c r="D561" t="s">
        <v>753</v>
      </c>
      <c r="E561" t="s">
        <v>698</v>
      </c>
      <c r="F561" s="180" t="s">
        <v>2588</v>
      </c>
      <c r="G561" t="s">
        <v>970</v>
      </c>
      <c r="H561" s="155" t="s">
        <v>2589</v>
      </c>
      <c r="I561" s="176" t="s">
        <v>1926</v>
      </c>
      <c r="J561" s="181">
        <v>44806</v>
      </c>
      <c r="K561" s="140">
        <v>50284</v>
      </c>
      <c r="L561" s="155">
        <v>15</v>
      </c>
      <c r="M561" s="155">
        <v>0</v>
      </c>
      <c r="N561" s="155">
        <v>0</v>
      </c>
      <c r="O561" s="155" t="s">
        <v>730</v>
      </c>
      <c r="P561" s="176" t="s">
        <v>730</v>
      </c>
      <c r="Q561" s="182">
        <v>46632</v>
      </c>
      <c r="R561" s="155">
        <v>0</v>
      </c>
      <c r="S561" s="176">
        <v>0</v>
      </c>
      <c r="T561" s="182" t="e">
        <f>VLOOKUP(A561,#REF!,9,FALSE)</f>
        <v>#REF!</v>
      </c>
      <c r="U561" s="155" t="s">
        <v>632</v>
      </c>
      <c r="V561" s="155" t="s">
        <v>518</v>
      </c>
      <c r="W561" s="155">
        <v>0</v>
      </c>
      <c r="X561" s="155">
        <v>6</v>
      </c>
      <c r="Y561" s="183">
        <v>0</v>
      </c>
    </row>
    <row r="562" spans="1:25" ht="30">
      <c r="A562" s="179">
        <v>418578104</v>
      </c>
      <c r="B562" t="s">
        <v>972</v>
      </c>
      <c r="C562" t="s">
        <v>750</v>
      </c>
      <c r="D562" t="s">
        <v>753</v>
      </c>
      <c r="E562" t="s">
        <v>698</v>
      </c>
      <c r="F562" t="s">
        <v>2577</v>
      </c>
      <c r="G562" t="s">
        <v>972</v>
      </c>
      <c r="H562" s="155" t="s">
        <v>2590</v>
      </c>
      <c r="I562" s="176" t="s">
        <v>1926</v>
      </c>
      <c r="J562" s="181">
        <v>43864</v>
      </c>
      <c r="K562" s="140">
        <v>47516</v>
      </c>
      <c r="L562" s="155">
        <v>10</v>
      </c>
      <c r="M562" s="155">
        <v>0</v>
      </c>
      <c r="N562" s="155">
        <v>0</v>
      </c>
      <c r="O562" s="155" t="s">
        <v>730</v>
      </c>
      <c r="P562" s="176" t="s">
        <v>730</v>
      </c>
      <c r="Q562" s="184" t="s">
        <v>730</v>
      </c>
      <c r="R562" s="155">
        <v>0</v>
      </c>
      <c r="S562" s="176">
        <v>0</v>
      </c>
      <c r="T562" s="182" t="e">
        <f>VLOOKUP(A562,#REF!,9,FALSE)</f>
        <v>#REF!</v>
      </c>
      <c r="U562" s="155" t="s">
        <v>632</v>
      </c>
      <c r="V562" s="155" t="s">
        <v>632</v>
      </c>
      <c r="W562" s="155">
        <v>0</v>
      </c>
      <c r="X562" s="155">
        <v>6</v>
      </c>
      <c r="Y562" s="183">
        <v>0</v>
      </c>
    </row>
    <row r="563" spans="1:25" ht="45">
      <c r="A563" s="179">
        <v>418579001</v>
      </c>
      <c r="B563" t="s">
        <v>974</v>
      </c>
      <c r="C563" t="s">
        <v>618</v>
      </c>
      <c r="D563" t="s">
        <v>753</v>
      </c>
      <c r="E563" t="s">
        <v>698</v>
      </c>
      <c r="F563" t="s">
        <v>2591</v>
      </c>
      <c r="G563" t="s">
        <v>974</v>
      </c>
      <c r="H563" s="155" t="s">
        <v>2592</v>
      </c>
      <c r="I563" s="176" t="s">
        <v>1926</v>
      </c>
      <c r="J563" s="181">
        <v>43605</v>
      </c>
      <c r="K563" s="140">
        <v>47257</v>
      </c>
      <c r="L563" s="155">
        <v>10</v>
      </c>
      <c r="M563" s="155">
        <v>0</v>
      </c>
      <c r="N563" s="155">
        <v>0</v>
      </c>
      <c r="O563" s="155" t="s">
        <v>730</v>
      </c>
      <c r="P563" s="176" t="s">
        <v>730</v>
      </c>
      <c r="Q563" s="182">
        <v>45432</v>
      </c>
      <c r="R563" s="155">
        <v>5</v>
      </c>
      <c r="S563" s="176">
        <v>3</v>
      </c>
      <c r="T563" s="182" t="e">
        <f>VLOOKUP(A563,#REF!,9,FALSE)</f>
        <v>#REF!</v>
      </c>
      <c r="U563" s="155" t="s">
        <v>632</v>
      </c>
      <c r="V563" s="155" t="s">
        <v>632</v>
      </c>
      <c r="W563" s="155">
        <v>0</v>
      </c>
      <c r="X563" s="155">
        <v>3</v>
      </c>
      <c r="Y563" s="183">
        <v>0</v>
      </c>
    </row>
    <row r="564" spans="1:25" ht="14.45" customHeight="1">
      <c r="A564" s="179">
        <v>418579004</v>
      </c>
      <c r="B564" t="s">
        <v>976</v>
      </c>
      <c r="C564" t="s">
        <v>618</v>
      </c>
      <c r="D564" t="s">
        <v>753</v>
      </c>
      <c r="E564" t="s">
        <v>698</v>
      </c>
      <c r="F564" t="s">
        <v>2593</v>
      </c>
      <c r="G564" t="s">
        <v>976</v>
      </c>
      <c r="H564" s="155" t="s">
        <v>2594</v>
      </c>
      <c r="I564" s="176" t="s">
        <v>1926</v>
      </c>
      <c r="J564" s="181">
        <v>45232</v>
      </c>
      <c r="K564" s="140">
        <v>48884</v>
      </c>
      <c r="L564" s="155">
        <v>10</v>
      </c>
      <c r="M564" s="155">
        <v>0</v>
      </c>
      <c r="N564" s="155">
        <v>0</v>
      </c>
      <c r="O564" s="155" t="s">
        <v>730</v>
      </c>
      <c r="P564" s="176" t="s">
        <v>730</v>
      </c>
      <c r="Q564" s="182">
        <v>47059</v>
      </c>
      <c r="R564" s="155">
        <v>0</v>
      </c>
      <c r="S564" s="176">
        <v>0</v>
      </c>
      <c r="T564" s="182" t="e">
        <f>VLOOKUP(A564,#REF!,9,FALSE)</f>
        <v>#REF!</v>
      </c>
      <c r="U564" s="155" t="s">
        <v>632</v>
      </c>
      <c r="V564" s="155" t="s">
        <v>632</v>
      </c>
      <c r="W564" s="155">
        <v>0</v>
      </c>
      <c r="X564" s="155">
        <v>6</v>
      </c>
      <c r="Y564" s="183">
        <v>0</v>
      </c>
    </row>
    <row r="565" spans="1:25" ht="45">
      <c r="A565" s="179">
        <v>418579044</v>
      </c>
      <c r="B565" t="s">
        <v>978</v>
      </c>
      <c r="C565" t="s">
        <v>750</v>
      </c>
      <c r="D565" t="s">
        <v>753</v>
      </c>
      <c r="E565" t="s">
        <v>698</v>
      </c>
      <c r="F565" t="s">
        <v>2591</v>
      </c>
      <c r="G565" t="s">
        <v>978</v>
      </c>
      <c r="H565" s="155" t="s">
        <v>2595</v>
      </c>
      <c r="I565" s="176" t="s">
        <v>1926</v>
      </c>
      <c r="J565" s="181">
        <v>43605</v>
      </c>
      <c r="K565" s="140">
        <v>47257</v>
      </c>
      <c r="L565" s="155">
        <v>10</v>
      </c>
      <c r="M565" s="155">
        <v>0</v>
      </c>
      <c r="N565" s="155">
        <v>0</v>
      </c>
      <c r="O565" s="155" t="s">
        <v>730</v>
      </c>
      <c r="P565" s="176" t="s">
        <v>730</v>
      </c>
      <c r="Q565" s="184" t="s">
        <v>730</v>
      </c>
      <c r="R565" s="155">
        <v>0</v>
      </c>
      <c r="S565" s="176">
        <v>0</v>
      </c>
      <c r="T565" s="182" t="e">
        <f>VLOOKUP(A565,#REF!,9,FALSE)</f>
        <v>#REF!</v>
      </c>
      <c r="U565" s="155" t="s">
        <v>632</v>
      </c>
      <c r="V565" s="155" t="s">
        <v>632</v>
      </c>
      <c r="W565" s="155">
        <v>0</v>
      </c>
      <c r="X565" s="155">
        <v>0</v>
      </c>
      <c r="Y565" s="183">
        <v>0</v>
      </c>
    </row>
    <row r="566" spans="1:25" ht="45">
      <c r="A566" s="179">
        <v>418579045</v>
      </c>
      <c r="B566" t="s">
        <v>980</v>
      </c>
      <c r="C566" t="s">
        <v>750</v>
      </c>
      <c r="D566" t="s">
        <v>753</v>
      </c>
      <c r="E566" t="s">
        <v>698</v>
      </c>
      <c r="F566" t="s">
        <v>2591</v>
      </c>
      <c r="G566" t="s">
        <v>980</v>
      </c>
      <c r="H566" s="155" t="s">
        <v>2596</v>
      </c>
      <c r="I566" s="176" t="s">
        <v>1926</v>
      </c>
      <c r="J566" s="181">
        <v>43605</v>
      </c>
      <c r="K566" s="140">
        <v>47257</v>
      </c>
      <c r="L566" s="155">
        <v>10</v>
      </c>
      <c r="M566" s="155">
        <v>0</v>
      </c>
      <c r="N566" s="155">
        <v>0</v>
      </c>
      <c r="O566" s="155" t="s">
        <v>730</v>
      </c>
      <c r="P566" s="176" t="s">
        <v>730</v>
      </c>
      <c r="Q566" s="184" t="s">
        <v>730</v>
      </c>
      <c r="R566" s="155">
        <v>0</v>
      </c>
      <c r="S566" s="176">
        <v>0</v>
      </c>
      <c r="T566" s="182" t="e">
        <f>VLOOKUP(A566,#REF!,9,FALSE)</f>
        <v>#REF!</v>
      </c>
      <c r="U566" s="155" t="s">
        <v>632</v>
      </c>
      <c r="V566" s="155" t="s">
        <v>632</v>
      </c>
      <c r="W566" s="155">
        <v>0</v>
      </c>
      <c r="X566" s="155">
        <v>0</v>
      </c>
      <c r="Y566" s="183">
        <v>0</v>
      </c>
    </row>
    <row r="567" spans="1:25" ht="45">
      <c r="A567" s="179">
        <v>418579046</v>
      </c>
      <c r="B567" t="s">
        <v>982</v>
      </c>
      <c r="C567" t="s">
        <v>750</v>
      </c>
      <c r="D567" t="s">
        <v>753</v>
      </c>
      <c r="E567" t="s">
        <v>698</v>
      </c>
      <c r="F567" t="s">
        <v>2591</v>
      </c>
      <c r="G567" t="s">
        <v>982</v>
      </c>
      <c r="H567" s="155" t="s">
        <v>2597</v>
      </c>
      <c r="I567" s="176" t="s">
        <v>1926</v>
      </c>
      <c r="J567" s="181">
        <v>43605</v>
      </c>
      <c r="K567" s="140">
        <v>47257</v>
      </c>
      <c r="L567" s="155">
        <v>10</v>
      </c>
      <c r="M567" s="155">
        <v>0</v>
      </c>
      <c r="N567" s="155">
        <v>0</v>
      </c>
      <c r="O567" s="155" t="s">
        <v>730</v>
      </c>
      <c r="P567" s="176" t="s">
        <v>730</v>
      </c>
      <c r="Q567" s="184" t="s">
        <v>730</v>
      </c>
      <c r="R567" s="155">
        <v>0</v>
      </c>
      <c r="S567" s="176">
        <v>0</v>
      </c>
      <c r="T567" s="182" t="e">
        <f>VLOOKUP(A567,#REF!,9,FALSE)</f>
        <v>#REF!</v>
      </c>
      <c r="U567" s="155" t="s">
        <v>632</v>
      </c>
      <c r="V567" s="155" t="s">
        <v>632</v>
      </c>
      <c r="W567" s="155">
        <v>0</v>
      </c>
      <c r="X567" s="155">
        <v>0</v>
      </c>
      <c r="Y567" s="183">
        <v>0</v>
      </c>
    </row>
    <row r="568" spans="1:25" ht="45">
      <c r="A568" s="179">
        <v>418579047</v>
      </c>
      <c r="B568" t="s">
        <v>984</v>
      </c>
      <c r="C568" t="s">
        <v>750</v>
      </c>
      <c r="D568" t="s">
        <v>753</v>
      </c>
      <c r="E568" t="s">
        <v>698</v>
      </c>
      <c r="F568" t="s">
        <v>2591</v>
      </c>
      <c r="G568" t="s">
        <v>984</v>
      </c>
      <c r="H568" s="155" t="s">
        <v>2598</v>
      </c>
      <c r="I568" s="176" t="s">
        <v>1926</v>
      </c>
      <c r="J568" s="181">
        <v>43605</v>
      </c>
      <c r="K568" s="140">
        <v>47257</v>
      </c>
      <c r="L568" s="155">
        <v>10</v>
      </c>
      <c r="M568" s="155">
        <v>0</v>
      </c>
      <c r="N568" s="155">
        <v>0</v>
      </c>
      <c r="O568" s="155" t="s">
        <v>730</v>
      </c>
      <c r="P568" s="176" t="s">
        <v>730</v>
      </c>
      <c r="Q568" s="184" t="s">
        <v>730</v>
      </c>
      <c r="R568" s="155">
        <v>0</v>
      </c>
      <c r="S568" s="176">
        <v>0</v>
      </c>
      <c r="T568" s="182" t="e">
        <f>VLOOKUP(A568,#REF!,9,FALSE)</f>
        <v>#REF!</v>
      </c>
      <c r="U568" s="155" t="s">
        <v>632</v>
      </c>
      <c r="V568" s="155" t="s">
        <v>632</v>
      </c>
      <c r="W568" s="155">
        <v>0</v>
      </c>
      <c r="X568" s="155">
        <v>0</v>
      </c>
      <c r="Y568" s="183">
        <v>0</v>
      </c>
    </row>
    <row r="569" spans="1:25" ht="30.75" thickBot="1">
      <c r="A569" s="191">
        <v>418588001</v>
      </c>
      <c r="B569" s="192" t="s">
        <v>986</v>
      </c>
      <c r="C569" s="192" t="s">
        <v>618</v>
      </c>
      <c r="D569" s="192" t="s">
        <v>753</v>
      </c>
      <c r="E569" s="192" t="s">
        <v>698</v>
      </c>
      <c r="F569" s="193" t="s">
        <v>2599</v>
      </c>
      <c r="G569" s="192" t="s">
        <v>986</v>
      </c>
      <c r="H569" s="194" t="s">
        <v>2600</v>
      </c>
      <c r="I569" s="195" t="s">
        <v>1926</v>
      </c>
      <c r="J569" s="196">
        <v>41788</v>
      </c>
      <c r="K569" s="197">
        <v>47266</v>
      </c>
      <c r="L569" s="194">
        <v>15</v>
      </c>
      <c r="M569" s="194">
        <v>0</v>
      </c>
      <c r="N569" s="194">
        <v>0</v>
      </c>
      <c r="O569" s="194" t="s">
        <v>730</v>
      </c>
      <c r="P569" s="195" t="s">
        <v>730</v>
      </c>
      <c r="Q569" s="198">
        <v>45441</v>
      </c>
      <c r="R569" s="194">
        <v>5</v>
      </c>
      <c r="S569" s="195">
        <v>6</v>
      </c>
      <c r="T569" s="198" t="e">
        <f>VLOOKUP(A569,#REF!,9,FALSE)</f>
        <v>#REF!</v>
      </c>
      <c r="U569" s="194" t="s">
        <v>518</v>
      </c>
      <c r="V569" s="194" t="s">
        <v>518</v>
      </c>
      <c r="W569" s="194">
        <v>5</v>
      </c>
      <c r="X569" s="194">
        <v>0</v>
      </c>
      <c r="Y569" s="199">
        <v>6</v>
      </c>
    </row>
    <row r="570" spans="1:25" ht="15.75" thickBot="1"/>
    <row r="571" spans="1:25" ht="64.900000000000006" customHeight="1" thickBot="1">
      <c r="A571" s="186" t="s">
        <v>2601</v>
      </c>
      <c r="B571" s="160" t="s">
        <v>1922</v>
      </c>
      <c r="C571" s="160"/>
      <c r="D571" s="158" t="s">
        <v>612</v>
      </c>
      <c r="E571" s="160" t="s">
        <v>2602</v>
      </c>
      <c r="F571" s="162" t="s">
        <v>1928</v>
      </c>
    </row>
    <row r="572" spans="1:25">
      <c r="A572" t="s">
        <v>2603</v>
      </c>
      <c r="B572" s="155"/>
      <c r="C572" s="155"/>
      <c r="D572">
        <v>161</v>
      </c>
      <c r="E572">
        <f>D572-F572</f>
        <v>135</v>
      </c>
      <c r="F572">
        <v>26</v>
      </c>
    </row>
    <row r="573" spans="1:25">
      <c r="A573" t="s">
        <v>2604</v>
      </c>
      <c r="B573" s="155"/>
      <c r="C573" s="155"/>
      <c r="D573">
        <v>294</v>
      </c>
      <c r="E573">
        <v>0</v>
      </c>
      <c r="F573">
        <v>1</v>
      </c>
    </row>
    <row r="574" spans="1:25">
      <c r="A574"/>
      <c r="B574" s="155"/>
      <c r="C574" s="155"/>
      <c r="D574" s="187">
        <f>SUM(D572:D573)</f>
        <v>455</v>
      </c>
      <c r="E574" s="187">
        <f t="shared" ref="E574:F574" si="0">SUM(E572:E573)</f>
        <v>135</v>
      </c>
      <c r="F574" s="187">
        <f t="shared" si="0"/>
        <v>27</v>
      </c>
    </row>
    <row r="575" spans="1:25">
      <c r="A575"/>
      <c r="B575" s="155"/>
      <c r="C575" s="155"/>
    </row>
    <row r="576" spans="1:25">
      <c r="A576" t="s">
        <v>2605</v>
      </c>
      <c r="B576" s="155"/>
      <c r="C576" s="155"/>
      <c r="D576">
        <v>107</v>
      </c>
      <c r="E576">
        <v>106</v>
      </c>
      <c r="F576">
        <v>1</v>
      </c>
    </row>
    <row r="577" spans="1:6" ht="15.75" thickBot="1">
      <c r="A577" t="s">
        <v>612</v>
      </c>
      <c r="B577" s="155" t="s">
        <v>2606</v>
      </c>
      <c r="C577" s="155"/>
      <c r="D577" s="188">
        <f>SUM(D574:D576)</f>
        <v>562</v>
      </c>
      <c r="E577" s="188">
        <f t="shared" ref="E577:F577" si="1">SUM(E574:E576)</f>
        <v>241</v>
      </c>
      <c r="F577" s="188">
        <f t="shared" si="1"/>
        <v>28</v>
      </c>
    </row>
    <row r="578" spans="1:6" ht="15.75" thickTop="1"/>
  </sheetData>
  <mergeCells count="3">
    <mergeCell ref="J4:P4"/>
    <mergeCell ref="Q4:S4"/>
    <mergeCell ref="T4:Y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4957E71-B3C3-4BC7-8D93-1B47213B1ABC}"/>
</file>

<file path=customXml/itemProps2.xml><?xml version="1.0" encoding="utf-8"?>
<ds:datastoreItem xmlns:ds="http://schemas.openxmlformats.org/officeDocument/2006/customXml" ds:itemID="{E599AB72-A138-4D23-A85F-472E05B7AE2B}"/>
</file>

<file path=customXml/itemProps3.xml><?xml version="1.0" encoding="utf-8"?>
<ds:datastoreItem xmlns:ds="http://schemas.openxmlformats.org/officeDocument/2006/customXml" ds:itemID="{848F0684-3388-4B13-ADB5-550ADF3EA541}"/>
</file>

<file path=customXml/itemProps4.xml><?xml version="1.0" encoding="utf-8"?>
<ds:datastoreItem xmlns:ds="http://schemas.openxmlformats.org/officeDocument/2006/customXml" ds:itemID="{80C13CE0-4A50-4DE0-A654-20C8EEBE7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Day</dc:creator>
  <cp:keywords/>
  <dc:description/>
  <cp:lastModifiedBy>Matthew Cornfield</cp:lastModifiedBy>
  <cp:revision/>
  <dcterms:created xsi:type="dcterms:W3CDTF">2025-02-17T10:45:38Z</dcterms:created>
  <dcterms:modified xsi:type="dcterms:W3CDTF">2025-02-21T09:58:53Z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