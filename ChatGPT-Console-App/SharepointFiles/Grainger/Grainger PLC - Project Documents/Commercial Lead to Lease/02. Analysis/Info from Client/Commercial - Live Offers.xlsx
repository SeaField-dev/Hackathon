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2. Analysis/Info from Client/"/>
    </mc:Choice>
  </mc:AlternateContent>
  <xr:revisionPtr revIDLastSave="29" documentId="8_{C9E820B9-DFAC-4842-804F-D3072D1C714E}" xr6:coauthVersionLast="47" xr6:coauthVersionMax="47" xr10:uidLastSave="{7E287664-98EB-42A7-9854-D31197310F91}"/>
  <bookViews>
    <workbookView minimized="1" xWindow="2385" yWindow="210" windowWidth="21600" windowHeight="11295" tabRatio="506" xr2:uid="{85A130BA-E184-469F-BB5E-843EEA857728}"/>
  </bookViews>
  <sheets>
    <sheet name="4. Live Offers" sheetId="1" r:id="rId1"/>
  </sheets>
  <externalReferences>
    <externalReference r:id="rId2"/>
  </externalReferences>
  <definedNames>
    <definedName name="_xlnm._FilterDatabase" localSheetId="0" hidden="1">'4. Live Offers'!$B$9:$H$40</definedName>
    <definedName name="_xlnm.Print_Area" localSheetId="0">'4. Live Offers'!$B$9:$BH$43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4" i="1" l="1"/>
  <c r="AF20" i="1" a="1"/>
  <c r="AF20" i="1" s="1"/>
  <c r="AG20" i="1" s="1"/>
  <c r="AV11" i="1"/>
  <c r="BA42" i="1"/>
  <c r="AS42" i="1" a="1"/>
  <c r="AS42" i="1" s="1"/>
  <c r="AR42" i="1" a="1"/>
  <c r="AR42" i="1" s="1"/>
  <c r="AT42" i="1" s="1"/>
  <c r="AM42" i="1"/>
  <c r="AN42" i="1" s="1"/>
  <c r="AL42" i="1"/>
  <c r="AO42" i="1" s="1"/>
  <c r="AF42" i="1"/>
  <c r="AG42" i="1" s="1"/>
  <c r="AF42" i="1" a="1"/>
  <c r="G42" i="1" a="1"/>
  <c r="G42" i="1" s="1"/>
  <c r="AE42" i="1" s="1"/>
  <c r="F42" i="1"/>
  <c r="F42" i="1" a="1"/>
  <c r="G40" i="1"/>
  <c r="G40" i="1" a="1"/>
  <c r="C40" i="1"/>
  <c r="AT39" i="1"/>
  <c r="AS39" i="1" a="1"/>
  <c r="AS39" i="1" s="1"/>
  <c r="AR39" i="1"/>
  <c r="AR39" i="1" a="1"/>
  <c r="AN39" i="1"/>
  <c r="AM39" i="1"/>
  <c r="AL39" i="1"/>
  <c r="AO39" i="1" s="1"/>
  <c r="AG39" i="1"/>
  <c r="AF39" i="1"/>
  <c r="AF39" i="1" a="1"/>
  <c r="G39" i="1" a="1"/>
  <c r="G39" i="1" s="1"/>
  <c r="AE39" i="1" s="1"/>
  <c r="C39" i="1"/>
  <c r="AS38" i="1" a="1"/>
  <c r="AS38" i="1" s="1"/>
  <c r="AR38" i="1" a="1"/>
  <c r="AR38" i="1" s="1"/>
  <c r="AT38" i="1" s="1"/>
  <c r="AN38" i="1"/>
  <c r="AM38" i="1"/>
  <c r="AL38" i="1"/>
  <c r="AO38" i="1" s="1"/>
  <c r="AF38" i="1"/>
  <c r="AG38" i="1" s="1"/>
  <c r="AF38" i="1" a="1"/>
  <c r="AE38" i="1"/>
  <c r="G38" i="1"/>
  <c r="G38" i="1" a="1"/>
  <c r="C38" i="1"/>
  <c r="AS37" i="1"/>
  <c r="AS37" i="1" a="1"/>
  <c r="AR37" i="1" a="1"/>
  <c r="AR37" i="1" s="1"/>
  <c r="AT37" i="1" s="1"/>
  <c r="AV37" i="1" s="1"/>
  <c r="H37" i="1" s="1"/>
  <c r="AO37" i="1"/>
  <c r="AQ37" i="1" s="1"/>
  <c r="AN37" i="1"/>
  <c r="AM37" i="1"/>
  <c r="AL37" i="1"/>
  <c r="AF37" i="1" a="1"/>
  <c r="AF37" i="1" s="1"/>
  <c r="AG37" i="1" s="1"/>
  <c r="G37" i="1"/>
  <c r="AE37" i="1" s="1"/>
  <c r="G37" i="1" a="1"/>
  <c r="C37" i="1"/>
  <c r="AS36" i="1" a="1"/>
  <c r="AS36" i="1" s="1"/>
  <c r="AR36" i="1"/>
  <c r="AT36" i="1" s="1"/>
  <c r="AR36" i="1" a="1"/>
  <c r="AN36" i="1"/>
  <c r="AM36" i="1"/>
  <c r="AL36" i="1"/>
  <c r="AO36" i="1" s="1"/>
  <c r="AG36" i="1"/>
  <c r="AF36" i="1"/>
  <c r="AF36" i="1" a="1"/>
  <c r="G36" i="1" a="1"/>
  <c r="G36" i="1" s="1"/>
  <c r="AE36" i="1" s="1"/>
  <c r="C36" i="1"/>
  <c r="AS35" i="1" a="1"/>
  <c r="AS35" i="1" s="1"/>
  <c r="AR35" i="1" a="1"/>
  <c r="AR35" i="1" s="1"/>
  <c r="AT35" i="1" s="1"/>
  <c r="AV35" i="1" s="1"/>
  <c r="H35" i="1" s="1"/>
  <c r="AQ35" i="1"/>
  <c r="AP35" i="1"/>
  <c r="AO35" i="1"/>
  <c r="AN35" i="1"/>
  <c r="AM35" i="1"/>
  <c r="AL35" i="1"/>
  <c r="AF35" i="1" a="1"/>
  <c r="AF35" i="1" s="1"/>
  <c r="AG35" i="1" s="1"/>
  <c r="AE35" i="1"/>
  <c r="G35" i="1"/>
  <c r="G35" i="1" a="1"/>
  <c r="C35" i="1"/>
  <c r="AT34" i="1"/>
  <c r="AS34" i="1" a="1"/>
  <c r="AS34" i="1" s="1"/>
  <c r="AR34" i="1"/>
  <c r="AR34" i="1" a="1"/>
  <c r="AN34" i="1"/>
  <c r="AM34" i="1"/>
  <c r="AL34" i="1"/>
  <c r="AO34" i="1" s="1"/>
  <c r="AF34" i="1" a="1"/>
  <c r="AF34" i="1" s="1"/>
  <c r="AG34" i="1" s="1"/>
  <c r="G34" i="1"/>
  <c r="AE34" i="1" s="1"/>
  <c r="G34" i="1" a="1"/>
  <c r="C34" i="1"/>
  <c r="AS33" i="1" a="1"/>
  <c r="AS33" i="1" s="1"/>
  <c r="AR33" i="1"/>
  <c r="AT33" i="1" s="1"/>
  <c r="AR33" i="1" a="1"/>
  <c r="AM33" i="1"/>
  <c r="AN33" i="1" s="1"/>
  <c r="AL33" i="1"/>
  <c r="AO33" i="1" s="1"/>
  <c r="AG33" i="1"/>
  <c r="AF33" i="1"/>
  <c r="AF33" i="1" a="1"/>
  <c r="G33" i="1" a="1"/>
  <c r="G33" i="1" s="1"/>
  <c r="AE33" i="1" s="1"/>
  <c r="C33" i="1"/>
  <c r="AS32" i="1"/>
  <c r="AS32" i="1" a="1"/>
  <c r="AR32" i="1" a="1"/>
  <c r="AR32" i="1" s="1"/>
  <c r="AT32" i="1" s="1"/>
  <c r="AV32" i="1" s="1"/>
  <c r="H32" i="1" s="1"/>
  <c r="AP32" i="1"/>
  <c r="AO32" i="1"/>
  <c r="AQ32" i="1" s="1"/>
  <c r="AN32" i="1"/>
  <c r="AM32" i="1"/>
  <c r="AL32" i="1"/>
  <c r="AF32" i="1" a="1"/>
  <c r="AF32" i="1" s="1"/>
  <c r="AG32" i="1" s="1"/>
  <c r="AE32" i="1"/>
  <c r="G32" i="1"/>
  <c r="G32" i="1" a="1"/>
  <c r="C32" i="1"/>
  <c r="AT31" i="1"/>
  <c r="AS31" i="1" a="1"/>
  <c r="AS31" i="1" s="1"/>
  <c r="AR31" i="1"/>
  <c r="AR31" i="1" a="1"/>
  <c r="AN31" i="1"/>
  <c r="AM31" i="1"/>
  <c r="AL31" i="1"/>
  <c r="AO31" i="1" s="1"/>
  <c r="AG31" i="1"/>
  <c r="AF31" i="1"/>
  <c r="AF31" i="1" a="1"/>
  <c r="G31" i="1" a="1"/>
  <c r="G31" i="1" s="1"/>
  <c r="AE31" i="1" s="1"/>
  <c r="C31" i="1"/>
  <c r="AS30" i="1" a="1"/>
  <c r="AS30" i="1" s="1"/>
  <c r="AR30" i="1" a="1"/>
  <c r="AR30" i="1" s="1"/>
  <c r="AT30" i="1" s="1"/>
  <c r="AN30" i="1"/>
  <c r="AM30" i="1"/>
  <c r="AL30" i="1"/>
  <c r="AO30" i="1" s="1"/>
  <c r="AF30" i="1"/>
  <c r="AG30" i="1" s="1"/>
  <c r="AF30" i="1" a="1"/>
  <c r="AE30" i="1"/>
  <c r="G30" i="1"/>
  <c r="G30" i="1" a="1"/>
  <c r="F30" i="1" a="1"/>
  <c r="F30" i="1" s="1"/>
  <c r="C30" i="1"/>
  <c r="AS29" i="1" a="1"/>
  <c r="AS29" i="1" s="1"/>
  <c r="AR29" i="1" a="1"/>
  <c r="AR29" i="1" s="1"/>
  <c r="AT29" i="1" s="1"/>
  <c r="AV29" i="1" s="1"/>
  <c r="H29" i="1" s="1"/>
  <c r="AQ29" i="1"/>
  <c r="AU29" i="1" s="1"/>
  <c r="AP29" i="1"/>
  <c r="AO29" i="1"/>
  <c r="AN29" i="1"/>
  <c r="AM29" i="1"/>
  <c r="AL29" i="1"/>
  <c r="AF29" i="1"/>
  <c r="AG29" i="1" s="1"/>
  <c r="AF29" i="1" a="1"/>
  <c r="AE29" i="1"/>
  <c r="G29" i="1"/>
  <c r="G29" i="1" a="1"/>
  <c r="F29" i="1" a="1"/>
  <c r="F29" i="1" s="1"/>
  <c r="C29" i="1"/>
  <c r="BA28" i="1"/>
  <c r="AS28" i="1" a="1"/>
  <c r="AS28" i="1" s="1"/>
  <c r="AR28" i="1" a="1"/>
  <c r="AR28" i="1" s="1"/>
  <c r="AT28" i="1" s="1"/>
  <c r="AV28" i="1" s="1"/>
  <c r="H28" i="1" s="1"/>
  <c r="AQ28" i="1"/>
  <c r="AU28" i="1" s="1"/>
  <c r="AO28" i="1"/>
  <c r="AN28" i="1"/>
  <c r="AM28" i="1"/>
  <c r="AL28" i="1"/>
  <c r="AF28" i="1"/>
  <c r="AG28" i="1" s="1"/>
  <c r="AF28" i="1" a="1"/>
  <c r="G28" i="1" a="1"/>
  <c r="G28" i="1" s="1"/>
  <c r="F28" i="1" a="1"/>
  <c r="F28" i="1" s="1"/>
  <c r="C28" i="1"/>
  <c r="BA27" i="1"/>
  <c r="AS27" i="1" a="1"/>
  <c r="AS27" i="1" s="1"/>
  <c r="AR27" i="1" a="1"/>
  <c r="AR27" i="1" s="1"/>
  <c r="AT27" i="1" s="1"/>
  <c r="AM27" i="1"/>
  <c r="AN27" i="1" s="1"/>
  <c r="AL27" i="1"/>
  <c r="AO27" i="1" s="1"/>
  <c r="AF27" i="1"/>
  <c r="AG27" i="1" s="1"/>
  <c r="AF27" i="1" a="1"/>
  <c r="G27" i="1" a="1"/>
  <c r="G27" i="1" s="1"/>
  <c r="AE27" i="1" s="1"/>
  <c r="F27" i="1" a="1"/>
  <c r="F27" i="1" s="1"/>
  <c r="C27" i="1"/>
  <c r="AS26" i="1" a="1"/>
  <c r="AS26" i="1" s="1"/>
  <c r="AR26" i="1" a="1"/>
  <c r="AR26" i="1" s="1"/>
  <c r="AT26" i="1" s="1"/>
  <c r="AQ26" i="1"/>
  <c r="AP26" i="1"/>
  <c r="AO26" i="1"/>
  <c r="AN26" i="1"/>
  <c r="AM26" i="1"/>
  <c r="AL26" i="1"/>
  <c r="AF26" i="1" a="1"/>
  <c r="AF26" i="1" s="1"/>
  <c r="AG26" i="1" s="1"/>
  <c r="AE26" i="1"/>
  <c r="G26" i="1"/>
  <c r="G26" i="1" a="1"/>
  <c r="F26" i="1" a="1"/>
  <c r="F26" i="1" s="1"/>
  <c r="C26" i="1"/>
  <c r="BA25" i="1"/>
  <c r="AT25" i="1"/>
  <c r="AS25" i="1" a="1"/>
  <c r="AS25" i="1" s="1"/>
  <c r="AO25" i="1"/>
  <c r="AQ25" i="1" s="1"/>
  <c r="AN25" i="1"/>
  <c r="AM25" i="1"/>
  <c r="AL25" i="1"/>
  <c r="AF25" i="1" a="1"/>
  <c r="AF25" i="1" s="1"/>
  <c r="AG25" i="1" s="1"/>
  <c r="AE25" i="1"/>
  <c r="G25" i="1"/>
  <c r="G25" i="1" a="1"/>
  <c r="F25" i="1" a="1"/>
  <c r="F25" i="1" s="1"/>
  <c r="C25" i="1"/>
  <c r="AS24" i="1"/>
  <c r="AS24" i="1" a="1"/>
  <c r="AR24" i="1" a="1"/>
  <c r="AR24" i="1" s="1"/>
  <c r="AT24" i="1" s="1"/>
  <c r="AV24" i="1" s="1"/>
  <c r="H24" i="1" s="1"/>
  <c r="AO24" i="1"/>
  <c r="AQ24" i="1" s="1"/>
  <c r="AN24" i="1"/>
  <c r="AM24" i="1"/>
  <c r="AL24" i="1"/>
  <c r="AF24" i="1"/>
  <c r="AG24" i="1" s="1"/>
  <c r="AF24" i="1" a="1"/>
  <c r="G24" i="1"/>
  <c r="AE24" i="1" s="1"/>
  <c r="G24" i="1" a="1"/>
  <c r="F24" i="1"/>
  <c r="F24" i="1" a="1"/>
  <c r="C24" i="1"/>
  <c r="AT23" i="1"/>
  <c r="AS23" i="1"/>
  <c r="AS23" i="1" a="1"/>
  <c r="AN23" i="1"/>
  <c r="AM23" i="1"/>
  <c r="AL23" i="1"/>
  <c r="AO23" i="1" s="1"/>
  <c r="AG23" i="1"/>
  <c r="AF23" i="1"/>
  <c r="AF23" i="1" a="1"/>
  <c r="AB23" i="1"/>
  <c r="G23" i="1" a="1"/>
  <c r="G23" i="1" s="1"/>
  <c r="AE23" i="1" s="1"/>
  <c r="F23" i="1" a="1"/>
  <c r="F23" i="1" s="1"/>
  <c r="C23" i="1"/>
  <c r="BA22" i="1"/>
  <c r="AS22" i="1" a="1"/>
  <c r="AS22" i="1" s="1"/>
  <c r="AR22" i="1"/>
  <c r="AT22" i="1" s="1"/>
  <c r="AR22" i="1" a="1"/>
  <c r="AM22" i="1"/>
  <c r="AN22" i="1" s="1"/>
  <c r="AL22" i="1"/>
  <c r="AO22" i="1" s="1"/>
  <c r="AG22" i="1"/>
  <c r="AF22" i="1"/>
  <c r="AF22" i="1" a="1"/>
  <c r="G22" i="1" a="1"/>
  <c r="G22" i="1" s="1"/>
  <c r="AE22" i="1" s="1"/>
  <c r="F22" i="1" a="1"/>
  <c r="F22" i="1" s="1"/>
  <c r="C22" i="1"/>
  <c r="BA21" i="1"/>
  <c r="AS21" i="1" a="1"/>
  <c r="AS21" i="1" s="1"/>
  <c r="AR21" i="1"/>
  <c r="AT21" i="1" s="1"/>
  <c r="AR21" i="1" a="1"/>
  <c r="AM21" i="1"/>
  <c r="AN21" i="1" s="1"/>
  <c r="AL21" i="1"/>
  <c r="AO21" i="1" s="1"/>
  <c r="AG21" i="1"/>
  <c r="AF21" i="1"/>
  <c r="AF21" i="1" a="1"/>
  <c r="G21" i="1" a="1"/>
  <c r="G21" i="1" s="1"/>
  <c r="AE21" i="1" s="1"/>
  <c r="F21" i="1" a="1"/>
  <c r="F21" i="1" s="1"/>
  <c r="C21" i="1"/>
  <c r="BA20" i="1"/>
  <c r="AS20" i="1" a="1"/>
  <c r="AS20" i="1" s="1"/>
  <c r="AR20" i="1"/>
  <c r="AT20" i="1" s="1"/>
  <c r="AR20" i="1" a="1"/>
  <c r="AM20" i="1"/>
  <c r="AN20" i="1" s="1"/>
  <c r="AL20" i="1"/>
  <c r="AO20" i="1" s="1"/>
  <c r="AB20" i="1"/>
  <c r="G20" i="1" a="1"/>
  <c r="G20" i="1" s="1"/>
  <c r="AE20" i="1" s="1"/>
  <c r="F20" i="1"/>
  <c r="F20" i="1" a="1"/>
  <c r="C20" i="1"/>
  <c r="BA19" i="1"/>
  <c r="AS19" i="1" a="1"/>
  <c r="AS19" i="1" s="1"/>
  <c r="AR19" i="1"/>
  <c r="AT19" i="1" s="1"/>
  <c r="AR19" i="1" a="1"/>
  <c r="AM19" i="1"/>
  <c r="AN19" i="1" s="1"/>
  <c r="AL19" i="1"/>
  <c r="AO19" i="1" s="1"/>
  <c r="AG19" i="1"/>
  <c r="AF19" i="1"/>
  <c r="AF19" i="1" a="1"/>
  <c r="G19" i="1" a="1"/>
  <c r="G19" i="1" s="1"/>
  <c r="F19" i="1"/>
  <c r="F19" i="1" a="1"/>
  <c r="C19" i="1"/>
  <c r="BA18" i="1"/>
  <c r="AT18" i="1"/>
  <c r="AS18" i="1"/>
  <c r="AS18" i="1" a="1"/>
  <c r="AR18" i="1"/>
  <c r="AR18" i="1" a="1"/>
  <c r="AM18" i="1"/>
  <c r="AN18" i="1" s="1"/>
  <c r="AL18" i="1"/>
  <c r="AO18" i="1" s="1"/>
  <c r="AG18" i="1"/>
  <c r="AF18" i="1"/>
  <c r="AF18" i="1" a="1"/>
  <c r="G18" i="1" a="1"/>
  <c r="G18" i="1" s="1"/>
  <c r="AE18" i="1" s="1"/>
  <c r="F18" i="1"/>
  <c r="F18" i="1" a="1"/>
  <c r="C18" i="1"/>
  <c r="BA17" i="1"/>
  <c r="AT17" i="1"/>
  <c r="AS17" i="1"/>
  <c r="AS17" i="1" a="1"/>
  <c r="AR17" i="1"/>
  <c r="AR17" i="1" a="1"/>
  <c r="AM17" i="1"/>
  <c r="AN17" i="1" s="1"/>
  <c r="AL17" i="1"/>
  <c r="AO17" i="1" s="1"/>
  <c r="AK17" i="1"/>
  <c r="AG17" i="1"/>
  <c r="AF17" i="1"/>
  <c r="AF17" i="1" a="1"/>
  <c r="AE17" i="1"/>
  <c r="AC17" i="1"/>
  <c r="AB17" i="1"/>
  <c r="G17" i="1"/>
  <c r="G17" i="1" a="1"/>
  <c r="F17" i="1" a="1"/>
  <c r="F17" i="1" s="1"/>
  <c r="C17" i="1"/>
  <c r="BA16" i="1"/>
  <c r="AS16" i="1"/>
  <c r="AS16" i="1" a="1"/>
  <c r="AR16" i="1" a="1"/>
  <c r="AR16" i="1" s="1"/>
  <c r="AT16" i="1" s="1"/>
  <c r="AV16" i="1" s="1"/>
  <c r="H16" i="1" s="1"/>
  <c r="AQ16" i="1"/>
  <c r="AU16" i="1" s="1"/>
  <c r="AP16" i="1"/>
  <c r="AO16" i="1"/>
  <c r="AN16" i="1"/>
  <c r="AM16" i="1"/>
  <c r="AL16" i="1"/>
  <c r="AF16" i="1" a="1"/>
  <c r="AF16" i="1" s="1"/>
  <c r="AG16" i="1" s="1"/>
  <c r="AE16" i="1"/>
  <c r="AC16" i="1"/>
  <c r="G16" i="1"/>
  <c r="G16" i="1" a="1"/>
  <c r="F16" i="1" a="1"/>
  <c r="F16" i="1" s="1"/>
  <c r="C16" i="1"/>
  <c r="BA15" i="1"/>
  <c r="AT15" i="1"/>
  <c r="AS15" i="1" a="1"/>
  <c r="AS15" i="1" s="1"/>
  <c r="AO15" i="1"/>
  <c r="AQ15" i="1" s="1"/>
  <c r="AN15" i="1"/>
  <c r="AM15" i="1"/>
  <c r="AL15" i="1"/>
  <c r="AF15" i="1" a="1"/>
  <c r="AF15" i="1" s="1"/>
  <c r="AG15" i="1" s="1"/>
  <c r="AE15" i="1"/>
  <c r="G15" i="1"/>
  <c r="G15" i="1" a="1"/>
  <c r="F15" i="1" a="1"/>
  <c r="F15" i="1" s="1"/>
  <c r="C15" i="1"/>
  <c r="BA14" i="1"/>
  <c r="AT14" i="1"/>
  <c r="AS14" i="1"/>
  <c r="AS14" i="1" a="1"/>
  <c r="AR14" i="1"/>
  <c r="AR14" i="1" a="1"/>
  <c r="AO14" i="1"/>
  <c r="AP14" i="1" s="1"/>
  <c r="AN14" i="1"/>
  <c r="AM14" i="1"/>
  <c r="AL14" i="1"/>
  <c r="AF14" i="1" a="1"/>
  <c r="AF14" i="1" s="1"/>
  <c r="AG14" i="1" s="1"/>
  <c r="AE14" i="1"/>
  <c r="G14" i="1"/>
  <c r="G14" i="1" a="1"/>
  <c r="F14" i="1" a="1"/>
  <c r="F14" i="1" s="1"/>
  <c r="C14" i="1"/>
  <c r="BA13" i="1"/>
  <c r="AT13" i="1"/>
  <c r="AS13" i="1"/>
  <c r="AS13" i="1" a="1"/>
  <c r="AR13" i="1"/>
  <c r="AR13" i="1" a="1"/>
  <c r="AO13" i="1"/>
  <c r="AQ13" i="1" s="1"/>
  <c r="AN13" i="1"/>
  <c r="AM13" i="1"/>
  <c r="AL13" i="1"/>
  <c r="AF13" i="1" a="1"/>
  <c r="AF13" i="1" s="1"/>
  <c r="AG13" i="1" s="1"/>
  <c r="AE13" i="1"/>
  <c r="AB13" i="1"/>
  <c r="G13" i="1"/>
  <c r="G13" i="1" a="1"/>
  <c r="F13" i="1"/>
  <c r="F13" i="1" a="1"/>
  <c r="C13" i="1"/>
  <c r="BA12" i="1"/>
  <c r="AS12" i="1" a="1"/>
  <c r="AS12" i="1" s="1"/>
  <c r="AR12" i="1" a="1"/>
  <c r="AR12" i="1" s="1"/>
  <c r="AT12" i="1" s="1"/>
  <c r="AQ12" i="1"/>
  <c r="AU12" i="1" s="1"/>
  <c r="AP12" i="1"/>
  <c r="AO12" i="1"/>
  <c r="AN12" i="1"/>
  <c r="AM12" i="1"/>
  <c r="AL12" i="1"/>
  <c r="AF12" i="1" a="1"/>
  <c r="AF12" i="1" s="1"/>
  <c r="AG12" i="1" s="1"/>
  <c r="AE12" i="1"/>
  <c r="G12" i="1"/>
  <c r="G12" i="1" a="1"/>
  <c r="F12" i="1" a="1"/>
  <c r="F12" i="1" s="1"/>
  <c r="C12" i="1"/>
  <c r="BA11" i="1"/>
  <c r="AS11" i="1" a="1"/>
  <c r="AS11" i="1" s="1"/>
  <c r="AR11" i="1" a="1"/>
  <c r="AR11" i="1" s="1"/>
  <c r="AT11" i="1" s="1"/>
  <c r="H11" i="1" s="1"/>
  <c r="AQ11" i="1"/>
  <c r="AO11" i="1"/>
  <c r="AN11" i="1"/>
  <c r="AM11" i="1"/>
  <c r="AL11" i="1"/>
  <c r="AF11" i="1" a="1"/>
  <c r="AF11" i="1" s="1"/>
  <c r="AG11" i="1" s="1"/>
  <c r="AB11" i="1"/>
  <c r="G11" i="1" a="1"/>
  <c r="G11" i="1" s="1"/>
  <c r="F11" i="1" a="1"/>
  <c r="F11" i="1" s="1"/>
  <c r="C11" i="1"/>
  <c r="AB6" i="1"/>
  <c r="AQ18" i="1" l="1"/>
  <c r="AU18" i="1" s="1"/>
  <c r="AP18" i="1"/>
  <c r="AQ31" i="1"/>
  <c r="AU31" i="1" s="1"/>
  <c r="AP31" i="1"/>
  <c r="AV34" i="1"/>
  <c r="H34" i="1" s="1"/>
  <c r="AU37" i="1"/>
  <c r="AP33" i="1"/>
  <c r="AQ33" i="1"/>
  <c r="AU33" i="1" s="1"/>
  <c r="AQ17" i="1"/>
  <c r="AU17" i="1" s="1"/>
  <c r="AP17" i="1"/>
  <c r="AV19" i="1"/>
  <c r="H19" i="1" s="1"/>
  <c r="AQ23" i="1"/>
  <c r="AU23" i="1" s="1"/>
  <c r="AP23" i="1"/>
  <c r="AU24" i="1"/>
  <c r="AQ34" i="1"/>
  <c r="AU34" i="1" s="1"/>
  <c r="AP34" i="1"/>
  <c r="AQ38" i="1"/>
  <c r="AU38" i="1" s="1"/>
  <c r="AP38" i="1"/>
  <c r="AV13" i="1"/>
  <c r="H13" i="1" s="1"/>
  <c r="AU13" i="1"/>
  <c r="AU11" i="1"/>
  <c r="AV12" i="1"/>
  <c r="H12" i="1" s="1"/>
  <c r="AE19" i="1"/>
  <c r="AC19" i="1"/>
  <c r="AU35" i="1"/>
  <c r="AQ36" i="1"/>
  <c r="AU36" i="1" s="1"/>
  <c r="AP36" i="1"/>
  <c r="AQ42" i="1"/>
  <c r="AU42" i="1" s="1"/>
  <c r="AP42" i="1"/>
  <c r="AP11" i="1"/>
  <c r="AE11" i="1"/>
  <c r="AV33" i="1"/>
  <c r="H33" i="1" s="1"/>
  <c r="AQ39" i="1"/>
  <c r="AU39" i="1" s="1"/>
  <c r="AP39" i="1"/>
  <c r="AV30" i="1"/>
  <c r="H30" i="1" s="1"/>
  <c r="AP20" i="1"/>
  <c r="AQ20" i="1"/>
  <c r="AU20" i="1" s="1"/>
  <c r="AP22" i="1"/>
  <c r="AQ22" i="1"/>
  <c r="AU22" i="1" s="1"/>
  <c r="AP28" i="1"/>
  <c r="AE28" i="1"/>
  <c r="AV38" i="1"/>
  <c r="H38" i="1" s="1"/>
  <c r="AV42" i="1"/>
  <c r="H42" i="1" s="1"/>
  <c r="AV18" i="1"/>
  <c r="H18" i="1" s="1"/>
  <c r="AU26" i="1"/>
  <c r="AQ27" i="1"/>
  <c r="AU27" i="1" s="1"/>
  <c r="AP27" i="1"/>
  <c r="AQ30" i="1"/>
  <c r="AU30" i="1" s="1"/>
  <c r="AP30" i="1"/>
  <c r="AV15" i="1"/>
  <c r="H15" i="1" s="1"/>
  <c r="AU15" i="1"/>
  <c r="AP21" i="1"/>
  <c r="AQ21" i="1"/>
  <c r="AU21" i="1" s="1"/>
  <c r="AV17" i="1"/>
  <c r="H17" i="1" s="1"/>
  <c r="AQ19" i="1"/>
  <c r="AU19" i="1" s="1"/>
  <c r="AP19" i="1"/>
  <c r="AV23" i="1"/>
  <c r="H23" i="1" s="1"/>
  <c r="AV25" i="1"/>
  <c r="H25" i="1" s="1"/>
  <c r="AU25" i="1"/>
  <c r="AV26" i="1"/>
  <c r="H26" i="1" s="1"/>
  <c r="AU32" i="1"/>
  <c r="AP13" i="1"/>
  <c r="AP15" i="1"/>
  <c r="AP37" i="1"/>
  <c r="AP25" i="1"/>
  <c r="AP24" i="1"/>
  <c r="AV31" i="1" l="1"/>
  <c r="H31" i="1" s="1"/>
  <c r="AV39" i="1"/>
  <c r="H39" i="1" s="1"/>
  <c r="AV14" i="1"/>
  <c r="H14" i="1" s="1"/>
  <c r="AU14" i="1"/>
  <c r="AV27" i="1"/>
  <c r="H27" i="1" s="1"/>
  <c r="AV36" i="1"/>
  <c r="H36" i="1" s="1"/>
  <c r="AV21" i="1"/>
  <c r="H21" i="1" s="1"/>
  <c r="AV22" i="1"/>
  <c r="H22" i="1" s="1"/>
  <c r="AV20" i="1"/>
  <c r="H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tc={32729C01-E830-4A61-89BC-1BD69E6204B8}</author>
    <author>tc={D102BF6D-7D8C-4608-939B-375A0CE0DB9E}</author>
    <author>tc={8DFEA710-A59D-4C81-98F2-2C70E434F193}</author>
    <author>tc={D76FD7B8-C93B-41DD-BD7F-A8F388534E08}</author>
    <author>tc={D3E5326E-9D6F-43E4-808F-3AC5784A57FD}</author>
  </authors>
  <commentList>
    <comment ref="X10" authorId="0" shapeId="0" xr:uid="{32729C01-E830-4A61-89BC-1BD69E6204B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No Break --&gt; Put to Lease Expiry</t>
      </text>
    </comment>
    <comment ref="AD10" authorId="1" shapeId="0" xr:uid="{D102BF6D-7D8C-4608-939B-375A0CE0DB9E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Double-check if stepped profile</t>
      </text>
    </comment>
    <comment ref="AQ10" authorId="2" shapeId="0" xr:uid="{8DFEA710-A59D-4C81-98F2-2C70E434F193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rent less TIs
To the earlier of Break Clause or Lease Length</t>
      </text>
    </comment>
    <comment ref="AR10" authorId="3" shapeId="0" xr:uid="{D76FD7B8-C93B-41DD-BD7F-A8F388534E08}">
      <text>
        <t>[Threaded comment]
Your version of Excel allows you to read this threaded comment; however, any edits to it will get removed if the file is opened in a newer version of Excel. Learn more: https://go.microsoft.com/fwlink/?linkid=870924
Comment:
    Yellow cells refer to hardcoded values</t>
      </text>
    </comment>
    <comment ref="H29" authorId="4" shapeId="0" xr:uid="{D3E5326E-9D6F-43E4-808F-3AC5784A57FD}">
      <text>
        <t>[Threaded comment]
Your version of Excel allows you to read this threaded comment; however, any edits to it will get removed if the file is opened in a newer version of Excel. Learn more: https://go.microsoft.com/fwlink/?linkid=870924
Comment:
    @Oli Christopherson  hi oli, are you able to fix this so it brings up the iv gain and erv gain / loss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<sst xmlns="http://schemas.openxmlformats.org/spreadsheetml/2006/main" count="388" uniqueCount="194">
  <si>
    <t>SCHEDULE OF OFFERS - DEAL PIPELINE</t>
  </si>
  <si>
    <t>User Guide: 
All Blue Cells are to be inputted manually; all other cells entail automatic formulae</t>
  </si>
  <si>
    <t>To avoid duplication or confusion, update the relevant row to reflect the latest offer from the prospective tenant</t>
  </si>
  <si>
    <t>Only live offers should be kept on the schedule - should an offer covert into a lease signing, it can be subsequently removed or transferred to a historic record sheet</t>
  </si>
  <si>
    <t>Straight-line headline rent fixed until break or lease expiry, in absence of stepped rental profile</t>
  </si>
  <si>
    <t>SUBJECT PROPERTY - SUMMARY</t>
  </si>
  <si>
    <t>INTERNAL PROCESS CHECKS</t>
  </si>
  <si>
    <t>TENANT INFORMATION</t>
  </si>
  <si>
    <t>LIVE LEASE / OFFER SUMMARY</t>
  </si>
  <si>
    <t>APPRAISAL SUMMARY / INPUTS</t>
  </si>
  <si>
    <t>LEGAL COMPLETION PATHWAY</t>
  </si>
  <si>
    <t>UNSUCCESSFUL OFFERS</t>
  </si>
  <si>
    <t>Latest</t>
  </si>
  <si>
    <t>Property</t>
  </si>
  <si>
    <t>Location</t>
  </si>
  <si>
    <t>Unit No.</t>
  </si>
  <si>
    <t>Qube Ref.</t>
  </si>
  <si>
    <t>Floor Area</t>
  </si>
  <si>
    <t>IV Gain ±</t>
  </si>
  <si>
    <t>AM</t>
  </si>
  <si>
    <t>IC</t>
  </si>
  <si>
    <t>Legals</t>
  </si>
  <si>
    <t>Lease Plan</t>
  </si>
  <si>
    <t>Arcadis</t>
  </si>
  <si>
    <t>HoTs Date</t>
  </si>
  <si>
    <t>Tenant Entity</t>
  </si>
  <si>
    <t>Agent</t>
  </si>
  <si>
    <t>Guarantor</t>
  </si>
  <si>
    <t>Use</t>
  </si>
  <si>
    <t>Lease Length</t>
  </si>
  <si>
    <t>Break Clause</t>
  </si>
  <si>
    <t>Rent Review</t>
  </si>
  <si>
    <t>1954 Act</t>
  </si>
  <si>
    <t>Estate Charge</t>
  </si>
  <si>
    <t>Deposit [£]</t>
  </si>
  <si>
    <t>Marketing Rent</t>
  </si>
  <si>
    <t>Headline Rent</t>
  </si>
  <si>
    <t>Headline Rent (£/sqft)</t>
  </si>
  <si>
    <t>CBRE ERV [£]</t>
  </si>
  <si>
    <t>ERV ±</t>
  </si>
  <si>
    <t>Deal Timings</t>
  </si>
  <si>
    <t>Rent Free</t>
  </si>
  <si>
    <t>Cap. Con. [£]</t>
  </si>
  <si>
    <t>RF Value [£]</t>
  </si>
  <si>
    <t>Cap. Con. [Mths]</t>
  </si>
  <si>
    <t>Total TIs [Mths]</t>
  </si>
  <si>
    <t>TIs Value [£]</t>
  </si>
  <si>
    <t>TIs £PSF</t>
  </si>
  <si>
    <t>N.E.R. [£]</t>
  </si>
  <si>
    <t>Yield [%]</t>
  </si>
  <si>
    <t>CBRE IV</t>
  </si>
  <si>
    <t>YP. Perp Def</t>
  </si>
  <si>
    <t>GPLC IV</t>
  </si>
  <si>
    <t>CBRE ±</t>
  </si>
  <si>
    <t>Instruction</t>
  </si>
  <si>
    <t>Completion</t>
  </si>
  <si>
    <t>Legal Contact</t>
  </si>
  <si>
    <t>Duration</t>
  </si>
  <si>
    <t>Estimated Completion</t>
  </si>
  <si>
    <t>Proposed Tenant</t>
  </si>
  <si>
    <t>Fall Through Date</t>
  </si>
  <si>
    <t>Reason</t>
  </si>
  <si>
    <t>Updated comments</t>
  </si>
  <si>
    <t>Millet Place</t>
  </si>
  <si>
    <t>Yes</t>
  </si>
  <si>
    <t>Nectar Subs Limited (Subway)</t>
  </si>
  <si>
    <t>BGP</t>
  </si>
  <si>
    <t>-</t>
  </si>
  <si>
    <t>Grab and Go</t>
  </si>
  <si>
    <t>Inside</t>
  </si>
  <si>
    <t>Sonal Kang</t>
  </si>
  <si>
    <t>25/10 - completion set for 03/01/2025</t>
  </si>
  <si>
    <t>Tesco</t>
  </si>
  <si>
    <t>Supermarket</t>
  </si>
  <si>
    <t>Lydia Armstrong</t>
  </si>
  <si>
    <t>25/10 - AFL Date set for exchange wk comm 4th nov</t>
  </si>
  <si>
    <t>Exchange Square</t>
  </si>
  <si>
    <t>Hariharan Baskar (t/a Londis)</t>
  </si>
  <si>
    <t>Siddall Jones</t>
  </si>
  <si>
    <t>Outside</t>
  </si>
  <si>
    <t>Liz Evans</t>
  </si>
  <si>
    <t>25/10 - update requested from WBD</t>
  </si>
  <si>
    <t>Queens Road</t>
  </si>
  <si>
    <t>Parker Hampton Food Group Ltd</t>
  </si>
  <si>
    <t>FHP</t>
  </si>
  <si>
    <t>Redcliffe Quarter</t>
  </si>
  <si>
    <t>ASDA Stores Limited</t>
  </si>
  <si>
    <t>Alder King</t>
  </si>
  <si>
    <t>TBC</t>
  </si>
  <si>
    <t>25/10 - Alder King speaking with Asda on contents insurance and Latent defects</t>
  </si>
  <si>
    <t>Weavers Yard</t>
  </si>
  <si>
    <t>Block H - Unit 9 (3 Station Approach)</t>
  </si>
  <si>
    <t>A&amp;I Locals Ltd</t>
  </si>
  <si>
    <t>Quintons</t>
  </si>
  <si>
    <t>Convenience Store</t>
  </si>
  <si>
    <t>18/10 - to remarket property</t>
  </si>
  <si>
    <t>Hawkins &amp; George</t>
  </si>
  <si>
    <t>Planned</t>
  </si>
  <si>
    <t>Industrial Bar Project Ltd (t/a The Boiler Room)</t>
  </si>
  <si>
    <t>F&amp;B Operator</t>
  </si>
  <si>
    <t>25/10 - lease plan with freeholder for review</t>
  </si>
  <si>
    <t>West Way Square</t>
  </si>
  <si>
    <t>No</t>
  </si>
  <si>
    <t>KFC</t>
  </si>
  <si>
    <t>JPH Real Estate</t>
  </si>
  <si>
    <t>Takeaway</t>
  </si>
  <si>
    <t>Early stage appraisal.</t>
  </si>
  <si>
    <t xml:space="preserve">Block D2 Hallsville Q </t>
  </si>
  <si>
    <t>Unit 4</t>
  </si>
  <si>
    <t xml:space="preserve">Norman H Barnett </t>
  </si>
  <si>
    <t>CF Commercial</t>
  </si>
  <si>
    <t>Law Firm</t>
  </si>
  <si>
    <t>25/10 - awaiting techincal information for LtA - have threatended to pause legals</t>
  </si>
  <si>
    <t>Block B - Unit 3 (Unit B)</t>
  </si>
  <si>
    <t>Q Gelato Limited</t>
  </si>
  <si>
    <t>Ice Cream Parlour</t>
  </si>
  <si>
    <t>Signe (Russell Cooke)</t>
  </si>
  <si>
    <t>25/10 - legals instructed</t>
  </si>
  <si>
    <t>Bright Start Nursery</t>
  </si>
  <si>
    <t>Personal Guarantee</t>
  </si>
  <si>
    <t>Nursery</t>
  </si>
  <si>
    <t>Tamba Day Nursery</t>
  </si>
  <si>
    <t>April-24</t>
  </si>
  <si>
    <t>Required additional cap con</t>
  </si>
  <si>
    <t>25/10 - signage app approved and going to planning, agent to provide update on timeline</t>
  </si>
  <si>
    <t>as above</t>
  </si>
  <si>
    <t>The Forge</t>
  </si>
  <si>
    <t>Sanco Pizza Limted</t>
  </si>
  <si>
    <t>Bradley Hall</t>
  </si>
  <si>
    <t>Restaurant</t>
  </si>
  <si>
    <t>In Progress</t>
  </si>
  <si>
    <t>25/10 - renegotiating terms  - have chased up 25/10</t>
  </si>
  <si>
    <t>Wendy Zhang</t>
  </si>
  <si>
    <t>Therapy clinic</t>
  </si>
  <si>
    <t>25/10 - MPAN being created with monarch</t>
  </si>
  <si>
    <t>Enigma Square</t>
  </si>
  <si>
    <t>Krishna Asian Food Market Limited</t>
  </si>
  <si>
    <t>Louch Shacklock</t>
  </si>
  <si>
    <t>25/10 - awaiting response from tenants sols - structural mezzanine being reviewed by Arcadis</t>
  </si>
  <si>
    <t>Hale Wharf 2</t>
  </si>
  <si>
    <t>NewCo</t>
  </si>
  <si>
    <t>Strettons</t>
  </si>
  <si>
    <t>Café Bistro</t>
  </si>
  <si>
    <t>Gilders Yard</t>
  </si>
  <si>
    <t>B02</t>
  </si>
  <si>
    <t>Hepstone Ltd</t>
  </si>
  <si>
    <t>Wellness Club</t>
  </si>
  <si>
    <t>25/10 - update requested from sol, exchange expected iminintely</t>
  </si>
  <si>
    <t>Block H - Unit 8 (4 Station Approach)</t>
  </si>
  <si>
    <t>Parasol Coffee Ltd</t>
  </si>
  <si>
    <t>Café</t>
  </si>
  <si>
    <t>outside</t>
  </si>
  <si>
    <t>25/10 afl for access june, then september for trading, to cover legal fees for afl</t>
  </si>
  <si>
    <t>Awaited</t>
  </si>
  <si>
    <t>(New Co) Sky Kong Kong Kitchen</t>
  </si>
  <si>
    <t>Flueretts</t>
  </si>
  <si>
    <t>Cafe</t>
  </si>
  <si>
    <t>WBD (TBC)</t>
  </si>
  <si>
    <t>25/10 - Lease to complete by 31/10/24</t>
  </si>
  <si>
    <t>The Tilt Works</t>
  </si>
  <si>
    <t>New Co Star Convenience</t>
  </si>
  <si>
    <t>Knight Frank</t>
  </si>
  <si>
    <t xml:space="preserve">Convenience store </t>
  </si>
  <si>
    <t xml:space="preserve">25/10 - to return cpse replies </t>
  </si>
  <si>
    <t>The Filaments</t>
  </si>
  <si>
    <t>Podium A/B - Unit 1</t>
  </si>
  <si>
    <t>Fiori Café</t>
  </si>
  <si>
    <t>LTL Property Consultants</t>
  </si>
  <si>
    <t>25/10 - tenants solicitor details awaited, chasing regularly, have asked other agent to reach out to other offeror</t>
  </si>
  <si>
    <t>Kiki and MiuMiu Ltd</t>
  </si>
  <si>
    <t>Lunson Mitchenall</t>
  </si>
  <si>
    <t>25/10 - chased agents for update</t>
  </si>
  <si>
    <t>New Co</t>
  </si>
  <si>
    <t>Dentist</t>
  </si>
  <si>
    <t>25/10 - hots awaited to instruct legals</t>
  </si>
  <si>
    <t>New Co (Indoor Golf Simulation)</t>
  </si>
  <si>
    <t>Leisure</t>
  </si>
  <si>
    <t>25/10 - legals progressing, exchange expected before 31/10</t>
  </si>
  <si>
    <t>Apex Gardens</t>
  </si>
  <si>
    <t>Vision Tek East Coast Ltd</t>
  </si>
  <si>
    <t>Block A - Unit 1 (Unit A Bamboo House)</t>
  </si>
  <si>
    <t>Bar</t>
  </si>
  <si>
    <t>25/10 - ic approved, hots awaited</t>
  </si>
  <si>
    <t>Grades Group Ltd</t>
  </si>
  <si>
    <t>Barber</t>
  </si>
  <si>
    <t>11/10 - on hold until outcome of change of use to amenity is decided</t>
  </si>
  <si>
    <t>Workspace</t>
  </si>
  <si>
    <t xml:space="preserve">Block D1 Hallsville Q </t>
  </si>
  <si>
    <t>Unit 2</t>
  </si>
  <si>
    <t>Holland &amp; Barrett</t>
  </si>
  <si>
    <t>Retail</t>
  </si>
  <si>
    <t>inside</t>
  </si>
  <si>
    <t>2.3 (unit 6)</t>
  </si>
  <si>
    <r>
      <t xml:space="preserve">Add rows above - </t>
    </r>
    <r>
      <rPr>
        <b/>
        <i/>
        <u/>
        <sz val="8"/>
        <color theme="0" tint="-0.34998626667073579"/>
        <rFont val="Aptos Narrow"/>
        <family val="2"/>
        <scheme val="minor"/>
      </rPr>
      <t>not</t>
    </r>
    <r>
      <rPr>
        <b/>
        <i/>
        <sz val="8"/>
        <color theme="0" tint="-0.34998626667073579"/>
        <rFont val="Aptos Narrow"/>
        <family val="2"/>
        <scheme val="minor"/>
      </rPr>
      <t xml:space="preserve"> below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</si>
</sst>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"/>
    <numFmt numFmtId="165" formatCode="&quot;£&quot;#,##0"/>
    <numFmt numFmtId="166" formatCode="0\ &quot;yrs&quot;"/>
    <numFmt numFmtId="167" formatCode="&quot;£&quot;#,##0.0"/>
    <numFmt numFmtId="168" formatCode="0.0%"/>
    <numFmt numFmtId="169" formatCode="#,##0\ &quot;sq. ft.&quot;"/>
    <numFmt numFmtId="170" formatCode="0.0\ &quot;yrs&quot;"/>
    <numFmt numFmtId="171" formatCode="&quot;£&quot;#,##0.00\ &quot;PSF&quot;"/>
    <numFmt numFmtId="172" formatCode="0\ &quot;months&quot;"/>
    <numFmt numFmtId="173" formatCode="0.0\ &quot;months&quot;"/>
    <numFmt numFmtId="174" formatCode="&quot;£&quot;#,##0.0\ &quot;PSF&quot;"/>
    <numFmt numFmtId="175" formatCode="0.0000"/>
    <numFmt numFmtId="176" formatCode="dd/mm/yyyy;@"/>
    <numFmt numFmtId="177" formatCode="yyyy/mm/dd;@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i/>
      <sz val="8"/>
      <color rgb="FFFFFFFF"/>
      <name val="Aptos Narrow"/>
      <family val="2"/>
      <scheme val="minor"/>
    </font>
    <font>
      <b/>
      <i/>
      <sz val="8"/>
      <color theme="0" tint="-0.34998626667073579"/>
      <name val="Aptos Narrow"/>
      <family val="2"/>
      <scheme val="minor"/>
    </font>
    <font>
      <b/>
      <sz val="8"/>
      <color rgb="FF305496"/>
      <name val="Calibri"/>
      <family val="2"/>
    </font>
    <font>
      <b/>
      <i/>
      <sz val="8"/>
      <color rgb="FF3F3F3F"/>
      <name val="Aptos Narrow"/>
      <family val="2"/>
      <scheme val="minor"/>
    </font>
    <font>
      <b/>
      <sz val="8"/>
      <color rgb="FF305496"/>
      <name val="Aptos Narrow"/>
      <family val="2"/>
      <scheme val="minor"/>
    </font>
    <font>
      <b/>
      <sz val="8"/>
      <color rgb="FF3F3F3F"/>
      <name val="Aptos Narrow"/>
      <family val="2"/>
      <scheme val="minor"/>
    </font>
    <font>
      <b/>
      <sz val="8"/>
      <color theme="1" tint="0.249977111117893"/>
      <name val="Aptos Narrow"/>
      <family val="2"/>
      <scheme val="minor"/>
    </font>
    <font>
      <b/>
      <i/>
      <sz val="8"/>
      <color rgb="FF305496"/>
      <name val="Aptos Narrow"/>
      <family val="2"/>
      <scheme val="minor"/>
    </font>
    <font>
      <b/>
      <sz val="8"/>
      <color theme="7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i/>
      <u/>
      <sz val="8"/>
      <color theme="0" tint="-0.34998626667073579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74D4D"/>
        <bgColor rgb="FF000000"/>
      </patternFill>
    </fill>
    <fill>
      <patternFill patternType="solid">
        <fgColor rgb="FF3A7070"/>
        <bgColor rgb="FF000000"/>
      </patternFill>
    </fill>
    <fill>
      <patternFill patternType="solid">
        <fgColor rgb="FFDAE9E9"/>
        <bgColor rgb="FF000000"/>
      </patternFill>
    </fill>
    <fill>
      <patternFill patternType="solid">
        <fgColor rgb="FFDAE9E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theme="2"/>
      </top>
      <bottom style="dotted">
        <color theme="2"/>
      </bottom>
      <diagonal/>
    </border>
    <border>
      <left/>
      <right/>
      <top style="dotted">
        <color theme="2"/>
      </top>
      <bottom style="dotted">
        <color theme="2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theme="2"/>
      </top>
      <bottom style="dotted">
        <color theme="2"/>
      </bottom>
      <diagonal/>
    </border>
    <border>
      <left style="medium">
        <color rgb="FFFF0000"/>
      </left>
      <right style="medium">
        <color rgb="FFFF0000"/>
      </right>
      <top style="dotted">
        <color theme="2"/>
      </top>
      <bottom style="dotted">
        <color theme="2"/>
      </bottom>
      <diagonal/>
    </border>
    <border>
      <left style="medium">
        <color rgb="FFFF0000"/>
      </left>
      <right style="medium">
        <color rgb="FFFF0000"/>
      </right>
      <top/>
      <bottom style="dotted">
        <color theme="2"/>
      </bottom>
      <diagonal/>
    </border>
    <border>
      <left/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/>
      <bottom style="dotted">
        <color theme="2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theme="2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1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15" fontId="6" fillId="3" borderId="1" xfId="0" applyNumberFormat="1" applyFont="1" applyFill="1" applyBorder="1" applyAlignment="1">
      <alignment horizontal="left" vertical="center"/>
    </xf>
    <xf numFmtId="15" fontId="6" fillId="3" borderId="1" xfId="0" applyNumberFormat="1" applyFont="1" applyFill="1" applyBorder="1" applyAlignment="1">
      <alignment horizontal="center" vertical="center"/>
    </xf>
    <xf numFmtId="15" fontId="6" fillId="3" borderId="0" xfId="0" applyNumberFormat="1" applyFont="1" applyFill="1" applyAlignment="1">
      <alignment horizontal="left" vertical="center"/>
    </xf>
    <xf numFmtId="49" fontId="6" fillId="3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168" fontId="4" fillId="0" borderId="0" xfId="1" applyNumberFormat="1" applyFont="1" applyAlignment="1">
      <alignment horizontal="center" vertical="center"/>
    </xf>
    <xf numFmtId="49" fontId="8" fillId="5" borderId="13" xfId="0" applyNumberFormat="1" applyFont="1" applyFill="1" applyBorder="1" applyAlignment="1">
      <alignment horizontal="left" vertical="center"/>
    </xf>
    <xf numFmtId="49" fontId="9" fillId="0" borderId="0" xfId="1" applyNumberFormat="1" applyFont="1" applyFill="1" applyBorder="1" applyAlignment="1">
      <alignment horizontal="left" vertical="center"/>
    </xf>
    <xf numFmtId="0" fontId="10" fillId="6" borderId="14" xfId="0" applyFont="1" applyFill="1" applyBorder="1" applyAlignment="1">
      <alignment horizontal="left" vertical="center"/>
    </xf>
    <xf numFmtId="0" fontId="9" fillId="0" borderId="0" xfId="1" applyNumberFormat="1" applyFont="1" applyAlignment="1">
      <alignment horizontal="center" vertical="center"/>
    </xf>
    <xf numFmtId="169" fontId="11" fillId="0" borderId="0" xfId="1" applyNumberFormat="1" applyFont="1" applyBorder="1" applyAlignment="1">
      <alignment horizontal="left" vertical="center"/>
    </xf>
    <xf numFmtId="168" fontId="12" fillId="7" borderId="15" xfId="1" applyNumberFormat="1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left" vertical="center"/>
    </xf>
    <xf numFmtId="0" fontId="13" fillId="6" borderId="14" xfId="0" applyFont="1" applyFill="1" applyBorder="1" applyAlignment="1">
      <alignment horizontal="left" vertical="center"/>
    </xf>
    <xf numFmtId="0" fontId="13" fillId="6" borderId="16" xfId="0" applyFont="1" applyFill="1" applyBorder="1" applyAlignment="1">
      <alignment horizontal="left" vertical="center"/>
    </xf>
    <xf numFmtId="14" fontId="10" fillId="6" borderId="13" xfId="0" applyNumberFormat="1" applyFont="1" applyFill="1" applyBorder="1" applyAlignment="1">
      <alignment horizontal="left" vertical="center"/>
    </xf>
    <xf numFmtId="169" fontId="10" fillId="6" borderId="14" xfId="0" applyNumberFormat="1" applyFont="1" applyFill="1" applyBorder="1" applyAlignment="1">
      <alignment horizontal="left" vertical="center"/>
    </xf>
    <xf numFmtId="0" fontId="10" fillId="6" borderId="16" xfId="0" applyFont="1" applyFill="1" applyBorder="1" applyAlignment="1">
      <alignment horizontal="left" vertical="center"/>
    </xf>
    <xf numFmtId="166" fontId="10" fillId="6" borderId="13" xfId="0" applyNumberFormat="1" applyFont="1" applyFill="1" applyBorder="1" applyAlignment="1">
      <alignment horizontal="left" vertical="center"/>
    </xf>
    <xf numFmtId="166" fontId="10" fillId="6" borderId="14" xfId="0" applyNumberFormat="1" applyFont="1" applyFill="1" applyBorder="1" applyAlignment="1">
      <alignment horizontal="left" vertical="center"/>
    </xf>
    <xf numFmtId="170" fontId="10" fillId="6" borderId="14" xfId="0" applyNumberFormat="1" applyFont="1" applyFill="1" applyBorder="1" applyAlignment="1">
      <alignment horizontal="left" vertical="center"/>
    </xf>
    <xf numFmtId="171" fontId="10" fillId="6" borderId="14" xfId="2" applyNumberFormat="1" applyFont="1" applyFill="1" applyBorder="1" applyAlignment="1">
      <alignment horizontal="left" vertical="center"/>
    </xf>
    <xf numFmtId="165" fontId="10" fillId="6" borderId="14" xfId="0" applyNumberFormat="1" applyFont="1" applyFill="1" applyBorder="1" applyAlignment="1">
      <alignment horizontal="left" vertical="center"/>
    </xf>
    <xf numFmtId="164" fontId="11" fillId="0" borderId="0" xfId="1" applyNumberFormat="1" applyFont="1" applyAlignment="1">
      <alignment horizontal="left" vertical="center"/>
    </xf>
    <xf numFmtId="165" fontId="11" fillId="0" borderId="0" xfId="1" applyNumberFormat="1" applyFont="1" applyBorder="1" applyAlignment="1">
      <alignment horizontal="left" vertical="center"/>
    </xf>
    <xf numFmtId="168" fontId="12" fillId="7" borderId="17" xfId="1" applyNumberFormat="1" applyFont="1" applyFill="1" applyBorder="1" applyAlignment="1">
      <alignment horizontal="center" vertical="center"/>
    </xf>
    <xf numFmtId="172" fontId="10" fillId="6" borderId="13" xfId="0" applyNumberFormat="1" applyFont="1" applyFill="1" applyBorder="1" applyAlignment="1">
      <alignment horizontal="left" vertical="center"/>
    </xf>
    <xf numFmtId="172" fontId="10" fillId="6" borderId="14" xfId="2" applyNumberFormat="1" applyFont="1" applyFill="1" applyBorder="1" applyAlignment="1">
      <alignment horizontal="left" vertical="center"/>
    </xf>
    <xf numFmtId="165" fontId="10" fillId="6" borderId="14" xfId="2" applyNumberFormat="1" applyFont="1" applyFill="1" applyBorder="1" applyAlignment="1">
      <alignment horizontal="left" vertical="center"/>
    </xf>
    <xf numFmtId="165" fontId="12" fillId="7" borderId="14" xfId="0" applyNumberFormat="1" applyFont="1" applyFill="1" applyBorder="1" applyAlignment="1">
      <alignment horizontal="left" vertical="center"/>
    </xf>
    <xf numFmtId="173" fontId="12" fillId="7" borderId="14" xfId="0" applyNumberFormat="1" applyFont="1" applyFill="1" applyBorder="1" applyAlignment="1">
      <alignment horizontal="left" vertical="center"/>
    </xf>
    <xf numFmtId="174" fontId="12" fillId="7" borderId="14" xfId="0" applyNumberFormat="1" applyFont="1" applyFill="1" applyBorder="1" applyAlignment="1">
      <alignment horizontal="left" vertical="center"/>
    </xf>
    <xf numFmtId="165" fontId="12" fillId="7" borderId="18" xfId="0" applyNumberFormat="1" applyFont="1" applyFill="1" applyBorder="1" applyAlignment="1">
      <alignment horizontal="left" vertical="center"/>
    </xf>
    <xf numFmtId="10" fontId="11" fillId="0" borderId="19" xfId="1" applyNumberFormat="1" applyFont="1" applyBorder="1" applyAlignment="1">
      <alignment horizontal="left" vertical="center"/>
    </xf>
    <xf numFmtId="175" fontId="11" fillId="0" borderId="0" xfId="1" applyNumberFormat="1" applyFont="1" applyBorder="1" applyAlignment="1">
      <alignment horizontal="left" vertical="center"/>
    </xf>
    <xf numFmtId="168" fontId="12" fillId="7" borderId="20" xfId="1" applyNumberFormat="1" applyFont="1" applyFill="1" applyBorder="1" applyAlignment="1">
      <alignment horizontal="center" vertical="center"/>
    </xf>
    <xf numFmtId="176" fontId="10" fillId="6" borderId="13" xfId="0" applyNumberFormat="1" applyFont="1" applyFill="1" applyBorder="1" applyAlignment="1">
      <alignment horizontal="left" vertical="center"/>
    </xf>
    <xf numFmtId="14" fontId="10" fillId="6" borderId="14" xfId="0" applyNumberFormat="1" applyFont="1" applyFill="1" applyBorder="1" applyAlignment="1">
      <alignment horizontal="left" vertical="center"/>
    </xf>
    <xf numFmtId="173" fontId="11" fillId="0" borderId="19" xfId="1" applyNumberFormat="1" applyFont="1" applyBorder="1" applyAlignment="1">
      <alignment horizontal="left" vertical="center"/>
    </xf>
    <xf numFmtId="176" fontId="10" fillId="6" borderId="14" xfId="0" applyNumberFormat="1" applyFont="1" applyFill="1" applyBorder="1" applyAlignment="1">
      <alignment horizontal="left" vertical="center"/>
    </xf>
    <xf numFmtId="49" fontId="10" fillId="6" borderId="14" xfId="0" applyNumberFormat="1" applyFont="1" applyFill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16" fontId="3" fillId="0" borderId="0" xfId="0" applyNumberFormat="1" applyFont="1" applyAlignment="1">
      <alignment horizontal="center" vertical="center"/>
    </xf>
    <xf numFmtId="14" fontId="14" fillId="6" borderId="13" xfId="0" applyNumberFormat="1" applyFont="1" applyFill="1" applyBorder="1" applyAlignment="1">
      <alignment horizontal="left" vertical="center"/>
    </xf>
    <xf numFmtId="165" fontId="15" fillId="6" borderId="14" xfId="2" applyNumberFormat="1" applyFont="1" applyFill="1" applyBorder="1" applyAlignment="1">
      <alignment horizontal="left" vertical="center"/>
    </xf>
    <xf numFmtId="16" fontId="4" fillId="0" borderId="21" xfId="0" applyNumberFormat="1" applyFont="1" applyBorder="1" applyAlignment="1">
      <alignment horizontal="left" vertical="center"/>
    </xf>
    <xf numFmtId="10" fontId="11" fillId="8" borderId="19" xfId="1" applyNumberFormat="1" applyFont="1" applyFill="1" applyBorder="1" applyAlignment="1">
      <alignment horizontal="left" vertical="center"/>
    </xf>
    <xf numFmtId="0" fontId="13" fillId="9" borderId="13" xfId="0" applyFont="1" applyFill="1" applyBorder="1" applyAlignment="1">
      <alignment horizontal="left" vertical="center"/>
    </xf>
    <xf numFmtId="0" fontId="13" fillId="9" borderId="14" xfId="0" applyFont="1" applyFill="1" applyBorder="1" applyAlignment="1">
      <alignment horizontal="left" vertical="center"/>
    </xf>
    <xf numFmtId="0" fontId="13" fillId="9" borderId="16" xfId="0" applyFont="1" applyFill="1" applyBorder="1" applyAlignment="1">
      <alignment horizontal="left" vertical="center"/>
    </xf>
    <xf numFmtId="172" fontId="10" fillId="9" borderId="13" xfId="0" applyNumberFormat="1" applyFont="1" applyFill="1" applyBorder="1" applyAlignment="1">
      <alignment horizontal="left" vertical="center"/>
    </xf>
    <xf numFmtId="172" fontId="10" fillId="9" borderId="14" xfId="2" applyNumberFormat="1" applyFont="1" applyFill="1" applyBorder="1" applyAlignment="1">
      <alignment horizontal="left" vertical="center"/>
    </xf>
    <xf numFmtId="165" fontId="10" fillId="9" borderId="14" xfId="2" applyNumberFormat="1" applyFont="1" applyFill="1" applyBorder="1" applyAlignment="1">
      <alignment horizontal="left" vertical="center"/>
    </xf>
    <xf numFmtId="165" fontId="12" fillId="9" borderId="14" xfId="0" applyNumberFormat="1" applyFont="1" applyFill="1" applyBorder="1" applyAlignment="1">
      <alignment horizontal="left" vertical="center"/>
    </xf>
    <xf numFmtId="173" fontId="12" fillId="9" borderId="14" xfId="0" applyNumberFormat="1" applyFont="1" applyFill="1" applyBorder="1" applyAlignment="1">
      <alignment horizontal="left" vertical="center"/>
    </xf>
    <xf numFmtId="174" fontId="12" fillId="9" borderId="14" xfId="0" applyNumberFormat="1" applyFont="1" applyFill="1" applyBorder="1" applyAlignment="1">
      <alignment horizontal="left" vertical="center"/>
    </xf>
    <xf numFmtId="165" fontId="12" fillId="9" borderId="18" xfId="0" applyNumberFormat="1" applyFont="1" applyFill="1" applyBorder="1" applyAlignment="1">
      <alignment horizontal="left" vertical="center"/>
    </xf>
    <xf numFmtId="10" fontId="11" fillId="9" borderId="19" xfId="1" applyNumberFormat="1" applyFont="1" applyFill="1" applyBorder="1" applyAlignment="1">
      <alignment horizontal="left" vertical="center"/>
    </xf>
    <xf numFmtId="165" fontId="11" fillId="9" borderId="0" xfId="1" applyNumberFormat="1" applyFont="1" applyFill="1" applyBorder="1" applyAlignment="1">
      <alignment horizontal="left" vertical="center"/>
    </xf>
    <xf numFmtId="175" fontId="11" fillId="9" borderId="0" xfId="1" applyNumberFormat="1" applyFont="1" applyFill="1" applyBorder="1" applyAlignment="1">
      <alignment horizontal="left" vertical="center"/>
    </xf>
    <xf numFmtId="168" fontId="12" fillId="9" borderId="20" xfId="1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176" fontId="10" fillId="9" borderId="13" xfId="0" applyNumberFormat="1" applyFont="1" applyFill="1" applyBorder="1" applyAlignment="1">
      <alignment horizontal="left" vertical="center"/>
    </xf>
    <xf numFmtId="14" fontId="10" fillId="9" borderId="14" xfId="0" applyNumberFormat="1" applyFont="1" applyFill="1" applyBorder="1" applyAlignment="1">
      <alignment horizontal="left" vertical="center"/>
    </xf>
    <xf numFmtId="173" fontId="11" fillId="9" borderId="19" xfId="1" applyNumberFormat="1" applyFont="1" applyFill="1" applyBorder="1" applyAlignment="1">
      <alignment horizontal="left" vertical="center"/>
    </xf>
    <xf numFmtId="176" fontId="10" fillId="9" borderId="14" xfId="0" applyNumberFormat="1" applyFont="1" applyFill="1" applyBorder="1" applyAlignment="1">
      <alignment horizontal="left" vertical="center"/>
    </xf>
    <xf numFmtId="49" fontId="10" fillId="9" borderId="14" xfId="0" applyNumberFormat="1" applyFont="1" applyFill="1" applyBorder="1" applyAlignment="1">
      <alignment horizontal="left" vertical="center"/>
    </xf>
    <xf numFmtId="0" fontId="4" fillId="9" borderId="21" xfId="0" applyFont="1" applyFill="1" applyBorder="1" applyAlignment="1">
      <alignment horizontal="left" vertical="center"/>
    </xf>
    <xf numFmtId="0" fontId="9" fillId="0" borderId="0" xfId="1" applyNumberFormat="1" applyFont="1" applyAlignment="1">
      <alignment horizontal="left" vertical="center"/>
    </xf>
    <xf numFmtId="0" fontId="10" fillId="6" borderId="13" xfId="0" applyFont="1" applyFill="1" applyBorder="1" applyAlignment="1">
      <alignment horizontal="left" vertical="center"/>
    </xf>
    <xf numFmtId="177" fontId="10" fillId="6" borderId="14" xfId="0" applyNumberFormat="1" applyFont="1" applyFill="1" applyBorder="1" applyAlignment="1">
      <alignment horizontal="left" vertical="center"/>
    </xf>
    <xf numFmtId="0" fontId="4" fillId="10" borderId="21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49" fontId="9" fillId="0" borderId="0" xfId="1" applyNumberFormat="1" applyFont="1" applyAlignment="1">
      <alignment horizontal="left" vertical="center"/>
    </xf>
    <xf numFmtId="165" fontId="10" fillId="6" borderId="22" xfId="0" applyNumberFormat="1" applyFont="1" applyFill="1" applyBorder="1" applyAlignment="1">
      <alignment horizontal="left" vertical="center"/>
    </xf>
    <xf numFmtId="10" fontId="11" fillId="11" borderId="19" xfId="1" applyNumberFormat="1" applyFont="1" applyFill="1" applyBorder="1" applyAlignment="1">
      <alignment horizontal="left" vertical="center"/>
    </xf>
    <xf numFmtId="169" fontId="11" fillId="0" borderId="0" xfId="1" applyNumberFormat="1" applyFont="1" applyAlignment="1">
      <alignment horizontal="left" vertical="center"/>
    </xf>
    <xf numFmtId="165" fontId="11" fillId="0" borderId="0" xfId="1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7" fillId="4" borderId="4" xfId="0" applyFont="1" applyFill="1" applyBorder="1" applyAlignment="1" applyProtection="1">
      <alignment horizontal="left" vertical="center" wrapText="1"/>
      <protection locked="0"/>
    </xf>
    <xf numFmtId="0" fontId="17" fillId="4" borderId="5" xfId="0" applyFont="1" applyFill="1" applyBorder="1" applyAlignment="1" applyProtection="1">
      <alignment horizontal="left" vertical="center" wrapText="1"/>
      <protection locked="0"/>
    </xf>
    <xf numFmtId="0" fontId="17" fillId="4" borderId="5" xfId="0" applyFont="1" applyFill="1" applyBorder="1" applyAlignment="1" applyProtection="1">
      <alignment horizontal="center" vertical="center" wrapText="1"/>
      <protection locked="0"/>
    </xf>
    <xf numFmtId="0" fontId="17" fillId="4" borderId="9" xfId="0" applyFont="1" applyFill="1" applyBorder="1" applyAlignment="1" applyProtection="1">
      <alignment horizontal="center" vertical="center" wrapText="1"/>
      <protection locked="0"/>
    </xf>
    <xf numFmtId="0" fontId="17" fillId="4" borderId="6" xfId="0" applyFont="1" applyFill="1" applyBorder="1" applyAlignment="1" applyProtection="1">
      <alignment horizontal="left" vertical="center" wrapText="1"/>
      <protection locked="0"/>
    </xf>
    <xf numFmtId="0" fontId="18" fillId="4" borderId="10" xfId="0" applyFont="1" applyFill="1" applyBorder="1" applyAlignment="1" applyProtection="1">
      <alignment horizontal="center" vertical="center" wrapText="1"/>
      <protection locked="0"/>
    </xf>
    <xf numFmtId="0" fontId="18" fillId="4" borderId="5" xfId="0" applyFont="1" applyFill="1" applyBorder="1" applyAlignment="1" applyProtection="1">
      <alignment horizontal="left" vertical="center" wrapText="1"/>
      <protection locked="0"/>
    </xf>
    <xf numFmtId="0" fontId="17" fillId="4" borderId="10" xfId="0" applyFont="1" applyFill="1" applyBorder="1" applyAlignment="1" applyProtection="1">
      <alignment horizontal="left" vertical="center" wrapText="1"/>
      <protection locked="0"/>
    </xf>
    <xf numFmtId="0" fontId="17" fillId="4" borderId="11" xfId="0" applyFont="1" applyFill="1" applyBorder="1" applyAlignment="1" applyProtection="1">
      <alignment horizontal="center" vertical="center" wrapText="1"/>
      <protection locked="0"/>
    </xf>
    <xf numFmtId="49" fontId="17" fillId="4" borderId="5" xfId="0" applyNumberFormat="1" applyFont="1" applyFill="1" applyBorder="1" applyAlignment="1" applyProtection="1">
      <alignment horizontal="left" vertical="center" wrapText="1"/>
      <protection locked="0"/>
    </xf>
    <xf numFmtId="0" fontId="17" fillId="4" borderId="12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15" fontId="17" fillId="3" borderId="0" xfId="0" applyNumberFormat="1" applyFont="1" applyFill="1" applyAlignment="1">
      <alignment horizontal="center" vertical="center"/>
    </xf>
    <xf numFmtId="15" fontId="17" fillId="3" borderId="2" xfId="0" applyNumberFormat="1" applyFont="1" applyFill="1" applyBorder="1" applyAlignment="1">
      <alignment horizontal="center" vertical="center"/>
    </xf>
    <xf numFmtId="15" fontId="17" fillId="3" borderId="1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15" fontId="17" fillId="3" borderId="4" xfId="0" applyNumberFormat="1" applyFont="1" applyFill="1" applyBorder="1" applyAlignment="1">
      <alignment horizontal="center" vertical="center"/>
    </xf>
    <xf numFmtId="15" fontId="17" fillId="3" borderId="5" xfId="0" applyNumberFormat="1" applyFont="1" applyFill="1" applyBorder="1" applyAlignment="1">
      <alignment horizontal="center" vertical="center"/>
    </xf>
    <xf numFmtId="15" fontId="17" fillId="3" borderId="6" xfId="0" applyNumberFormat="1" applyFont="1" applyFill="1" applyBorder="1" applyAlignment="1">
      <alignment horizontal="center" vertical="center"/>
    </xf>
    <xf numFmtId="15" fontId="17" fillId="3" borderId="7" xfId="0" applyNumberFormat="1" applyFont="1" applyFill="1" applyBorder="1" applyAlignment="1">
      <alignment horizontal="center" vertical="center"/>
    </xf>
    <xf numFmtId="15" fontId="17" fillId="3" borderId="8" xfId="0" applyNumberFormat="1" applyFont="1" applyFill="1" applyBorder="1" applyAlignment="1">
      <alignment horizontal="center" vertical="center"/>
    </xf>
  </cellXfs>
  <cellStyles count="3">
    <cellStyle name="Good" xfId="2" builtinId="26"/>
    <cellStyle name="Normal" xfId="0" builtinId="0"/>
    <cellStyle name="Percent" xfId="1" builtinId="5"/>
  </cellStyles>
  <dxfs count="1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aingerplc.sharepoint.com/sites/CommercialTeam/Shared%20Documents/3.%20Underwriting/1.%20BtR%20Holdings%20(Live).xlsx" TargetMode="External"/><Relationship Id="rId1" Type="http://schemas.openxmlformats.org/officeDocument/2006/relationships/externalLinkPath" Target="https://graingerplc.sharepoint.com/sites/CommercialTeam/Shared%20Documents/3.%20Underwriting/1.%20BtR%20Holdings%20(Liv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Summary"/>
      <sheetName val="2. Asset Dashboard"/>
      <sheetName val="3. Unit-Level Index"/>
      <sheetName val="MSCP Car Park"/>
      <sheetName val="4. Live Offers"/>
      <sheetName val="#I4"/>
      <sheetName val="Mar-24"/>
      <sheetName val="Marketing"/>
      <sheetName val="Arrears Input"/>
      <sheetName val="Sep-23"/>
      <sheetName val="Sheet1"/>
      <sheetName val="#I1"/>
      <sheetName val="#I2"/>
      <sheetName val="#I3"/>
      <sheetName val="#I5"/>
      <sheetName val="Offer Archive"/>
      <sheetName val="Reporting Table"/>
      <sheetName val="Historic Leasing"/>
      <sheetName val="Location Index"/>
    </sheetNames>
    <sheetDataSet>
      <sheetData sheetId="0" refreshError="1"/>
      <sheetData sheetId="1" refreshError="1">
        <row r="3">
          <cell r="C3" t="str">
            <v>SCHEME OVERVIEW</v>
          </cell>
        </row>
        <row r="5">
          <cell r="C5" t="str">
            <v>ASSET OVERVIEW</v>
          </cell>
        </row>
        <row r="6">
          <cell r="C6" t="str">
            <v>Scheme</v>
          </cell>
          <cell r="E6" t="str">
            <v>City</v>
          </cell>
        </row>
        <row r="7">
          <cell r="C7" t="str">
            <v>Apex Gardens</v>
          </cell>
          <cell r="E7" t="str">
            <v>London</v>
          </cell>
        </row>
        <row r="8">
          <cell r="C8" t="str">
            <v>The Filaments</v>
          </cell>
          <cell r="E8" t="str">
            <v>Manchester</v>
          </cell>
        </row>
        <row r="9">
          <cell r="C9" t="str">
            <v>The Astley</v>
          </cell>
          <cell r="E9" t="str">
            <v>Manchester</v>
          </cell>
        </row>
        <row r="10">
          <cell r="C10" t="str">
            <v>Clippers Quay</v>
          </cell>
          <cell r="E10" t="str">
            <v>Manchester</v>
          </cell>
        </row>
        <row r="11">
          <cell r="C11" t="str">
            <v>Solstice Apartments</v>
          </cell>
          <cell r="E11" t="str">
            <v>Milton Keynes</v>
          </cell>
        </row>
        <row r="12">
          <cell r="C12" t="str">
            <v>Gilders Yard</v>
          </cell>
          <cell r="E12" t="str">
            <v>Birmingham</v>
          </cell>
        </row>
        <row r="13">
          <cell r="C13" t="str">
            <v>Brook Place</v>
          </cell>
          <cell r="E13" t="str">
            <v>Sheffield</v>
          </cell>
        </row>
        <row r="14">
          <cell r="C14" t="str">
            <v>Weavers Yard</v>
          </cell>
          <cell r="E14" t="str">
            <v>Newbury</v>
          </cell>
        </row>
        <row r="15">
          <cell r="C15" t="str">
            <v>The Headline</v>
          </cell>
          <cell r="E15" t="str">
            <v>Leeds</v>
          </cell>
        </row>
        <row r="16">
          <cell r="C16" t="str">
            <v>The Condor</v>
          </cell>
          <cell r="E16" t="str">
            <v>Derby</v>
          </cell>
        </row>
        <row r="17">
          <cell r="C17" t="str">
            <v>Gatehouse Apartments</v>
          </cell>
          <cell r="E17" t="str">
            <v>Southampton</v>
          </cell>
        </row>
        <row r="18">
          <cell r="C18" t="str">
            <v>Hawkins &amp; George</v>
          </cell>
          <cell r="E18" t="str">
            <v>Bristol</v>
          </cell>
        </row>
        <row r="19">
          <cell r="C19" t="str">
            <v>Redcliffe Quarter</v>
          </cell>
          <cell r="E19" t="str">
            <v>Bristol</v>
          </cell>
        </row>
        <row r="20">
          <cell r="C20" t="str">
            <v>Millet Place</v>
          </cell>
          <cell r="E20" t="str">
            <v>London</v>
          </cell>
        </row>
        <row r="21">
          <cell r="C21" t="str">
            <v>The Forge</v>
          </cell>
          <cell r="E21" t="str">
            <v>Newcastle</v>
          </cell>
        </row>
        <row r="22">
          <cell r="C22" t="str">
            <v>Glasshouse</v>
          </cell>
          <cell r="E22" t="str">
            <v>Bristol</v>
          </cell>
        </row>
        <row r="23">
          <cell r="C23" t="str">
            <v>Exchange Square</v>
          </cell>
          <cell r="E23" t="str">
            <v>Birmingham</v>
          </cell>
        </row>
        <row r="24">
          <cell r="C24" t="str">
            <v>Capital Quarter</v>
          </cell>
          <cell r="E24" t="str">
            <v>Cardiff</v>
          </cell>
        </row>
        <row r="25">
          <cell r="C25" t="str">
            <v>Enigma Square</v>
          </cell>
          <cell r="E25" t="str">
            <v>Milton Keynes</v>
          </cell>
        </row>
        <row r="26">
          <cell r="C26" t="str">
            <v xml:space="preserve">Block D2 Hallsville Q </v>
          </cell>
          <cell r="E26" t="str">
            <v>London</v>
          </cell>
        </row>
        <row r="27">
          <cell r="C27" t="str">
            <v xml:space="preserve">Block D1 Hallsville Q </v>
          </cell>
          <cell r="E27" t="str">
            <v>London</v>
          </cell>
        </row>
        <row r="28">
          <cell r="C28" t="str">
            <v>Queens Road</v>
          </cell>
          <cell r="E28" t="str">
            <v>Nottingham</v>
          </cell>
        </row>
        <row r="29">
          <cell r="C29" t="str">
            <v>The Tilt Works</v>
          </cell>
          <cell r="E29" t="str">
            <v>Sheffield</v>
          </cell>
        </row>
        <row r="30">
          <cell r="C30" t="str">
            <v>Merrick Place</v>
          </cell>
          <cell r="E30" t="str">
            <v>London</v>
          </cell>
        </row>
        <row r="31">
          <cell r="C31" t="str">
            <v>Hale Wharf 2</v>
          </cell>
          <cell r="E31" t="str">
            <v>London</v>
          </cell>
        </row>
        <row r="32">
          <cell r="C32" t="str">
            <v>West Way Square</v>
          </cell>
          <cell r="E32" t="str">
            <v>Oxford</v>
          </cell>
        </row>
        <row r="34">
          <cell r="C34" t="str">
            <v>TOTALS:</v>
          </cell>
        </row>
      </sheetData>
      <sheetData sheetId="2" refreshError="1">
        <row r="2">
          <cell r="B2" t="str">
            <v>COMMERCIAL HOLDINGS</v>
          </cell>
        </row>
        <row r="4">
          <cell r="B4" t="str">
            <v>Property</v>
          </cell>
          <cell r="G4" t="str">
            <v>Unit No.</v>
          </cell>
          <cell r="H4" t="str">
            <v>Qube Reference</v>
          </cell>
          <cell r="M4" t="str">
            <v>Floor Area</v>
          </cell>
        </row>
        <row r="5">
          <cell r="B5" t="str">
            <v>Clippers Quay</v>
          </cell>
          <cell r="G5" t="str">
            <v>1 Zegera Way</v>
          </cell>
          <cell r="H5">
            <v>222577002</v>
          </cell>
          <cell r="M5">
            <v>1249</v>
          </cell>
        </row>
        <row r="6">
          <cell r="B6" t="str">
            <v>Clippers Quay</v>
          </cell>
          <cell r="G6" t="str">
            <v>2 Zegera Way</v>
          </cell>
          <cell r="H6">
            <v>222577003</v>
          </cell>
          <cell r="M6">
            <v>1461</v>
          </cell>
        </row>
        <row r="7">
          <cell r="B7" t="str">
            <v>Clippers Quay</v>
          </cell>
          <cell r="G7" t="str">
            <v>Unit 4 &amp; 5 Waterman Walk</v>
          </cell>
          <cell r="H7">
            <v>222577001</v>
          </cell>
          <cell r="M7">
            <v>3832</v>
          </cell>
        </row>
        <row r="8">
          <cell r="B8" t="str">
            <v>Clippers Quay</v>
          </cell>
          <cell r="G8" t="str">
            <v>2 &amp; 3 Waterman Walk</v>
          </cell>
          <cell r="H8" t="str">
            <v>222577005/222577004</v>
          </cell>
          <cell r="M8">
            <v>2388</v>
          </cell>
        </row>
        <row r="9">
          <cell r="B9" t="str">
            <v>Clippers Quay</v>
          </cell>
          <cell r="G9" t="str">
            <v>1 Waterman Walk</v>
          </cell>
          <cell r="H9">
            <v>222577006</v>
          </cell>
          <cell r="M9">
            <v>1435</v>
          </cell>
        </row>
        <row r="10">
          <cell r="B10" t="str">
            <v>Hawkins &amp; George</v>
          </cell>
          <cell r="G10">
            <v>1</v>
          </cell>
          <cell r="H10">
            <v>222625001</v>
          </cell>
          <cell r="M10">
            <v>1635</v>
          </cell>
        </row>
        <row r="11">
          <cell r="B11" t="str">
            <v>Hawkins &amp; George</v>
          </cell>
          <cell r="G11">
            <v>2</v>
          </cell>
          <cell r="H11">
            <v>222625002</v>
          </cell>
          <cell r="M11">
            <v>439</v>
          </cell>
        </row>
        <row r="12">
          <cell r="B12" t="str">
            <v>Hawkins &amp; George</v>
          </cell>
          <cell r="G12">
            <v>3</v>
          </cell>
          <cell r="H12">
            <v>222625003</v>
          </cell>
          <cell r="M12">
            <v>1470</v>
          </cell>
        </row>
        <row r="13">
          <cell r="B13" t="str">
            <v>Redcliffe Quarter</v>
          </cell>
          <cell r="G13">
            <v>1.1000000000000001</v>
          </cell>
          <cell r="H13">
            <v>222707001</v>
          </cell>
          <cell r="M13">
            <v>1452</v>
          </cell>
        </row>
        <row r="14">
          <cell r="B14" t="str">
            <v>Redcliffe Quarter</v>
          </cell>
          <cell r="G14">
            <v>1.2</v>
          </cell>
          <cell r="H14">
            <v>222707002</v>
          </cell>
          <cell r="M14">
            <v>1024</v>
          </cell>
        </row>
        <row r="15">
          <cell r="B15" t="str">
            <v>Redcliffe Quarter</v>
          </cell>
          <cell r="G15">
            <v>1.3</v>
          </cell>
          <cell r="H15">
            <v>222707003</v>
          </cell>
          <cell r="M15">
            <v>1066</v>
          </cell>
        </row>
        <row r="16">
          <cell r="B16" t="str">
            <v>Redcliffe Quarter</v>
          </cell>
          <cell r="G16">
            <v>2.1</v>
          </cell>
          <cell r="H16">
            <v>222707004</v>
          </cell>
          <cell r="M16">
            <v>4539</v>
          </cell>
        </row>
        <row r="17">
          <cell r="B17" t="str">
            <v>Redcliffe Quarter</v>
          </cell>
          <cell r="G17" t="str">
            <v>2.2 (Unit 5)</v>
          </cell>
          <cell r="M17">
            <v>2393</v>
          </cell>
        </row>
        <row r="18">
          <cell r="B18" t="str">
            <v>Redcliffe Quarter</v>
          </cell>
          <cell r="G18" t="str">
            <v>2.3 (unit 6)</v>
          </cell>
          <cell r="M18">
            <v>2754</v>
          </cell>
        </row>
        <row r="19">
          <cell r="B19" t="str">
            <v>Brook Place</v>
          </cell>
          <cell r="G19" t="str">
            <v>1/2</v>
          </cell>
          <cell r="H19" t="str">
            <v>222632001/222632002</v>
          </cell>
          <cell r="M19">
            <v>3721</v>
          </cell>
        </row>
        <row r="20">
          <cell r="B20" t="str">
            <v>Brook Place</v>
          </cell>
          <cell r="G20">
            <v>3</v>
          </cell>
          <cell r="H20">
            <v>222632003</v>
          </cell>
          <cell r="M20">
            <v>1981</v>
          </cell>
        </row>
        <row r="21">
          <cell r="B21" t="str">
            <v>Solstice Apartments</v>
          </cell>
          <cell r="G21" t="str">
            <v>1/2</v>
          </cell>
          <cell r="H21" t="str">
            <v>222641001/222641002</v>
          </cell>
          <cell r="M21">
            <v>4498</v>
          </cell>
        </row>
        <row r="22">
          <cell r="B22" t="str">
            <v>Millet Place</v>
          </cell>
          <cell r="G22">
            <v>1</v>
          </cell>
          <cell r="H22">
            <v>900005001</v>
          </cell>
          <cell r="M22">
            <v>2250</v>
          </cell>
        </row>
        <row r="23">
          <cell r="B23" t="str">
            <v>Millet Place</v>
          </cell>
          <cell r="G23">
            <v>2</v>
          </cell>
          <cell r="H23">
            <v>900005002</v>
          </cell>
          <cell r="M23">
            <v>3451</v>
          </cell>
        </row>
        <row r="24">
          <cell r="B24" t="str">
            <v>Millet Place</v>
          </cell>
          <cell r="G24">
            <v>3</v>
          </cell>
          <cell r="H24">
            <v>900005003</v>
          </cell>
          <cell r="M24">
            <v>904</v>
          </cell>
        </row>
        <row r="25">
          <cell r="B25" t="str">
            <v>Millet Place</v>
          </cell>
          <cell r="G25">
            <v>4</v>
          </cell>
          <cell r="H25">
            <v>900005004</v>
          </cell>
          <cell r="M25">
            <v>1132</v>
          </cell>
        </row>
        <row r="26">
          <cell r="B26" t="str">
            <v>The Filaments</v>
          </cell>
          <cell r="G26" t="str">
            <v>Podium A/B - Unit 1</v>
          </cell>
          <cell r="H26">
            <v>222653001</v>
          </cell>
          <cell r="M26">
            <v>1069</v>
          </cell>
        </row>
        <row r="27">
          <cell r="B27" t="str">
            <v>The Filaments</v>
          </cell>
          <cell r="G27" t="str">
            <v>Podium A/B - Unit 2</v>
          </cell>
          <cell r="H27">
            <v>222653002</v>
          </cell>
          <cell r="M27">
            <v>828</v>
          </cell>
        </row>
        <row r="28">
          <cell r="B28" t="str">
            <v>The Filaments</v>
          </cell>
          <cell r="G28" t="str">
            <v>Podium A/B - Unit 3</v>
          </cell>
          <cell r="H28">
            <v>222653003</v>
          </cell>
          <cell r="M28">
            <v>426</v>
          </cell>
        </row>
        <row r="29">
          <cell r="B29" t="str">
            <v>The Filaments</v>
          </cell>
          <cell r="G29" t="str">
            <v>Podium C - Unit 4</v>
          </cell>
          <cell r="H29">
            <v>222653004</v>
          </cell>
          <cell r="M29">
            <v>1231</v>
          </cell>
        </row>
        <row r="30">
          <cell r="B30" t="str">
            <v>The Filaments</v>
          </cell>
          <cell r="G30" t="str">
            <v>Podium C - Unit 5</v>
          </cell>
          <cell r="H30">
            <v>222653005</v>
          </cell>
          <cell r="M30">
            <v>1332</v>
          </cell>
        </row>
        <row r="31">
          <cell r="B31" t="str">
            <v>The Filaments</v>
          </cell>
          <cell r="G31" t="str">
            <v>Podium C - Unit 6</v>
          </cell>
          <cell r="H31">
            <v>222653006</v>
          </cell>
          <cell r="M31">
            <v>2940</v>
          </cell>
        </row>
        <row r="32">
          <cell r="B32" t="str">
            <v>Apex Gardens</v>
          </cell>
          <cell r="G32">
            <v>1</v>
          </cell>
          <cell r="H32">
            <v>222646001</v>
          </cell>
          <cell r="M32">
            <v>1780</v>
          </cell>
        </row>
        <row r="33">
          <cell r="B33" t="str">
            <v>Apex Gardens</v>
          </cell>
          <cell r="G33" t="str">
            <v>2-7</v>
          </cell>
          <cell r="M33">
            <v>7704</v>
          </cell>
        </row>
        <row r="34">
          <cell r="B34" t="str">
            <v>Gilders Yard</v>
          </cell>
          <cell r="G34" t="str">
            <v>B02</v>
          </cell>
          <cell r="H34">
            <v>222690003</v>
          </cell>
          <cell r="M34">
            <v>1747</v>
          </cell>
        </row>
        <row r="35">
          <cell r="B35" t="str">
            <v>Gilders Yard</v>
          </cell>
          <cell r="G35" t="str">
            <v>A02</v>
          </cell>
          <cell r="H35">
            <v>222690002</v>
          </cell>
          <cell r="M35">
            <v>1886</v>
          </cell>
        </row>
        <row r="36">
          <cell r="B36" t="str">
            <v>Gilders Yard</v>
          </cell>
          <cell r="G36" t="str">
            <v>A01</v>
          </cell>
          <cell r="H36">
            <v>222690001</v>
          </cell>
          <cell r="M36">
            <v>1872</v>
          </cell>
        </row>
        <row r="37">
          <cell r="B37" t="str">
            <v>Gilders Yard</v>
          </cell>
          <cell r="G37" t="str">
            <v>Offices</v>
          </cell>
          <cell r="H37">
            <v>222690004</v>
          </cell>
          <cell r="M37">
            <v>1043</v>
          </cell>
        </row>
        <row r="38">
          <cell r="B38" t="str">
            <v>Gatehouse Apartments</v>
          </cell>
          <cell r="G38">
            <v>1</v>
          </cell>
          <cell r="H38">
            <v>222662001</v>
          </cell>
          <cell r="M38">
            <v>2508</v>
          </cell>
        </row>
        <row r="39">
          <cell r="B39" t="str">
            <v>The Forge</v>
          </cell>
          <cell r="G39">
            <v>1</v>
          </cell>
          <cell r="H39">
            <v>222675001</v>
          </cell>
          <cell r="M39">
            <v>2901</v>
          </cell>
        </row>
        <row r="40">
          <cell r="B40" t="str">
            <v>The Headline</v>
          </cell>
          <cell r="G40">
            <v>1</v>
          </cell>
          <cell r="H40">
            <v>222669001</v>
          </cell>
          <cell r="M40">
            <v>3791</v>
          </cell>
        </row>
        <row r="41">
          <cell r="B41" t="str">
            <v>Weavers Yard</v>
          </cell>
          <cell r="G41" t="str">
            <v>Block A - Unit 1 (Unit A Bamboo House)</v>
          </cell>
          <cell r="H41">
            <v>222698001</v>
          </cell>
          <cell r="M41">
            <v>2166</v>
          </cell>
        </row>
        <row r="42">
          <cell r="B42" t="str">
            <v>Weavers Yard</v>
          </cell>
          <cell r="G42" t="str">
            <v>Block B - Unit 2 (Unit A)</v>
          </cell>
          <cell r="H42">
            <v>222698002</v>
          </cell>
          <cell r="M42">
            <v>871</v>
          </cell>
        </row>
        <row r="43">
          <cell r="B43" t="str">
            <v>Weavers Yard</v>
          </cell>
          <cell r="G43" t="str">
            <v>Block B - Unit 3 (Unit B)</v>
          </cell>
          <cell r="H43">
            <v>222698003</v>
          </cell>
          <cell r="M43">
            <v>1399</v>
          </cell>
        </row>
        <row r="44">
          <cell r="B44" t="str">
            <v>Weavers Yard</v>
          </cell>
          <cell r="G44" t="str">
            <v>Block C - Unit 4 (Unit A)</v>
          </cell>
          <cell r="H44">
            <v>222698004</v>
          </cell>
          <cell r="M44">
            <v>813</v>
          </cell>
        </row>
        <row r="45">
          <cell r="B45" t="str">
            <v>Weavers Yard</v>
          </cell>
          <cell r="G45" t="str">
            <v>Block D - Unit 5 (Linen Place)</v>
          </cell>
          <cell r="H45">
            <v>222698005</v>
          </cell>
          <cell r="M45">
            <v>1463</v>
          </cell>
        </row>
        <row r="46">
          <cell r="B46" t="str">
            <v>Weavers Yard</v>
          </cell>
          <cell r="G46" t="str">
            <v>Block G - Unit 6 (Unit A)</v>
          </cell>
          <cell r="H46">
            <v>222698006</v>
          </cell>
          <cell r="M46">
            <v>364</v>
          </cell>
        </row>
        <row r="47">
          <cell r="B47" t="str">
            <v>Weavers Yard</v>
          </cell>
          <cell r="G47" t="str">
            <v>Block H - Unit 7 (5 Station Approach)</v>
          </cell>
          <cell r="H47">
            <v>222698007</v>
          </cell>
          <cell r="M47">
            <v>361</v>
          </cell>
        </row>
        <row r="48">
          <cell r="B48" t="str">
            <v>Weavers Yard</v>
          </cell>
          <cell r="G48" t="str">
            <v>Block H - Unit 8 (4 Station Approach)</v>
          </cell>
          <cell r="H48">
            <v>222698008</v>
          </cell>
          <cell r="M48">
            <v>646</v>
          </cell>
        </row>
        <row r="49">
          <cell r="B49" t="str">
            <v>Weavers Yard</v>
          </cell>
          <cell r="G49" t="str">
            <v>Block H - Unit 9 (3 Station Approach)</v>
          </cell>
          <cell r="H49">
            <v>222698009</v>
          </cell>
          <cell r="M49">
            <v>616</v>
          </cell>
        </row>
        <row r="50">
          <cell r="B50" t="str">
            <v>Exchange Square</v>
          </cell>
          <cell r="G50">
            <v>1</v>
          </cell>
          <cell r="H50">
            <v>222795001</v>
          </cell>
          <cell r="M50">
            <v>2104</v>
          </cell>
        </row>
        <row r="51">
          <cell r="B51" t="str">
            <v>Capital Quarter</v>
          </cell>
          <cell r="G51">
            <v>1</v>
          </cell>
          <cell r="H51">
            <v>222736001</v>
          </cell>
          <cell r="M51">
            <v>2132</v>
          </cell>
        </row>
        <row r="52">
          <cell r="B52" t="str">
            <v>Enigma Square</v>
          </cell>
          <cell r="G52">
            <v>1</v>
          </cell>
          <cell r="H52">
            <v>222711001</v>
          </cell>
          <cell r="M52">
            <v>5489</v>
          </cell>
        </row>
        <row r="53">
          <cell r="B53" t="str">
            <v>Enigma Square</v>
          </cell>
          <cell r="G53">
            <v>2</v>
          </cell>
          <cell r="H53">
            <v>222711002</v>
          </cell>
          <cell r="M53">
            <v>1241</v>
          </cell>
        </row>
        <row r="54">
          <cell r="B54" t="str">
            <v>Enigma Square</v>
          </cell>
          <cell r="G54">
            <v>3</v>
          </cell>
          <cell r="H54">
            <v>222711003</v>
          </cell>
          <cell r="M54">
            <v>1492</v>
          </cell>
        </row>
        <row r="55">
          <cell r="B55" t="str">
            <v xml:space="preserve">Block D2 Hallsville Q </v>
          </cell>
          <cell r="G55" t="str">
            <v>Unit 1</v>
          </cell>
          <cell r="H55">
            <v>222746001</v>
          </cell>
          <cell r="M55">
            <v>2862</v>
          </cell>
        </row>
        <row r="56">
          <cell r="B56" t="str">
            <v xml:space="preserve">Block D2 Hallsville Q </v>
          </cell>
          <cell r="G56" t="str">
            <v>Unit 4</v>
          </cell>
          <cell r="H56">
            <v>222746004</v>
          </cell>
          <cell r="M56">
            <v>2772</v>
          </cell>
        </row>
        <row r="57">
          <cell r="B57" t="str">
            <v xml:space="preserve">Block D2 Hallsville Q </v>
          </cell>
          <cell r="G57" t="str">
            <v>Workspace</v>
          </cell>
          <cell r="H57">
            <v>222746005</v>
          </cell>
          <cell r="M57">
            <v>4146</v>
          </cell>
        </row>
        <row r="58">
          <cell r="B58" t="str">
            <v xml:space="preserve">Block D2 Hallsville Q </v>
          </cell>
          <cell r="G58" t="str">
            <v>Unit 3</v>
          </cell>
          <cell r="H58">
            <v>222746003</v>
          </cell>
          <cell r="M58">
            <v>1035</v>
          </cell>
        </row>
        <row r="59">
          <cell r="B59" t="str">
            <v xml:space="preserve">Block D2 Hallsville Q </v>
          </cell>
          <cell r="G59" t="str">
            <v>Unit 2</v>
          </cell>
          <cell r="H59">
            <v>222746002</v>
          </cell>
          <cell r="M59">
            <v>1819</v>
          </cell>
        </row>
        <row r="60">
          <cell r="B60" t="str">
            <v>Queens Road</v>
          </cell>
          <cell r="G60">
            <v>1</v>
          </cell>
          <cell r="H60">
            <v>222761001</v>
          </cell>
          <cell r="M60">
            <v>1800</v>
          </cell>
        </row>
        <row r="61">
          <cell r="B61" t="str">
            <v>The Tilt Works</v>
          </cell>
          <cell r="G61">
            <v>1</v>
          </cell>
          <cell r="H61">
            <v>222757001</v>
          </cell>
          <cell r="M61">
            <v>613</v>
          </cell>
        </row>
        <row r="62">
          <cell r="B62" t="str">
            <v>The Condor</v>
          </cell>
          <cell r="G62">
            <v>1</v>
          </cell>
          <cell r="H62">
            <v>222740001</v>
          </cell>
          <cell r="M62">
            <v>4266</v>
          </cell>
        </row>
        <row r="63">
          <cell r="B63" t="str">
            <v>The Condor</v>
          </cell>
          <cell r="G63">
            <v>2</v>
          </cell>
          <cell r="H63">
            <v>222740002</v>
          </cell>
          <cell r="M63">
            <v>2590</v>
          </cell>
        </row>
        <row r="64">
          <cell r="B64" t="str">
            <v>The Astley</v>
          </cell>
          <cell r="G64">
            <v>1</v>
          </cell>
          <cell r="H64">
            <v>222801001</v>
          </cell>
          <cell r="M64">
            <v>3481</v>
          </cell>
        </row>
        <row r="65">
          <cell r="B65" t="str">
            <v>The Astley</v>
          </cell>
          <cell r="G65">
            <v>2</v>
          </cell>
          <cell r="H65">
            <v>222801002</v>
          </cell>
          <cell r="M65">
            <v>1483.58</v>
          </cell>
        </row>
        <row r="66">
          <cell r="B66" t="str">
            <v>The Astley</v>
          </cell>
          <cell r="G66">
            <v>3</v>
          </cell>
          <cell r="H66">
            <v>222801003</v>
          </cell>
          <cell r="M66">
            <v>526</v>
          </cell>
        </row>
        <row r="67">
          <cell r="B67" t="str">
            <v xml:space="preserve">Block D1 Hallsville Q </v>
          </cell>
          <cell r="G67" t="str">
            <v>Unit 1</v>
          </cell>
          <cell r="M67">
            <v>2746</v>
          </cell>
        </row>
        <row r="68">
          <cell r="B68" t="str">
            <v xml:space="preserve">Block D1 Hallsville Q </v>
          </cell>
          <cell r="G68" t="str">
            <v>Unit 2</v>
          </cell>
          <cell r="M68">
            <v>1247</v>
          </cell>
        </row>
        <row r="69">
          <cell r="B69" t="str">
            <v xml:space="preserve">Block D1 Hallsville Q </v>
          </cell>
          <cell r="G69" t="str">
            <v>Unit 3</v>
          </cell>
          <cell r="M69">
            <v>1124</v>
          </cell>
        </row>
        <row r="70">
          <cell r="B70" t="str">
            <v xml:space="preserve">Block D1 Hallsville Q </v>
          </cell>
          <cell r="G70" t="str">
            <v>Unit 4</v>
          </cell>
          <cell r="M70">
            <v>1182</v>
          </cell>
        </row>
        <row r="71">
          <cell r="B71" t="str">
            <v xml:space="preserve">Block D1 Hallsville Q </v>
          </cell>
          <cell r="G71" t="str">
            <v>Unit 5</v>
          </cell>
          <cell r="M71">
            <v>2518</v>
          </cell>
        </row>
        <row r="72">
          <cell r="B72" t="str">
            <v xml:space="preserve">Block D1 Hallsville Q </v>
          </cell>
          <cell r="G72" t="str">
            <v>Unit 6</v>
          </cell>
          <cell r="M72">
            <v>2180</v>
          </cell>
        </row>
        <row r="73">
          <cell r="B73" t="str">
            <v>Merrick Place</v>
          </cell>
          <cell r="G73">
            <v>1</v>
          </cell>
          <cell r="M73">
            <v>1469</v>
          </cell>
        </row>
        <row r="74">
          <cell r="B74" t="str">
            <v>Merrick Place</v>
          </cell>
          <cell r="G74">
            <v>2</v>
          </cell>
          <cell r="M74">
            <v>1679</v>
          </cell>
        </row>
        <row r="75">
          <cell r="B75" t="str">
            <v>Merrick Place</v>
          </cell>
          <cell r="G75">
            <v>3</v>
          </cell>
          <cell r="M75">
            <v>15645</v>
          </cell>
        </row>
        <row r="76">
          <cell r="B76" t="str">
            <v>West Way Square</v>
          </cell>
          <cell r="G76">
            <v>1</v>
          </cell>
          <cell r="M76">
            <v>2332.5</v>
          </cell>
        </row>
        <row r="77">
          <cell r="B77" t="str">
            <v>West Way Square</v>
          </cell>
          <cell r="G77">
            <v>2</v>
          </cell>
          <cell r="M77">
            <v>1132.4000000000001</v>
          </cell>
        </row>
        <row r="78">
          <cell r="B78" t="str">
            <v>West Way Square</v>
          </cell>
          <cell r="G78">
            <v>3</v>
          </cell>
          <cell r="M78">
            <v>1132.4000000000001</v>
          </cell>
        </row>
        <row r="79">
          <cell r="B79" t="str">
            <v>West Way Square</v>
          </cell>
          <cell r="G79">
            <v>4</v>
          </cell>
          <cell r="M79">
            <v>1080.7</v>
          </cell>
        </row>
        <row r="80">
          <cell r="B80" t="str">
            <v>West Way Square</v>
          </cell>
          <cell r="G80">
            <v>5</v>
          </cell>
          <cell r="M80">
            <v>2079.6</v>
          </cell>
        </row>
        <row r="81">
          <cell r="B81" t="str">
            <v>West Way Square</v>
          </cell>
          <cell r="G81">
            <v>6</v>
          </cell>
          <cell r="M81">
            <v>1305.7</v>
          </cell>
        </row>
        <row r="82">
          <cell r="B82" t="str">
            <v>West Way Square</v>
          </cell>
          <cell r="G82">
            <v>7</v>
          </cell>
          <cell r="M82">
            <v>995.7</v>
          </cell>
        </row>
        <row r="83">
          <cell r="B83" t="str">
            <v>Glasshouse</v>
          </cell>
          <cell r="G83">
            <v>1</v>
          </cell>
          <cell r="M83">
            <v>2667.2944200000002</v>
          </cell>
        </row>
        <row r="84">
          <cell r="B84" t="str">
            <v>Glasshouse</v>
          </cell>
          <cell r="G84">
            <v>2</v>
          </cell>
          <cell r="M84">
            <v>3119.3782200000001</v>
          </cell>
        </row>
        <row r="85">
          <cell r="B85" t="str">
            <v>Glasshouse</v>
          </cell>
          <cell r="G85">
            <v>3</v>
          </cell>
          <cell r="M85">
            <v>1791.1129599999999</v>
          </cell>
        </row>
        <row r="86">
          <cell r="B86" t="str">
            <v>Glasshouse</v>
          </cell>
          <cell r="G86">
            <v>4</v>
          </cell>
          <cell r="M86">
            <v>992.43157999999994</v>
          </cell>
        </row>
        <row r="87">
          <cell r="B87" t="str">
            <v>Hale Wharf 2</v>
          </cell>
          <cell r="G87">
            <v>1</v>
          </cell>
          <cell r="M87">
            <v>1159</v>
          </cell>
        </row>
        <row r="88">
          <cell r="B88" t="str">
            <v>Hale Wharf 2</v>
          </cell>
          <cell r="G88">
            <v>2</v>
          </cell>
          <cell r="M88">
            <v>763</v>
          </cell>
        </row>
      </sheetData>
      <sheetData sheetId="3" refreshError="1"/>
      <sheetData sheetId="4" refreshError="1"/>
      <sheetData sheetId="5" refreshError="1"/>
      <sheetData sheetId="6" refreshError="1">
        <row r="2">
          <cell r="B2" t="str">
            <v>CBRE VALUATION SCHEDULE</v>
          </cell>
          <cell r="C2">
            <v>45352</v>
          </cell>
        </row>
        <row r="4">
          <cell r="B4" t="str">
            <v>Property</v>
          </cell>
          <cell r="C4" t="str">
            <v>Unit</v>
          </cell>
          <cell r="N4" t="str">
            <v>ERV £PA</v>
          </cell>
          <cell r="R4" t="str">
            <v>Capital Value</v>
          </cell>
          <cell r="S4" t="str">
            <v>EY %</v>
          </cell>
        </row>
        <row r="5">
          <cell r="B5" t="str">
            <v>Gilders Yard</v>
          </cell>
          <cell r="C5" t="str">
            <v>B02</v>
          </cell>
          <cell r="N5">
            <v>25768.25</v>
          </cell>
          <cell r="R5">
            <v>203445.66540900001</v>
          </cell>
          <cell r="S5">
            <v>0.1</v>
          </cell>
        </row>
        <row r="6">
          <cell r="B6" t="str">
            <v>Gilders Yard</v>
          </cell>
          <cell r="C6" t="str">
            <v>A01</v>
          </cell>
          <cell r="N6">
            <v>27612</v>
          </cell>
          <cell r="R6">
            <v>288388.02647500002</v>
          </cell>
          <cell r="S6">
            <v>0.09</v>
          </cell>
        </row>
        <row r="7">
          <cell r="B7" t="str">
            <v>Gilders Yard</v>
          </cell>
          <cell r="C7" t="str">
            <v>Offices</v>
          </cell>
          <cell r="N7">
            <v>20000</v>
          </cell>
          <cell r="R7">
            <v>209146.17343699999</v>
          </cell>
          <cell r="S7">
            <v>0.09</v>
          </cell>
        </row>
        <row r="8">
          <cell r="B8" t="str">
            <v>Gilders Yard</v>
          </cell>
          <cell r="C8" t="str">
            <v>A02</v>
          </cell>
          <cell r="N8">
            <v>22632</v>
          </cell>
          <cell r="R8">
            <v>224020.01468299999</v>
          </cell>
          <cell r="S8">
            <v>9.5000000000000001E-2</v>
          </cell>
        </row>
        <row r="9">
          <cell r="B9" t="str">
            <v>Hawkins &amp; George</v>
          </cell>
          <cell r="C9">
            <v>1</v>
          </cell>
          <cell r="N9">
            <v>36249</v>
          </cell>
          <cell r="R9">
            <v>324283.24267000001</v>
          </cell>
          <cell r="S9">
            <v>0.09</v>
          </cell>
        </row>
        <row r="10">
          <cell r="B10" t="str">
            <v>Hawkins &amp; George</v>
          </cell>
          <cell r="C10">
            <v>2</v>
          </cell>
          <cell r="N10">
            <v>10975</v>
          </cell>
          <cell r="R10">
            <v>126419.25207</v>
          </cell>
          <cell r="S10">
            <v>0.08</v>
          </cell>
        </row>
        <row r="11">
          <cell r="B11" t="str">
            <v>Hawkins &amp; George</v>
          </cell>
          <cell r="C11">
            <v>3</v>
          </cell>
          <cell r="N11">
            <v>30000</v>
          </cell>
          <cell r="R11">
            <v>259297.60526099999</v>
          </cell>
          <cell r="S11">
            <v>0.09</v>
          </cell>
        </row>
        <row r="12">
          <cell r="B12" t="str">
            <v xml:space="preserve">Block D1 Hallsville Q </v>
          </cell>
          <cell r="C12" t="str">
            <v>Unit 1</v>
          </cell>
          <cell r="N12">
            <v>68650</v>
          </cell>
          <cell r="R12">
            <v>749113.503624</v>
          </cell>
          <cell r="S12">
            <v>7.4999999999999997E-2</v>
          </cell>
        </row>
        <row r="13">
          <cell r="B13" t="str">
            <v xml:space="preserve">Block D1 Hallsville Q </v>
          </cell>
          <cell r="C13" t="str">
            <v>Unit 2</v>
          </cell>
          <cell r="N13">
            <v>31175</v>
          </cell>
          <cell r="R13">
            <v>340183.73237799999</v>
          </cell>
          <cell r="S13">
            <v>7.4999999999999997E-2</v>
          </cell>
        </row>
        <row r="14">
          <cell r="B14" t="str">
            <v xml:space="preserve">Block D1 Hallsville Q </v>
          </cell>
          <cell r="C14" t="str">
            <v>Unit 3</v>
          </cell>
          <cell r="N14">
            <v>28100</v>
          </cell>
          <cell r="R14">
            <v>306629.122539</v>
          </cell>
          <cell r="S14">
            <v>7.4999999999999997E-2</v>
          </cell>
        </row>
        <row r="15">
          <cell r="B15" t="str">
            <v xml:space="preserve">Block D1 Hallsville Q </v>
          </cell>
          <cell r="C15" t="str">
            <v>Unit 4</v>
          </cell>
          <cell r="N15">
            <v>29550</v>
          </cell>
          <cell r="R15">
            <v>322451.62018700002</v>
          </cell>
          <cell r="S15">
            <v>7.4999999999999997E-2</v>
          </cell>
        </row>
        <row r="16">
          <cell r="B16" t="str">
            <v xml:space="preserve">Block D1 Hallsville Q </v>
          </cell>
          <cell r="C16" t="str">
            <v>Unit 5</v>
          </cell>
          <cell r="N16">
            <v>62950</v>
          </cell>
          <cell r="R16">
            <v>686914.71327499999</v>
          </cell>
          <cell r="S16">
            <v>7.4999999999999997E-2</v>
          </cell>
        </row>
        <row r="17">
          <cell r="B17" t="str">
            <v xml:space="preserve">Block D1 Hallsville Q </v>
          </cell>
          <cell r="C17" t="str">
            <v>Unit 6</v>
          </cell>
          <cell r="N17">
            <v>54500</v>
          </cell>
          <cell r="R17">
            <v>594707.72799599997</v>
          </cell>
          <cell r="S17">
            <v>7.4999999999999997E-2</v>
          </cell>
        </row>
        <row r="18">
          <cell r="B18" t="str">
            <v xml:space="preserve">Block D2 Hallsville Q </v>
          </cell>
          <cell r="C18" t="str">
            <v>Unit 1</v>
          </cell>
          <cell r="N18">
            <v>76500</v>
          </cell>
          <cell r="R18">
            <v>691110.70143400005</v>
          </cell>
          <cell r="S18">
            <v>7.4999999999999997E-2</v>
          </cell>
        </row>
        <row r="19">
          <cell r="B19" t="str">
            <v xml:space="preserve">Block D2 Hallsville Q </v>
          </cell>
          <cell r="C19" t="str">
            <v>Unit 2</v>
          </cell>
          <cell r="N19">
            <v>45225</v>
          </cell>
          <cell r="R19">
            <v>493502.511657</v>
          </cell>
          <cell r="S19">
            <v>7.4999999999999997E-2</v>
          </cell>
        </row>
        <row r="20">
          <cell r="B20" t="str">
            <v xml:space="preserve">Block D2 Hallsville Q </v>
          </cell>
          <cell r="C20" t="str">
            <v>Unit 3</v>
          </cell>
          <cell r="N20">
            <v>31020</v>
          </cell>
          <cell r="R20">
            <v>338495.25345199998</v>
          </cell>
          <cell r="S20">
            <v>7.4999999999999997E-2</v>
          </cell>
        </row>
        <row r="21">
          <cell r="B21" t="str">
            <v xml:space="preserve">Block D2 Hallsville Q </v>
          </cell>
          <cell r="C21" t="str">
            <v>Unit 4</v>
          </cell>
          <cell r="N21">
            <v>68900</v>
          </cell>
          <cell r="R21">
            <v>751847.93258999998</v>
          </cell>
          <cell r="S21">
            <v>7.4999999999999997E-2</v>
          </cell>
        </row>
        <row r="22">
          <cell r="B22" t="str">
            <v xml:space="preserve">Block D2 Hallsville Q </v>
          </cell>
          <cell r="C22" t="str">
            <v>Workspace</v>
          </cell>
          <cell r="N22">
            <v>103100</v>
          </cell>
          <cell r="R22">
            <v>1125043.860867</v>
          </cell>
          <cell r="S22">
            <v>7.4999999999999997E-2</v>
          </cell>
        </row>
        <row r="23">
          <cell r="B23" t="str">
            <v>Capital Quarter</v>
          </cell>
          <cell r="C23">
            <v>1</v>
          </cell>
          <cell r="N23">
            <v>35000</v>
          </cell>
          <cell r="R23">
            <v>339999.71</v>
          </cell>
          <cell r="S23">
            <v>8.3977999999999997E-2</v>
          </cell>
        </row>
        <row r="24">
          <cell r="B24" t="str">
            <v>The Condor</v>
          </cell>
          <cell r="C24">
            <v>1</v>
          </cell>
          <cell r="N24">
            <v>50125.5</v>
          </cell>
          <cell r="R24">
            <v>364085.364474</v>
          </cell>
          <cell r="S24">
            <v>0.1</v>
          </cell>
        </row>
        <row r="25">
          <cell r="B25" t="str">
            <v>The Condor</v>
          </cell>
          <cell r="C25">
            <v>2</v>
          </cell>
          <cell r="N25">
            <v>31500</v>
          </cell>
          <cell r="R25">
            <v>310914.65552799997</v>
          </cell>
          <cell r="S25">
            <v>0.09</v>
          </cell>
        </row>
        <row r="26">
          <cell r="B26" t="str">
            <v>Enigma Square</v>
          </cell>
          <cell r="C26">
            <v>1</v>
          </cell>
          <cell r="N26">
            <v>109780</v>
          </cell>
          <cell r="R26">
            <v>953829.61863299995</v>
          </cell>
          <cell r="S26">
            <v>0.09</v>
          </cell>
        </row>
        <row r="27">
          <cell r="B27" t="str">
            <v>Enigma Square</v>
          </cell>
          <cell r="C27">
            <v>2</v>
          </cell>
          <cell r="N27">
            <v>27922.5</v>
          </cell>
          <cell r="R27">
            <v>228963.39704800001</v>
          </cell>
          <cell r="S27">
            <v>0.09</v>
          </cell>
        </row>
        <row r="28">
          <cell r="B28" t="str">
            <v>Enigma Square</v>
          </cell>
          <cell r="C28">
            <v>3</v>
          </cell>
          <cell r="N28">
            <v>26572.5</v>
          </cell>
          <cell r="R28">
            <v>217207.134319</v>
          </cell>
          <cell r="S28">
            <v>0.09</v>
          </cell>
        </row>
        <row r="29">
          <cell r="B29" t="str">
            <v>Solstice Apartments</v>
          </cell>
          <cell r="C29" t="str">
            <v>1/2</v>
          </cell>
          <cell r="N29">
            <v>75340</v>
          </cell>
          <cell r="R29">
            <v>980000.41</v>
          </cell>
          <cell r="S29">
            <v>7.2499999999999995E-2</v>
          </cell>
        </row>
        <row r="30">
          <cell r="B30" t="str">
            <v>Weavers Yard</v>
          </cell>
          <cell r="C30" t="str">
            <v>Block A - Unit 1 (Unit A Bamboo House)</v>
          </cell>
          <cell r="N30">
            <v>49818</v>
          </cell>
          <cell r="R30">
            <v>507353.01847900002</v>
          </cell>
          <cell r="S30">
            <v>8.5000000000000006E-2</v>
          </cell>
        </row>
        <row r="31">
          <cell r="B31" t="str">
            <v>Weavers Yard</v>
          </cell>
          <cell r="C31" t="str">
            <v>Block B - Unit 2 (Unit A)</v>
          </cell>
          <cell r="N31">
            <v>26130</v>
          </cell>
          <cell r="R31">
            <v>220367.99114500001</v>
          </cell>
          <cell r="S31">
            <v>0.09</v>
          </cell>
        </row>
        <row r="32">
          <cell r="B32" t="str">
            <v>Weavers Yard</v>
          </cell>
          <cell r="C32" t="str">
            <v>Block B - Unit 3 (Unit B)</v>
          </cell>
          <cell r="N32">
            <v>41970</v>
          </cell>
          <cell r="R32">
            <v>353955.02357399999</v>
          </cell>
          <cell r="S32">
            <v>0.09</v>
          </cell>
        </row>
        <row r="33">
          <cell r="B33" t="str">
            <v>Weavers Yard</v>
          </cell>
          <cell r="C33" t="str">
            <v>Block C - Unit 4 (Unit A)</v>
          </cell>
          <cell r="N33">
            <v>24390</v>
          </cell>
          <cell r="R33">
            <v>205693.66626999999</v>
          </cell>
          <cell r="S33">
            <v>0.09</v>
          </cell>
        </row>
        <row r="34">
          <cell r="B34" t="str">
            <v>Weavers Yard</v>
          </cell>
          <cell r="C34" t="str">
            <v>Block D - Unit 5 (Linen Place)</v>
          </cell>
          <cell r="N34">
            <v>29260</v>
          </cell>
          <cell r="R34">
            <v>246764.92137200001</v>
          </cell>
          <cell r="S34">
            <v>0.09</v>
          </cell>
        </row>
        <row r="35">
          <cell r="B35" t="str">
            <v>Weavers Yard</v>
          </cell>
          <cell r="C35" t="str">
            <v>Block G - Unit 6 (Unit A)</v>
          </cell>
          <cell r="N35">
            <v>10010</v>
          </cell>
          <cell r="R35">
            <v>84419.579350999993</v>
          </cell>
          <cell r="S35">
            <v>0.09</v>
          </cell>
        </row>
        <row r="36">
          <cell r="B36" t="str">
            <v>Weavers Yard</v>
          </cell>
          <cell r="C36" t="str">
            <v>Block H - Unit 7 (5 Station Approach)</v>
          </cell>
          <cell r="N36">
            <v>9100</v>
          </cell>
          <cell r="R36">
            <v>87520.574804000003</v>
          </cell>
          <cell r="S36">
            <v>0.09</v>
          </cell>
        </row>
        <row r="37">
          <cell r="B37" t="str">
            <v>Weavers Yard</v>
          </cell>
          <cell r="C37" t="str">
            <v>Block H - Unit 8 (4 Station Approach)</v>
          </cell>
          <cell r="N37">
            <v>12274</v>
          </cell>
          <cell r="R37">
            <v>103513.08059500001</v>
          </cell>
          <cell r="S37">
            <v>0.09</v>
          </cell>
        </row>
        <row r="38">
          <cell r="B38" t="str">
            <v>Weavers Yard</v>
          </cell>
          <cell r="C38" t="str">
            <v>Block H - Unit 9 (3 Station Approach)</v>
          </cell>
          <cell r="N38">
            <v>12000</v>
          </cell>
          <cell r="R38">
            <v>115411.74442</v>
          </cell>
          <cell r="S38">
            <v>0.09</v>
          </cell>
        </row>
        <row r="39">
          <cell r="B39" t="str">
            <v>The Forge</v>
          </cell>
          <cell r="C39">
            <v>1</v>
          </cell>
          <cell r="N39">
            <v>29010</v>
          </cell>
          <cell r="R39">
            <v>219999.54</v>
          </cell>
          <cell r="S39">
            <v>0.1</v>
          </cell>
        </row>
        <row r="40">
          <cell r="B40" t="str">
            <v>Queens Road</v>
          </cell>
          <cell r="C40">
            <v>1</v>
          </cell>
          <cell r="N40">
            <v>22500</v>
          </cell>
          <cell r="R40">
            <v>150000.22</v>
          </cell>
          <cell r="S40">
            <v>0.11</v>
          </cell>
        </row>
        <row r="41">
          <cell r="B41" t="str">
            <v>West Way Square</v>
          </cell>
          <cell r="C41">
            <v>1</v>
          </cell>
          <cell r="N41">
            <v>80500</v>
          </cell>
          <cell r="R41">
            <v>705491.14588800003</v>
          </cell>
          <cell r="S41">
            <v>8.5000000000000006E-2</v>
          </cell>
        </row>
        <row r="42">
          <cell r="B42" t="str">
            <v>West Way Square</v>
          </cell>
          <cell r="C42">
            <v>2</v>
          </cell>
          <cell r="N42">
            <v>33960</v>
          </cell>
          <cell r="R42">
            <v>284869.25029699999</v>
          </cell>
          <cell r="S42">
            <v>8.5000000000000006E-2</v>
          </cell>
        </row>
        <row r="43">
          <cell r="B43" t="str">
            <v>West Way Square</v>
          </cell>
          <cell r="C43">
            <v>3</v>
          </cell>
          <cell r="N43">
            <v>33960</v>
          </cell>
          <cell r="R43">
            <v>284869.25029699999</v>
          </cell>
          <cell r="S43">
            <v>8.5000000000000006E-2</v>
          </cell>
        </row>
        <row r="44">
          <cell r="B44" t="str">
            <v>West Way Square</v>
          </cell>
          <cell r="C44">
            <v>4</v>
          </cell>
          <cell r="N44">
            <v>32430</v>
          </cell>
          <cell r="R44">
            <v>272035.04150200001</v>
          </cell>
          <cell r="S44">
            <v>8.5000000000000006E-2</v>
          </cell>
        </row>
        <row r="45">
          <cell r="B45" t="str">
            <v>West Way Square</v>
          </cell>
          <cell r="C45">
            <v>5</v>
          </cell>
          <cell r="N45">
            <v>62400</v>
          </cell>
          <cell r="R45">
            <v>523434.66952900001</v>
          </cell>
          <cell r="S45">
            <v>8.5000000000000006E-2</v>
          </cell>
        </row>
        <row r="46">
          <cell r="B46" t="str">
            <v>West Way Square</v>
          </cell>
          <cell r="C46">
            <v>6</v>
          </cell>
          <cell r="N46">
            <v>39180</v>
          </cell>
          <cell r="R46">
            <v>328656.57461399998</v>
          </cell>
          <cell r="S46">
            <v>8.5000000000000006E-2</v>
          </cell>
        </row>
        <row r="47">
          <cell r="B47" t="str">
            <v>West Way Square</v>
          </cell>
          <cell r="C47">
            <v>7</v>
          </cell>
          <cell r="N47">
            <v>29880</v>
          </cell>
          <cell r="R47">
            <v>250644.67788</v>
          </cell>
          <cell r="S47">
            <v>8.5000000000000006E-2</v>
          </cell>
        </row>
        <row r="48">
          <cell r="B48" t="str">
            <v>The Tilt Works</v>
          </cell>
          <cell r="C48">
            <v>1</v>
          </cell>
          <cell r="N48">
            <v>9384</v>
          </cell>
          <cell r="R48">
            <v>62999.56</v>
          </cell>
          <cell r="S48">
            <v>0.105</v>
          </cell>
        </row>
        <row r="49">
          <cell r="B49" t="str">
            <v>Merrick Place</v>
          </cell>
          <cell r="C49" t="str">
            <v>Flexible commercial space</v>
          </cell>
          <cell r="N49">
            <v>71680</v>
          </cell>
          <cell r="R49">
            <v>464330.62241299998</v>
          </cell>
          <cell r="S49">
            <v>8.7499999999999994E-2</v>
          </cell>
        </row>
        <row r="50">
          <cell r="B50" t="str">
            <v>Merrick Place</v>
          </cell>
          <cell r="C50" t="str">
            <v>B1A  office space</v>
          </cell>
          <cell r="N50">
            <v>337980</v>
          </cell>
          <cell r="R50">
            <v>2635669.4475890002</v>
          </cell>
          <cell r="S50">
            <v>8.7499999999999994E-2</v>
          </cell>
        </row>
        <row r="51">
          <cell r="B51" t="str">
            <v>Gatehouse Apartments</v>
          </cell>
          <cell r="C51">
            <v>1</v>
          </cell>
          <cell r="N51">
            <v>27250</v>
          </cell>
          <cell r="R51">
            <v>285000.57</v>
          </cell>
          <cell r="S51">
            <v>8.7499999999999994E-2</v>
          </cell>
        </row>
        <row r="52">
          <cell r="B52" t="str">
            <v>Apex Gardens</v>
          </cell>
          <cell r="C52">
            <v>1</v>
          </cell>
          <cell r="N52">
            <v>44500</v>
          </cell>
          <cell r="R52">
            <v>480412.73314199998</v>
          </cell>
          <cell r="S52">
            <v>7.4999999999999997E-2</v>
          </cell>
        </row>
        <row r="53">
          <cell r="B53" t="str">
            <v>Apex Gardens</v>
          </cell>
          <cell r="C53" t="str">
            <v>2-7</v>
          </cell>
          <cell r="N53">
            <v>195000</v>
          </cell>
          <cell r="R53">
            <v>2619587.6668580002</v>
          </cell>
          <cell r="S53">
            <v>7.0000000000000007E-2</v>
          </cell>
        </row>
        <row r="54">
          <cell r="B54" t="str">
            <v>Exchange Square</v>
          </cell>
          <cell r="C54">
            <v>1</v>
          </cell>
          <cell r="N54">
            <v>33700</v>
          </cell>
          <cell r="R54">
            <v>284999.59000000003</v>
          </cell>
          <cell r="S54">
            <v>0.09</v>
          </cell>
        </row>
        <row r="55">
          <cell r="B55" t="str">
            <v>The Headline</v>
          </cell>
          <cell r="C55">
            <v>1</v>
          </cell>
          <cell r="N55">
            <v>30000</v>
          </cell>
          <cell r="R55">
            <v>299999.92</v>
          </cell>
          <cell r="S55">
            <v>0.1</v>
          </cell>
        </row>
        <row r="56">
          <cell r="B56" t="str">
            <v>The Filaments</v>
          </cell>
          <cell r="C56" t="str">
            <v>Podium A/B - Unit 1</v>
          </cell>
          <cell r="N56">
            <v>25000</v>
          </cell>
          <cell r="R56">
            <v>218406.64256099999</v>
          </cell>
          <cell r="S56">
            <v>0.09</v>
          </cell>
        </row>
        <row r="57">
          <cell r="B57" t="str">
            <v>The Filaments</v>
          </cell>
          <cell r="C57" t="str">
            <v>Podium A/B - Unit 2</v>
          </cell>
          <cell r="N57">
            <v>20000</v>
          </cell>
          <cell r="R57">
            <v>230154.59393199999</v>
          </cell>
          <cell r="S57">
            <v>8.2500000000000004E-2</v>
          </cell>
        </row>
        <row r="58">
          <cell r="B58" t="str">
            <v>The Filaments</v>
          </cell>
          <cell r="C58" t="str">
            <v>Podium A/B - Unit 3</v>
          </cell>
          <cell r="N58">
            <v>12800</v>
          </cell>
          <cell r="R58">
            <v>147588.870211</v>
          </cell>
          <cell r="S58">
            <v>8.2500000000000004E-2</v>
          </cell>
        </row>
        <row r="59">
          <cell r="B59" t="str">
            <v>The Filaments</v>
          </cell>
          <cell r="C59" t="str">
            <v>Podium C - Unit 4</v>
          </cell>
          <cell r="N59">
            <v>19500</v>
          </cell>
          <cell r="R59">
            <v>224400.73478</v>
          </cell>
          <cell r="S59">
            <v>8.2500000000000004E-2</v>
          </cell>
        </row>
        <row r="60">
          <cell r="B60" t="str">
            <v>The Filaments</v>
          </cell>
          <cell r="C60" t="str">
            <v>Podium C - Unit 5</v>
          </cell>
          <cell r="N60">
            <v>29250</v>
          </cell>
          <cell r="R60">
            <v>336601.09267500002</v>
          </cell>
          <cell r="S60">
            <v>8.2500000000000004E-2</v>
          </cell>
        </row>
        <row r="61">
          <cell r="B61" t="str">
            <v>The Filaments</v>
          </cell>
          <cell r="C61" t="str">
            <v>Podium C - Unit 6</v>
          </cell>
          <cell r="N61">
            <v>45000</v>
          </cell>
          <cell r="R61">
            <v>517847.84584000002</v>
          </cell>
          <cell r="S61">
            <v>8.2500000000000004E-2</v>
          </cell>
        </row>
        <row r="62">
          <cell r="B62" t="str">
            <v>Clippers Quay</v>
          </cell>
          <cell r="C62" t="str">
            <v>1 Waterman Walk</v>
          </cell>
          <cell r="N62">
            <v>20000</v>
          </cell>
          <cell r="R62">
            <v>210266.04068899999</v>
          </cell>
          <cell r="S62">
            <v>0.09</v>
          </cell>
        </row>
        <row r="63">
          <cell r="B63" t="str">
            <v>Clippers Quay</v>
          </cell>
          <cell r="C63" t="str">
            <v>1 Zegera Way</v>
          </cell>
          <cell r="N63">
            <v>20000</v>
          </cell>
          <cell r="R63">
            <v>163019.48165199999</v>
          </cell>
          <cell r="S63">
            <v>0.105</v>
          </cell>
        </row>
        <row r="64">
          <cell r="B64" t="str">
            <v>Clippers Quay</v>
          </cell>
          <cell r="C64" t="str">
            <v>2 Zegera Way</v>
          </cell>
          <cell r="N64">
            <v>21900</v>
          </cell>
          <cell r="R64">
            <v>221844.80712499999</v>
          </cell>
          <cell r="S64">
            <v>0.09</v>
          </cell>
        </row>
        <row r="65">
          <cell r="B65" t="str">
            <v>Clippers Quay</v>
          </cell>
          <cell r="C65" t="str">
            <v>Unit 4 &amp; 5 Waterman Walk</v>
          </cell>
          <cell r="N65">
            <v>55000</v>
          </cell>
          <cell r="R65">
            <v>815430.65891500004</v>
          </cell>
          <cell r="S65">
            <v>6.5000000000000002E-2</v>
          </cell>
        </row>
        <row r="66">
          <cell r="B66" t="str">
            <v>Clippers Quay</v>
          </cell>
          <cell r="C66" t="str">
            <v>2 &amp; 3 Waterman Walk</v>
          </cell>
          <cell r="N66">
            <v>41800</v>
          </cell>
          <cell r="R66">
            <v>439439.38162</v>
          </cell>
          <cell r="S66">
            <v>0.09</v>
          </cell>
        </row>
        <row r="67">
          <cell r="B67" t="str">
            <v>Brook Place</v>
          </cell>
          <cell r="C67" t="str">
            <v>1/2</v>
          </cell>
          <cell r="N67">
            <v>31600</v>
          </cell>
          <cell r="R67">
            <v>288085.26913199999</v>
          </cell>
          <cell r="S67">
            <v>0.1</v>
          </cell>
        </row>
        <row r="68">
          <cell r="B68" t="str">
            <v>Brook Place</v>
          </cell>
          <cell r="C68">
            <v>3</v>
          </cell>
          <cell r="N68">
            <v>24800</v>
          </cell>
          <cell r="R68">
            <v>236915.08087000001</v>
          </cell>
          <cell r="S68">
            <v>0.1</v>
          </cell>
        </row>
        <row r="69">
          <cell r="B69" t="str">
            <v>Millet Place</v>
          </cell>
          <cell r="C69">
            <v>1</v>
          </cell>
          <cell r="N69">
            <v>51731.25</v>
          </cell>
          <cell r="R69">
            <v>438301.15966900002</v>
          </cell>
          <cell r="S69">
            <v>7.4999999999999997E-2</v>
          </cell>
        </row>
        <row r="70">
          <cell r="B70" t="str">
            <v>Millet Place</v>
          </cell>
          <cell r="C70">
            <v>2</v>
          </cell>
          <cell r="N70">
            <v>60000</v>
          </cell>
          <cell r="R70">
            <v>283023.23238100001</v>
          </cell>
          <cell r="S70">
            <v>7.4999999999999997E-2</v>
          </cell>
        </row>
        <row r="71">
          <cell r="B71" t="str">
            <v>Millet Place</v>
          </cell>
          <cell r="C71">
            <v>3</v>
          </cell>
          <cell r="N71">
            <v>20340</v>
          </cell>
          <cell r="R71">
            <v>172333.853279</v>
          </cell>
          <cell r="S71">
            <v>7.4999999999999997E-2</v>
          </cell>
        </row>
        <row r="72">
          <cell r="B72" t="str">
            <v>Millet Place</v>
          </cell>
          <cell r="C72">
            <v>4</v>
          </cell>
          <cell r="N72">
            <v>24055</v>
          </cell>
          <cell r="R72">
            <v>206341.584673</v>
          </cell>
          <cell r="S72">
            <v>7.4999999999999997E-2</v>
          </cell>
        </row>
        <row r="73">
          <cell r="B73" t="str">
            <v>Redcliffe Quarter</v>
          </cell>
          <cell r="C73">
            <v>1.3</v>
          </cell>
          <cell r="N73">
            <v>26650</v>
          </cell>
          <cell r="R73">
            <v>247222.67635299999</v>
          </cell>
          <cell r="S73">
            <v>8.2500000000000004E-2</v>
          </cell>
        </row>
        <row r="74">
          <cell r="B74" t="str">
            <v>Redcliffe Quarter</v>
          </cell>
          <cell r="C74">
            <v>1.2</v>
          </cell>
          <cell r="N74">
            <v>25600</v>
          </cell>
          <cell r="R74">
            <v>237482.19490900001</v>
          </cell>
          <cell r="S74">
            <v>8.2500000000000004E-2</v>
          </cell>
        </row>
        <row r="75">
          <cell r="B75" t="str">
            <v>Redcliffe Quarter</v>
          </cell>
          <cell r="C75">
            <v>1.1000000000000001</v>
          </cell>
          <cell r="N75">
            <v>36300</v>
          </cell>
          <cell r="R75">
            <v>336742.33419800003</v>
          </cell>
          <cell r="S75">
            <v>8.2500000000000004E-2</v>
          </cell>
        </row>
        <row r="76">
          <cell r="B76" t="str">
            <v>Redcliffe Quarter</v>
          </cell>
          <cell r="C76">
            <v>2.1</v>
          </cell>
          <cell r="N76">
            <v>99858</v>
          </cell>
          <cell r="R76">
            <v>893288.132614</v>
          </cell>
          <cell r="S76">
            <v>7.2499999999999995E-2</v>
          </cell>
        </row>
        <row r="77">
          <cell r="B77" t="str">
            <v>Redcliffe Quarter</v>
          </cell>
          <cell r="C77">
            <v>1</v>
          </cell>
          <cell r="N77">
            <v>59825</v>
          </cell>
          <cell r="R77">
            <v>402353.090302</v>
          </cell>
          <cell r="S77">
            <v>9.5000000000000001E-2</v>
          </cell>
        </row>
        <row r="78">
          <cell r="B78" t="str">
            <v>Redcliffe Quarter</v>
          </cell>
          <cell r="C78">
            <v>2</v>
          </cell>
          <cell r="N78">
            <v>68850</v>
          </cell>
          <cell r="R78">
            <v>463050.735865</v>
          </cell>
          <cell r="S78">
            <v>9.5000000000000001E-2</v>
          </cell>
        </row>
        <row r="79">
          <cell r="B79" t="str">
            <v>Redcliffe Quarter</v>
          </cell>
          <cell r="C79">
            <v>3</v>
          </cell>
          <cell r="N79">
            <v>40125</v>
          </cell>
          <cell r="R79">
            <v>269860.72575899999</v>
          </cell>
          <cell r="S79">
            <v>9.5000000000000001E-2</v>
          </cell>
        </row>
        <row r="80">
          <cell r="B80" t="str">
            <v>Indigo Blu</v>
          </cell>
          <cell r="C80" t="str">
            <v>S1-S2</v>
          </cell>
          <cell r="N80">
            <v>44470</v>
          </cell>
          <cell r="R80">
            <v>258516</v>
          </cell>
        </row>
        <row r="81">
          <cell r="B81" t="str">
            <v>Indigo Blu</v>
          </cell>
          <cell r="C81" t="str">
            <v>S3</v>
          </cell>
          <cell r="N81">
            <v>14840</v>
          </cell>
          <cell r="R81">
            <v>129258</v>
          </cell>
        </row>
        <row r="82">
          <cell r="B82" t="str">
            <v>Indigo Blu</v>
          </cell>
          <cell r="C82" t="str">
            <v>S4</v>
          </cell>
          <cell r="N82">
            <v>42420</v>
          </cell>
          <cell r="R82">
            <v>129258</v>
          </cell>
        </row>
        <row r="83">
          <cell r="B83" t="str">
            <v>Hale Wharf 2</v>
          </cell>
          <cell r="C83">
            <v>1</v>
          </cell>
          <cell r="N83">
            <v>26078</v>
          </cell>
          <cell r="R83">
            <v>274097</v>
          </cell>
          <cell r="S83">
            <v>7.7499999999999999E-2</v>
          </cell>
        </row>
        <row r="84">
          <cell r="B84" t="str">
            <v>Hale Wharf 2</v>
          </cell>
          <cell r="C84">
            <v>2</v>
          </cell>
          <cell r="N84">
            <v>19075</v>
          </cell>
          <cell r="R84">
            <v>200903</v>
          </cell>
          <cell r="S84">
            <v>7.7499999999999999E-2</v>
          </cell>
        </row>
        <row r="85">
          <cell r="B85" t="str">
            <v>The Astley</v>
          </cell>
          <cell r="C85">
            <v>1</v>
          </cell>
          <cell r="N85">
            <v>48734</v>
          </cell>
          <cell r="S85">
            <v>8.5000000000000006E-2</v>
          </cell>
        </row>
        <row r="86">
          <cell r="B86" t="str">
            <v>The Astley</v>
          </cell>
          <cell r="C86">
            <v>2</v>
          </cell>
          <cell r="N86">
            <v>37997</v>
          </cell>
          <cell r="S86">
            <v>8.5000000000000006E-2</v>
          </cell>
        </row>
        <row r="87">
          <cell r="B87" t="str">
            <v>The Astley</v>
          </cell>
          <cell r="C87">
            <v>3</v>
          </cell>
          <cell r="N87">
            <v>17500</v>
          </cell>
          <cell r="S87">
            <v>8.5000000000000006E-2</v>
          </cell>
        </row>
        <row r="88">
          <cell r="B88" t="str">
            <v>Capital Quarter</v>
          </cell>
          <cell r="C88" t="str">
            <v xml:space="preserve">19 parking spaces </v>
          </cell>
          <cell r="N88">
            <v>23750</v>
          </cell>
        </row>
        <row r="89">
          <cell r="B89" t="str">
            <v>Capital Quarter</v>
          </cell>
          <cell r="C89" t="str">
            <v>24 parking spaces</v>
          </cell>
          <cell r="N89">
            <v>30000</v>
          </cell>
        </row>
        <row r="90">
          <cell r="B90" t="str">
            <v>Capital Quarter</v>
          </cell>
          <cell r="C90" t="str">
            <v>7 parking spaces</v>
          </cell>
          <cell r="N90">
            <v>8750</v>
          </cell>
        </row>
        <row r="91">
          <cell r="B91" t="str">
            <v>Capital Quarter</v>
          </cell>
          <cell r="C91" t="str">
            <v>4 parking spaces</v>
          </cell>
          <cell r="N91">
            <v>5000</v>
          </cell>
        </row>
        <row r="92">
          <cell r="B92" t="str">
            <v>Capital Quarter</v>
          </cell>
          <cell r="C92" t="str">
            <v>8 parking spaces</v>
          </cell>
          <cell r="N92">
            <v>10000</v>
          </cell>
        </row>
        <row r="93">
          <cell r="B93" t="str">
            <v>Capital Quarter</v>
          </cell>
          <cell r="C93" t="str">
            <v>32 parking spaces</v>
          </cell>
          <cell r="N93">
            <v>40000</v>
          </cell>
        </row>
        <row r="94">
          <cell r="B94" t="str">
            <v>Capital Quarter</v>
          </cell>
          <cell r="C94" t="str">
            <v>22 parking spaces</v>
          </cell>
          <cell r="N94">
            <v>27500</v>
          </cell>
        </row>
        <row r="95">
          <cell r="B95" t="str">
            <v>Capital Quarter</v>
          </cell>
          <cell r="C95" t="str">
            <v>59 Parking spaces</v>
          </cell>
          <cell r="N95">
            <v>73750</v>
          </cell>
        </row>
        <row r="96">
          <cell r="B96" t="str">
            <v>Capital Quarter</v>
          </cell>
          <cell r="C96" t="str">
            <v>35 Parking spaces</v>
          </cell>
          <cell r="N96">
            <v>43750</v>
          </cell>
        </row>
        <row r="97">
          <cell r="B97" t="str">
            <v>Capital Quarter</v>
          </cell>
          <cell r="C97" t="str">
            <v>4 parking spaces</v>
          </cell>
          <cell r="N97">
            <v>5000</v>
          </cell>
        </row>
        <row r="98">
          <cell r="B98" t="str">
            <v>Capital Quarter</v>
          </cell>
          <cell r="C98" t="str">
            <v>4 parking spaces (2nd floor)</v>
          </cell>
          <cell r="N98">
            <v>5000</v>
          </cell>
        </row>
        <row r="99">
          <cell r="B99" t="str">
            <v>Capital Quarter</v>
          </cell>
          <cell r="C99" t="str">
            <v>4 parking spcaes (3rd floor)</v>
          </cell>
          <cell r="N99">
            <v>5000</v>
          </cell>
        </row>
        <row r="100">
          <cell r="B100" t="str">
            <v>Capital Quarter</v>
          </cell>
          <cell r="C100" t="str">
            <v>4 parking spaces (4th floor)</v>
          </cell>
          <cell r="N100">
            <v>5000</v>
          </cell>
        </row>
        <row r="101">
          <cell r="B101" t="str">
            <v>Capital Quarter</v>
          </cell>
          <cell r="C101" t="str">
            <v>50 parking spaces</v>
          </cell>
          <cell r="N101">
            <v>62500</v>
          </cell>
        </row>
        <row r="102">
          <cell r="B102" t="str">
            <v>Capital Quarter</v>
          </cell>
          <cell r="C102" t="str">
            <v>5 spaces included in office lease</v>
          </cell>
          <cell r="N102">
            <v>6250</v>
          </cell>
        </row>
        <row r="103">
          <cell r="B103" t="str">
            <v>Capital Quarter</v>
          </cell>
          <cell r="C103" t="str">
            <v xml:space="preserve">MSCP Car Park Office + 5 Parking spaces </v>
          </cell>
          <cell r="N103">
            <v>16000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li Christopherson" id="{8F9BF625-249B-40F4-9D8C-8BDBED921370}" userId="OChristopherson@graingerplc.co.uk" providerId="PeoplePicker"/>
  <person displayName="Daniel Hunter" id="{5A197080-96A2-4B07-A37D-767A2C808FCD}" userId="S::dhunter@graingerplc.co.uk::96dffa4f-9a31-45b9-980f-2394eb4a4efa" providerId="AD"/>
  <person displayName="Bradley Wallace" id="{1BE23F13-A905-426C-8029-857366638D3B}" userId="S::bwallace@graingerplc.co.uk::e52c59bf-3860-466d-a734-0242f29083a2" providerId="AD"/>
  <person displayName="Nikki Papenfus" id="{80C50657-1D57-4700-B435-E56285756255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10" dT="2023-09-27T13:59:40.94" personId="{5A197080-96A2-4B07-A37D-767A2C808FCD}" id="{32729C01-E830-4A61-89BC-1BD69E6204B8}">
    <text>If No Break --&gt; Put to Lease Expiry</text>
  </threadedComment>
  <threadedComment ref="AD10" dT="2024-01-16T14:18:47.62" personId="{5A197080-96A2-4B07-A37D-767A2C808FCD}" id="{D102BF6D-7D8C-4608-939B-375A0CE0DB9E}">
    <text>Double-check if stepped profile</text>
  </threadedComment>
  <threadedComment ref="AQ10" dT="2024-11-01T11:19:00.14" personId="{80C50657-1D57-4700-B435-E56285756255}" id="{8DFEA710-A59D-4C81-98F2-2C70E434F193}">
    <text>Annual rent less TIs
To the earlier of Break Clause or Lease Length</text>
  </threadedComment>
  <threadedComment ref="AR10" dT="2024-01-16T15:23:42.57" personId="{5A197080-96A2-4B07-A37D-767A2C808FCD}" id="{D76FD7B8-C93B-41DD-BD7F-A8F388534E08}">
    <text>Yellow cells refer to hardcoded values</text>
  </threadedComment>
  <threadedComment ref="H29" dT="2024-07-12T12:54:48.22" personId="{1BE23F13-A905-426C-8029-857366638D3B}" id="{D3E5326E-9D6F-43E4-808F-3AC5784A57FD}">
    <text>@Oli Christopherson  hi oli, are you able to fix this so it brings up the iv gain and erv gain / loss</text>
    <mentions>
      <mention mentionpersonId="{8F9BF625-249B-40F4-9D8C-8BDBED921370}" mentionId="{98B4EB7E-8E72-4190-9026-558DA6F5F836}" startIndex="0" length="19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A86B-B78C-4234-A564-B0E4197957C2}">
  <sheetPr>
    <pageSetUpPr fitToPage="1"/>
  </sheetPr>
  <dimension ref="A1:BS47"/>
  <sheetViews>
    <sheetView showGridLines="0" tabSelected="1" topLeftCell="A9" zoomScale="90" zoomScaleNormal="90" workbookViewId="0">
      <pane xSplit="5" ySplit="2" topLeftCell="AC11" activePane="bottomRight" state="frozen"/>
      <selection pane="bottomRight" activeCell="BB1" sqref="BB1:BH1048576"/>
      <selection pane="bottomLeft" activeCell="A11" sqref="A11"/>
      <selection pane="topRight" activeCell="F9" sqref="F9"/>
    </sheetView>
  </sheetViews>
  <sheetFormatPr defaultColWidth="11.42578125" defaultRowHeight="15.75" customHeight="1" outlineLevelCol="1"/>
  <cols>
    <col min="1" max="1" width="2" style="1" customWidth="1"/>
    <col min="2" max="2" width="16.42578125" style="2" customWidth="1"/>
    <col min="3" max="3" width="12.5703125" style="3" customWidth="1"/>
    <col min="4" max="4" width="0.5703125" style="89" customWidth="1"/>
    <col min="5" max="5" width="25" style="2" customWidth="1"/>
    <col min="6" max="6" width="17.28515625" style="4" hidden="1" customWidth="1"/>
    <col min="7" max="7" width="13.7109375" style="2" customWidth="1"/>
    <col min="8" max="8" width="11" style="4" customWidth="1"/>
    <col min="9" max="9" width="1.42578125" style="4" customWidth="1"/>
    <col min="10" max="14" width="7.5703125" style="3" customWidth="1"/>
    <col min="15" max="15" width="1.42578125" style="2" customWidth="1"/>
    <col min="16" max="16" width="11.5703125" style="89" bestFit="1" customWidth="1"/>
    <col min="17" max="17" width="28.140625" style="89" customWidth="1"/>
    <col min="18" max="18" width="0.5703125" style="2" customWidth="1"/>
    <col min="19" max="19" width="17.28515625" style="89" customWidth="1"/>
    <col min="20" max="20" width="19.28515625" style="89" customWidth="1"/>
    <col min="21" max="21" width="17.140625" style="89" customWidth="1"/>
    <col min="22" max="22" width="1.42578125" style="89" customWidth="1"/>
    <col min="23" max="24" width="9.85546875" style="89" customWidth="1"/>
    <col min="25" max="26" width="9.85546875" style="2" customWidth="1"/>
    <col min="27" max="27" width="11" style="2" customWidth="1"/>
    <col min="28" max="28" width="11.42578125" style="89" customWidth="1"/>
    <col min="29" max="30" width="11.42578125" style="2" customWidth="1"/>
    <col min="31" max="31" width="13" style="2" customWidth="1"/>
    <col min="32" max="32" width="11.42578125" style="2" customWidth="1" outlineLevel="1"/>
    <col min="33" max="33" width="10.5703125" style="4" customWidth="1"/>
    <col min="34" max="34" width="1.42578125" style="2" customWidth="1"/>
    <col min="35" max="35" width="12.5703125" style="2" customWidth="1"/>
    <col min="36" max="37" width="11.42578125" style="2" customWidth="1"/>
    <col min="38" max="38" width="11.42578125" style="2" customWidth="1" outlineLevel="1"/>
    <col min="39" max="39" width="12.5703125" style="2" customWidth="1" outlineLevel="1"/>
    <col min="40" max="40" width="13.5703125" style="2" customWidth="1"/>
    <col min="41" max="44" width="11.42578125" style="2" customWidth="1"/>
    <col min="45" max="47" width="11.42578125" style="2" customWidth="1" outlineLevel="1"/>
    <col min="48" max="48" width="12" style="4" customWidth="1"/>
    <col min="49" max="49" width="1.42578125" style="2" customWidth="1"/>
    <col min="50" max="51" width="11.42578125" style="2" customWidth="1"/>
    <col min="52" max="52" width="14.42578125" style="2" customWidth="1"/>
    <col min="53" max="53" width="11.42578125" style="2" customWidth="1"/>
    <col min="54" max="54" width="14.5703125" style="2" customWidth="1"/>
    <col min="55" max="55" width="1.42578125" style="2" customWidth="1"/>
    <col min="56" max="56" width="18.28515625" style="2" customWidth="1"/>
    <col min="57" max="57" width="15.42578125" style="5" customWidth="1"/>
    <col min="58" max="58" width="18.5703125" style="2" customWidth="1"/>
    <col min="59" max="59" width="1.42578125" style="2" customWidth="1"/>
    <col min="60" max="60" width="81" style="2" customWidth="1"/>
    <col min="61" max="16384" width="11.42578125" style="2"/>
  </cols>
  <sheetData>
    <row r="1" spans="1:60" ht="7.5" customHeight="1">
      <c r="D1" s="2"/>
      <c r="P1" s="2"/>
      <c r="Q1" s="2"/>
      <c r="S1" s="2"/>
      <c r="T1" s="2"/>
      <c r="U1" s="2"/>
      <c r="V1" s="2"/>
      <c r="W1" s="2"/>
      <c r="X1" s="2"/>
      <c r="AB1" s="2"/>
    </row>
    <row r="2" spans="1:60" ht="18" customHeight="1">
      <c r="B2" s="6" t="s">
        <v>0</v>
      </c>
      <c r="C2" s="6"/>
      <c r="D2" s="6"/>
      <c r="E2" s="6"/>
      <c r="F2" s="7"/>
      <c r="G2" s="6"/>
      <c r="H2" s="7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7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7"/>
      <c r="AW2" s="6"/>
      <c r="AX2" s="6"/>
      <c r="AY2" s="6"/>
      <c r="AZ2" s="6"/>
      <c r="BA2" s="6"/>
      <c r="BB2" s="8"/>
      <c r="BC2" s="6"/>
      <c r="BD2" s="8"/>
      <c r="BE2" s="9"/>
      <c r="BF2" s="8"/>
      <c r="BG2" s="8"/>
    </row>
    <row r="3" spans="1:60" ht="7.5" customHeight="1">
      <c r="C3" s="2"/>
      <c r="D3" s="2"/>
      <c r="J3" s="2"/>
      <c r="K3" s="2"/>
      <c r="L3" s="2"/>
      <c r="M3" s="2"/>
      <c r="N3" s="2"/>
      <c r="P3" s="2"/>
      <c r="Q3" s="2"/>
      <c r="S3" s="2"/>
      <c r="T3" s="2"/>
      <c r="U3" s="2"/>
      <c r="V3" s="2"/>
      <c r="W3" s="2"/>
      <c r="X3" s="2"/>
      <c r="AB3" s="2"/>
    </row>
    <row r="4" spans="1:60" ht="11.25" customHeight="1">
      <c r="B4" s="10" t="s">
        <v>1</v>
      </c>
      <c r="C4" s="2"/>
      <c r="D4" s="2"/>
      <c r="J4" s="2"/>
      <c r="K4" s="2"/>
      <c r="L4" s="2"/>
      <c r="M4" s="2"/>
      <c r="N4" s="2"/>
      <c r="P4" s="2"/>
      <c r="Q4" s="2"/>
      <c r="S4" s="2"/>
      <c r="T4" s="2"/>
      <c r="U4" s="2"/>
      <c r="V4" s="2"/>
      <c r="W4" s="2"/>
      <c r="X4" s="2"/>
      <c r="AB4" s="2"/>
      <c r="AD4" s="11"/>
      <c r="AE4" s="11"/>
      <c r="AF4" s="11"/>
    </row>
    <row r="5" spans="1:60" ht="11.25" customHeight="1">
      <c r="B5" s="10" t="s">
        <v>2</v>
      </c>
      <c r="C5" s="2"/>
      <c r="D5" s="2"/>
      <c r="J5" s="2"/>
      <c r="K5" s="2"/>
      <c r="L5" s="2"/>
      <c r="M5" s="2"/>
      <c r="N5" s="2"/>
      <c r="P5" s="2"/>
      <c r="Q5" s="2"/>
      <c r="S5" s="2"/>
      <c r="T5" s="2"/>
      <c r="U5" s="2"/>
      <c r="V5" s="2"/>
      <c r="W5" s="2"/>
      <c r="X5" s="2"/>
      <c r="AB5" s="11"/>
      <c r="AU5" s="12"/>
    </row>
    <row r="6" spans="1:60" ht="11.25" customHeight="1">
      <c r="B6" s="10" t="s">
        <v>3</v>
      </c>
      <c r="C6" s="2"/>
      <c r="D6" s="2"/>
      <c r="J6" s="2"/>
      <c r="K6" s="2"/>
      <c r="L6" s="2"/>
      <c r="M6" s="2"/>
      <c r="N6" s="2"/>
      <c r="P6" s="2"/>
      <c r="Q6" s="2"/>
      <c r="S6" s="13"/>
      <c r="T6" s="2"/>
      <c r="U6" s="2"/>
      <c r="V6" s="2"/>
      <c r="W6" s="2"/>
      <c r="X6" s="2"/>
      <c r="AB6" s="11">
        <f>AD19/12*3</f>
        <v>15107.400000000001</v>
      </c>
      <c r="AD6" s="11"/>
      <c r="AE6" s="11"/>
      <c r="AK6" s="12"/>
      <c r="AQ6" s="12"/>
      <c r="AR6" s="14"/>
      <c r="AU6" s="12"/>
      <c r="AV6" s="15"/>
    </row>
    <row r="7" spans="1:60" ht="11.25" customHeight="1">
      <c r="B7" s="10" t="s">
        <v>4</v>
      </c>
      <c r="C7" s="2"/>
      <c r="D7" s="2"/>
      <c r="J7" s="2"/>
      <c r="K7" s="2"/>
      <c r="L7" s="2"/>
      <c r="M7" s="2"/>
      <c r="N7" s="2"/>
      <c r="P7" s="2"/>
      <c r="Q7" s="2"/>
      <c r="S7" s="2"/>
      <c r="T7" s="2"/>
      <c r="U7" s="2"/>
      <c r="V7" s="2"/>
      <c r="W7" s="2"/>
      <c r="X7" s="2"/>
      <c r="AB7" s="2"/>
      <c r="AV7" s="16"/>
    </row>
    <row r="8" spans="1:60" ht="7.5" customHeight="1">
      <c r="D8" s="2"/>
      <c r="P8" s="2"/>
      <c r="Q8" s="2"/>
      <c r="S8" s="2"/>
      <c r="T8" s="2"/>
      <c r="U8" s="2"/>
      <c r="V8" s="2"/>
      <c r="W8" s="2"/>
      <c r="X8" s="2"/>
      <c r="AB8" s="2"/>
    </row>
    <row r="9" spans="1:60" ht="17.25" customHeight="1" thickBot="1">
      <c r="B9" s="105" t="s">
        <v>5</v>
      </c>
      <c r="C9" s="106"/>
      <c r="D9" s="106"/>
      <c r="E9" s="106"/>
      <c r="F9" s="106"/>
      <c r="G9" s="106"/>
      <c r="H9" s="107"/>
      <c r="J9" s="108" t="s">
        <v>6</v>
      </c>
      <c r="K9" s="109"/>
      <c r="L9" s="109"/>
      <c r="M9" s="109"/>
      <c r="N9" s="110"/>
      <c r="P9" s="108" t="s">
        <v>7</v>
      </c>
      <c r="Q9" s="109"/>
      <c r="R9" s="109"/>
      <c r="S9" s="109"/>
      <c r="T9" s="109"/>
      <c r="U9" s="110"/>
      <c r="V9" s="2"/>
      <c r="W9" s="105" t="s">
        <v>8</v>
      </c>
      <c r="X9" s="106"/>
      <c r="Y9" s="106"/>
      <c r="Z9" s="106"/>
      <c r="AA9" s="106"/>
      <c r="AB9" s="106"/>
      <c r="AC9" s="106"/>
      <c r="AD9" s="106"/>
      <c r="AE9" s="106"/>
      <c r="AF9" s="106"/>
      <c r="AG9" s="107"/>
      <c r="AI9" s="108" t="s">
        <v>9</v>
      </c>
      <c r="AJ9" s="109"/>
      <c r="AK9" s="109"/>
      <c r="AL9" s="109"/>
      <c r="AM9" s="109"/>
      <c r="AN9" s="109"/>
      <c r="AO9" s="109"/>
      <c r="AP9" s="109"/>
      <c r="AQ9" s="106"/>
      <c r="AR9" s="109"/>
      <c r="AS9" s="109"/>
      <c r="AT9" s="109"/>
      <c r="AU9" s="109"/>
      <c r="AV9" s="107"/>
      <c r="AX9" s="111" t="s">
        <v>10</v>
      </c>
      <c r="AY9" s="112"/>
      <c r="AZ9" s="112"/>
      <c r="BA9" s="112"/>
      <c r="BB9" s="112"/>
      <c r="BD9" s="104" t="s">
        <v>11</v>
      </c>
      <c r="BE9" s="104"/>
      <c r="BF9" s="104"/>
      <c r="BH9" s="103" t="s">
        <v>12</v>
      </c>
    </row>
    <row r="10" spans="1:60" s="102" customFormat="1" ht="27" customHeight="1">
      <c r="A10" s="90"/>
      <c r="B10" s="91" t="s">
        <v>13</v>
      </c>
      <c r="C10" s="92" t="s">
        <v>14</v>
      </c>
      <c r="D10" s="92"/>
      <c r="E10" s="92" t="s">
        <v>15</v>
      </c>
      <c r="F10" s="93" t="s">
        <v>16</v>
      </c>
      <c r="G10" s="92" t="s">
        <v>17</v>
      </c>
      <c r="H10" s="94" t="s">
        <v>18</v>
      </c>
      <c r="I10" s="4"/>
      <c r="J10" s="91" t="s">
        <v>19</v>
      </c>
      <c r="K10" s="92" t="s">
        <v>20</v>
      </c>
      <c r="L10" s="92" t="s">
        <v>21</v>
      </c>
      <c r="M10" s="92" t="s">
        <v>22</v>
      </c>
      <c r="N10" s="95" t="s">
        <v>23</v>
      </c>
      <c r="O10" s="2"/>
      <c r="P10" s="91" t="s">
        <v>24</v>
      </c>
      <c r="Q10" s="92" t="s">
        <v>25</v>
      </c>
      <c r="R10" s="92"/>
      <c r="S10" s="92" t="s">
        <v>26</v>
      </c>
      <c r="T10" s="92" t="s">
        <v>27</v>
      </c>
      <c r="U10" s="95" t="s">
        <v>28</v>
      </c>
      <c r="V10" s="2"/>
      <c r="W10" s="91" t="s">
        <v>29</v>
      </c>
      <c r="X10" s="92" t="s">
        <v>30</v>
      </c>
      <c r="Y10" s="92" t="s">
        <v>31</v>
      </c>
      <c r="Z10" s="92" t="s">
        <v>32</v>
      </c>
      <c r="AA10" s="92" t="s">
        <v>33</v>
      </c>
      <c r="AB10" s="92" t="s">
        <v>34</v>
      </c>
      <c r="AC10" s="92" t="s">
        <v>35</v>
      </c>
      <c r="AD10" s="92" t="s">
        <v>36</v>
      </c>
      <c r="AE10" s="92" t="s">
        <v>37</v>
      </c>
      <c r="AF10" s="92" t="s">
        <v>38</v>
      </c>
      <c r="AG10" s="96" t="s">
        <v>39</v>
      </c>
      <c r="AH10" s="2"/>
      <c r="AI10" s="91" t="s">
        <v>40</v>
      </c>
      <c r="AJ10" s="97" t="s">
        <v>41</v>
      </c>
      <c r="AK10" s="97" t="s">
        <v>42</v>
      </c>
      <c r="AL10" s="92" t="s">
        <v>43</v>
      </c>
      <c r="AM10" s="92" t="s">
        <v>44</v>
      </c>
      <c r="AN10" s="92" t="s">
        <v>45</v>
      </c>
      <c r="AO10" s="92" t="s">
        <v>46</v>
      </c>
      <c r="AP10" s="92" t="s">
        <v>47</v>
      </c>
      <c r="AQ10" s="98" t="s">
        <v>48</v>
      </c>
      <c r="AR10" s="95" t="s">
        <v>49</v>
      </c>
      <c r="AS10" s="92" t="s">
        <v>50</v>
      </c>
      <c r="AT10" s="92" t="s">
        <v>51</v>
      </c>
      <c r="AU10" s="92" t="s">
        <v>52</v>
      </c>
      <c r="AV10" s="99" t="s">
        <v>53</v>
      </c>
      <c r="AW10" s="2"/>
      <c r="AX10" s="91" t="s">
        <v>54</v>
      </c>
      <c r="AY10" s="92" t="s">
        <v>55</v>
      </c>
      <c r="AZ10" s="92" t="s">
        <v>56</v>
      </c>
      <c r="BA10" s="95" t="s">
        <v>57</v>
      </c>
      <c r="BB10" s="95" t="s">
        <v>58</v>
      </c>
      <c r="BC10" s="2"/>
      <c r="BD10" s="92" t="s">
        <v>59</v>
      </c>
      <c r="BE10" s="100" t="s">
        <v>60</v>
      </c>
      <c r="BF10" s="92" t="s">
        <v>61</v>
      </c>
      <c r="BG10" s="2"/>
      <c r="BH10" s="101" t="s">
        <v>62</v>
      </c>
    </row>
    <row r="11" spans="1:60" ht="16.5" customHeight="1">
      <c r="B11" s="17" t="s">
        <v>63</v>
      </c>
      <c r="C11" s="18" t="str">
        <f>INDEX('[1]2. Asset Dashboard'!E:E,MATCH('4. Live Offers'!B11,'[1]2. Asset Dashboard'!C:C,0))</f>
        <v>London</v>
      </c>
      <c r="D11" s="19"/>
      <c r="E11" s="19">
        <v>4</v>
      </c>
      <c r="F11" s="20" cm="1">
        <f t="array" ref="F11">IF(INDEX('[1]3. Unit-Level Index'!H:H,MATCH(CONCATENATE('4. Live Offers'!B11," ",'4. Live Offers'!E11),CONCATENATE('[1]3. Unit-Level Index'!B:B," ",'[1]3. Unit-Level Index'!G:G),0))="","-",(INDEX('[1]3. Unit-Level Index'!H:H,MATCH(CONCATENATE('4. Live Offers'!B11," ",'4. Live Offers'!E11),CONCATENATE('[1]3. Unit-Level Index'!B:B," ",'[1]3. Unit-Level Index'!G:G),0))))</f>
        <v>900005004</v>
      </c>
      <c r="G11" s="21" cm="1">
        <f t="array" ref="G11">INDEX('[1]3. Unit-Level Index'!M:M,MATCH(CONCATENATE('4. Live Offers'!B11,"",'4. Live Offers'!E11),CONCATENATE('[1]3. Unit-Level Index'!B:B,"",'[1]3. Unit-Level Index'!G:G),0))</f>
        <v>1132</v>
      </c>
      <c r="H11" s="22">
        <f t="shared" ref="H11:H39" si="0">AV11</f>
        <v>0.20583461038346715</v>
      </c>
      <c r="J11" s="23" t="s">
        <v>64</v>
      </c>
      <c r="K11" s="24" t="s">
        <v>64</v>
      </c>
      <c r="L11" s="24" t="s">
        <v>64</v>
      </c>
      <c r="M11" s="24" t="s">
        <v>64</v>
      </c>
      <c r="N11" s="25" t="s">
        <v>64</v>
      </c>
      <c r="P11" s="26">
        <v>45110</v>
      </c>
      <c r="Q11" s="19" t="s">
        <v>65</v>
      </c>
      <c r="R11" s="27"/>
      <c r="S11" s="19" t="s">
        <v>66</v>
      </c>
      <c r="T11" s="19" t="s">
        <v>67</v>
      </c>
      <c r="U11" s="28" t="s">
        <v>68</v>
      </c>
      <c r="V11" s="2"/>
      <c r="W11" s="29">
        <v>15</v>
      </c>
      <c r="X11" s="30">
        <v>10</v>
      </c>
      <c r="Y11" s="30">
        <v>5</v>
      </c>
      <c r="Z11" s="31" t="s">
        <v>69</v>
      </c>
      <c r="AA11" s="32"/>
      <c r="AB11" s="33">
        <f>AD11/12*6</f>
        <v>12000</v>
      </c>
      <c r="AC11" s="33"/>
      <c r="AD11" s="33">
        <v>24000</v>
      </c>
      <c r="AE11" s="34">
        <f t="shared" ref="AE11:AE39" si="1">IFERROR(AD11/G11,0)</f>
        <v>21.201413427561839</v>
      </c>
      <c r="AF11" s="35" cm="1">
        <f t="array" ref="AF11">INDEX('[1]Mar-24'!N:N,MATCH(CONCATENATE('4. Live Offers'!B11,"",'4. Live Offers'!E11),CONCATENATE('[1]Mar-24'!B:B,"",'[1]Mar-24'!C:C),0))</f>
        <v>24055</v>
      </c>
      <c r="AG11" s="36">
        <f t="shared" ref="AG11:AG39" si="2">IFERROR((AD11-AF11)/AF11,"-")</f>
        <v>-2.2864269382664726E-3</v>
      </c>
      <c r="AI11" s="37">
        <v>3</v>
      </c>
      <c r="AJ11" s="38">
        <v>19</v>
      </c>
      <c r="AK11" s="39">
        <v>-11985</v>
      </c>
      <c r="AL11" s="40">
        <f t="shared" ref="AL11:AL39" si="3">(-(AD11/12)*AJ11)</f>
        <v>-38000</v>
      </c>
      <c r="AM11" s="41">
        <f t="shared" ref="AM11:AM39" si="4">IFERROR((-AK11)/(AD11/12),"-")</f>
        <v>5.9924999999999997</v>
      </c>
      <c r="AN11" s="41">
        <f t="shared" ref="AN11:AN39" si="5">IFERROR(AM11+AJ11,"-")</f>
        <v>24.9925</v>
      </c>
      <c r="AO11" s="40">
        <f t="shared" ref="AO11:AO39" si="6">AL11+AK11</f>
        <v>-49985</v>
      </c>
      <c r="AP11" s="42">
        <f t="shared" ref="AP11:AP39" si="7">IFERROR(-AO11/G11,"-")</f>
        <v>44.156360424028271</v>
      </c>
      <c r="AQ11" s="43">
        <f t="shared" ref="AQ11:AQ39" si="8">IFERROR((IF(X11&lt;W11,((AD11*X11+AO11)/X11),(AD11*W11+AO11)/W11)),"-")</f>
        <v>19001.5</v>
      </c>
      <c r="AR11" s="44" cm="1">
        <f t="array" ref="AR11">INDEX('[1]Mar-24'!S:S,MATCH(CONCATENATE('4. Live Offers'!B11,"",'4. Live Offers'!E11),CONCATENATE('[1]Mar-24'!B:B,"",'[1]Mar-24'!C:C),0))</f>
        <v>7.4999999999999997E-2</v>
      </c>
      <c r="AS11" s="35" cm="1">
        <f t="array" ref="AS11">INDEX('[1]Mar-24'!R:R,MATCH(CONCATENATE('4. Live Offers'!B11,"",'4. Live Offers'!E11),CONCATENATE('[1]Mar-24'!B:B,"",'[1]Mar-24'!C:C),0))</f>
        <v>206341.584673</v>
      </c>
      <c r="AT11" s="45">
        <f t="shared" ref="AT11:AT39" si="9">IFERROR((1+AR11)^-(AI11/12)*(1/AR11),"-")</f>
        <v>13.0944306691616</v>
      </c>
      <c r="AU11" s="40">
        <f t="shared" ref="AU11:AU36" si="10">IFERROR(AQ11*AT11,"-")</f>
        <v>248813.82436007416</v>
      </c>
      <c r="AV11" s="46">
        <f>IFERROR(((AT11*AQ11)-AS11)/AS11,"-")</f>
        <v>0.20583461038346715</v>
      </c>
      <c r="AX11" s="47">
        <v>45172</v>
      </c>
      <c r="AY11" s="48"/>
      <c r="AZ11" s="48" t="s">
        <v>70</v>
      </c>
      <c r="BA11" s="49" t="str">
        <f t="shared" ref="BA11:BA22" si="11">IFERROR(DATEDIF(AX11,AY11,"m"),"In Progress")</f>
        <v>In Progress</v>
      </c>
      <c r="BB11" s="50">
        <v>45580</v>
      </c>
      <c r="BD11" s="51"/>
      <c r="BE11" s="51"/>
      <c r="BF11" s="48"/>
      <c r="BH11" s="52" t="s">
        <v>71</v>
      </c>
    </row>
    <row r="12" spans="1:60" ht="16.5" customHeight="1">
      <c r="A12" s="53"/>
      <c r="B12" s="17" t="s">
        <v>63</v>
      </c>
      <c r="C12" s="18" t="str">
        <f>INDEX('[1]2. Asset Dashboard'!E:E,MATCH('4. Live Offers'!B12,'[1]2. Asset Dashboard'!C:C,0))</f>
        <v>London</v>
      </c>
      <c r="D12" s="19"/>
      <c r="E12" s="19">
        <v>2</v>
      </c>
      <c r="F12" s="20" cm="1">
        <f t="array" ref="F12">IF(INDEX('[1]3. Unit-Level Index'!H:H,MATCH(CONCATENATE('4. Live Offers'!B12," ",'4. Live Offers'!E12),CONCATENATE('[1]3. Unit-Level Index'!B:B," ",'[1]3. Unit-Level Index'!G:G),0))="","-",(INDEX('[1]3. Unit-Level Index'!H:H,MATCH(CONCATENATE('4. Live Offers'!B12," ",'4. Live Offers'!E12),CONCATENATE('[1]3. Unit-Level Index'!B:B," ",'[1]3. Unit-Level Index'!G:G),0))))</f>
        <v>900005002</v>
      </c>
      <c r="G12" s="21" cm="1">
        <f t="array" ref="G12">INDEX('[1]3. Unit-Level Index'!M:M,MATCH(CONCATENATE('4. Live Offers'!B12,"",'4. Live Offers'!E12),CONCATENATE('[1]3. Unit-Level Index'!B:B,"",'[1]3. Unit-Level Index'!G:G),0))</f>
        <v>3451</v>
      </c>
      <c r="H12" s="22">
        <f t="shared" si="0"/>
        <v>1.5600272925547438</v>
      </c>
      <c r="J12" s="23" t="s">
        <v>64</v>
      </c>
      <c r="K12" s="24" t="s">
        <v>64</v>
      </c>
      <c r="L12" s="24" t="s">
        <v>64</v>
      </c>
      <c r="M12" s="24" t="s">
        <v>64</v>
      </c>
      <c r="N12" s="25" t="s">
        <v>64</v>
      </c>
      <c r="P12" s="54">
        <v>44562</v>
      </c>
      <c r="Q12" s="19" t="s">
        <v>72</v>
      </c>
      <c r="R12" s="27"/>
      <c r="S12" s="19" t="s">
        <v>66</v>
      </c>
      <c r="T12" s="19"/>
      <c r="U12" s="28" t="s">
        <v>73</v>
      </c>
      <c r="V12" s="2"/>
      <c r="W12" s="29">
        <v>15</v>
      </c>
      <c r="X12" s="30">
        <v>10</v>
      </c>
      <c r="Y12" s="30">
        <v>5</v>
      </c>
      <c r="Z12" s="31" t="s">
        <v>69</v>
      </c>
      <c r="AA12" s="32"/>
      <c r="AB12" s="33"/>
      <c r="AC12" s="33"/>
      <c r="AD12" s="33">
        <v>100000</v>
      </c>
      <c r="AE12" s="34">
        <f t="shared" si="1"/>
        <v>28.977108084613157</v>
      </c>
      <c r="AF12" s="35" cm="1">
        <f t="array" ref="AF12">INDEX('[1]Mar-24'!N:N,MATCH(CONCATENATE('4. Live Offers'!B12,"",'4. Live Offers'!E12),CONCATENATE('[1]Mar-24'!B:B,"",'[1]Mar-24'!C:C),0))</f>
        <v>60000</v>
      </c>
      <c r="AG12" s="36">
        <f t="shared" si="2"/>
        <v>0.66666666666666663</v>
      </c>
      <c r="AI12" s="37">
        <v>2</v>
      </c>
      <c r="AJ12" s="38">
        <v>12</v>
      </c>
      <c r="AK12" s="55">
        <v>-350000</v>
      </c>
      <c r="AL12" s="40">
        <f t="shared" si="3"/>
        <v>-100000</v>
      </c>
      <c r="AM12" s="41">
        <f t="shared" si="4"/>
        <v>42</v>
      </c>
      <c r="AN12" s="41">
        <f t="shared" si="5"/>
        <v>54</v>
      </c>
      <c r="AO12" s="40">
        <f t="shared" si="6"/>
        <v>-450000</v>
      </c>
      <c r="AP12" s="42">
        <f t="shared" si="7"/>
        <v>130.39698638075919</v>
      </c>
      <c r="AQ12" s="43">
        <f t="shared" si="8"/>
        <v>55000</v>
      </c>
      <c r="AR12" s="44" cm="1">
        <f t="array" ref="AR12">INDEX('[1]Mar-24'!S:S,MATCH(CONCATENATE('4. Live Offers'!B12,"",'4. Live Offers'!E12),CONCATENATE('[1]Mar-24'!B:B,"",'[1]Mar-24'!C:C),0))</f>
        <v>7.4999999999999997E-2</v>
      </c>
      <c r="AS12" s="35" cm="1">
        <f t="array" ref="AS12">INDEX('[1]Mar-24'!R:R,MATCH(CONCATENATE('4. Live Offers'!B12,"",'4. Live Offers'!E12),CONCATENATE('[1]Mar-24'!B:B,"",'[1]Mar-24'!C:C),0))</f>
        <v>283023.23238100001</v>
      </c>
      <c r="AT12" s="45">
        <f t="shared" si="9"/>
        <v>13.173585442225884</v>
      </c>
      <c r="AU12" s="40">
        <f t="shared" si="10"/>
        <v>724547.19932242355</v>
      </c>
      <c r="AV12" s="46">
        <f t="shared" ref="AV12:AV39" si="12">IFERROR(((AT12*AQ12)-AS12)/AS12,"-")</f>
        <v>1.5600272925547438</v>
      </c>
      <c r="AX12" s="47">
        <v>44480</v>
      </c>
      <c r="AY12" s="48"/>
      <c r="AZ12" s="48" t="s">
        <v>74</v>
      </c>
      <c r="BA12" s="49" t="str">
        <f t="shared" si="11"/>
        <v>In Progress</v>
      </c>
      <c r="BB12" s="50">
        <v>45658</v>
      </c>
      <c r="BD12" s="51"/>
      <c r="BE12" s="51"/>
      <c r="BF12" s="48"/>
      <c r="BH12" s="52" t="s">
        <v>75</v>
      </c>
    </row>
    <row r="13" spans="1:60" ht="16.5" customHeight="1">
      <c r="B13" s="17" t="s">
        <v>76</v>
      </c>
      <c r="C13" s="18" t="str">
        <f>INDEX('[1]2. Asset Dashboard'!E:E,MATCH('4. Live Offers'!B13,'[1]2. Asset Dashboard'!C:C,0))</f>
        <v>Birmingham</v>
      </c>
      <c r="D13" s="48"/>
      <c r="E13" s="19">
        <v>1</v>
      </c>
      <c r="F13" s="20" cm="1">
        <f t="array" ref="F13">IF(INDEX('[1]3. Unit-Level Index'!H:H,MATCH(CONCATENATE('4. Live Offers'!B13," ",'4. Live Offers'!E13),CONCATENATE('[1]3. Unit-Level Index'!B:B," ",'[1]3. Unit-Level Index'!G:G),0))="","-",(INDEX('[1]3. Unit-Level Index'!H:H,MATCH(CONCATENATE('4. Live Offers'!B13," ",'4. Live Offers'!E13),CONCATENATE('[1]3. Unit-Level Index'!B:B," ",'[1]3. Unit-Level Index'!G:G),0))))</f>
        <v>222795001</v>
      </c>
      <c r="G13" s="21" cm="1">
        <f t="array" ref="G13">INDEX('[1]3. Unit-Level Index'!M:M,MATCH(CONCATENATE('4. Live Offers'!B13,"",'4. Live Offers'!E13),CONCATENATE('[1]3. Unit-Level Index'!B:B,"",'[1]3. Unit-Level Index'!G:G),0))</f>
        <v>2104</v>
      </c>
      <c r="H13" s="22">
        <f t="shared" si="0"/>
        <v>0.35925641086204529</v>
      </c>
      <c r="J13" s="23" t="s">
        <v>64</v>
      </c>
      <c r="K13" s="24" t="s">
        <v>64</v>
      </c>
      <c r="L13" s="24" t="s">
        <v>64</v>
      </c>
      <c r="M13" s="24" t="s">
        <v>64</v>
      </c>
      <c r="N13" s="25" t="s">
        <v>64</v>
      </c>
      <c r="P13" s="26">
        <v>45364</v>
      </c>
      <c r="Q13" s="19" t="s">
        <v>77</v>
      </c>
      <c r="R13" s="27"/>
      <c r="S13" s="19" t="s">
        <v>78</v>
      </c>
      <c r="T13" s="19" t="s">
        <v>67</v>
      </c>
      <c r="U13" s="28" t="s">
        <v>73</v>
      </c>
      <c r="V13" s="2"/>
      <c r="W13" s="29">
        <v>15</v>
      </c>
      <c r="X13" s="30">
        <v>15</v>
      </c>
      <c r="Y13" s="30">
        <v>5</v>
      </c>
      <c r="Z13" s="31" t="s">
        <v>79</v>
      </c>
      <c r="AA13" s="32">
        <v>1.84</v>
      </c>
      <c r="AB13" s="33">
        <f>AD13/12*4</f>
        <v>13000</v>
      </c>
      <c r="AC13" s="33">
        <v>39000</v>
      </c>
      <c r="AD13" s="33">
        <v>39000</v>
      </c>
      <c r="AE13" s="34">
        <f t="shared" si="1"/>
        <v>18.536121673003802</v>
      </c>
      <c r="AF13" s="35" cm="1">
        <f t="array" ref="AF13">INDEX('[1]Mar-24'!N:N,MATCH(CONCATENATE('4. Live Offers'!B13,"",'4. Live Offers'!E13),CONCATENATE('[1]Mar-24'!B:B,"",'[1]Mar-24'!C:C),0))</f>
        <v>33700</v>
      </c>
      <c r="AG13" s="36">
        <f t="shared" si="2"/>
        <v>0.15727002967359049</v>
      </c>
      <c r="AI13" s="37">
        <v>6</v>
      </c>
      <c r="AJ13" s="38">
        <v>12</v>
      </c>
      <c r="AK13" s="39">
        <v>0</v>
      </c>
      <c r="AL13" s="40">
        <f t="shared" si="3"/>
        <v>-39000</v>
      </c>
      <c r="AM13" s="41">
        <f t="shared" si="4"/>
        <v>0</v>
      </c>
      <c r="AN13" s="41">
        <f t="shared" si="5"/>
        <v>12</v>
      </c>
      <c r="AO13" s="40">
        <f t="shared" si="6"/>
        <v>-39000</v>
      </c>
      <c r="AP13" s="42">
        <f t="shared" si="7"/>
        <v>18.536121673003802</v>
      </c>
      <c r="AQ13" s="43">
        <f t="shared" si="8"/>
        <v>36400</v>
      </c>
      <c r="AR13" s="44" cm="1">
        <f t="array" ref="AR13">INDEX('[1]Mar-24'!S:S,MATCH(CONCATENATE('4. Live Offers'!B13,"",'4. Live Offers'!E13),CONCATENATE('[1]Mar-24'!B:B,"",'[1]Mar-24'!C:C),0))</f>
        <v>0.09</v>
      </c>
      <c r="AS13" s="35" cm="1">
        <f t="array" ref="AS13">INDEX('[1]Mar-24'!R:R,MATCH(CONCATENATE('4. Live Offers'!B13,"",'4. Live Offers'!E13),CONCATENATE('[1]Mar-24'!B:B,"",'[1]Mar-24'!C:C),0))</f>
        <v>284999.59000000003</v>
      </c>
      <c r="AT13" s="45">
        <f t="shared" si="9"/>
        <v>10.642514280235014</v>
      </c>
      <c r="AU13" s="40">
        <f t="shared" si="10"/>
        <v>387387.5198005545</v>
      </c>
      <c r="AV13" s="46">
        <f t="shared" si="12"/>
        <v>0.35925641086204529</v>
      </c>
      <c r="AX13" s="47">
        <v>45411</v>
      </c>
      <c r="AY13" s="48"/>
      <c r="AZ13" s="48" t="s">
        <v>80</v>
      </c>
      <c r="BA13" s="49" t="str">
        <f t="shared" si="11"/>
        <v>In Progress</v>
      </c>
      <c r="BB13" s="50">
        <v>45627</v>
      </c>
      <c r="BD13" s="51"/>
      <c r="BE13" s="51"/>
      <c r="BF13" s="48"/>
      <c r="BH13" s="56" t="s">
        <v>81</v>
      </c>
    </row>
    <row r="14" spans="1:60" ht="16.5" customHeight="1">
      <c r="B14" s="17" t="s">
        <v>82</v>
      </c>
      <c r="C14" s="18" t="str">
        <f>INDEX('[1]2. Asset Dashboard'!E:E,MATCH('4. Live Offers'!B14,'[1]2. Asset Dashboard'!C:C,0))</f>
        <v>Nottingham</v>
      </c>
      <c r="D14" s="48"/>
      <c r="E14" s="19">
        <v>1</v>
      </c>
      <c r="F14" s="20" cm="1">
        <f t="array" ref="F14">IF(INDEX('[1]3. Unit-Level Index'!H:H,MATCH(CONCATENATE('4. Live Offers'!B14," ",'4. Live Offers'!E14),CONCATENATE('[1]3. Unit-Level Index'!B:B," ",'[1]3. Unit-Level Index'!G:G),0))="","-",(INDEX('[1]3. Unit-Level Index'!H:H,MATCH(CONCATENATE('4. Live Offers'!B14," ",'4. Live Offers'!E14),CONCATENATE('[1]3. Unit-Level Index'!B:B," ",'[1]3. Unit-Level Index'!G:G),0))))</f>
        <v>222761001</v>
      </c>
      <c r="G14" s="21" cm="1">
        <f t="array" ref="G14">INDEX('[1]3. Unit-Level Index'!M:M,MATCH(CONCATENATE('4. Live Offers'!B14,"",'4. Live Offers'!E14),CONCATENATE('[1]3. Unit-Level Index'!B:B,"",'[1]3. Unit-Level Index'!G:G),0))</f>
        <v>1800</v>
      </c>
      <c r="H14" s="22">
        <f t="shared" si="0"/>
        <v>0.2234167584458871</v>
      </c>
      <c r="J14" s="23" t="s">
        <v>64</v>
      </c>
      <c r="K14" s="24" t="s">
        <v>64</v>
      </c>
      <c r="L14" s="24" t="s">
        <v>64</v>
      </c>
      <c r="M14" s="24" t="s">
        <v>64</v>
      </c>
      <c r="N14" s="25" t="s">
        <v>64</v>
      </c>
      <c r="P14" s="26">
        <v>45224</v>
      </c>
      <c r="Q14" s="19" t="s">
        <v>83</v>
      </c>
      <c r="R14" s="27"/>
      <c r="S14" s="19" t="s">
        <v>84</v>
      </c>
      <c r="T14" s="19" t="s">
        <v>67</v>
      </c>
      <c r="U14" s="28" t="s">
        <v>73</v>
      </c>
      <c r="V14" s="2"/>
      <c r="W14" s="29">
        <v>15</v>
      </c>
      <c r="X14" s="30">
        <v>10</v>
      </c>
      <c r="Y14" s="30">
        <v>5</v>
      </c>
      <c r="Z14" s="31"/>
      <c r="AA14" s="32"/>
      <c r="AB14" s="33">
        <v>11200</v>
      </c>
      <c r="AC14" s="33"/>
      <c r="AD14" s="33">
        <v>22400</v>
      </c>
      <c r="AE14" s="34">
        <f t="shared" si="1"/>
        <v>12.444444444444445</v>
      </c>
      <c r="AF14" s="35" cm="1">
        <f t="array" ref="AF14">INDEX('[1]Mar-24'!N:N,MATCH(CONCATENATE('4. Live Offers'!B14,"",'4. Live Offers'!E14),CONCATENATE('[1]Mar-24'!B:B,"",'[1]Mar-24'!C:C),0))</f>
        <v>22500</v>
      </c>
      <c r="AG14" s="36">
        <f t="shared" si="2"/>
        <v>-4.4444444444444444E-3</v>
      </c>
      <c r="AI14" s="37">
        <v>3</v>
      </c>
      <c r="AJ14" s="38">
        <v>9</v>
      </c>
      <c r="AK14" s="39">
        <v>0</v>
      </c>
      <c r="AL14" s="40">
        <f t="shared" si="3"/>
        <v>-16800</v>
      </c>
      <c r="AM14" s="41">
        <f t="shared" si="4"/>
        <v>0</v>
      </c>
      <c r="AN14" s="41">
        <f t="shared" si="5"/>
        <v>9</v>
      </c>
      <c r="AO14" s="40">
        <f t="shared" si="6"/>
        <v>-16800</v>
      </c>
      <c r="AP14" s="42">
        <f t="shared" si="7"/>
        <v>9.3333333333333339</v>
      </c>
      <c r="AQ14" s="43">
        <f>IFERROR((IF(X14&lt;W14,((AD14*X14+AO14)/X14),(AD14*W14+AO14)/W14)),"-")</f>
        <v>20720</v>
      </c>
      <c r="AR14" s="44" cm="1">
        <f t="array" ref="AR14">INDEX('[1]Mar-24'!S:S,MATCH(CONCATENATE('4. Live Offers'!B14,"",'4. Live Offers'!E14),CONCATENATE('[1]Mar-24'!B:B,"",'[1]Mar-24'!C:C),0))</f>
        <v>0.11</v>
      </c>
      <c r="AS14" s="35" cm="1">
        <f t="array" ref="AS14">INDEX('[1]Mar-24'!R:R,MATCH(CONCATENATE('4. Live Offers'!B14,"",'4. Live Offers'!E14),CONCATENATE('[1]Mar-24'!B:B,"",'[1]Mar-24'!C:C),0))</f>
        <v>150000.22</v>
      </c>
      <c r="AT14" s="45">
        <f t="shared" si="9"/>
        <v>8.8567945424020227</v>
      </c>
      <c r="AU14" s="40">
        <f t="shared" si="10"/>
        <v>183512.78291856992</v>
      </c>
      <c r="AV14" s="46">
        <f t="shared" si="12"/>
        <v>0.2234167584458871</v>
      </c>
      <c r="AX14" s="47">
        <v>45265</v>
      </c>
      <c r="AY14" s="47">
        <v>45631</v>
      </c>
      <c r="AZ14" s="48" t="s">
        <v>74</v>
      </c>
      <c r="BA14" s="49">
        <f t="shared" si="11"/>
        <v>12</v>
      </c>
      <c r="BB14" s="50">
        <v>45658</v>
      </c>
      <c r="BD14" s="51"/>
      <c r="BE14" s="51"/>
      <c r="BF14" s="48"/>
      <c r="BH14" s="52"/>
    </row>
    <row r="15" spans="1:60" ht="16.5" customHeight="1">
      <c r="B15" s="17" t="s">
        <v>85</v>
      </c>
      <c r="C15" s="18" t="str">
        <f>INDEX('[1]2. Asset Dashboard'!E:E,MATCH('4. Live Offers'!B15,'[1]2. Asset Dashboard'!C:C,0))</f>
        <v>Bristol</v>
      </c>
      <c r="D15" s="48"/>
      <c r="E15" s="19">
        <v>2.1</v>
      </c>
      <c r="F15" s="20" cm="1">
        <f t="array" ref="F15">IF(INDEX('[1]3. Unit-Level Index'!H:H,MATCH(CONCATENATE('4. Live Offers'!B15," ",'4. Live Offers'!E15),CONCATENATE('[1]3. Unit-Level Index'!B:B," ",'[1]3. Unit-Level Index'!G:G),0))="","-",(INDEX('[1]3. Unit-Level Index'!H:H,MATCH(CONCATENATE('4. Live Offers'!B15," ",'4. Live Offers'!E15),CONCATENATE('[1]3. Unit-Level Index'!B:B," ",'[1]3. Unit-Level Index'!G:G),0))))</f>
        <v>222707004</v>
      </c>
      <c r="G15" s="21" cm="1">
        <f t="array" ref="G15">INDEX('[1]3. Unit-Level Index'!M:M,MATCH(CONCATENATE('4. Live Offers'!B15,"",'4. Live Offers'!E15),CONCATENATE('[1]3. Unit-Level Index'!B:B,"",'[1]3. Unit-Level Index'!G:G),0))</f>
        <v>4539</v>
      </c>
      <c r="H15" s="22">
        <f t="shared" si="0"/>
        <v>-9.4199011469018643E-2</v>
      </c>
      <c r="J15" s="23" t="s">
        <v>64</v>
      </c>
      <c r="K15" s="24" t="s">
        <v>64</v>
      </c>
      <c r="L15" s="24" t="s">
        <v>64</v>
      </c>
      <c r="M15" s="24" t="s">
        <v>64</v>
      </c>
      <c r="N15" s="25" t="s">
        <v>64</v>
      </c>
      <c r="P15" s="26">
        <v>45258</v>
      </c>
      <c r="Q15" s="19" t="s">
        <v>86</v>
      </c>
      <c r="R15" s="27"/>
      <c r="S15" s="19" t="s">
        <v>87</v>
      </c>
      <c r="T15" s="19" t="s">
        <v>67</v>
      </c>
      <c r="U15" s="28" t="s">
        <v>73</v>
      </c>
      <c r="V15" s="2"/>
      <c r="W15" s="29">
        <v>15</v>
      </c>
      <c r="X15" s="30">
        <v>10</v>
      </c>
      <c r="Y15" s="30">
        <v>5</v>
      </c>
      <c r="Z15" s="31" t="s">
        <v>69</v>
      </c>
      <c r="AA15" s="32" t="s">
        <v>88</v>
      </c>
      <c r="AB15" s="33">
        <v>0</v>
      </c>
      <c r="AC15" s="33">
        <v>113475</v>
      </c>
      <c r="AD15" s="33">
        <v>96226.8</v>
      </c>
      <c r="AE15" s="34">
        <f t="shared" si="1"/>
        <v>21.2</v>
      </c>
      <c r="AF15" s="35" cm="1">
        <f t="array" ref="AF15">INDEX('[1]Mar-24'!N:N,MATCH(CONCATENATE('4. Live Offers'!B15,"",'4. Live Offers'!E15),CONCATENATE('[1]Mar-24'!B:B,"",'[1]Mar-24'!C:C),0))</f>
        <v>99858</v>
      </c>
      <c r="AG15" s="36">
        <f t="shared" si="2"/>
        <v>-3.6363636363636334E-2</v>
      </c>
      <c r="AI15" s="37">
        <v>3</v>
      </c>
      <c r="AJ15" s="38">
        <v>18</v>
      </c>
      <c r="AK15" s="39">
        <v>-200000</v>
      </c>
      <c r="AL15" s="40">
        <f t="shared" si="3"/>
        <v>-144340.20000000001</v>
      </c>
      <c r="AM15" s="41">
        <f t="shared" si="4"/>
        <v>24.941076706281407</v>
      </c>
      <c r="AN15" s="41">
        <f t="shared" si="5"/>
        <v>42.941076706281407</v>
      </c>
      <c r="AO15" s="40">
        <f t="shared" si="6"/>
        <v>-344340.2</v>
      </c>
      <c r="AP15" s="42">
        <f t="shared" si="7"/>
        <v>75.862568847763825</v>
      </c>
      <c r="AQ15" s="43">
        <f t="shared" si="8"/>
        <v>61792.780000000006</v>
      </c>
      <c r="AR15" s="57">
        <v>7.4999999999999997E-2</v>
      </c>
      <c r="AS15" s="35" cm="1">
        <f t="array" ref="AS15">INDEX('[1]Mar-24'!R:R,MATCH(CONCATENATE('4. Live Offers'!B15,"",'4. Live Offers'!E15),CONCATENATE('[1]Mar-24'!B:B,"",'[1]Mar-24'!C:C),0))</f>
        <v>893288.132614</v>
      </c>
      <c r="AT15" s="45">
        <f t="shared" si="9"/>
        <v>13.0944306691616</v>
      </c>
      <c r="AU15" s="40">
        <f t="shared" si="10"/>
        <v>809141.27356475557</v>
      </c>
      <c r="AV15" s="46">
        <f t="shared" si="12"/>
        <v>-9.4199011469018643E-2</v>
      </c>
      <c r="AX15" s="47">
        <v>45266</v>
      </c>
      <c r="AY15" s="48"/>
      <c r="AZ15" s="48" t="s">
        <v>80</v>
      </c>
      <c r="BA15" s="49" t="str">
        <f t="shared" si="11"/>
        <v>In Progress</v>
      </c>
      <c r="BB15" s="50">
        <v>45627</v>
      </c>
      <c r="BD15" s="51"/>
      <c r="BE15" s="51"/>
      <c r="BF15" s="48"/>
      <c r="BH15" s="52" t="s">
        <v>89</v>
      </c>
    </row>
    <row r="16" spans="1:60" s="72" customFormat="1" ht="16.5" customHeight="1">
      <c r="A16" s="1"/>
      <c r="B16" s="17" t="s">
        <v>90</v>
      </c>
      <c r="C16" s="18" t="str">
        <f>INDEX('[1]2. Asset Dashboard'!E:E,MATCH('4. Live Offers'!B16,'[1]2. Asset Dashboard'!C:C,0))</f>
        <v>Newbury</v>
      </c>
      <c r="D16" s="48"/>
      <c r="E16" s="19" t="s">
        <v>91</v>
      </c>
      <c r="F16" s="20" cm="1">
        <f t="array" ref="F16">IF(INDEX('[1]3. Unit-Level Index'!H:H,MATCH(CONCATENATE('4. Live Offers'!B16," ",'4. Live Offers'!E16),CONCATENATE('[1]3. Unit-Level Index'!B:B," ",'[1]3. Unit-Level Index'!G:G),0))="","-",(INDEX('[1]3. Unit-Level Index'!H:H,MATCH(CONCATENATE('4. Live Offers'!B16," ",'4. Live Offers'!E16),CONCATENATE('[1]3. Unit-Level Index'!B:B," ",'[1]3. Unit-Level Index'!G:G),0))))</f>
        <v>222698009</v>
      </c>
      <c r="G16" s="21" cm="1">
        <f t="array" ref="G16">INDEX('[1]3. Unit-Level Index'!M:M,MATCH(CONCATENATE('4. Live Offers'!B16,"",'4. Live Offers'!E16),CONCATENATE('[1]3. Unit-Level Index'!B:B,"",'[1]3. Unit-Level Index'!G:G),0))</f>
        <v>616</v>
      </c>
      <c r="H16" s="22">
        <f t="shared" si="0"/>
        <v>9.5778946091741916E-4</v>
      </c>
      <c r="I16" s="4"/>
      <c r="J16" s="58" t="s">
        <v>64</v>
      </c>
      <c r="K16" s="59" t="s">
        <v>64</v>
      </c>
      <c r="L16" s="59" t="s">
        <v>64</v>
      </c>
      <c r="M16" s="59" t="s">
        <v>64</v>
      </c>
      <c r="N16" s="60" t="s">
        <v>64</v>
      </c>
      <c r="O16" s="2"/>
      <c r="P16" s="26">
        <v>45237</v>
      </c>
      <c r="Q16" s="19" t="s">
        <v>92</v>
      </c>
      <c r="R16" s="27"/>
      <c r="S16" s="19" t="s">
        <v>93</v>
      </c>
      <c r="T16" s="19" t="s">
        <v>67</v>
      </c>
      <c r="U16" s="28" t="s">
        <v>94</v>
      </c>
      <c r="V16" s="2"/>
      <c r="W16" s="29">
        <v>10</v>
      </c>
      <c r="X16" s="30">
        <v>10</v>
      </c>
      <c r="Y16" s="30">
        <v>5</v>
      </c>
      <c r="Z16" s="31"/>
      <c r="AA16" s="32">
        <v>1</v>
      </c>
      <c r="AB16" s="33">
        <v>6000</v>
      </c>
      <c r="AC16" s="33">
        <f>25*G16</f>
        <v>15400</v>
      </c>
      <c r="AD16" s="33">
        <v>12000</v>
      </c>
      <c r="AE16" s="34">
        <f t="shared" si="1"/>
        <v>19.480519480519479</v>
      </c>
      <c r="AF16" s="35" cm="1">
        <f t="array" ref="AF16">INDEX('[1]Mar-24'!N:N,MATCH(CONCATENATE('4. Live Offers'!B16,"",'4. Live Offers'!E16),CONCATENATE('[1]Mar-24'!B:B,"",'[1]Mar-24'!C:C),0))</f>
        <v>12000</v>
      </c>
      <c r="AG16" s="36">
        <f t="shared" si="2"/>
        <v>0</v>
      </c>
      <c r="AH16" s="36"/>
      <c r="AI16" s="61">
        <v>4</v>
      </c>
      <c r="AJ16" s="62">
        <v>3</v>
      </c>
      <c r="AK16" s="63">
        <v>-10000</v>
      </c>
      <c r="AL16" s="64">
        <f t="shared" si="3"/>
        <v>-3000</v>
      </c>
      <c r="AM16" s="65">
        <f t="shared" si="4"/>
        <v>10</v>
      </c>
      <c r="AN16" s="65">
        <f t="shared" si="5"/>
        <v>13</v>
      </c>
      <c r="AO16" s="64">
        <f t="shared" si="6"/>
        <v>-13000</v>
      </c>
      <c r="AP16" s="66">
        <f t="shared" si="7"/>
        <v>21.103896103896105</v>
      </c>
      <c r="AQ16" s="67">
        <f t="shared" si="8"/>
        <v>10700</v>
      </c>
      <c r="AR16" s="68" cm="1">
        <f t="array" ref="AR16">INDEX('[1]Mar-24'!S:S,MATCH(CONCATENATE('4. Live Offers'!B16,"",'4. Live Offers'!E16),CONCATENATE('[1]Mar-24'!B:B,"",'[1]Mar-24'!C:C),0))</f>
        <v>0.09</v>
      </c>
      <c r="AS16" s="69" cm="1">
        <f t="array" ref="AS16">INDEX('[1]Mar-24'!R:R,MATCH(CONCATENATE('4. Live Offers'!B16,"",'4. Live Offers'!E16),CONCATENATE('[1]Mar-24'!B:B,"",'[1]Mar-24'!C:C),0))</f>
        <v>115411.74442</v>
      </c>
      <c r="AT16" s="70">
        <f t="shared" si="9"/>
        <v>10.796475193688932</v>
      </c>
      <c r="AU16" s="64">
        <f t="shared" si="10"/>
        <v>115522.28457247157</v>
      </c>
      <c r="AV16" s="71">
        <f t="shared" si="12"/>
        <v>9.5778946091741916E-4</v>
      </c>
      <c r="AX16" s="73">
        <v>45266</v>
      </c>
      <c r="AY16" s="74"/>
      <c r="AZ16" s="74" t="s">
        <v>74</v>
      </c>
      <c r="BA16" s="75" t="str">
        <f t="shared" si="11"/>
        <v>In Progress</v>
      </c>
      <c r="BB16" s="76">
        <v>45505</v>
      </c>
      <c r="BD16" s="77"/>
      <c r="BE16" s="77"/>
      <c r="BF16" s="74"/>
      <c r="BH16" s="78" t="s">
        <v>95</v>
      </c>
    </row>
    <row r="17" spans="2:71" ht="16.5" customHeight="1">
      <c r="B17" s="17" t="s">
        <v>96</v>
      </c>
      <c r="C17" s="18" t="str">
        <f>INDEX('[1]2. Asset Dashboard'!E:E,MATCH('4. Live Offers'!B17,'[1]2. Asset Dashboard'!C:C,0))</f>
        <v>Bristol</v>
      </c>
      <c r="D17" s="48"/>
      <c r="E17" s="19">
        <v>1</v>
      </c>
      <c r="F17" s="20" cm="1">
        <f t="array" ref="F17">IF(INDEX('[1]3. Unit-Level Index'!H:H,MATCH(CONCATENATE('4. Live Offers'!B17," ",'4. Live Offers'!E17),CONCATENATE('[1]3. Unit-Level Index'!B:B," ",'[1]3. Unit-Level Index'!G:G),0))="","-",(INDEX('[1]3. Unit-Level Index'!H:H,MATCH(CONCATENATE('4. Live Offers'!B17," ",'4. Live Offers'!E17),CONCATENATE('[1]3. Unit-Level Index'!B:B," ",'[1]3. Unit-Level Index'!G:G),0))))</f>
        <v>222625001</v>
      </c>
      <c r="G17" s="21" cm="1">
        <f t="array" ref="G17">INDEX('[1]3. Unit-Level Index'!M:M,MATCH(CONCATENATE('4. Live Offers'!B17,"",'4. Live Offers'!E17),CONCATENATE('[1]3. Unit-Level Index'!B:B,"",'[1]3. Unit-Level Index'!G:G),0))</f>
        <v>1635</v>
      </c>
      <c r="H17" s="22">
        <f t="shared" si="0"/>
        <v>3.0349883639746517E-2</v>
      </c>
      <c r="J17" s="23" t="s">
        <v>64</v>
      </c>
      <c r="K17" s="24" t="s">
        <v>64</v>
      </c>
      <c r="L17" s="24" t="s">
        <v>64</v>
      </c>
      <c r="M17" s="24" t="s">
        <v>64</v>
      </c>
      <c r="N17" s="25" t="s">
        <v>97</v>
      </c>
      <c r="P17" s="26">
        <v>45267</v>
      </c>
      <c r="Q17" s="19" t="s">
        <v>98</v>
      </c>
      <c r="R17" s="27"/>
      <c r="S17" s="19" t="s">
        <v>87</v>
      </c>
      <c r="T17" s="19" t="s">
        <v>67</v>
      </c>
      <c r="U17" s="28" t="s">
        <v>99</v>
      </c>
      <c r="V17" s="2"/>
      <c r="W17" s="29">
        <v>20</v>
      </c>
      <c r="X17" s="30">
        <v>7</v>
      </c>
      <c r="Y17" s="30">
        <v>5</v>
      </c>
      <c r="Z17" s="31" t="s">
        <v>79</v>
      </c>
      <c r="AA17" s="32">
        <v>0.6</v>
      </c>
      <c r="AB17" s="33">
        <f>AD17/12*6</f>
        <v>19025</v>
      </c>
      <c r="AC17" s="33">
        <f>25*G17</f>
        <v>40875</v>
      </c>
      <c r="AD17" s="33">
        <v>38050</v>
      </c>
      <c r="AE17" s="34">
        <f t="shared" si="1"/>
        <v>23.272171253822631</v>
      </c>
      <c r="AF17" s="35" cm="1">
        <f t="array" ref="AF17">INDEX('[1]Mar-24'!N:N,MATCH(CONCATENATE('4. Live Offers'!B17,"",'4. Live Offers'!E17),CONCATENATE('[1]Mar-24'!B:B,"",'[1]Mar-24'!C:C),0))</f>
        <v>36249</v>
      </c>
      <c r="AG17" s="36">
        <f t="shared" si="2"/>
        <v>4.9684129217357723E-2</v>
      </c>
      <c r="AI17" s="37">
        <v>4</v>
      </c>
      <c r="AJ17" s="38">
        <v>12</v>
      </c>
      <c r="AK17" s="39">
        <f>-35000*1/3</f>
        <v>-11666.666666666666</v>
      </c>
      <c r="AL17" s="40">
        <f t="shared" si="3"/>
        <v>-38050</v>
      </c>
      <c r="AM17" s="41">
        <f t="shared" si="4"/>
        <v>3.6793692509855451</v>
      </c>
      <c r="AN17" s="41">
        <f t="shared" si="5"/>
        <v>15.679369250985545</v>
      </c>
      <c r="AO17" s="40">
        <f t="shared" si="6"/>
        <v>-49716.666666666664</v>
      </c>
      <c r="AP17" s="42">
        <f t="shared" si="7"/>
        <v>30.407747196738022</v>
      </c>
      <c r="AQ17" s="43">
        <f t="shared" si="8"/>
        <v>30947.61904761905</v>
      </c>
      <c r="AR17" s="44" cm="1">
        <f t="array" ref="AR17">INDEX('[1]Mar-24'!S:S,MATCH(CONCATENATE('4. Live Offers'!B17,"",'4. Live Offers'!E17),CONCATENATE('[1]Mar-24'!B:B,"",'[1]Mar-24'!C:C),0))</f>
        <v>0.09</v>
      </c>
      <c r="AS17" s="35" cm="1">
        <f t="array" ref="AS17">INDEX('[1]Mar-24'!R:R,MATCH(CONCATENATE('4. Live Offers'!B17,"",'4. Live Offers'!E17),CONCATENATE('[1]Mar-24'!B:B,"",'[1]Mar-24'!C:C),0))</f>
        <v>324283.24267000001</v>
      </c>
      <c r="AT17" s="45">
        <f t="shared" si="9"/>
        <v>10.796475193688932</v>
      </c>
      <c r="AU17" s="40">
        <f t="shared" si="10"/>
        <v>334125.20135135419</v>
      </c>
      <c r="AV17" s="46">
        <f t="shared" si="12"/>
        <v>3.0349883639746517E-2</v>
      </c>
      <c r="AX17" s="47">
        <v>45385</v>
      </c>
      <c r="AY17" s="48"/>
      <c r="AZ17" s="48" t="s">
        <v>74</v>
      </c>
      <c r="BA17" s="49" t="str">
        <f t="shared" si="11"/>
        <v>In Progress</v>
      </c>
      <c r="BB17" s="50">
        <v>45717</v>
      </c>
      <c r="BD17" s="51"/>
      <c r="BE17" s="51"/>
      <c r="BF17" s="48"/>
      <c r="BH17" s="52" t="s">
        <v>100</v>
      </c>
    </row>
    <row r="18" spans="2:71" ht="16.5" customHeight="1">
      <c r="B18" s="17" t="s">
        <v>101</v>
      </c>
      <c r="C18" s="79" t="str">
        <f>INDEX('[1]2. Asset Dashboard'!E:E,MATCH('4. Live Offers'!B18,'[1]2. Asset Dashboard'!C:C,0))</f>
        <v>Oxford</v>
      </c>
      <c r="D18" s="19"/>
      <c r="E18" s="19">
        <v>1</v>
      </c>
      <c r="F18" s="20" t="str" cm="1">
        <f t="array" ref="F18">IF(INDEX('[1]3. Unit-Level Index'!H:H,MATCH(CONCATENATE('4. Live Offers'!B18," ",'4. Live Offers'!E18),CONCATENATE('[1]3. Unit-Level Index'!B:B," ",'[1]3. Unit-Level Index'!G:G),0))="","-",(INDEX('[1]3. Unit-Level Index'!H:H,MATCH(CONCATENATE('4. Live Offers'!B18," ",'4. Live Offers'!E18),CONCATENATE('[1]3. Unit-Level Index'!B:B," ",'[1]3. Unit-Level Index'!G:G),0))))</f>
        <v>-</v>
      </c>
      <c r="G18" s="21" cm="1">
        <f t="array" ref="G18">INDEX('[1]3. Unit-Level Index'!M:M,MATCH(CONCATENATE('4. Live Offers'!B18,"",'4. Live Offers'!E18),CONCATENATE('[1]3. Unit-Level Index'!B:B,"",'[1]3. Unit-Level Index'!G:G),0))</f>
        <v>2332.5</v>
      </c>
      <c r="H18" s="22">
        <f t="shared" si="0"/>
        <v>0.27529011185602253</v>
      </c>
      <c r="J18" s="23" t="s">
        <v>102</v>
      </c>
      <c r="K18" s="24"/>
      <c r="L18" s="24"/>
      <c r="M18" s="24"/>
      <c r="N18" s="25"/>
      <c r="P18" s="80" t="s">
        <v>88</v>
      </c>
      <c r="Q18" s="19" t="s">
        <v>103</v>
      </c>
      <c r="R18" s="27"/>
      <c r="S18" s="19" t="s">
        <v>104</v>
      </c>
      <c r="T18" s="19" t="s">
        <v>67</v>
      </c>
      <c r="U18" s="28" t="s">
        <v>105</v>
      </c>
      <c r="V18" s="2"/>
      <c r="W18" s="29">
        <v>20</v>
      </c>
      <c r="X18" s="30">
        <v>10</v>
      </c>
      <c r="Y18" s="30">
        <v>5</v>
      </c>
      <c r="Z18" s="31"/>
      <c r="AA18" s="32"/>
      <c r="AB18" s="33"/>
      <c r="AC18" s="33"/>
      <c r="AD18" s="33">
        <v>80500</v>
      </c>
      <c r="AE18" s="34">
        <f t="shared" si="1"/>
        <v>34.512325830653808</v>
      </c>
      <c r="AF18" s="35" cm="1">
        <f t="array" ref="AF18">INDEX('[1]Mar-24'!N:N,MATCH(CONCATENATE('4. Live Offers'!B18,"",'4. Live Offers'!E18),CONCATENATE('[1]Mar-24'!B:B,"",'[1]Mar-24'!C:C),0))</f>
        <v>80500</v>
      </c>
      <c r="AG18" s="36">
        <f t="shared" si="2"/>
        <v>0</v>
      </c>
      <c r="AI18" s="37"/>
      <c r="AJ18" s="38">
        <v>6</v>
      </c>
      <c r="AK18" s="39"/>
      <c r="AL18" s="40">
        <f t="shared" si="3"/>
        <v>-40250</v>
      </c>
      <c r="AM18" s="41">
        <f t="shared" si="4"/>
        <v>0</v>
      </c>
      <c r="AN18" s="41">
        <f t="shared" si="5"/>
        <v>6</v>
      </c>
      <c r="AO18" s="40">
        <f t="shared" si="6"/>
        <v>-40250</v>
      </c>
      <c r="AP18" s="42">
        <f t="shared" si="7"/>
        <v>17.256162915326904</v>
      </c>
      <c r="AQ18" s="43">
        <f t="shared" si="8"/>
        <v>76475</v>
      </c>
      <c r="AR18" s="44" cm="1">
        <f t="array" ref="AR18">INDEX('[1]Mar-24'!S:S,MATCH(CONCATENATE('4. Live Offers'!B18,"",'4. Live Offers'!E18),CONCATENATE('[1]Mar-24'!B:B,"",'[1]Mar-24'!C:C),0))</f>
        <v>8.5000000000000006E-2</v>
      </c>
      <c r="AS18" s="35" cm="1">
        <f t="array" ref="AS18">INDEX('[1]Mar-24'!R:R,MATCH(CONCATENATE('4. Live Offers'!B18,"",'4. Live Offers'!E18),CONCATENATE('[1]Mar-24'!B:B,"",'[1]Mar-24'!C:C),0))</f>
        <v>705491.14588800003</v>
      </c>
      <c r="AT18" s="45">
        <f t="shared" si="9"/>
        <v>11.76470588235294</v>
      </c>
      <c r="AU18" s="40">
        <f t="shared" si="10"/>
        <v>899705.88235294109</v>
      </c>
      <c r="AV18" s="46">
        <f t="shared" si="12"/>
        <v>0.27529011185602253</v>
      </c>
      <c r="AX18" s="47"/>
      <c r="AY18" s="81"/>
      <c r="AZ18" s="48"/>
      <c r="BA18" s="49">
        <f t="shared" si="11"/>
        <v>0</v>
      </c>
      <c r="BB18" s="50"/>
      <c r="BD18" s="51"/>
      <c r="BE18" s="51"/>
      <c r="BF18" s="48"/>
      <c r="BH18" s="82" t="s">
        <v>106</v>
      </c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</row>
    <row r="19" spans="2:71" ht="16.5" customHeight="1">
      <c r="B19" s="17" t="s">
        <v>107</v>
      </c>
      <c r="C19" s="84" t="str">
        <f>INDEX('[1]2. Asset Dashboard'!E:E,MATCH('4. Live Offers'!B19,'[1]2. Asset Dashboard'!C:C,0))</f>
        <v>London</v>
      </c>
      <c r="D19" s="19"/>
      <c r="E19" s="19" t="s">
        <v>108</v>
      </c>
      <c r="F19" s="20" cm="1">
        <f t="array" ref="F19">IF(INDEX('[1]3. Unit-Level Index'!H:H,MATCH(CONCATENATE('4. Live Offers'!B19," ",'4. Live Offers'!E19),CONCATENATE('[1]3. Unit-Level Index'!B:B," ",'[1]3. Unit-Level Index'!G:G),0))="","-",(INDEX('[1]3. Unit-Level Index'!H:H,MATCH(CONCATENATE('4. Live Offers'!B19," ",'4. Live Offers'!E19),CONCATENATE('[1]3. Unit-Level Index'!B:B," ",'[1]3. Unit-Level Index'!G:G),0))))</f>
        <v>222746004</v>
      </c>
      <c r="G19" s="21" cm="1">
        <f t="array" ref="G19">INDEX('[1]3. Unit-Level Index'!M:M,MATCH(CONCATENATE('4. Live Offers'!B19,"",'4. Live Offers'!E19),CONCATENATE('[1]3. Unit-Level Index'!B:B,"",'[1]3. Unit-Level Index'!G:G),0))</f>
        <v>2772</v>
      </c>
      <c r="H19" s="22">
        <f t="shared" si="0"/>
        <v>-0.11251699989053517</v>
      </c>
      <c r="J19" s="23" t="s">
        <v>64</v>
      </c>
      <c r="K19" s="24" t="s">
        <v>64</v>
      </c>
      <c r="L19" s="24" t="s">
        <v>64</v>
      </c>
      <c r="M19" s="24" t="s">
        <v>64</v>
      </c>
      <c r="N19" s="25"/>
      <c r="P19" s="80" t="s">
        <v>88</v>
      </c>
      <c r="Q19" s="19" t="s">
        <v>109</v>
      </c>
      <c r="R19" s="27"/>
      <c r="S19" s="19" t="s">
        <v>110</v>
      </c>
      <c r="T19" s="19" t="s">
        <v>67</v>
      </c>
      <c r="U19" s="28" t="s">
        <v>111</v>
      </c>
      <c r="V19" s="2"/>
      <c r="W19" s="29">
        <v>25</v>
      </c>
      <c r="X19" s="30">
        <v>10</v>
      </c>
      <c r="Y19" s="30">
        <v>5</v>
      </c>
      <c r="Z19" s="31" t="s">
        <v>79</v>
      </c>
      <c r="AA19" s="32">
        <v>3.35</v>
      </c>
      <c r="AB19" s="33">
        <v>15107</v>
      </c>
      <c r="AC19" s="33">
        <f>25*G19</f>
        <v>69300</v>
      </c>
      <c r="AD19" s="33">
        <v>60429.599999999999</v>
      </c>
      <c r="AE19" s="34">
        <f t="shared" si="1"/>
        <v>21.8</v>
      </c>
      <c r="AF19" s="35" cm="1">
        <f t="array" ref="AF19">INDEX('[1]Mar-24'!N:N,MATCH(CONCATENATE('4. Live Offers'!B19,"",'4. Live Offers'!E19),CONCATENATE('[1]Mar-24'!B:B,"",'[1]Mar-24'!C:C),0))</f>
        <v>68900</v>
      </c>
      <c r="AG19" s="36">
        <f t="shared" si="2"/>
        <v>-0.12293759071117563</v>
      </c>
      <c r="AI19" s="37">
        <v>6</v>
      </c>
      <c r="AJ19" s="38">
        <v>12</v>
      </c>
      <c r="AK19" s="39">
        <v>-25000</v>
      </c>
      <c r="AL19" s="40">
        <f t="shared" si="3"/>
        <v>-60429.600000000006</v>
      </c>
      <c r="AM19" s="41">
        <f t="shared" si="4"/>
        <v>4.9644545057389093</v>
      </c>
      <c r="AN19" s="41">
        <f t="shared" si="5"/>
        <v>16.96445450573891</v>
      </c>
      <c r="AO19" s="40">
        <f t="shared" si="6"/>
        <v>-85429.6</v>
      </c>
      <c r="AP19" s="42">
        <f t="shared" si="7"/>
        <v>30.818759018759021</v>
      </c>
      <c r="AQ19" s="43">
        <f t="shared" si="8"/>
        <v>51886.64</v>
      </c>
      <c r="AR19" s="44" cm="1">
        <f t="array" ref="AR19">INDEX('[1]Mar-24'!S:S,MATCH(CONCATENATE('4. Live Offers'!B19,"",'4. Live Offers'!E19),CONCATENATE('[1]Mar-24'!B:B,"",'[1]Mar-24'!C:C),0))</f>
        <v>7.4999999999999997E-2</v>
      </c>
      <c r="AS19" s="35" cm="1">
        <f t="array" ref="AS19">INDEX('[1]Mar-24'!R:R,MATCH(CONCATENATE('4. Live Offers'!B19,"",'4. Live Offers'!E19),CONCATENATE('[1]Mar-24'!B:B,"",'[1]Mar-24'!C:C),0))</f>
        <v>751847.93258999998</v>
      </c>
      <c r="AT19" s="45">
        <f t="shared" si="9"/>
        <v>12.859808591210991</v>
      </c>
      <c r="AU19" s="40">
        <f t="shared" si="10"/>
        <v>667252.25884107186</v>
      </c>
      <c r="AV19" s="46">
        <f t="shared" si="12"/>
        <v>-0.11251699989053517</v>
      </c>
      <c r="AX19" s="47">
        <v>45520</v>
      </c>
      <c r="AY19" s="48"/>
      <c r="AZ19" s="48"/>
      <c r="BA19" s="49" t="str">
        <f t="shared" si="11"/>
        <v>In Progress</v>
      </c>
      <c r="BB19" s="50">
        <v>45658</v>
      </c>
      <c r="BD19" s="51"/>
      <c r="BE19" s="51"/>
      <c r="BF19" s="48"/>
      <c r="BH19" s="52" t="s">
        <v>112</v>
      </c>
    </row>
    <row r="20" spans="2:71" ht="16.5" customHeight="1">
      <c r="B20" s="17" t="s">
        <v>90</v>
      </c>
      <c r="C20" s="84" t="str">
        <f>INDEX('[1]2. Asset Dashboard'!E:E,MATCH('4. Live Offers'!B20,'[1]2. Asset Dashboard'!C:C,0))</f>
        <v>Newbury</v>
      </c>
      <c r="D20" s="19"/>
      <c r="E20" s="19" t="s">
        <v>113</v>
      </c>
      <c r="F20" s="20" cm="1">
        <f t="array" ref="F20">IF(INDEX('[1]3. Unit-Level Index'!H:H,MATCH(CONCATENATE('4. Live Offers'!B20," ",'4. Live Offers'!E20),CONCATENATE('[1]3. Unit-Level Index'!B:B," ",'[1]3. Unit-Level Index'!G:G),0))="","-",(INDEX('[1]3. Unit-Level Index'!H:H,MATCH(CONCATENATE('4. Live Offers'!B20," ",'4. Live Offers'!E20),CONCATENATE('[1]3. Unit-Level Index'!B:B," ",'[1]3. Unit-Level Index'!G:G),0))))</f>
        <v>222698003</v>
      </c>
      <c r="G20" s="21" cm="1">
        <f t="array" ref="G20">INDEX('[1]3. Unit-Level Index'!M:M,MATCH(CONCATENATE('4. Live Offers'!B20,"",'4. Live Offers'!E20),CONCATENATE('[1]3. Unit-Level Index'!B:B,"",'[1]3. Unit-Level Index'!G:G),0))</f>
        <v>1399</v>
      </c>
      <c r="H20" s="22">
        <f t="shared" si="0"/>
        <v>-0.27838192506331072</v>
      </c>
      <c r="J20" s="23" t="s">
        <v>64</v>
      </c>
      <c r="K20" s="24" t="s">
        <v>64</v>
      </c>
      <c r="L20" s="24" t="s">
        <v>64</v>
      </c>
      <c r="M20" s="24"/>
      <c r="N20" s="25"/>
      <c r="P20" s="80" t="s">
        <v>88</v>
      </c>
      <c r="Q20" s="19" t="s">
        <v>114</v>
      </c>
      <c r="R20" s="27"/>
      <c r="S20" s="19" t="s">
        <v>93</v>
      </c>
      <c r="T20" s="19" t="s">
        <v>67</v>
      </c>
      <c r="U20" s="28" t="s">
        <v>115</v>
      </c>
      <c r="V20" s="2"/>
      <c r="W20" s="29">
        <v>15</v>
      </c>
      <c r="X20" s="30">
        <v>5</v>
      </c>
      <c r="Y20" s="30">
        <v>5</v>
      </c>
      <c r="Z20" s="31" t="s">
        <v>79</v>
      </c>
      <c r="AA20" s="32" t="s">
        <v>88</v>
      </c>
      <c r="AB20" s="33">
        <f>AD20/12*3</f>
        <v>7500</v>
      </c>
      <c r="AC20" s="33">
        <v>30000</v>
      </c>
      <c r="AD20" s="85">
        <v>30000</v>
      </c>
      <c r="AE20" s="34">
        <f t="shared" si="1"/>
        <v>21.443888491779841</v>
      </c>
      <c r="AF20" s="35" cm="1">
        <f t="array" ref="AF20">INDEX('[1]Mar-24'!N:N,MATCH(CONCATENATE('4. Live Offers'!B20,"",'4. Live Offers'!E20),CONCATENATE('[1]Mar-24'!B:B,"",'[1]Mar-24'!C:C),0))</f>
        <v>41970</v>
      </c>
      <c r="AG20" s="36">
        <f t="shared" si="2"/>
        <v>-0.28520371694067193</v>
      </c>
      <c r="AI20" s="37">
        <v>6</v>
      </c>
      <c r="AJ20" s="38">
        <v>6</v>
      </c>
      <c r="AK20" s="39">
        <v>-15000</v>
      </c>
      <c r="AL20" s="40">
        <f t="shared" si="3"/>
        <v>-15000</v>
      </c>
      <c r="AM20" s="41">
        <f t="shared" si="4"/>
        <v>6</v>
      </c>
      <c r="AN20" s="41">
        <f t="shared" si="5"/>
        <v>12</v>
      </c>
      <c r="AO20" s="40">
        <f t="shared" si="6"/>
        <v>-30000</v>
      </c>
      <c r="AP20" s="42">
        <f t="shared" si="7"/>
        <v>21.443888491779841</v>
      </c>
      <c r="AQ20" s="43">
        <f t="shared" si="8"/>
        <v>24000</v>
      </c>
      <c r="AR20" s="44" cm="1">
        <f t="array" ref="AR20">INDEX('[1]Mar-24'!S:S,MATCH(CONCATENATE('4. Live Offers'!B20,"",'4. Live Offers'!E20),CONCATENATE('[1]Mar-24'!B:B,"",'[1]Mar-24'!C:C),0))</f>
        <v>0.09</v>
      </c>
      <c r="AS20" s="35" cm="1">
        <f t="array" ref="AS20">INDEX('[1]Mar-24'!R:R,MATCH(CONCATENATE('4. Live Offers'!B20,"",'4. Live Offers'!E20),CONCATENATE('[1]Mar-24'!B:B,"",'[1]Mar-24'!C:C),0))</f>
        <v>353955.02357399999</v>
      </c>
      <c r="AT20" s="45">
        <f t="shared" si="9"/>
        <v>10.642514280235014</v>
      </c>
      <c r="AU20" s="40">
        <f t="shared" si="10"/>
        <v>255420.34272564034</v>
      </c>
      <c r="AV20" s="46">
        <f t="shared" si="12"/>
        <v>-0.27838192506331072</v>
      </c>
      <c r="AX20" s="47">
        <v>45583</v>
      </c>
      <c r="AY20" s="48"/>
      <c r="AZ20" s="48" t="s">
        <v>116</v>
      </c>
      <c r="BA20" s="49" t="str">
        <f t="shared" si="11"/>
        <v>In Progress</v>
      </c>
      <c r="BB20" s="50">
        <v>45690</v>
      </c>
      <c r="BD20" s="51"/>
      <c r="BE20" s="51"/>
      <c r="BF20" s="48"/>
      <c r="BH20" s="52" t="s">
        <v>117</v>
      </c>
    </row>
    <row r="21" spans="2:71" ht="16.5" customHeight="1">
      <c r="B21" s="17" t="s">
        <v>63</v>
      </c>
      <c r="C21" s="84" t="str">
        <f>INDEX('[1]2. Asset Dashboard'!E:E,MATCH('4. Live Offers'!B21,'[1]2. Asset Dashboard'!C:C,0))</f>
        <v>London</v>
      </c>
      <c r="D21" s="19"/>
      <c r="E21" s="19">
        <v>1</v>
      </c>
      <c r="F21" s="20" cm="1">
        <f t="array" ref="F21">IF(INDEX('[1]3. Unit-Level Index'!H:H,MATCH(CONCATENATE('4. Live Offers'!B21," ",'4. Live Offers'!E21),CONCATENATE('[1]3. Unit-Level Index'!B:B," ",'[1]3. Unit-Level Index'!G:G),0))="","-",(INDEX('[1]3. Unit-Level Index'!H:H,MATCH(CONCATENATE('4. Live Offers'!B21," ",'4. Live Offers'!E21),CONCATENATE('[1]3. Unit-Level Index'!B:B," ",'[1]3. Unit-Level Index'!G:G),0))))</f>
        <v>900005001</v>
      </c>
      <c r="G21" s="21" cm="1">
        <f t="array" ref="G21">INDEX('[1]3. Unit-Level Index'!M:M,MATCH(CONCATENATE('4. Live Offers'!B21,"",'4. Live Offers'!E21),CONCATENATE('[1]3. Unit-Level Index'!B:B,"",'[1]3. Unit-Level Index'!G:G),0))</f>
        <v>2250</v>
      </c>
      <c r="H21" s="22">
        <f t="shared" si="0"/>
        <v>0.47584568460892956</v>
      </c>
      <c r="J21" s="23" t="s">
        <v>64</v>
      </c>
      <c r="K21" s="24" t="s">
        <v>64</v>
      </c>
      <c r="L21" s="24" t="s">
        <v>64</v>
      </c>
      <c r="M21" s="24" t="s">
        <v>64</v>
      </c>
      <c r="N21" s="25" t="s">
        <v>64</v>
      </c>
      <c r="P21" s="26">
        <v>45464</v>
      </c>
      <c r="Q21" s="19" t="s">
        <v>118</v>
      </c>
      <c r="R21" s="27"/>
      <c r="S21" s="19" t="s">
        <v>66</v>
      </c>
      <c r="T21" s="19" t="s">
        <v>119</v>
      </c>
      <c r="U21" s="28" t="s">
        <v>120</v>
      </c>
      <c r="V21" s="2"/>
      <c r="W21" s="29">
        <v>25</v>
      </c>
      <c r="X21" s="30">
        <v>10</v>
      </c>
      <c r="Y21" s="30">
        <v>5</v>
      </c>
      <c r="Z21" s="31" t="s">
        <v>79</v>
      </c>
      <c r="AA21" s="32"/>
      <c r="AB21" s="33">
        <v>26000</v>
      </c>
      <c r="AC21" s="33"/>
      <c r="AD21" s="85">
        <v>52000</v>
      </c>
      <c r="AE21" s="34">
        <f t="shared" si="1"/>
        <v>23.111111111111111</v>
      </c>
      <c r="AF21" s="35" cm="1">
        <f t="array" ref="AF21">INDEX('[1]Mar-24'!N:N,MATCH(CONCATENATE('4. Live Offers'!B21,"",'4. Live Offers'!E21),CONCATENATE('[1]Mar-24'!B:B,"",'[1]Mar-24'!C:C),0))</f>
        <v>51731.25</v>
      </c>
      <c r="AG21" s="36">
        <f t="shared" si="2"/>
        <v>5.1951190044702182E-3</v>
      </c>
      <c r="AI21" s="37">
        <v>3</v>
      </c>
      <c r="AJ21" s="38">
        <v>6</v>
      </c>
      <c r="AK21" s="39">
        <v>0</v>
      </c>
      <c r="AL21" s="40">
        <f t="shared" si="3"/>
        <v>-26000</v>
      </c>
      <c r="AM21" s="41">
        <f t="shared" si="4"/>
        <v>0</v>
      </c>
      <c r="AN21" s="41">
        <f t="shared" si="5"/>
        <v>6</v>
      </c>
      <c r="AO21" s="40">
        <f t="shared" si="6"/>
        <v>-26000</v>
      </c>
      <c r="AP21" s="42">
        <f t="shared" si="7"/>
        <v>11.555555555555555</v>
      </c>
      <c r="AQ21" s="43">
        <f t="shared" si="8"/>
        <v>49400</v>
      </c>
      <c r="AR21" s="44" cm="1">
        <f t="array" ref="AR21">INDEX('[1]Mar-24'!S:S,MATCH(CONCATENATE('4. Live Offers'!B21,"",'4. Live Offers'!E21),CONCATENATE('[1]Mar-24'!B:B,"",'[1]Mar-24'!C:C),0))</f>
        <v>7.4999999999999997E-2</v>
      </c>
      <c r="AS21" s="35" cm="1">
        <f t="array" ref="AS21">INDEX('[1]Mar-24'!R:R,MATCH(CONCATENATE('4. Live Offers'!B21,"",'4. Live Offers'!E21),CONCATENATE('[1]Mar-24'!B:B,"",'[1]Mar-24'!C:C),0))</f>
        <v>438301.15966900002</v>
      </c>
      <c r="AT21" s="45">
        <f t="shared" si="9"/>
        <v>13.0944306691616</v>
      </c>
      <c r="AU21" s="40">
        <f t="shared" si="10"/>
        <v>646864.87505658309</v>
      </c>
      <c r="AV21" s="46">
        <f t="shared" si="12"/>
        <v>0.47584568460892956</v>
      </c>
      <c r="AX21" s="47">
        <v>45464</v>
      </c>
      <c r="AY21" s="48"/>
      <c r="AZ21" s="48"/>
      <c r="BA21" s="49" t="str">
        <f t="shared" si="11"/>
        <v>In Progress</v>
      </c>
      <c r="BB21" s="50">
        <v>45689</v>
      </c>
      <c r="BD21" s="51" t="s">
        <v>121</v>
      </c>
      <c r="BE21" s="51" t="s">
        <v>122</v>
      </c>
      <c r="BF21" s="48" t="s">
        <v>123</v>
      </c>
      <c r="BH21" s="52" t="s">
        <v>124</v>
      </c>
    </row>
    <row r="22" spans="2:71" ht="16.5" customHeight="1">
      <c r="B22" s="17" t="s">
        <v>63</v>
      </c>
      <c r="C22" s="84" t="str">
        <f>INDEX('[1]2. Asset Dashboard'!E:E,MATCH('4. Live Offers'!B22,'[1]2. Asset Dashboard'!C:C,0))</f>
        <v>London</v>
      </c>
      <c r="D22" s="19"/>
      <c r="E22" s="19">
        <v>3</v>
      </c>
      <c r="F22" s="20" cm="1">
        <f t="array" ref="F22">IF(INDEX('[1]3. Unit-Level Index'!H:H,MATCH(CONCATENATE('4. Live Offers'!B22," ",'4. Live Offers'!E22),CONCATENATE('[1]3. Unit-Level Index'!B:B," ",'[1]3. Unit-Level Index'!G:G),0))="","-",(INDEX('[1]3. Unit-Level Index'!H:H,MATCH(CONCATENATE('4. Live Offers'!B22," ",'4. Live Offers'!E22),CONCATENATE('[1]3. Unit-Level Index'!B:B," ",'[1]3. Unit-Level Index'!G:G),0))))</f>
        <v>900005003</v>
      </c>
      <c r="G22" s="21" cm="1">
        <f t="array" ref="G22">INDEX('[1]3. Unit-Level Index'!M:M,MATCH(CONCATENATE('4. Live Offers'!B22,"",'4. Live Offers'!E22),CONCATENATE('[1]3. Unit-Level Index'!B:B,"",'[1]3. Unit-Level Index'!G:G),0))</f>
        <v>904</v>
      </c>
      <c r="H22" s="22">
        <f t="shared" si="0"/>
        <v>0.87677830776910903</v>
      </c>
      <c r="J22" s="23" t="s">
        <v>64</v>
      </c>
      <c r="K22" s="24" t="s">
        <v>64</v>
      </c>
      <c r="L22" s="24" t="s">
        <v>64</v>
      </c>
      <c r="M22" s="24" t="s">
        <v>64</v>
      </c>
      <c r="N22" s="25" t="s">
        <v>64</v>
      </c>
      <c r="P22" s="26">
        <v>45464</v>
      </c>
      <c r="Q22" s="19" t="s">
        <v>118</v>
      </c>
      <c r="R22" s="27"/>
      <c r="S22" s="19" t="s">
        <v>66</v>
      </c>
      <c r="T22" s="19" t="s">
        <v>119</v>
      </c>
      <c r="U22" s="28" t="s">
        <v>120</v>
      </c>
      <c r="V22" s="2"/>
      <c r="W22" s="29">
        <v>25</v>
      </c>
      <c r="X22" s="30">
        <v>10</v>
      </c>
      <c r="Y22" s="30">
        <v>5</v>
      </c>
      <c r="Z22" s="31" t="s">
        <v>79</v>
      </c>
      <c r="AA22" s="32"/>
      <c r="AB22" s="33">
        <v>13000</v>
      </c>
      <c r="AC22" s="33"/>
      <c r="AD22" s="85">
        <v>26000</v>
      </c>
      <c r="AE22" s="34">
        <f t="shared" si="1"/>
        <v>28.761061946902654</v>
      </c>
      <c r="AF22" s="35" cm="1">
        <f t="array" ref="AF22">INDEX('[1]Mar-24'!N:N,MATCH(CONCATENATE('4. Live Offers'!B22,"",'4. Live Offers'!E22),CONCATENATE('[1]Mar-24'!B:B,"",'[1]Mar-24'!C:C),0))</f>
        <v>20340</v>
      </c>
      <c r="AG22" s="36">
        <f t="shared" si="2"/>
        <v>0.27826941986234022</v>
      </c>
      <c r="AI22" s="37">
        <v>3</v>
      </c>
      <c r="AJ22" s="38">
        <v>6</v>
      </c>
      <c r="AK22" s="39">
        <v>0</v>
      </c>
      <c r="AL22" s="40">
        <f t="shared" si="3"/>
        <v>-13000</v>
      </c>
      <c r="AM22" s="41">
        <f t="shared" si="4"/>
        <v>0</v>
      </c>
      <c r="AN22" s="41">
        <f t="shared" si="5"/>
        <v>6</v>
      </c>
      <c r="AO22" s="40">
        <f t="shared" si="6"/>
        <v>-13000</v>
      </c>
      <c r="AP22" s="42">
        <f t="shared" si="7"/>
        <v>14.380530973451327</v>
      </c>
      <c r="AQ22" s="43">
        <f t="shared" si="8"/>
        <v>24700</v>
      </c>
      <c r="AR22" s="44" cm="1">
        <f t="array" ref="AR22">INDEX('[1]Mar-24'!S:S,MATCH(CONCATENATE('4. Live Offers'!B22,"",'4. Live Offers'!E22),CONCATENATE('[1]Mar-24'!B:B,"",'[1]Mar-24'!C:C),0))</f>
        <v>7.4999999999999997E-2</v>
      </c>
      <c r="AS22" s="35" cm="1">
        <f t="array" ref="AS22">INDEX('[1]Mar-24'!R:R,MATCH(CONCATENATE('4. Live Offers'!B22,"",'4. Live Offers'!E22),CONCATENATE('[1]Mar-24'!B:B,"",'[1]Mar-24'!C:C),0))</f>
        <v>172333.853279</v>
      </c>
      <c r="AT22" s="45">
        <f t="shared" si="9"/>
        <v>13.0944306691616</v>
      </c>
      <c r="AU22" s="40">
        <f t="shared" si="10"/>
        <v>323432.43752829154</v>
      </c>
      <c r="AV22" s="46">
        <f t="shared" si="12"/>
        <v>0.87677830776910903</v>
      </c>
      <c r="AX22" s="47">
        <v>45464</v>
      </c>
      <c r="AY22" s="48"/>
      <c r="AZ22" s="48"/>
      <c r="BA22" s="49" t="str">
        <f t="shared" si="11"/>
        <v>In Progress</v>
      </c>
      <c r="BB22" s="50">
        <v>45689</v>
      </c>
      <c r="BD22" s="51" t="s">
        <v>121</v>
      </c>
      <c r="BE22" s="51" t="s">
        <v>122</v>
      </c>
      <c r="BF22" s="48" t="s">
        <v>123</v>
      </c>
      <c r="BH22" s="52" t="s">
        <v>125</v>
      </c>
    </row>
    <row r="23" spans="2:71" ht="16.5" customHeight="1">
      <c r="B23" s="17" t="s">
        <v>126</v>
      </c>
      <c r="C23" s="84" t="str">
        <f>INDEX('[1]2. Asset Dashboard'!E:E,MATCH('4. Live Offers'!B23,'[1]2. Asset Dashboard'!C:C,0))</f>
        <v>Newcastle</v>
      </c>
      <c r="D23" s="19"/>
      <c r="E23" s="19">
        <v>1</v>
      </c>
      <c r="F23" s="20" cm="1">
        <f t="array" ref="F23">IF(INDEX('[1]3. Unit-Level Index'!H:H,MATCH(CONCATENATE('4. Live Offers'!B23," ",'4. Live Offers'!E23),CONCATENATE('[1]3. Unit-Level Index'!B:B," ",'[1]3. Unit-Level Index'!G:G),0))="","-",(INDEX('[1]3. Unit-Level Index'!H:H,MATCH(CONCATENATE('4. Live Offers'!B23," ",'4. Live Offers'!E23),CONCATENATE('[1]3. Unit-Level Index'!B:B," ",'[1]3. Unit-Level Index'!G:G),0))))</f>
        <v>222675001</v>
      </c>
      <c r="G23" s="21" cm="1">
        <f t="array" ref="G23">INDEX('[1]3. Unit-Level Index'!M:M,MATCH(CONCATENATE('4. Live Offers'!B23,"",'4. Live Offers'!E23),CONCATENATE('[1]3. Unit-Level Index'!B:B,"",'[1]3. Unit-Level Index'!G:G),0))</f>
        <v>2901</v>
      </c>
      <c r="H23" s="22">
        <f t="shared" si="0"/>
        <v>-7.7646833823011921E-2</v>
      </c>
      <c r="J23" s="23" t="s">
        <v>64</v>
      </c>
      <c r="K23" s="24" t="s">
        <v>64</v>
      </c>
      <c r="L23" s="24" t="s">
        <v>64</v>
      </c>
      <c r="M23" s="24"/>
      <c r="N23" s="25" t="s">
        <v>64</v>
      </c>
      <c r="P23" s="26">
        <v>45457</v>
      </c>
      <c r="Q23" s="19" t="s">
        <v>127</v>
      </c>
      <c r="R23" s="27"/>
      <c r="S23" s="19" t="s">
        <v>128</v>
      </c>
      <c r="T23" s="19" t="s">
        <v>119</v>
      </c>
      <c r="U23" s="28" t="s">
        <v>129</v>
      </c>
      <c r="V23" s="2"/>
      <c r="W23" s="29">
        <v>10</v>
      </c>
      <c r="X23" s="30">
        <v>10</v>
      </c>
      <c r="Y23" s="30">
        <v>5</v>
      </c>
      <c r="Z23" s="31" t="s">
        <v>79</v>
      </c>
      <c r="AA23" s="32">
        <v>0</v>
      </c>
      <c r="AB23" s="33">
        <f>AD23/12*6</f>
        <v>14500</v>
      </c>
      <c r="AC23" s="33">
        <v>29950</v>
      </c>
      <c r="AD23" s="85">
        <v>29000</v>
      </c>
      <c r="AE23" s="34">
        <f t="shared" si="1"/>
        <v>9.9965529127886938</v>
      </c>
      <c r="AF23" s="35" cm="1">
        <f t="array" ref="AF23">INDEX('[1]Mar-24'!N:N,MATCH(CONCATENATE('4. Live Offers'!B23,"",'4. Live Offers'!E23),CONCATENATE('[1]Mar-24'!B:B,"",'[1]Mar-24'!C:C),0))</f>
        <v>29010</v>
      </c>
      <c r="AG23" s="36">
        <f t="shared" si="2"/>
        <v>-3.4470872113064461E-4</v>
      </c>
      <c r="AI23" s="37">
        <v>6</v>
      </c>
      <c r="AJ23" s="38">
        <v>8</v>
      </c>
      <c r="AK23" s="39">
        <v>-80000</v>
      </c>
      <c r="AL23" s="40">
        <f t="shared" si="3"/>
        <v>-19333.333333333332</v>
      </c>
      <c r="AM23" s="41">
        <f t="shared" si="4"/>
        <v>33.103448275862071</v>
      </c>
      <c r="AN23" s="41">
        <f t="shared" si="5"/>
        <v>41.103448275862071</v>
      </c>
      <c r="AO23" s="40">
        <f t="shared" si="6"/>
        <v>-99333.333333333328</v>
      </c>
      <c r="AP23" s="42">
        <f t="shared" si="7"/>
        <v>34.241066298977366</v>
      </c>
      <c r="AQ23" s="43">
        <f t="shared" si="8"/>
        <v>19066.666666666668</v>
      </c>
      <c r="AR23" s="86">
        <v>0.09</v>
      </c>
      <c r="AS23" s="35" cm="1">
        <f t="array" ref="AS23">INDEX('[1]Mar-24'!R:R,MATCH(CONCATENATE('4. Live Offers'!B23,"",'4. Live Offers'!E23),CONCATENATE('[1]Mar-24'!B:B,"",'[1]Mar-24'!C:C),0))</f>
        <v>219999.54</v>
      </c>
      <c r="AT23" s="45">
        <f t="shared" si="9"/>
        <v>10.642514280235014</v>
      </c>
      <c r="AU23" s="40">
        <f t="shared" si="10"/>
        <v>202917.27227648094</v>
      </c>
      <c r="AV23" s="46">
        <f t="shared" si="12"/>
        <v>-7.7646833823011921E-2</v>
      </c>
      <c r="AX23" s="47"/>
      <c r="AY23" s="48"/>
      <c r="AZ23" s="48"/>
      <c r="BA23" s="49" t="s">
        <v>130</v>
      </c>
      <c r="BB23" s="50">
        <v>45627</v>
      </c>
      <c r="BD23" s="51"/>
      <c r="BE23" s="51"/>
      <c r="BF23" s="48"/>
      <c r="BH23" s="52" t="s">
        <v>131</v>
      </c>
    </row>
    <row r="24" spans="2:71" ht="16.5" customHeight="1">
      <c r="B24" s="17" t="s">
        <v>85</v>
      </c>
      <c r="C24" s="84" t="str">
        <f>INDEX('[1]2. Asset Dashboard'!E:E,MATCH('4. Live Offers'!B24,'[1]2. Asset Dashboard'!C:C,0))</f>
        <v>Bristol</v>
      </c>
      <c r="D24" s="19"/>
      <c r="E24" s="19">
        <v>1.1000000000000001</v>
      </c>
      <c r="F24" s="20" cm="1">
        <f t="array" ref="F24">IF(INDEX('[1]3. Unit-Level Index'!H:H,MATCH(CONCATENATE('4. Live Offers'!B24," ",'4. Live Offers'!E24),CONCATENATE('[1]3. Unit-Level Index'!B:B," ",'[1]3. Unit-Level Index'!G:G),0))="","-",(INDEX('[1]3. Unit-Level Index'!H:H,MATCH(CONCATENATE('4. Live Offers'!B24," ",'4. Live Offers'!E24),CONCATENATE('[1]3. Unit-Level Index'!B:B," ",'[1]3. Unit-Level Index'!G:G),0))))</f>
        <v>222707001</v>
      </c>
      <c r="G24" s="87" cm="1">
        <f t="array" ref="G24">INDEX('[1]3. Unit-Level Index'!M:M,MATCH(CONCATENATE('4. Live Offers'!B24,"",'4. Live Offers'!E24),CONCATENATE('[1]3. Unit-Level Index'!B:B,"",'[1]3. Unit-Level Index'!G:G),0))</f>
        <v>1452</v>
      </c>
      <c r="H24" s="22">
        <f t="shared" si="0"/>
        <v>0.15072902292014961</v>
      </c>
      <c r="J24" s="23" t="s">
        <v>64</v>
      </c>
      <c r="K24" s="24" t="s">
        <v>64</v>
      </c>
      <c r="L24" s="24" t="s">
        <v>64</v>
      </c>
      <c r="M24" s="24"/>
      <c r="N24" s="25"/>
      <c r="P24" s="26">
        <v>45552</v>
      </c>
      <c r="Q24" s="19" t="s">
        <v>132</v>
      </c>
      <c r="R24" s="27"/>
      <c r="S24" s="19" t="s">
        <v>87</v>
      </c>
      <c r="T24" s="19" t="s">
        <v>67</v>
      </c>
      <c r="U24" s="28" t="s">
        <v>133</v>
      </c>
      <c r="V24" s="2"/>
      <c r="W24" s="29">
        <v>15</v>
      </c>
      <c r="X24" s="30">
        <v>15</v>
      </c>
      <c r="Y24" s="30">
        <v>5</v>
      </c>
      <c r="Z24" s="31" t="s">
        <v>79</v>
      </c>
      <c r="AA24" s="32" t="s">
        <v>88</v>
      </c>
      <c r="AB24" s="33">
        <v>8000</v>
      </c>
      <c r="AC24" s="33"/>
      <c r="AD24" s="85">
        <v>33733</v>
      </c>
      <c r="AE24" s="34">
        <f t="shared" si="1"/>
        <v>23.232093663911847</v>
      </c>
      <c r="AF24" s="35" cm="1">
        <f t="array" ref="AF24">INDEX('[1]Mar-24'!N:N,MATCH(CONCATENATE('4. Live Offers'!B24,"",'4. Live Offers'!E24),CONCATENATE('[1]Mar-24'!B:B,"",'[1]Mar-24'!C:C),0))</f>
        <v>36300</v>
      </c>
      <c r="AG24" s="36">
        <f t="shared" si="2"/>
        <v>-7.0716253443526167E-2</v>
      </c>
      <c r="AI24" s="37">
        <v>3</v>
      </c>
      <c r="AJ24" s="38">
        <v>6</v>
      </c>
      <c r="AK24" s="39">
        <v>0</v>
      </c>
      <c r="AL24" s="40">
        <f t="shared" si="3"/>
        <v>-16866.5</v>
      </c>
      <c r="AM24" s="41">
        <f t="shared" si="4"/>
        <v>0</v>
      </c>
      <c r="AN24" s="41">
        <f t="shared" si="5"/>
        <v>6</v>
      </c>
      <c r="AO24" s="40">
        <f t="shared" si="6"/>
        <v>-16866.5</v>
      </c>
      <c r="AP24" s="42">
        <f t="shared" si="7"/>
        <v>11.616046831955924</v>
      </c>
      <c r="AQ24" s="43">
        <f t="shared" si="8"/>
        <v>32608.566666666666</v>
      </c>
      <c r="AR24" s="44" cm="1">
        <f t="array" ref="AR24">INDEX('[1]Mar-24'!S:S,MATCH(CONCATENATE('4. Live Offers'!B24,"",'4. Live Offers'!E24),CONCATENATE('[1]Mar-24'!B:B,"",'[1]Mar-24'!C:C),0))</f>
        <v>8.2500000000000004E-2</v>
      </c>
      <c r="AS24" s="88" cm="1">
        <f t="array" ref="AS24">INDEX('[1]Mar-24'!R:R,MATCH(CONCATENATE('4. Live Offers'!B24,"",'4. Live Offers'!E24),CONCATENATE('[1]Mar-24'!B:B,"",'[1]Mar-24'!C:C),0))</f>
        <v>336742.33419800003</v>
      </c>
      <c r="AT24" s="45">
        <f t="shared" si="9"/>
        <v>11.883355106301771</v>
      </c>
      <c r="AU24" s="40">
        <f t="shared" si="10"/>
        <v>387499.17720751505</v>
      </c>
      <c r="AV24" s="46">
        <f t="shared" si="12"/>
        <v>0.15072902292014961</v>
      </c>
      <c r="AX24" s="47">
        <v>45576</v>
      </c>
      <c r="AY24" s="48"/>
      <c r="AZ24" s="48"/>
      <c r="BA24" s="49" t="s">
        <v>130</v>
      </c>
      <c r="BB24" s="50">
        <v>45689</v>
      </c>
      <c r="BD24" s="51"/>
      <c r="BE24" s="51"/>
      <c r="BF24" s="48"/>
      <c r="BH24" s="52" t="s">
        <v>134</v>
      </c>
    </row>
    <row r="25" spans="2:71" ht="16.5" customHeight="1">
      <c r="B25" s="17" t="s">
        <v>135</v>
      </c>
      <c r="C25" s="84" t="str">
        <f>INDEX('[1]2. Asset Dashboard'!E:E,MATCH('4. Live Offers'!B25,'[1]2. Asset Dashboard'!C:C,0))</f>
        <v>Milton Keynes</v>
      </c>
      <c r="D25" s="19"/>
      <c r="E25" s="19">
        <v>1</v>
      </c>
      <c r="F25" s="20" cm="1">
        <f t="array" ref="F25">IF(INDEX('[1]3. Unit-Level Index'!H:H,MATCH(CONCATENATE('4. Live Offers'!B25," ",'4. Live Offers'!E25),CONCATENATE('[1]3. Unit-Level Index'!B:B," ",'[1]3. Unit-Level Index'!G:G),0))="","-",(INDEX('[1]3. Unit-Level Index'!H:H,MATCH(CONCATENATE('4. Live Offers'!B25," ",'4. Live Offers'!E25),CONCATENATE('[1]3. Unit-Level Index'!B:B," ",'[1]3. Unit-Level Index'!G:G),0))))</f>
        <v>222711001</v>
      </c>
      <c r="G25" s="87" cm="1">
        <f t="array" ref="G25">INDEX('[1]3. Unit-Level Index'!M:M,MATCH(CONCATENATE('4. Live Offers'!B25,"",'4. Live Offers'!E25),CONCATENATE('[1]3. Unit-Level Index'!B:B,"",'[1]3. Unit-Level Index'!G:G),0))</f>
        <v>5489</v>
      </c>
      <c r="H25" s="22">
        <f t="shared" si="0"/>
        <v>0.51200648031135909</v>
      </c>
      <c r="J25" s="23" t="s">
        <v>64</v>
      </c>
      <c r="K25" s="23" t="s">
        <v>64</v>
      </c>
      <c r="L25" s="24" t="s">
        <v>64</v>
      </c>
      <c r="M25" s="24" t="s">
        <v>64</v>
      </c>
      <c r="N25" s="25" t="s">
        <v>64</v>
      </c>
      <c r="P25" s="26">
        <v>45489</v>
      </c>
      <c r="Q25" s="19" t="s">
        <v>136</v>
      </c>
      <c r="R25" s="27"/>
      <c r="S25" s="19" t="s">
        <v>137</v>
      </c>
      <c r="T25" s="19"/>
      <c r="U25" s="28" t="s">
        <v>73</v>
      </c>
      <c r="V25" s="2"/>
      <c r="W25" s="29">
        <v>15</v>
      </c>
      <c r="X25" s="30">
        <v>15</v>
      </c>
      <c r="Y25" s="30">
        <v>5</v>
      </c>
      <c r="Z25" s="31" t="s">
        <v>79</v>
      </c>
      <c r="AA25" s="32" t="s">
        <v>88</v>
      </c>
      <c r="AB25" s="33">
        <v>60379</v>
      </c>
      <c r="AC25" s="33"/>
      <c r="AD25" s="85">
        <v>137225</v>
      </c>
      <c r="AE25" s="34">
        <f t="shared" si="1"/>
        <v>25</v>
      </c>
      <c r="AF25" s="35" cm="1">
        <f t="array" ref="AF25">INDEX('[1]Mar-24'!N:N,MATCH(CONCATENATE('4. Live Offers'!B25,"",'4. Live Offers'!E25),CONCATENATE('[1]Mar-24'!B:B,"",'[1]Mar-24'!C:C),0))</f>
        <v>109780</v>
      </c>
      <c r="AG25" s="36">
        <f t="shared" si="2"/>
        <v>0.25</v>
      </c>
      <c r="AI25" s="37">
        <v>2</v>
      </c>
      <c r="AJ25" s="38">
        <v>17</v>
      </c>
      <c r="AK25" s="39">
        <v>0</v>
      </c>
      <c r="AL25" s="40">
        <f t="shared" si="3"/>
        <v>-194402.08333333331</v>
      </c>
      <c r="AM25" s="41">
        <f t="shared" si="4"/>
        <v>0</v>
      </c>
      <c r="AN25" s="41">
        <f t="shared" si="5"/>
        <v>17</v>
      </c>
      <c r="AO25" s="40">
        <f t="shared" si="6"/>
        <v>-194402.08333333331</v>
      </c>
      <c r="AP25" s="42">
        <f t="shared" si="7"/>
        <v>35.416666666666664</v>
      </c>
      <c r="AQ25" s="43">
        <f t="shared" si="8"/>
        <v>124264.86111111111</v>
      </c>
      <c r="AR25" s="86">
        <v>8.5000000000000006E-2</v>
      </c>
      <c r="AS25" s="88" cm="1">
        <f t="array" ref="AS25">INDEX('[1]Mar-24'!R:R,MATCH(CONCATENATE('4. Live Offers'!B25,"",'4. Live Offers'!E25),CONCATENATE('[1]Mar-24'!B:B,"",'[1]Mar-24'!C:C),0))</f>
        <v>953829.61863299995</v>
      </c>
      <c r="AT25" s="45">
        <f t="shared" si="9"/>
        <v>11.605827677998786</v>
      </c>
      <c r="AU25" s="40">
        <f t="shared" si="10"/>
        <v>1442196.5644860081</v>
      </c>
      <c r="AV25" s="46">
        <f t="shared" si="12"/>
        <v>0.51200648031135909</v>
      </c>
      <c r="AX25" s="47">
        <v>45488</v>
      </c>
      <c r="AY25" s="48"/>
      <c r="AZ25" s="48"/>
      <c r="BA25" s="49" t="str">
        <f>IFERROR(DATEDIF(AX25,AY25,"m"),"In Progress")</f>
        <v>In Progress</v>
      </c>
      <c r="BB25" s="50">
        <v>45689</v>
      </c>
      <c r="BD25" s="51"/>
      <c r="BE25" s="51"/>
      <c r="BF25" s="48"/>
      <c r="BH25" s="52" t="s">
        <v>138</v>
      </c>
    </row>
    <row r="26" spans="2:71" ht="16.5" customHeight="1">
      <c r="B26" s="17" t="s">
        <v>139</v>
      </c>
      <c r="C26" s="84" t="str">
        <f>INDEX('[1]2. Asset Dashboard'!E:E,MATCH('4. Live Offers'!B26,'[1]2. Asset Dashboard'!C:C,0))</f>
        <v>London</v>
      </c>
      <c r="D26" s="19"/>
      <c r="E26" s="19">
        <v>1</v>
      </c>
      <c r="F26" s="20" t="str" cm="1">
        <f t="array" ref="F26">IF(INDEX('[1]3. Unit-Level Index'!H:H,MATCH(CONCATENATE('4. Live Offers'!B26," ",'4. Live Offers'!E26),CONCATENATE('[1]3. Unit-Level Index'!B:B," ",'[1]3. Unit-Level Index'!G:G),0))="","-",(INDEX('[1]3. Unit-Level Index'!H:H,MATCH(CONCATENATE('4. Live Offers'!B26," ",'4. Live Offers'!E26),CONCATENATE('[1]3. Unit-Level Index'!B:B," ",'[1]3. Unit-Level Index'!G:G),0))))</f>
        <v>-</v>
      </c>
      <c r="G26" s="87" cm="1">
        <f t="array" ref="G26">INDEX('[1]3. Unit-Level Index'!M:M,MATCH(CONCATENATE('4. Live Offers'!B26,"",'4. Live Offers'!E26),CONCATENATE('[1]3. Unit-Level Index'!B:B,"",'[1]3. Unit-Level Index'!G:G),0))</f>
        <v>1159</v>
      </c>
      <c r="H26" s="22">
        <f t="shared" si="0"/>
        <v>0.28039401456884283</v>
      </c>
      <c r="J26" s="23" t="s">
        <v>64</v>
      </c>
      <c r="K26" s="24"/>
      <c r="L26" s="24"/>
      <c r="M26" s="24"/>
      <c r="N26" s="25"/>
      <c r="P26" s="80"/>
      <c r="Q26" s="19" t="s">
        <v>140</v>
      </c>
      <c r="R26" s="27"/>
      <c r="S26" s="19" t="s">
        <v>141</v>
      </c>
      <c r="T26" s="19"/>
      <c r="U26" s="28" t="s">
        <v>142</v>
      </c>
      <c r="V26" s="2"/>
      <c r="W26" s="29">
        <v>15</v>
      </c>
      <c r="X26" s="30">
        <v>15</v>
      </c>
      <c r="Y26" s="30">
        <v>5</v>
      </c>
      <c r="Z26" s="31" t="s">
        <v>79</v>
      </c>
      <c r="AA26" s="32" t="s">
        <v>88</v>
      </c>
      <c r="AB26" s="33">
        <v>14500</v>
      </c>
      <c r="AC26" s="33">
        <v>29000</v>
      </c>
      <c r="AD26" s="85">
        <v>29000</v>
      </c>
      <c r="AE26" s="34">
        <f t="shared" si="1"/>
        <v>25.021570319240723</v>
      </c>
      <c r="AF26" s="88" cm="1">
        <f t="array" ref="AF26">INDEX('[1]Mar-24'!N:N,MATCH(CONCATENATE('4. Live Offers'!B26,"",'4. Live Offers'!E26),CONCATENATE('[1]Mar-24'!B:B,"",'[1]Mar-24'!C:C),0))</f>
        <v>26078</v>
      </c>
      <c r="AG26" s="36">
        <f t="shared" si="2"/>
        <v>0.11204846997469131</v>
      </c>
      <c r="AI26" s="37">
        <v>3</v>
      </c>
      <c r="AJ26" s="38">
        <v>8</v>
      </c>
      <c r="AK26" s="39">
        <v>0</v>
      </c>
      <c r="AL26" s="40">
        <f t="shared" si="3"/>
        <v>-19333.333333333332</v>
      </c>
      <c r="AM26" s="41">
        <f t="shared" si="4"/>
        <v>0</v>
      </c>
      <c r="AN26" s="41">
        <f t="shared" si="5"/>
        <v>8</v>
      </c>
      <c r="AO26" s="40">
        <f t="shared" si="6"/>
        <v>-19333.333333333332</v>
      </c>
      <c r="AP26" s="42">
        <f t="shared" si="7"/>
        <v>16.681046879493817</v>
      </c>
      <c r="AQ26" s="43">
        <f t="shared" si="8"/>
        <v>27711.111111111113</v>
      </c>
      <c r="AR26" s="44" cm="1">
        <f t="array" ref="AR26">INDEX('[1]Mar-24'!S:S,MATCH(CONCATENATE('4. Live Offers'!B26,"",'4. Live Offers'!E26),CONCATENATE('[1]Mar-24'!B:B,"",'[1]Mar-24'!C:C),0))</f>
        <v>7.7499999999999999E-2</v>
      </c>
      <c r="AS26" s="88" cm="1">
        <f t="array" ref="AS26">INDEX('[1]Mar-24'!R:R,MATCH(CONCATENATE('4. Live Offers'!B26,"",'4. Live Offers'!E26),CONCATENATE('[1]Mar-24'!B:B,"",'[1]Mar-24'!C:C),0))</f>
        <v>274097</v>
      </c>
      <c r="AT26" s="45">
        <f t="shared" si="9"/>
        <v>12.664672910591358</v>
      </c>
      <c r="AU26" s="40">
        <f t="shared" si="10"/>
        <v>350952.15821127611</v>
      </c>
      <c r="AV26" s="46">
        <f t="shared" si="12"/>
        <v>0.28039401456884283</v>
      </c>
      <c r="AX26" s="47"/>
      <c r="AY26" s="48"/>
      <c r="AZ26" s="48"/>
      <c r="BA26" s="49"/>
      <c r="BB26" s="50"/>
      <c r="BD26" s="51"/>
      <c r="BE26" s="51"/>
      <c r="BF26" s="48"/>
      <c r="BH26" s="52"/>
    </row>
    <row r="27" spans="2:71" ht="16.5" customHeight="1">
      <c r="B27" s="17" t="s">
        <v>143</v>
      </c>
      <c r="C27" s="84" t="str">
        <f>INDEX('[1]2. Asset Dashboard'!E:E,MATCH('4. Live Offers'!B27,'[1]2. Asset Dashboard'!C:C,0))</f>
        <v>Birmingham</v>
      </c>
      <c r="D27" s="19"/>
      <c r="E27" s="19" t="s">
        <v>144</v>
      </c>
      <c r="F27" s="20" cm="1">
        <f t="array" ref="F27">IF(INDEX('[1]3. Unit-Level Index'!H:H,MATCH(CONCATENATE('4. Live Offers'!B27," ",'4. Live Offers'!E27),CONCATENATE('[1]3. Unit-Level Index'!B:B," ",'[1]3. Unit-Level Index'!G:G),0))="","-",(INDEX('[1]3. Unit-Level Index'!H:H,MATCH(CONCATENATE('4. Live Offers'!B27," ",'4. Live Offers'!E27),CONCATENATE('[1]3. Unit-Level Index'!B:B," ",'[1]3. Unit-Level Index'!G:G),0))))</f>
        <v>222690003</v>
      </c>
      <c r="G27" s="87" cm="1">
        <f t="array" ref="G27">INDEX('[1]3. Unit-Level Index'!M:M,MATCH(CONCATENATE('4. Live Offers'!B27,"",'4. Live Offers'!E27),CONCATENATE('[1]3. Unit-Level Index'!B:B,"",'[1]3. Unit-Level Index'!G:G),0))</f>
        <v>1747</v>
      </c>
      <c r="H27" s="22">
        <f t="shared" si="0"/>
        <v>9.9904136243422509E-2</v>
      </c>
      <c r="J27" s="23" t="s">
        <v>64</v>
      </c>
      <c r="K27" s="24" t="s">
        <v>64</v>
      </c>
      <c r="L27" s="24" t="s">
        <v>64</v>
      </c>
      <c r="M27" s="24"/>
      <c r="N27" s="25" t="s">
        <v>64</v>
      </c>
      <c r="P27" s="26">
        <v>45527</v>
      </c>
      <c r="Q27" s="19" t="s">
        <v>145</v>
      </c>
      <c r="R27" s="27"/>
      <c r="S27" s="19" t="s">
        <v>78</v>
      </c>
      <c r="T27" s="19"/>
      <c r="U27" s="28" t="s">
        <v>146</v>
      </c>
      <c r="V27" s="2"/>
      <c r="W27" s="29">
        <v>5</v>
      </c>
      <c r="X27" s="30">
        <v>3</v>
      </c>
      <c r="Y27" s="30">
        <v>3</v>
      </c>
      <c r="Z27" s="31" t="s">
        <v>79</v>
      </c>
      <c r="AA27" s="32" t="s">
        <v>88</v>
      </c>
      <c r="AB27" s="33">
        <v>13750</v>
      </c>
      <c r="AC27" s="33">
        <v>27500</v>
      </c>
      <c r="AD27" s="85">
        <v>27500</v>
      </c>
      <c r="AE27" s="34">
        <f t="shared" si="1"/>
        <v>15.741270749856897</v>
      </c>
      <c r="AF27" s="88" cm="1">
        <f t="array" ref="AF27">INDEX('[1]Mar-24'!N:N,MATCH(CONCATENATE('4. Live Offers'!B27,"",'4. Live Offers'!E27),CONCATENATE('[1]Mar-24'!B:B,"",'[1]Mar-24'!C:C),0))</f>
        <v>25768.25</v>
      </c>
      <c r="AG27" s="36">
        <f t="shared" si="2"/>
        <v>6.7204796600467631E-2</v>
      </c>
      <c r="AI27" s="37">
        <v>3</v>
      </c>
      <c r="AJ27" s="38">
        <v>6</v>
      </c>
      <c r="AK27" s="39">
        <v>0</v>
      </c>
      <c r="AL27" s="40">
        <f t="shared" si="3"/>
        <v>-13750</v>
      </c>
      <c r="AM27" s="41">
        <f t="shared" si="4"/>
        <v>0</v>
      </c>
      <c r="AN27" s="41">
        <f t="shared" si="5"/>
        <v>6</v>
      </c>
      <c r="AO27" s="40">
        <f t="shared" si="6"/>
        <v>-13750</v>
      </c>
      <c r="AP27" s="42">
        <f t="shared" si="7"/>
        <v>7.8706353749284483</v>
      </c>
      <c r="AQ27" s="43">
        <f t="shared" si="8"/>
        <v>22916.666666666668</v>
      </c>
      <c r="AR27" s="44" cm="1">
        <f t="array" ref="AR27">INDEX('[1]Mar-24'!S:S,MATCH(CONCATENATE('4. Live Offers'!B27,"",'4. Live Offers'!E27),CONCATENATE('[1]Mar-24'!B:B,"",'[1]Mar-24'!C:C),0))</f>
        <v>0.1</v>
      </c>
      <c r="AS27" s="88" cm="1">
        <f t="array" ref="AS27">INDEX('[1]Mar-24'!R:R,MATCH(CONCATENATE('4. Live Offers'!B27,"",'4. Live Offers'!E27),CONCATENATE('[1]Mar-24'!B:B,"",'[1]Mar-24'!C:C),0))</f>
        <v>203445.66540900001</v>
      </c>
      <c r="AT27" s="45">
        <f t="shared" si="9"/>
        <v>9.7645408967631049</v>
      </c>
      <c r="AU27" s="40">
        <f t="shared" si="10"/>
        <v>223770.72888415449</v>
      </c>
      <c r="AV27" s="46">
        <f t="shared" si="12"/>
        <v>9.9904136243422509E-2</v>
      </c>
      <c r="AX27" s="47">
        <v>45506</v>
      </c>
      <c r="AY27" s="48"/>
      <c r="AZ27" s="48" t="s">
        <v>116</v>
      </c>
      <c r="BA27" s="49" t="str">
        <f>IFERROR(DATEDIF(AX27,AY27,"m"),"In Progress")</f>
        <v>In Progress</v>
      </c>
      <c r="BB27" s="50">
        <v>45590</v>
      </c>
      <c r="BD27" s="51"/>
      <c r="BE27" s="51"/>
      <c r="BF27" s="48"/>
      <c r="BH27" s="52" t="s">
        <v>147</v>
      </c>
    </row>
    <row r="28" spans="2:71" ht="16.5" customHeight="1">
      <c r="B28" s="17" t="s">
        <v>90</v>
      </c>
      <c r="C28" s="84" t="str">
        <f>INDEX('[1]2. Asset Dashboard'!E:E,MATCH('4. Live Offers'!B28,'[1]2. Asset Dashboard'!C:C,0))</f>
        <v>Newbury</v>
      </c>
      <c r="D28" s="19"/>
      <c r="E28" s="19" t="s">
        <v>148</v>
      </c>
      <c r="F28" s="20" cm="1">
        <f t="array" ref="F28">IF(INDEX('[1]3. Unit-Level Index'!H:H,MATCH(CONCATENATE('4. Live Offers'!B28," ",'4. Live Offers'!E28),CONCATENATE('[1]3. Unit-Level Index'!B:B," ",'[1]3. Unit-Level Index'!G:G),0))="","-",(INDEX('[1]3. Unit-Level Index'!H:H,MATCH(CONCATENATE('4. Live Offers'!B28," ",'4. Live Offers'!E28),CONCATENATE('[1]3. Unit-Level Index'!B:B," ",'[1]3. Unit-Level Index'!G:G),0))))</f>
        <v>222698008</v>
      </c>
      <c r="G28" s="87" cm="1">
        <f t="array" ref="G28">INDEX('[1]3. Unit-Level Index'!M:M,MATCH(CONCATENATE('4. Live Offers'!B28,"",'4. Live Offers'!E28),CONCATENATE('[1]3. Unit-Level Index'!B:B,"",'[1]3. Unit-Level Index'!G:G),0))</f>
        <v>646</v>
      </c>
      <c r="H28" s="22">
        <f t="shared" si="0"/>
        <v>0.13543169736036867</v>
      </c>
      <c r="J28" s="23" t="s">
        <v>64</v>
      </c>
      <c r="K28" s="24" t="s">
        <v>64</v>
      </c>
      <c r="L28" s="24" t="s">
        <v>64</v>
      </c>
      <c r="M28" s="24"/>
      <c r="N28" s="25"/>
      <c r="P28" s="80" t="s">
        <v>67</v>
      </c>
      <c r="Q28" s="19" t="s">
        <v>149</v>
      </c>
      <c r="R28" s="27"/>
      <c r="S28" s="19" t="s">
        <v>93</v>
      </c>
      <c r="T28" s="19" t="s">
        <v>67</v>
      </c>
      <c r="U28" s="28" t="s">
        <v>150</v>
      </c>
      <c r="V28" s="2"/>
      <c r="W28" s="29">
        <v>10</v>
      </c>
      <c r="X28" s="30">
        <v>5</v>
      </c>
      <c r="Y28" s="30">
        <v>5</v>
      </c>
      <c r="Z28" s="31" t="s">
        <v>151</v>
      </c>
      <c r="AA28" s="32" t="s">
        <v>88</v>
      </c>
      <c r="AB28" s="33">
        <v>7750</v>
      </c>
      <c r="AC28" s="33">
        <v>16150</v>
      </c>
      <c r="AD28" s="85">
        <v>15342.5</v>
      </c>
      <c r="AE28" s="34">
        <f t="shared" si="1"/>
        <v>23.75</v>
      </c>
      <c r="AF28" s="88" cm="1">
        <f t="array" ref="AF28">INDEX('[1]Mar-24'!N:N,MATCH(CONCATENATE('4. Live Offers'!B28,"",'4. Live Offers'!E28),CONCATENATE('[1]Mar-24'!B:B,"",'[1]Mar-24'!C:C),0))</f>
        <v>12274</v>
      </c>
      <c r="AG28" s="36">
        <f t="shared" si="2"/>
        <v>0.25</v>
      </c>
      <c r="AI28" s="37">
        <v>3</v>
      </c>
      <c r="AJ28" s="38">
        <v>6</v>
      </c>
      <c r="AK28" s="39">
        <v>-15000</v>
      </c>
      <c r="AL28" s="40">
        <f t="shared" si="3"/>
        <v>-7671.25</v>
      </c>
      <c r="AM28" s="41">
        <f t="shared" si="4"/>
        <v>11.732116669382433</v>
      </c>
      <c r="AN28" s="41">
        <f t="shared" si="5"/>
        <v>17.732116669382435</v>
      </c>
      <c r="AO28" s="40">
        <f t="shared" si="6"/>
        <v>-22671.25</v>
      </c>
      <c r="AP28" s="42">
        <f t="shared" si="7"/>
        <v>35.09481424148607</v>
      </c>
      <c r="AQ28" s="43">
        <f t="shared" si="8"/>
        <v>10808.25</v>
      </c>
      <c r="AR28" s="44" cm="1">
        <f t="array" ref="AR28">INDEX('[1]Mar-24'!S:S,MATCH(CONCATENATE('4. Live Offers'!B28,"",'4. Live Offers'!E28),CONCATENATE('[1]Mar-24'!B:B,"",'[1]Mar-24'!C:C),0))</f>
        <v>0.09</v>
      </c>
      <c r="AS28" s="88" cm="1">
        <f t="array" ref="AS28">INDEX('[1]Mar-24'!R:R,MATCH(CONCATENATE('4. Live Offers'!B28,"",'4. Live Offers'!E28),CONCATENATE('[1]Mar-24'!B:B,"",'[1]Mar-24'!C:C),0))</f>
        <v>103513.08059500001</v>
      </c>
      <c r="AT28" s="45">
        <f t="shared" si="9"/>
        <v>10.874288881084496</v>
      </c>
      <c r="AU28" s="40">
        <f t="shared" si="10"/>
        <v>117532.0327989815</v>
      </c>
      <c r="AV28" s="46">
        <f t="shared" si="12"/>
        <v>0.13543169736036867</v>
      </c>
      <c r="AX28" s="47">
        <v>45520</v>
      </c>
      <c r="AY28" s="48"/>
      <c r="AZ28" s="48" t="s">
        <v>116</v>
      </c>
      <c r="BA28" s="49" t="str">
        <f>IFERROR(DATEDIF(AX28,AY28,"m"),"In Progress")</f>
        <v>In Progress</v>
      </c>
      <c r="BB28" s="50">
        <v>45748</v>
      </c>
      <c r="BD28" s="51"/>
      <c r="BE28" s="51"/>
      <c r="BF28" s="48"/>
      <c r="BH28" s="52" t="s">
        <v>152</v>
      </c>
    </row>
    <row r="29" spans="2:71" ht="16.5" customHeight="1">
      <c r="B29" s="17" t="s">
        <v>96</v>
      </c>
      <c r="C29" s="84" t="str">
        <f>INDEX('[1]2. Asset Dashboard'!E:E,MATCH('4. Live Offers'!B29,'[1]2. Asset Dashboard'!C:C,0))</f>
        <v>Bristol</v>
      </c>
      <c r="D29" s="19"/>
      <c r="E29" s="19">
        <v>3</v>
      </c>
      <c r="F29" s="20" cm="1">
        <f t="array" ref="F29">IF(INDEX('[1]3. Unit-Level Index'!H:H,MATCH(CONCATENATE('4. Live Offers'!B29," ",'4. Live Offers'!E29),CONCATENATE('[1]3. Unit-Level Index'!B:B," ",'[1]3. Unit-Level Index'!G:G),0))="","-",(INDEX('[1]3. Unit-Level Index'!H:H,MATCH(CONCATENATE('4. Live Offers'!B29," ",'4. Live Offers'!E29),CONCATENATE('[1]3. Unit-Level Index'!B:B," ",'[1]3. Unit-Level Index'!G:G),0))))</f>
        <v>222625003</v>
      </c>
      <c r="G29" s="87" cm="1">
        <f t="array" ref="G29">INDEX('[1]3. Unit-Level Index'!M:M,MATCH(CONCATENATE('4. Live Offers'!B29,"",'4. Live Offers'!E29),CONCATENATE('[1]3. Unit-Level Index'!B:B,"",'[1]3. Unit-Level Index'!G:G),0))</f>
        <v>1470</v>
      </c>
      <c r="H29" s="22">
        <f t="shared" si="0"/>
        <v>5.5251912931736924E-2</v>
      </c>
      <c r="J29" s="23" t="s">
        <v>64</v>
      </c>
      <c r="K29" s="24" t="s">
        <v>64</v>
      </c>
      <c r="L29" s="24" t="s">
        <v>64</v>
      </c>
      <c r="M29" s="24"/>
      <c r="N29" s="25"/>
      <c r="P29" s="80" t="s">
        <v>153</v>
      </c>
      <c r="Q29" s="19" t="s">
        <v>154</v>
      </c>
      <c r="R29" s="27"/>
      <c r="S29" s="19" t="s">
        <v>155</v>
      </c>
      <c r="T29" s="19"/>
      <c r="U29" s="28" t="s">
        <v>156</v>
      </c>
      <c r="V29" s="2"/>
      <c r="W29" s="29">
        <v>10</v>
      </c>
      <c r="X29" s="30">
        <v>10</v>
      </c>
      <c r="Y29" s="30">
        <v>5</v>
      </c>
      <c r="Z29" s="31" t="s">
        <v>79</v>
      </c>
      <c r="AA29" s="32" t="s">
        <v>88</v>
      </c>
      <c r="AB29" s="33">
        <v>14250</v>
      </c>
      <c r="AC29" s="33">
        <v>30000</v>
      </c>
      <c r="AD29" s="85">
        <v>28500</v>
      </c>
      <c r="AE29" s="34">
        <f t="shared" si="1"/>
        <v>19.387755102040817</v>
      </c>
      <c r="AF29" s="88" cm="1">
        <f t="array" ref="AF29">INDEX('[1]Mar-24'!N:N,MATCH(CONCATENATE('4. Live Offers'!B29,"",'4. Live Offers'!E29),CONCATENATE('[1]Mar-24'!B:B,"",'[1]Mar-24'!C:C),0))</f>
        <v>30000</v>
      </c>
      <c r="AG29" s="36">
        <f t="shared" si="2"/>
        <v>-0.05</v>
      </c>
      <c r="AI29" s="37">
        <v>3</v>
      </c>
      <c r="AJ29" s="38">
        <v>9</v>
      </c>
      <c r="AK29" s="39">
        <v>-12000</v>
      </c>
      <c r="AL29" s="40">
        <f t="shared" si="3"/>
        <v>-21375</v>
      </c>
      <c r="AM29" s="41">
        <f t="shared" si="4"/>
        <v>5.0526315789473681</v>
      </c>
      <c r="AN29" s="41">
        <f t="shared" si="5"/>
        <v>14.052631578947368</v>
      </c>
      <c r="AO29" s="40">
        <f t="shared" si="6"/>
        <v>-33375</v>
      </c>
      <c r="AP29" s="42">
        <f t="shared" si="7"/>
        <v>22.704081632653061</v>
      </c>
      <c r="AQ29" s="43">
        <f t="shared" si="8"/>
        <v>25162.5</v>
      </c>
      <c r="AR29" s="44" cm="1">
        <f t="array" ref="AR29">INDEX('[1]Mar-24'!S:S,MATCH(CONCATENATE('4. Live Offers'!B29,"",'4. Live Offers'!E29),CONCATENATE('[1]Mar-24'!B:B,"",'[1]Mar-24'!C:C),0))</f>
        <v>0.09</v>
      </c>
      <c r="AS29" s="88" cm="1">
        <f t="array" ref="AS29">INDEX('[1]Mar-24'!R:R,MATCH(CONCATENATE('4. Live Offers'!B29,"",'4. Live Offers'!E29),CONCATENATE('[1]Mar-24'!B:B,"",'[1]Mar-24'!C:C),0))</f>
        <v>259297.60526099999</v>
      </c>
      <c r="AT29" s="45">
        <f t="shared" si="9"/>
        <v>10.874288881084496</v>
      </c>
      <c r="AU29" s="40">
        <f t="shared" si="10"/>
        <v>273624.29397028865</v>
      </c>
      <c r="AV29" s="46">
        <f t="shared" si="12"/>
        <v>5.5251912931736924E-2</v>
      </c>
      <c r="AX29" s="47">
        <v>45520</v>
      </c>
      <c r="AY29" s="48"/>
      <c r="AZ29" s="48" t="s">
        <v>157</v>
      </c>
      <c r="BA29" s="49" t="s">
        <v>130</v>
      </c>
      <c r="BB29" s="50">
        <v>45717</v>
      </c>
      <c r="BD29" s="51"/>
      <c r="BE29" s="51"/>
      <c r="BF29" s="48"/>
      <c r="BH29" s="52" t="s">
        <v>158</v>
      </c>
    </row>
    <row r="30" spans="2:71" ht="16.5" customHeight="1">
      <c r="B30" s="17" t="s">
        <v>159</v>
      </c>
      <c r="C30" s="84" t="str">
        <f>INDEX('[1]2. Asset Dashboard'!E:E,MATCH('4. Live Offers'!B30,'[1]2. Asset Dashboard'!C:C,0))</f>
        <v>Sheffield</v>
      </c>
      <c r="D30" s="19"/>
      <c r="E30" s="19">
        <v>1</v>
      </c>
      <c r="F30" s="20" cm="1">
        <f t="array" ref="F30">IF(INDEX('[1]3. Unit-Level Index'!H:H,MATCH(CONCATENATE('4. Live Offers'!B30," ",'4. Live Offers'!E30),CONCATENATE('[1]3. Unit-Level Index'!B:B," ",'[1]3. Unit-Level Index'!G:G),0))="","-",(INDEX('[1]3. Unit-Level Index'!H:H,MATCH(CONCATENATE('4. Live Offers'!B30," ",'4. Live Offers'!E30),CONCATENATE('[1]3. Unit-Level Index'!B:B," ",'[1]3. Unit-Level Index'!G:G),0))))</f>
        <v>222757001</v>
      </c>
      <c r="G30" s="87" cm="1">
        <f t="array" ref="G30">INDEX('[1]3. Unit-Level Index'!M:M,MATCH(CONCATENATE('4. Live Offers'!B30,"",'4. Live Offers'!E30),CONCATENATE('[1]3. Unit-Level Index'!B:B,"",'[1]3. Unit-Level Index'!G:G),0))</f>
        <v>613</v>
      </c>
      <c r="H30" s="22">
        <f t="shared" si="0"/>
        <v>0.62190458046111297</v>
      </c>
      <c r="J30" s="23" t="s">
        <v>64</v>
      </c>
      <c r="K30" s="24" t="s">
        <v>64</v>
      </c>
      <c r="L30" s="24" t="s">
        <v>64</v>
      </c>
      <c r="M30" s="24"/>
      <c r="N30" s="25"/>
      <c r="P30" s="80"/>
      <c r="Q30" s="19" t="s">
        <v>160</v>
      </c>
      <c r="R30" s="27"/>
      <c r="S30" s="19" t="s">
        <v>161</v>
      </c>
      <c r="T30" s="19"/>
      <c r="U30" s="28" t="s">
        <v>162</v>
      </c>
      <c r="V30" s="2"/>
      <c r="W30" s="29">
        <v>5</v>
      </c>
      <c r="X30" s="30">
        <v>3</v>
      </c>
      <c r="Y30" s="30">
        <v>3</v>
      </c>
      <c r="Z30" s="31" t="s">
        <v>79</v>
      </c>
      <c r="AA30" s="32" t="s">
        <v>88</v>
      </c>
      <c r="AB30" s="33">
        <v>6000</v>
      </c>
      <c r="AC30" s="33"/>
      <c r="AD30" s="85">
        <v>12000</v>
      </c>
      <c r="AE30" s="34">
        <f t="shared" si="1"/>
        <v>19.575856443719413</v>
      </c>
      <c r="AF30" s="88" cm="1">
        <f t="array" ref="AF30">INDEX('[1]Mar-24'!N:N,MATCH(CONCATENATE('4. Live Offers'!B30,"",'4. Live Offers'!E30),CONCATENATE('[1]Mar-24'!B:B,"",'[1]Mar-24'!C:C),0))</f>
        <v>9384</v>
      </c>
      <c r="AG30" s="36">
        <f t="shared" si="2"/>
        <v>0.27877237851662406</v>
      </c>
      <c r="AI30" s="37">
        <v>3</v>
      </c>
      <c r="AJ30" s="38">
        <v>3</v>
      </c>
      <c r="AK30" s="39">
        <v>0</v>
      </c>
      <c r="AL30" s="40">
        <f t="shared" si="3"/>
        <v>-3000</v>
      </c>
      <c r="AM30" s="41">
        <f t="shared" si="4"/>
        <v>0</v>
      </c>
      <c r="AN30" s="41">
        <f t="shared" si="5"/>
        <v>3</v>
      </c>
      <c r="AO30" s="40">
        <f t="shared" si="6"/>
        <v>-3000</v>
      </c>
      <c r="AP30" s="42">
        <f t="shared" si="7"/>
        <v>4.8939641109298533</v>
      </c>
      <c r="AQ30" s="43">
        <f t="shared" si="8"/>
        <v>11000</v>
      </c>
      <c r="AR30" s="44" cm="1">
        <f t="array" ref="AR30">INDEX('[1]Mar-24'!S:S,MATCH(CONCATENATE('4. Live Offers'!B30,"",'4. Live Offers'!E30),CONCATENATE('[1]Mar-24'!B:B,"",'[1]Mar-24'!C:C),0))</f>
        <v>0.105</v>
      </c>
      <c r="AS30" s="88" cm="1">
        <f t="array" ref="AS30">INDEX('[1]Mar-24'!R:R,MATCH(CONCATENATE('4. Live Offers'!B30,"",'4. Live Offers'!E30),CONCATENATE('[1]Mar-24'!B:B,"",'[1]Mar-24'!C:C),0))</f>
        <v>62999.56</v>
      </c>
      <c r="AT30" s="45">
        <f t="shared" si="9"/>
        <v>9.289024993730429</v>
      </c>
      <c r="AU30" s="40">
        <f t="shared" si="10"/>
        <v>102179.27493103471</v>
      </c>
      <c r="AV30" s="46">
        <f t="shared" si="12"/>
        <v>0.62190458046111297</v>
      </c>
      <c r="AX30" s="47">
        <v>45568</v>
      </c>
      <c r="AY30" s="48"/>
      <c r="AZ30" s="48"/>
      <c r="BA30" s="49" t="s">
        <v>130</v>
      </c>
      <c r="BB30" s="50">
        <v>45748</v>
      </c>
      <c r="BD30" s="51"/>
      <c r="BE30" s="51"/>
      <c r="BF30" s="48"/>
      <c r="BH30" s="52" t="s">
        <v>163</v>
      </c>
    </row>
    <row r="31" spans="2:71" ht="16.5" customHeight="1">
      <c r="B31" s="17" t="s">
        <v>164</v>
      </c>
      <c r="C31" s="84" t="str">
        <f>INDEX('[1]2. Asset Dashboard'!E:E,MATCH('4. Live Offers'!B31,'[1]2. Asset Dashboard'!C:C,0))</f>
        <v>Manchester</v>
      </c>
      <c r="D31" s="19"/>
      <c r="E31" s="19" t="s">
        <v>165</v>
      </c>
      <c r="F31" s="20"/>
      <c r="G31" s="87" cm="1">
        <f t="array" ref="G31">INDEX('[1]3. Unit-Level Index'!M:M,MATCH(CONCATENATE('4. Live Offers'!B31,"",'4. Live Offers'!E31),CONCATENATE('[1]3. Unit-Level Index'!B:B,"",'[1]3. Unit-Level Index'!G:G),0))</f>
        <v>1069</v>
      </c>
      <c r="H31" s="22">
        <f t="shared" si="0"/>
        <v>0.1513749189420607</v>
      </c>
      <c r="J31" s="23" t="s">
        <v>64</v>
      </c>
      <c r="K31" s="24" t="s">
        <v>64</v>
      </c>
      <c r="L31" s="24" t="s">
        <v>64</v>
      </c>
      <c r="M31" s="24"/>
      <c r="N31" s="25"/>
      <c r="P31" s="80"/>
      <c r="Q31" s="19" t="s">
        <v>166</v>
      </c>
      <c r="R31" s="27"/>
      <c r="S31" s="19" t="s">
        <v>167</v>
      </c>
      <c r="T31" s="19"/>
      <c r="U31" s="28" t="s">
        <v>156</v>
      </c>
      <c r="V31" s="2"/>
      <c r="W31" s="29">
        <v>10</v>
      </c>
      <c r="X31" s="30">
        <v>10</v>
      </c>
      <c r="Y31" s="30">
        <v>5</v>
      </c>
      <c r="Z31" s="31" t="s">
        <v>151</v>
      </c>
      <c r="AA31" s="32"/>
      <c r="AB31" s="33">
        <v>6250</v>
      </c>
      <c r="AC31" s="33"/>
      <c r="AD31" s="85">
        <v>25000</v>
      </c>
      <c r="AE31" s="34">
        <f t="shared" si="1"/>
        <v>23.386342376052387</v>
      </c>
      <c r="AF31" s="88" cm="1">
        <f t="array" ref="AF31">INDEX('[1]Mar-24'!N:N,MATCH(CONCATENATE('4. Live Offers'!B31,"",'4. Live Offers'!E31),CONCATENATE('[1]Mar-24'!B:B,"",'[1]Mar-24'!C:C),0))</f>
        <v>25000</v>
      </c>
      <c r="AG31" s="36">
        <f t="shared" si="2"/>
        <v>0</v>
      </c>
      <c r="AI31" s="37">
        <v>3</v>
      </c>
      <c r="AJ31" s="38">
        <v>9</v>
      </c>
      <c r="AK31" s="39">
        <v>0</v>
      </c>
      <c r="AL31" s="40">
        <f t="shared" si="3"/>
        <v>-18750</v>
      </c>
      <c r="AM31" s="41">
        <f t="shared" si="4"/>
        <v>0</v>
      </c>
      <c r="AN31" s="41">
        <f t="shared" si="5"/>
        <v>9</v>
      </c>
      <c r="AO31" s="40">
        <f t="shared" si="6"/>
        <v>-18750</v>
      </c>
      <c r="AP31" s="42">
        <f t="shared" si="7"/>
        <v>17.539756782039291</v>
      </c>
      <c r="AQ31" s="43">
        <f t="shared" si="8"/>
        <v>23125</v>
      </c>
      <c r="AR31" s="44" cm="1">
        <f t="array" ref="AR31">INDEX('[1]Mar-24'!S:S,MATCH(CONCATENATE('4. Live Offers'!B31,"",'4. Live Offers'!E31),CONCATENATE('[1]Mar-24'!B:B,"",'[1]Mar-24'!C:C),0))</f>
        <v>0.09</v>
      </c>
      <c r="AS31" s="88" cm="1">
        <f t="array" ref="AS31">INDEX('[1]Mar-24'!R:R,MATCH(CONCATENATE('4. Live Offers'!B31,"",'4. Live Offers'!E31),CONCATENATE('[1]Mar-24'!B:B,"",'[1]Mar-24'!C:C),0))</f>
        <v>218406.64256099999</v>
      </c>
      <c r="AT31" s="45">
        <f t="shared" si="9"/>
        <v>10.874288881084496</v>
      </c>
      <c r="AU31" s="40">
        <f t="shared" si="10"/>
        <v>251467.93037507898</v>
      </c>
      <c r="AV31" s="46">
        <f t="shared" si="12"/>
        <v>0.1513749189420607</v>
      </c>
      <c r="AX31" s="47"/>
      <c r="AY31" s="48"/>
      <c r="AZ31" s="48"/>
      <c r="BA31" s="49"/>
      <c r="BB31" s="50"/>
      <c r="BD31" s="51"/>
      <c r="BE31" s="51"/>
      <c r="BF31" s="48"/>
      <c r="BH31" s="52" t="s">
        <v>168</v>
      </c>
    </row>
    <row r="32" spans="2:71" ht="16.5" customHeight="1">
      <c r="B32" s="17" t="s">
        <v>107</v>
      </c>
      <c r="C32" s="84" t="str">
        <f>INDEX('[1]2. Asset Dashboard'!E:E,MATCH('4. Live Offers'!B32,'[1]2. Asset Dashboard'!C:C,0))</f>
        <v>London</v>
      </c>
      <c r="D32" s="19"/>
      <c r="E32" s="19"/>
      <c r="F32" s="20"/>
      <c r="G32" s="87" t="e" cm="1">
        <f t="array" ref="G32">INDEX('[1]3. Unit-Level Index'!M:M,MATCH(CONCATENATE('4. Live Offers'!B32,"",'4. Live Offers'!E32),CONCATENATE('[1]3. Unit-Level Index'!B:B,"",'[1]3. Unit-Level Index'!G:G),0))</f>
        <v>#N/A</v>
      </c>
      <c r="H32" s="22" t="str">
        <f t="shared" si="0"/>
        <v>-</v>
      </c>
      <c r="J32" s="23" t="s">
        <v>102</v>
      </c>
      <c r="K32" s="24"/>
      <c r="L32" s="24"/>
      <c r="M32" s="24"/>
      <c r="N32" s="25"/>
      <c r="P32" s="80"/>
      <c r="Q32" s="19" t="s">
        <v>169</v>
      </c>
      <c r="R32" s="27"/>
      <c r="S32" s="19" t="s">
        <v>170</v>
      </c>
      <c r="T32" s="19"/>
      <c r="U32" s="28" t="s">
        <v>73</v>
      </c>
      <c r="V32" s="2"/>
      <c r="W32" s="29">
        <v>15</v>
      </c>
      <c r="X32" s="30">
        <v>5</v>
      </c>
      <c r="Y32" s="30">
        <v>5</v>
      </c>
      <c r="Z32" s="31" t="s">
        <v>79</v>
      </c>
      <c r="AA32" s="32"/>
      <c r="AB32" s="33">
        <v>25000</v>
      </c>
      <c r="AC32" s="33"/>
      <c r="AD32" s="85">
        <v>100000</v>
      </c>
      <c r="AE32" s="34">
        <f t="shared" si="1"/>
        <v>0</v>
      </c>
      <c r="AF32" s="88" t="e" cm="1">
        <f t="array" ref="AF32">INDEX('[1]Mar-24'!N:N,MATCH(CONCATENATE('4. Live Offers'!B32,"",'4. Live Offers'!E32),CONCATENATE('[1]Mar-24'!B:B,"",'[1]Mar-24'!C:C),0))</f>
        <v>#N/A</v>
      </c>
      <c r="AG32" s="36" t="str">
        <f t="shared" si="2"/>
        <v>-</v>
      </c>
      <c r="AI32" s="37">
        <v>3</v>
      </c>
      <c r="AJ32" s="38">
        <v>18</v>
      </c>
      <c r="AK32" s="39">
        <v>0</v>
      </c>
      <c r="AL32" s="40">
        <f t="shared" si="3"/>
        <v>-150000</v>
      </c>
      <c r="AM32" s="41">
        <f t="shared" si="4"/>
        <v>0</v>
      </c>
      <c r="AN32" s="41">
        <f t="shared" si="5"/>
        <v>18</v>
      </c>
      <c r="AO32" s="40">
        <f t="shared" si="6"/>
        <v>-150000</v>
      </c>
      <c r="AP32" s="42" t="str">
        <f t="shared" si="7"/>
        <v>-</v>
      </c>
      <c r="AQ32" s="43">
        <f t="shared" si="8"/>
        <v>70000</v>
      </c>
      <c r="AR32" s="44" t="e" cm="1">
        <f t="array" ref="AR32">INDEX('[1]Mar-24'!S:S,MATCH(CONCATENATE('4. Live Offers'!B32,"",'4. Live Offers'!E32),CONCATENATE('[1]Mar-24'!B:B,"",'[1]Mar-24'!C:C),0))</f>
        <v>#N/A</v>
      </c>
      <c r="AS32" s="88" t="e" cm="1">
        <f t="array" ref="AS32">INDEX('[1]Mar-24'!R:R,MATCH(CONCATENATE('4. Live Offers'!B32,"",'4. Live Offers'!E32),CONCATENATE('[1]Mar-24'!B:B,"",'[1]Mar-24'!C:C),0))</f>
        <v>#N/A</v>
      </c>
      <c r="AT32" s="45" t="str">
        <f t="shared" si="9"/>
        <v>-</v>
      </c>
      <c r="AU32" s="40" t="str">
        <f t="shared" si="10"/>
        <v>-</v>
      </c>
      <c r="AV32" s="46" t="str">
        <f t="shared" si="12"/>
        <v>-</v>
      </c>
      <c r="AX32" s="47"/>
      <c r="AY32" s="48"/>
      <c r="AZ32" s="48"/>
      <c r="BA32" s="49"/>
      <c r="BB32" s="50"/>
      <c r="BD32" s="51"/>
      <c r="BE32" s="51"/>
      <c r="BF32" s="48"/>
      <c r="BH32" s="52" t="s">
        <v>171</v>
      </c>
    </row>
    <row r="33" spans="2:60" ht="16.5" customHeight="1">
      <c r="B33" s="17" t="s">
        <v>135</v>
      </c>
      <c r="C33" s="84" t="str">
        <f>INDEX('[1]2. Asset Dashboard'!E:E,MATCH('4. Live Offers'!B33,'[1]2. Asset Dashboard'!C:C,0))</f>
        <v>Milton Keynes</v>
      </c>
      <c r="D33" s="19"/>
      <c r="E33" s="19">
        <v>2</v>
      </c>
      <c r="F33" s="20"/>
      <c r="G33" s="87" cm="1">
        <f t="array" ref="G33">INDEX('[1]3. Unit-Level Index'!M:M,MATCH(CONCATENATE('4. Live Offers'!B33,"",'4. Live Offers'!E33),CONCATENATE('[1]3. Unit-Level Index'!B:B,"",'[1]3. Unit-Level Index'!G:G),0))</f>
        <v>1241</v>
      </c>
      <c r="H33" s="22">
        <f t="shared" si="0"/>
        <v>0.33325002124443587</v>
      </c>
      <c r="J33" s="23" t="s">
        <v>64</v>
      </c>
      <c r="K33" s="24" t="s">
        <v>64</v>
      </c>
      <c r="L33" s="24"/>
      <c r="M33" s="24"/>
      <c r="N33" s="25"/>
      <c r="P33" s="26">
        <v>45554</v>
      </c>
      <c r="Q33" s="19" t="s">
        <v>172</v>
      </c>
      <c r="R33" s="27"/>
      <c r="S33" s="19" t="s">
        <v>137</v>
      </c>
      <c r="T33" s="19"/>
      <c r="U33" s="28" t="s">
        <v>173</v>
      </c>
      <c r="V33" s="2"/>
      <c r="W33" s="29">
        <v>15</v>
      </c>
      <c r="X33" s="30">
        <v>15</v>
      </c>
      <c r="Y33" s="30">
        <v>5</v>
      </c>
      <c r="Z33" s="31" t="s">
        <v>79</v>
      </c>
      <c r="AA33" s="32"/>
      <c r="AB33" s="33">
        <v>15500</v>
      </c>
      <c r="AC33" s="33"/>
      <c r="AD33" s="85">
        <v>31000</v>
      </c>
      <c r="AE33" s="34">
        <f t="shared" si="1"/>
        <v>24.979854955680903</v>
      </c>
      <c r="AF33" s="88" cm="1">
        <f t="array" ref="AF33">INDEX('[1]Mar-24'!N:N,MATCH(CONCATENATE('4. Live Offers'!B33,"",'4. Live Offers'!E33),CONCATENATE('[1]Mar-24'!B:B,"",'[1]Mar-24'!C:C),0))</f>
        <v>27922.5</v>
      </c>
      <c r="AG33" s="36">
        <f t="shared" si="2"/>
        <v>0.11021577580804011</v>
      </c>
      <c r="AI33" s="37">
        <v>3</v>
      </c>
      <c r="AJ33" s="38">
        <v>17</v>
      </c>
      <c r="AK33" s="39">
        <v>0</v>
      </c>
      <c r="AL33" s="40">
        <f t="shared" si="3"/>
        <v>-43916.666666666672</v>
      </c>
      <c r="AM33" s="41">
        <f t="shared" si="4"/>
        <v>0</v>
      </c>
      <c r="AN33" s="41">
        <f t="shared" si="5"/>
        <v>17</v>
      </c>
      <c r="AO33" s="40">
        <f t="shared" si="6"/>
        <v>-43916.666666666672</v>
      </c>
      <c r="AP33" s="42">
        <f t="shared" si="7"/>
        <v>35.388127853881279</v>
      </c>
      <c r="AQ33" s="43">
        <f t="shared" si="8"/>
        <v>28072.222222222223</v>
      </c>
      <c r="AR33" s="44" cm="1">
        <f t="array" ref="AR33">INDEX('[1]Mar-24'!S:S,MATCH(CONCATENATE('4. Live Offers'!B33,"",'4. Live Offers'!E33),CONCATENATE('[1]Mar-24'!B:B,"",'[1]Mar-24'!C:C),0))</f>
        <v>0.09</v>
      </c>
      <c r="AS33" s="88" cm="1">
        <f t="array" ref="AS33">INDEX('[1]Mar-24'!R:R,MATCH(CONCATENATE('4. Live Offers'!B33,"",'4. Live Offers'!E33),CONCATENATE('[1]Mar-24'!B:B,"",'[1]Mar-24'!C:C),0))</f>
        <v>228963.39704800001</v>
      </c>
      <c r="AT33" s="45">
        <f t="shared" si="9"/>
        <v>10.874288881084496</v>
      </c>
      <c r="AU33" s="40">
        <f t="shared" si="10"/>
        <v>305265.45397844422</v>
      </c>
      <c r="AV33" s="46">
        <f t="shared" si="12"/>
        <v>0.33325002124443587</v>
      </c>
      <c r="AX33" s="47"/>
      <c r="AY33" s="48"/>
      <c r="AZ33" s="48"/>
      <c r="BA33" s="49"/>
      <c r="BB33" s="50"/>
      <c r="BD33" s="51"/>
      <c r="BE33" s="51"/>
      <c r="BF33" s="48"/>
      <c r="BH33" s="52" t="s">
        <v>174</v>
      </c>
    </row>
    <row r="34" spans="2:60" ht="16.5" customHeight="1">
      <c r="B34" s="17" t="s">
        <v>85</v>
      </c>
      <c r="C34" s="84" t="str">
        <f>INDEX('[1]2. Asset Dashboard'!E:E,MATCH('4. Live Offers'!B34,'[1]2. Asset Dashboard'!C:C,0))</f>
        <v>Bristol</v>
      </c>
      <c r="D34" s="19"/>
      <c r="E34" s="19">
        <v>1.3</v>
      </c>
      <c r="F34" s="20"/>
      <c r="G34" s="87" cm="1">
        <f t="array" ref="G34">INDEX('[1]3. Unit-Level Index'!M:M,MATCH(CONCATENATE('4. Live Offers'!B34,"",'4. Live Offers'!E34),CONCATENATE('[1]3. Unit-Level Index'!B:B,"",'[1]3. Unit-Level Index'!G:G),0))</f>
        <v>1066</v>
      </c>
      <c r="H34" s="22">
        <f t="shared" si="0"/>
        <v>-5.2591240413672205E-2</v>
      </c>
      <c r="J34" s="23" t="s">
        <v>64</v>
      </c>
      <c r="K34" s="24" t="s">
        <v>64</v>
      </c>
      <c r="L34" s="24" t="s">
        <v>64</v>
      </c>
      <c r="M34" s="24" t="s">
        <v>64</v>
      </c>
      <c r="N34" s="24" t="s">
        <v>64</v>
      </c>
      <c r="P34" s="80"/>
      <c r="Q34" s="19" t="s">
        <v>175</v>
      </c>
      <c r="R34" s="27"/>
      <c r="S34" s="19" t="s">
        <v>87</v>
      </c>
      <c r="T34" s="19"/>
      <c r="U34" s="28" t="s">
        <v>176</v>
      </c>
      <c r="V34" s="2"/>
      <c r="W34" s="29">
        <v>5</v>
      </c>
      <c r="X34" s="30">
        <v>5</v>
      </c>
      <c r="Y34" s="30">
        <v>5</v>
      </c>
      <c r="Z34" s="31" t="s">
        <v>79</v>
      </c>
      <c r="AA34" s="32"/>
      <c r="AB34" s="33">
        <v>10950</v>
      </c>
      <c r="AC34" s="33">
        <v>26650</v>
      </c>
      <c r="AD34" s="85">
        <v>21900</v>
      </c>
      <c r="AE34" s="34">
        <f t="shared" si="1"/>
        <v>20.544090056285178</v>
      </c>
      <c r="AF34" s="88" cm="1">
        <f t="array" ref="AF34">INDEX('[1]Mar-24'!N:N,MATCH(CONCATENATE('4. Live Offers'!B34,"",'4. Live Offers'!E34),CONCATENATE('[1]Mar-24'!B:B,"",'[1]Mar-24'!C:C),0))</f>
        <v>26650</v>
      </c>
      <c r="AG34" s="36">
        <f t="shared" si="2"/>
        <v>-0.17823639774859287</v>
      </c>
      <c r="AI34" s="37">
        <v>3</v>
      </c>
      <c r="AJ34" s="38">
        <v>6</v>
      </c>
      <c r="AK34" s="39">
        <v>0</v>
      </c>
      <c r="AL34" s="40">
        <f t="shared" si="3"/>
        <v>-10950</v>
      </c>
      <c r="AM34" s="41">
        <f t="shared" si="4"/>
        <v>0</v>
      </c>
      <c r="AN34" s="41">
        <f t="shared" si="5"/>
        <v>6</v>
      </c>
      <c r="AO34" s="40">
        <f t="shared" si="6"/>
        <v>-10950</v>
      </c>
      <c r="AP34" s="42">
        <f t="shared" si="7"/>
        <v>10.272045028142589</v>
      </c>
      <c r="AQ34" s="43">
        <f t="shared" si="8"/>
        <v>19710</v>
      </c>
      <c r="AR34" s="44" cm="1">
        <f t="array" ref="AR34">INDEX('[1]Mar-24'!S:S,MATCH(CONCATENATE('4. Live Offers'!B34,"",'4. Live Offers'!E34),CONCATENATE('[1]Mar-24'!B:B,"",'[1]Mar-24'!C:C),0))</f>
        <v>8.2500000000000004E-2</v>
      </c>
      <c r="AS34" s="88" cm="1">
        <f t="array" ref="AS34">INDEX('[1]Mar-24'!R:R,MATCH(CONCATENATE('4. Live Offers'!B34,"",'4. Live Offers'!E34),CONCATENATE('[1]Mar-24'!B:B,"",'[1]Mar-24'!C:C),0))</f>
        <v>247222.67635299999</v>
      </c>
      <c r="AT34" s="45">
        <f t="shared" si="9"/>
        <v>11.883355106301771</v>
      </c>
      <c r="AU34" s="40">
        <f t="shared" si="10"/>
        <v>234220.92914520789</v>
      </c>
      <c r="AV34" s="46">
        <f t="shared" si="12"/>
        <v>-5.2591240413672205E-2</v>
      </c>
      <c r="AX34" s="47">
        <v>45573</v>
      </c>
      <c r="AY34" s="48"/>
      <c r="AZ34" s="48"/>
      <c r="BA34" s="49" t="s">
        <v>130</v>
      </c>
      <c r="BB34" s="50">
        <v>45719</v>
      </c>
      <c r="BD34" s="51"/>
      <c r="BE34" s="51"/>
      <c r="BF34" s="48"/>
      <c r="BH34" s="52" t="s">
        <v>177</v>
      </c>
    </row>
    <row r="35" spans="2:60" ht="16.5" customHeight="1">
      <c r="B35" s="17" t="s">
        <v>178</v>
      </c>
      <c r="C35" s="84" t="str">
        <f>INDEX('[1]2. Asset Dashboard'!E:E,MATCH('4. Live Offers'!B35,'[1]2. Asset Dashboard'!C:C,0))</f>
        <v>London</v>
      </c>
      <c r="D35" s="19"/>
      <c r="E35" s="19">
        <v>1</v>
      </c>
      <c r="F35" s="20"/>
      <c r="G35" s="87" cm="1">
        <f t="array" ref="G35">INDEX('[1]3. Unit-Level Index'!M:M,MATCH(CONCATENATE('4. Live Offers'!B35,"",'4. Live Offers'!E35),CONCATENATE('[1]3. Unit-Level Index'!B:B,"",'[1]3. Unit-Level Index'!G:G),0))</f>
        <v>1780</v>
      </c>
      <c r="H35" s="22">
        <f t="shared" si="0"/>
        <v>-0.1277879362757916</v>
      </c>
      <c r="J35" s="23" t="s">
        <v>64</v>
      </c>
      <c r="K35" s="24" t="s">
        <v>64</v>
      </c>
      <c r="L35" s="24" t="s">
        <v>64</v>
      </c>
      <c r="M35" s="24"/>
      <c r="N35" s="25"/>
      <c r="P35" s="80"/>
      <c r="Q35" s="19" t="s">
        <v>140</v>
      </c>
      <c r="R35" s="27"/>
      <c r="S35" s="19" t="s">
        <v>141</v>
      </c>
      <c r="T35" s="19" t="s">
        <v>179</v>
      </c>
      <c r="U35" s="28" t="s">
        <v>120</v>
      </c>
      <c r="V35" s="2"/>
      <c r="W35" s="29">
        <v>15</v>
      </c>
      <c r="X35" s="30">
        <v>5</v>
      </c>
      <c r="Y35" s="30">
        <v>5</v>
      </c>
      <c r="Z35" s="31" t="s">
        <v>79</v>
      </c>
      <c r="AA35" s="32"/>
      <c r="AB35" s="33">
        <v>10000</v>
      </c>
      <c r="AC35" s="33">
        <v>45000</v>
      </c>
      <c r="AD35" s="85">
        <v>40000</v>
      </c>
      <c r="AE35" s="34">
        <f t="shared" si="1"/>
        <v>22.471910112359552</v>
      </c>
      <c r="AF35" s="88" cm="1">
        <f t="array" ref="AF35">INDEX('[1]Mar-24'!N:N,MATCH(CONCATENATE('4. Live Offers'!B35,"",'4. Live Offers'!E35),CONCATENATE('[1]Mar-24'!B:B,"",'[1]Mar-24'!C:C),0))</f>
        <v>44500</v>
      </c>
      <c r="AG35" s="36">
        <f t="shared" si="2"/>
        <v>-0.10112359550561797</v>
      </c>
      <c r="AI35" s="37">
        <v>3</v>
      </c>
      <c r="AJ35" s="38">
        <v>12</v>
      </c>
      <c r="AK35" s="39">
        <v>0</v>
      </c>
      <c r="AL35" s="40">
        <f t="shared" si="3"/>
        <v>-40000</v>
      </c>
      <c r="AM35" s="41">
        <f t="shared" si="4"/>
        <v>0</v>
      </c>
      <c r="AN35" s="41">
        <f t="shared" si="5"/>
        <v>12</v>
      </c>
      <c r="AO35" s="40">
        <f t="shared" si="6"/>
        <v>-40000</v>
      </c>
      <c r="AP35" s="42">
        <f t="shared" si="7"/>
        <v>22.471910112359552</v>
      </c>
      <c r="AQ35" s="43">
        <f t="shared" si="8"/>
        <v>32000</v>
      </c>
      <c r="AR35" s="44" cm="1">
        <f t="array" ref="AR35">INDEX('[1]Mar-24'!S:S,MATCH(CONCATENATE('4. Live Offers'!B35,"",'4. Live Offers'!E35),CONCATENATE('[1]Mar-24'!B:B,"",'[1]Mar-24'!C:C),0))</f>
        <v>7.4999999999999997E-2</v>
      </c>
      <c r="AS35" s="88" cm="1">
        <f t="array" ref="AS35">INDEX('[1]Mar-24'!R:R,MATCH(CONCATENATE('4. Live Offers'!B35,"",'4. Live Offers'!E35),CONCATENATE('[1]Mar-24'!B:B,"",'[1]Mar-24'!C:C),0))</f>
        <v>480412.73314199998</v>
      </c>
      <c r="AT35" s="45">
        <f t="shared" si="9"/>
        <v>13.0944306691616</v>
      </c>
      <c r="AU35" s="40">
        <f t="shared" si="10"/>
        <v>419021.78141317121</v>
      </c>
      <c r="AV35" s="46">
        <f t="shared" si="12"/>
        <v>-0.1277879362757916</v>
      </c>
      <c r="AX35" s="47">
        <v>45581</v>
      </c>
      <c r="AY35" s="48"/>
      <c r="AZ35" s="48"/>
      <c r="BA35" s="49" t="s">
        <v>130</v>
      </c>
      <c r="BB35" s="50">
        <v>45717</v>
      </c>
      <c r="BD35" s="51"/>
      <c r="BE35" s="51"/>
      <c r="BF35" s="48"/>
      <c r="BH35" s="52" t="s">
        <v>117</v>
      </c>
    </row>
    <row r="36" spans="2:60" ht="16.5" customHeight="1">
      <c r="B36" s="17" t="s">
        <v>90</v>
      </c>
      <c r="C36" s="84" t="str">
        <f>INDEX('[1]2. Asset Dashboard'!E:E,MATCH('4. Live Offers'!B36,'[1]2. Asset Dashboard'!C:C,0))</f>
        <v>Newbury</v>
      </c>
      <c r="D36" s="19"/>
      <c r="E36" s="19" t="s">
        <v>180</v>
      </c>
      <c r="F36" s="20"/>
      <c r="G36" s="87" cm="1">
        <f t="array" ref="G36">INDEX('[1]3. Unit-Level Index'!M:M,MATCH(CONCATENATE('4. Live Offers'!B36,"",'4. Live Offers'!E36),CONCATENATE('[1]3. Unit-Level Index'!B:B,"",'[1]3. Unit-Level Index'!G:G),0))</f>
        <v>2166</v>
      </c>
      <c r="H36" s="22">
        <f t="shared" si="0"/>
        <v>-0.21130680602209298</v>
      </c>
      <c r="J36" s="23" t="s">
        <v>64</v>
      </c>
      <c r="K36" s="24" t="s">
        <v>64</v>
      </c>
      <c r="L36" s="24"/>
      <c r="M36" s="24"/>
      <c r="N36" s="25"/>
      <c r="P36" s="80"/>
      <c r="Q36" s="19" t="s">
        <v>140</v>
      </c>
      <c r="R36" s="27"/>
      <c r="S36" s="19" t="s">
        <v>93</v>
      </c>
      <c r="T36" s="19"/>
      <c r="U36" s="28" t="s">
        <v>181</v>
      </c>
      <c r="V36" s="2"/>
      <c r="W36" s="29">
        <v>10</v>
      </c>
      <c r="X36" s="30">
        <v>10</v>
      </c>
      <c r="Y36" s="30">
        <v>5</v>
      </c>
      <c r="Z36" s="31" t="s">
        <v>79</v>
      </c>
      <c r="AA36" s="32"/>
      <c r="AB36" s="33">
        <v>11250</v>
      </c>
      <c r="AC36" s="33">
        <v>48000</v>
      </c>
      <c r="AD36" s="85">
        <v>43950</v>
      </c>
      <c r="AE36" s="34">
        <f t="shared" si="1"/>
        <v>20.290858725761773</v>
      </c>
      <c r="AF36" s="88" cm="1">
        <f t="array" ref="AF36">INDEX('[1]Mar-24'!N:N,MATCH(CONCATENATE('4. Live Offers'!B36,"",'4. Live Offers'!E36),CONCATENATE('[1]Mar-24'!B:B,"",'[1]Mar-24'!C:C),0))</f>
        <v>49818</v>
      </c>
      <c r="AG36" s="36">
        <f t="shared" si="2"/>
        <v>-0.11778875105383596</v>
      </c>
      <c r="AI36" s="37">
        <v>4</v>
      </c>
      <c r="AJ36" s="38">
        <v>0</v>
      </c>
      <c r="AK36" s="39">
        <v>-90000</v>
      </c>
      <c r="AL36" s="40">
        <f t="shared" si="3"/>
        <v>0</v>
      </c>
      <c r="AM36" s="41">
        <f t="shared" si="4"/>
        <v>24.573378839590443</v>
      </c>
      <c r="AN36" s="41">
        <f t="shared" si="5"/>
        <v>24.573378839590443</v>
      </c>
      <c r="AO36" s="40">
        <f t="shared" si="6"/>
        <v>-90000</v>
      </c>
      <c r="AP36" s="42">
        <f t="shared" si="7"/>
        <v>41.551246537396125</v>
      </c>
      <c r="AQ36" s="43">
        <f t="shared" si="8"/>
        <v>34950</v>
      </c>
      <c r="AR36" s="44" cm="1">
        <f t="array" ref="AR36">INDEX('[1]Mar-24'!S:S,MATCH(CONCATENATE('4. Live Offers'!B36,"",'4. Live Offers'!E36),CONCATENATE('[1]Mar-24'!B:B,"",'[1]Mar-24'!C:C),0))</f>
        <v>8.5000000000000006E-2</v>
      </c>
      <c r="AS36" s="88" cm="1">
        <f t="array" ref="AS36">INDEX('[1]Mar-24'!R:R,MATCH(CONCATENATE('4. Live Offers'!B36,"",'4. Live Offers'!E36),CONCATENATE('[1]Mar-24'!B:B,"",'[1]Mar-24'!C:C),0))</f>
        <v>507353.01847900002</v>
      </c>
      <c r="AT36" s="45">
        <f t="shared" si="9"/>
        <v>11.44909506776923</v>
      </c>
      <c r="AU36" s="40">
        <f t="shared" si="10"/>
        <v>400145.8726185346</v>
      </c>
      <c r="AV36" s="46">
        <f t="shared" si="12"/>
        <v>-0.21130680602209298</v>
      </c>
      <c r="AX36" s="47"/>
      <c r="AY36" s="48"/>
      <c r="AZ36" s="48"/>
      <c r="BA36" s="49"/>
      <c r="BB36" s="50"/>
      <c r="BD36" s="51"/>
      <c r="BE36" s="51"/>
      <c r="BF36" s="48"/>
      <c r="BH36" s="52" t="s">
        <v>182</v>
      </c>
    </row>
    <row r="37" spans="2:60" ht="16.5" customHeight="1">
      <c r="B37" s="17" t="s">
        <v>139</v>
      </c>
      <c r="C37" s="84" t="str">
        <f>INDEX('[1]2. Asset Dashboard'!E:E,MATCH('4. Live Offers'!B37,'[1]2. Asset Dashboard'!C:C,0))</f>
        <v>London</v>
      </c>
      <c r="D37" s="19"/>
      <c r="E37" s="19">
        <v>2</v>
      </c>
      <c r="F37" s="20"/>
      <c r="G37" s="87" cm="1">
        <f t="array" ref="G37">INDEX('[1]3. Unit-Level Index'!M:M,MATCH(CONCATENATE('4. Live Offers'!B37,"",'4. Live Offers'!E37),CONCATENATE('[1]3. Unit-Level Index'!B:B,"",'[1]3. Unit-Level Index'!G:G),0))</f>
        <v>763</v>
      </c>
      <c r="H37" s="22">
        <f t="shared" si="0"/>
        <v>7.7962533018980471E-2</v>
      </c>
      <c r="J37" s="23" t="s">
        <v>64</v>
      </c>
      <c r="K37" s="24"/>
      <c r="L37" s="24"/>
      <c r="M37" s="24"/>
      <c r="N37" s="25"/>
      <c r="P37" s="80"/>
      <c r="Q37" s="19" t="s">
        <v>183</v>
      </c>
      <c r="R37" s="27"/>
      <c r="S37" s="19" t="s">
        <v>141</v>
      </c>
      <c r="T37" s="19"/>
      <c r="U37" s="28" t="s">
        <v>184</v>
      </c>
      <c r="V37" s="2"/>
      <c r="W37" s="29">
        <v>10</v>
      </c>
      <c r="X37" s="30">
        <v>10</v>
      </c>
      <c r="Y37" s="30">
        <v>5</v>
      </c>
      <c r="Z37" s="31" t="s">
        <v>79</v>
      </c>
      <c r="AA37" s="32"/>
      <c r="AB37" s="33">
        <v>9500</v>
      </c>
      <c r="AC37" s="33">
        <v>19000</v>
      </c>
      <c r="AD37" s="85">
        <v>19000</v>
      </c>
      <c r="AE37" s="34">
        <f t="shared" si="1"/>
        <v>24.901703800786368</v>
      </c>
      <c r="AF37" s="88" cm="1">
        <f t="array" ref="AF37">INDEX('[1]Mar-24'!N:N,MATCH(CONCATENATE('4. Live Offers'!B37,"",'4. Live Offers'!E37),CONCATENATE('[1]Mar-24'!B:B,"",'[1]Mar-24'!C:C),0))</f>
        <v>19075</v>
      </c>
      <c r="AG37" s="36">
        <f t="shared" si="2"/>
        <v>-3.9318479685452159E-3</v>
      </c>
      <c r="AI37" s="37">
        <v>3</v>
      </c>
      <c r="AJ37" s="38">
        <v>12</v>
      </c>
      <c r="AK37" s="39">
        <v>0</v>
      </c>
      <c r="AL37" s="40">
        <f t="shared" si="3"/>
        <v>-19000</v>
      </c>
      <c r="AM37" s="41">
        <f t="shared" si="4"/>
        <v>0</v>
      </c>
      <c r="AN37" s="41">
        <f t="shared" si="5"/>
        <v>12</v>
      </c>
      <c r="AO37" s="40">
        <f t="shared" si="6"/>
        <v>-19000</v>
      </c>
      <c r="AP37" s="42">
        <f t="shared" si="7"/>
        <v>24.901703800786368</v>
      </c>
      <c r="AQ37" s="43">
        <f t="shared" si="8"/>
        <v>17100</v>
      </c>
      <c r="AR37" s="44" cm="1">
        <f t="array" ref="AR37">INDEX('[1]Mar-24'!S:S,MATCH(CONCATENATE('4. Live Offers'!B37,"",'4. Live Offers'!E37),CONCATENATE('[1]Mar-24'!B:B,"",'[1]Mar-24'!C:C),0))</f>
        <v>7.7499999999999999E-2</v>
      </c>
      <c r="AS37" s="88" cm="1">
        <f t="array" ref="AS37">INDEX('[1]Mar-24'!R:R,MATCH(CONCATENATE('4. Live Offers'!B37,"",'4. Live Offers'!E37),CONCATENATE('[1]Mar-24'!B:B,"",'[1]Mar-24'!C:C),0))</f>
        <v>200903</v>
      </c>
      <c r="AT37" s="45">
        <f t="shared" si="9"/>
        <v>12.664672910591358</v>
      </c>
      <c r="AU37" s="40">
        <f>IFERROR(AQ37*AT37,"-")</f>
        <v>216565.90677111223</v>
      </c>
      <c r="AV37" s="46">
        <f t="shared" si="12"/>
        <v>7.7962533018980471E-2</v>
      </c>
      <c r="AX37" s="47"/>
      <c r="AY37" s="48"/>
      <c r="AZ37" s="48"/>
      <c r="BA37" s="49"/>
      <c r="BB37" s="50"/>
      <c r="BD37" s="51"/>
      <c r="BE37" s="51"/>
      <c r="BF37" s="48"/>
      <c r="BH37" s="52" t="s">
        <v>185</v>
      </c>
    </row>
    <row r="38" spans="2:60" ht="16.5" customHeight="1">
      <c r="B38" s="17" t="s">
        <v>107</v>
      </c>
      <c r="C38" s="84" t="str">
        <f>INDEX('[1]2. Asset Dashboard'!E:E,MATCH('4. Live Offers'!B38,'[1]2. Asset Dashboard'!C:C,0))</f>
        <v>London</v>
      </c>
      <c r="D38" s="19"/>
      <c r="E38" s="19" t="s">
        <v>186</v>
      </c>
      <c r="F38" s="20"/>
      <c r="G38" s="87" cm="1">
        <f t="array" ref="G38">INDEX('[1]3. Unit-Level Index'!M:M,MATCH(CONCATENATE('4. Live Offers'!B38,"",'4. Live Offers'!E38),CONCATENATE('[1]3. Unit-Level Index'!B:B,"",'[1]3. Unit-Level Index'!G:G),0))</f>
        <v>4146</v>
      </c>
      <c r="H38" s="22">
        <f t="shared" si="0"/>
        <v>-3.3028544188862516E-2</v>
      </c>
      <c r="J38" s="23"/>
      <c r="K38" s="24"/>
      <c r="L38" s="24"/>
      <c r="M38" s="24"/>
      <c r="N38" s="25"/>
      <c r="P38" s="80"/>
      <c r="Q38" s="19"/>
      <c r="R38" s="27"/>
      <c r="S38" s="19" t="s">
        <v>110</v>
      </c>
      <c r="T38" s="19"/>
      <c r="U38" s="28"/>
      <c r="V38" s="2"/>
      <c r="W38" s="29">
        <v>20</v>
      </c>
      <c r="X38" s="30">
        <v>10</v>
      </c>
      <c r="Y38" s="30">
        <v>5</v>
      </c>
      <c r="Z38" s="31" t="s">
        <v>151</v>
      </c>
      <c r="AA38" s="32"/>
      <c r="AB38" s="33">
        <v>77887</v>
      </c>
      <c r="AC38" s="33"/>
      <c r="AD38" s="85">
        <v>103850</v>
      </c>
      <c r="AE38" s="34">
        <f t="shared" si="1"/>
        <v>25.048239266763144</v>
      </c>
      <c r="AF38" s="88" cm="1">
        <f t="array" ref="AF38">INDEX('[1]Mar-24'!N:N,MATCH(CONCATENATE('4. Live Offers'!B38,"",'4. Live Offers'!E38),CONCATENATE('[1]Mar-24'!B:B,"",'[1]Mar-24'!C:C),0))</f>
        <v>103100</v>
      </c>
      <c r="AG38" s="36">
        <f t="shared" si="2"/>
        <v>7.2744907856450046E-3</v>
      </c>
      <c r="AI38" s="37">
        <v>3</v>
      </c>
      <c r="AJ38" s="38">
        <v>24</v>
      </c>
      <c r="AK38" s="39"/>
      <c r="AL38" s="40">
        <f t="shared" si="3"/>
        <v>-207700</v>
      </c>
      <c r="AM38" s="41">
        <f t="shared" si="4"/>
        <v>0</v>
      </c>
      <c r="AN38" s="41">
        <f t="shared" si="5"/>
        <v>24</v>
      </c>
      <c r="AO38" s="40">
        <f t="shared" si="6"/>
        <v>-207700</v>
      </c>
      <c r="AP38" s="42">
        <f t="shared" si="7"/>
        <v>50.096478533526287</v>
      </c>
      <c r="AQ38" s="43">
        <f t="shared" si="8"/>
        <v>83080</v>
      </c>
      <c r="AR38" s="44" cm="1">
        <f t="array" ref="AR38">INDEX('[1]Mar-24'!S:S,MATCH(CONCATENATE('4. Live Offers'!B38,"",'4. Live Offers'!E38),CONCATENATE('[1]Mar-24'!B:B,"",'[1]Mar-24'!C:C),0))</f>
        <v>7.4999999999999997E-2</v>
      </c>
      <c r="AS38" s="88" cm="1">
        <f t="array" ref="AS38">INDEX('[1]Mar-24'!R:R,MATCH(CONCATENATE('4. Live Offers'!B38,"",'4. Live Offers'!E38),CONCATENATE('[1]Mar-24'!B:B,"",'[1]Mar-24'!C:C),0))</f>
        <v>1125043.860867</v>
      </c>
      <c r="AT38" s="45">
        <f t="shared" si="9"/>
        <v>13.0944306691616</v>
      </c>
      <c r="AU38" s="40">
        <f>IFERROR(AQ38*AT38,"-")</f>
        <v>1087885.2999939458</v>
      </c>
      <c r="AV38" s="46">
        <f t="shared" si="12"/>
        <v>-3.3028544188862516E-2</v>
      </c>
      <c r="AX38" s="47"/>
      <c r="AY38" s="48"/>
      <c r="AZ38" s="48"/>
      <c r="BA38" s="49"/>
      <c r="BB38" s="50"/>
      <c r="BD38" s="51"/>
      <c r="BE38" s="51"/>
      <c r="BF38" s="48"/>
      <c r="BH38" s="52"/>
    </row>
    <row r="39" spans="2:60" ht="16.5" customHeight="1">
      <c r="B39" s="17" t="s">
        <v>187</v>
      </c>
      <c r="C39" s="84" t="str">
        <f>INDEX('[1]2. Asset Dashboard'!E:E,MATCH('4. Live Offers'!B39,'[1]2. Asset Dashboard'!C:C,0))</f>
        <v>London</v>
      </c>
      <c r="D39" s="19"/>
      <c r="E39" s="19" t="s">
        <v>188</v>
      </c>
      <c r="F39" s="20"/>
      <c r="G39" s="87" cm="1">
        <f t="array" ref="G39">INDEX('[1]3. Unit-Level Index'!M:M,MATCH(CONCATENATE('4. Live Offers'!B39,"",'4. Live Offers'!E39),CONCATENATE('[1]3. Unit-Level Index'!B:B,"",'[1]3. Unit-Level Index'!G:G),0))</f>
        <v>1247</v>
      </c>
      <c r="H39" s="22">
        <f t="shared" si="0"/>
        <v>9.5949111739925E-2</v>
      </c>
      <c r="J39" s="23"/>
      <c r="K39" s="24"/>
      <c r="L39" s="24"/>
      <c r="M39" s="24"/>
      <c r="N39" s="25"/>
      <c r="P39" s="80"/>
      <c r="Q39" s="19" t="s">
        <v>189</v>
      </c>
      <c r="R39" s="27"/>
      <c r="S39" s="19" t="s">
        <v>170</v>
      </c>
      <c r="T39" s="19"/>
      <c r="U39" s="28" t="s">
        <v>190</v>
      </c>
      <c r="V39" s="2"/>
      <c r="W39" s="29">
        <v>6</v>
      </c>
      <c r="X39" s="30">
        <v>6</v>
      </c>
      <c r="Y39" s="30"/>
      <c r="Z39" s="31" t="s">
        <v>191</v>
      </c>
      <c r="AA39" s="32"/>
      <c r="AB39" s="33"/>
      <c r="AC39" s="33"/>
      <c r="AD39" s="85">
        <v>35000</v>
      </c>
      <c r="AE39" s="34">
        <f t="shared" si="1"/>
        <v>28.067361668003208</v>
      </c>
      <c r="AF39" s="88" cm="1">
        <f t="array" ref="AF39">INDEX('[1]Mar-24'!N:N,MATCH(CONCATENATE('4. Live Offers'!B39,"",'4. Live Offers'!E39),CONCATENATE('[1]Mar-24'!B:B,"",'[1]Mar-24'!C:C),0))</f>
        <v>31175</v>
      </c>
      <c r="AG39" s="36">
        <f t="shared" si="2"/>
        <v>0.12269446672012831</v>
      </c>
      <c r="AI39" s="37">
        <v>7</v>
      </c>
      <c r="AJ39" s="38">
        <v>12</v>
      </c>
      <c r="AK39" s="39">
        <v>0</v>
      </c>
      <c r="AL39" s="40">
        <f t="shared" si="3"/>
        <v>-35000</v>
      </c>
      <c r="AM39" s="41">
        <f t="shared" si="4"/>
        <v>0</v>
      </c>
      <c r="AN39" s="41">
        <f t="shared" si="5"/>
        <v>12</v>
      </c>
      <c r="AO39" s="40">
        <f t="shared" si="6"/>
        <v>-35000</v>
      </c>
      <c r="AP39" s="42">
        <f t="shared" si="7"/>
        <v>28.067361668003208</v>
      </c>
      <c r="AQ39" s="43">
        <f t="shared" si="8"/>
        <v>29166.666666666668</v>
      </c>
      <c r="AR39" s="44" cm="1">
        <f t="array" ref="AR39">INDEX('[1]Mar-24'!S:S,MATCH(CONCATENATE('4. Live Offers'!B39,"",'4. Live Offers'!E39),CONCATENATE('[1]Mar-24'!B:B,"",'[1]Mar-24'!C:C),0))</f>
        <v>7.4999999999999997E-2</v>
      </c>
      <c r="AS39" s="88" cm="1">
        <f t="array" ref="AS39">INDEX('[1]Mar-24'!R:R,MATCH(CONCATENATE('4. Live Offers'!B39,"",'4. Live Offers'!E39),CONCATENATE('[1]Mar-24'!B:B,"",'[1]Mar-24'!C:C),0))</f>
        <v>340183.73237799999</v>
      </c>
      <c r="AT39" s="45">
        <f t="shared" si="9"/>
        <v>12.782539176961421</v>
      </c>
      <c r="AU39" s="40">
        <f>IFERROR(AQ39*AT39,"-")</f>
        <v>372824.05932804145</v>
      </c>
      <c r="AV39" s="46">
        <f t="shared" si="12"/>
        <v>9.5949111739925E-2</v>
      </c>
      <c r="AX39" s="47"/>
      <c r="AY39" s="48"/>
      <c r="AZ39" s="48"/>
      <c r="BA39" s="49"/>
      <c r="BB39" s="50"/>
      <c r="BD39" s="51"/>
      <c r="BE39" s="51"/>
      <c r="BF39" s="48"/>
      <c r="BH39" s="52"/>
    </row>
    <row r="40" spans="2:60" ht="16.5" customHeight="1">
      <c r="B40" s="17" t="s">
        <v>85</v>
      </c>
      <c r="C40" s="84" t="str">
        <f>INDEX('[1]2. Asset Dashboard'!E:E,MATCH('4. Live Offers'!B40,'[1]2. Asset Dashboard'!C:C,0))</f>
        <v>Bristol</v>
      </c>
      <c r="D40" s="19"/>
      <c r="E40" s="19" t="s">
        <v>192</v>
      </c>
      <c r="F40" s="20"/>
      <c r="G40" s="87" cm="1">
        <f t="array" ref="G40">INDEX('[1]3. Unit-Level Index'!M:M,MATCH(CONCATENATE('4. Live Offers'!B40,"",'4. Live Offers'!E40),CONCATENATE('[1]3. Unit-Level Index'!B:B,"",'[1]3. Unit-Level Index'!G:G),0))</f>
        <v>2754</v>
      </c>
      <c r="H40" s="22"/>
      <c r="J40" s="23"/>
      <c r="K40" s="24"/>
      <c r="L40" s="24"/>
      <c r="M40" s="24"/>
      <c r="N40" s="25"/>
      <c r="P40" s="80"/>
      <c r="Q40" s="19"/>
      <c r="R40" s="27"/>
      <c r="S40" s="19"/>
      <c r="T40" s="19"/>
      <c r="U40" s="28"/>
      <c r="V40" s="2"/>
      <c r="W40" s="29"/>
      <c r="X40" s="30"/>
      <c r="Y40" s="30"/>
      <c r="Z40" s="31"/>
      <c r="AA40" s="32"/>
      <c r="AB40" s="33"/>
      <c r="AC40" s="33"/>
      <c r="AD40" s="85"/>
      <c r="AE40" s="34"/>
      <c r="AF40" s="88"/>
      <c r="AG40" s="36"/>
      <c r="AI40" s="37"/>
      <c r="AJ40" s="38"/>
      <c r="AK40" s="39"/>
      <c r="AL40" s="40"/>
      <c r="AM40" s="41"/>
      <c r="AN40" s="41"/>
      <c r="AO40" s="40"/>
      <c r="AP40" s="42"/>
      <c r="AQ40" s="43"/>
      <c r="AR40" s="44"/>
      <c r="AS40" s="88"/>
      <c r="AT40" s="45"/>
      <c r="AU40" s="40"/>
      <c r="AV40" s="46"/>
      <c r="AX40" s="47"/>
      <c r="AY40" s="48"/>
      <c r="AZ40" s="48"/>
      <c r="BA40" s="49"/>
      <c r="BB40" s="50"/>
      <c r="BD40" s="51"/>
      <c r="BE40" s="51"/>
      <c r="BF40" s="48"/>
      <c r="BH40" s="52"/>
    </row>
    <row r="41" spans="2:60" ht="16.5" customHeight="1">
      <c r="B41" s="17"/>
      <c r="C41" s="84"/>
      <c r="D41" s="19"/>
      <c r="E41" s="19"/>
      <c r="F41" s="20"/>
      <c r="G41" s="87"/>
      <c r="H41" s="22"/>
      <c r="J41" s="23"/>
      <c r="K41" s="24"/>
      <c r="L41" s="24"/>
      <c r="M41" s="24"/>
      <c r="N41" s="25"/>
      <c r="P41" s="80"/>
      <c r="Q41" s="19"/>
      <c r="R41" s="27"/>
      <c r="S41" s="19"/>
      <c r="T41" s="19"/>
      <c r="U41" s="28"/>
      <c r="V41" s="2"/>
      <c r="W41" s="29"/>
      <c r="X41" s="30"/>
      <c r="Y41" s="30"/>
      <c r="Z41" s="31"/>
      <c r="AA41" s="32"/>
      <c r="AB41" s="33"/>
      <c r="AC41" s="33"/>
      <c r="AD41" s="85"/>
      <c r="AE41" s="34"/>
      <c r="AF41" s="88"/>
      <c r="AG41" s="36"/>
      <c r="AI41" s="37"/>
      <c r="AJ41" s="38"/>
      <c r="AK41" s="39"/>
      <c r="AL41" s="40"/>
      <c r="AM41" s="41"/>
      <c r="AN41" s="41"/>
      <c r="AO41" s="40"/>
      <c r="AP41" s="42"/>
      <c r="AQ41" s="43"/>
      <c r="AR41" s="44"/>
      <c r="AS41" s="88"/>
      <c r="AT41" s="45"/>
      <c r="AU41" s="40"/>
      <c r="AV41" s="46"/>
      <c r="AX41" s="47"/>
      <c r="AY41" s="48"/>
      <c r="AZ41" s="48"/>
      <c r="BA41" s="49"/>
      <c r="BB41" s="50"/>
      <c r="BD41" s="51"/>
      <c r="BE41" s="51"/>
      <c r="BF41" s="48"/>
      <c r="BH41" s="52"/>
    </row>
    <row r="42" spans="2:60" ht="16.5" customHeight="1">
      <c r="B42" s="17"/>
      <c r="C42" s="84"/>
      <c r="D42" s="19"/>
      <c r="E42" s="19"/>
      <c r="F42" s="20" t="str" cm="1">
        <f t="array" ref="F42">IF(INDEX('[1]3. Unit-Level Index'!H:H,MATCH(CONCATENATE('4. Live Offers'!B42," ",'4. Live Offers'!E42),CONCATENATE('[1]3. Unit-Level Index'!B:B," ",'[1]3. Unit-Level Index'!G:G),0))="","-",(INDEX('[1]3. Unit-Level Index'!H:H,MATCH(CONCATENATE('4. Live Offers'!B42," ",'4. Live Offers'!E42),CONCATENATE('[1]3. Unit-Level Index'!B:B," ",'[1]3. Unit-Level Index'!G:G),0))))</f>
        <v>-</v>
      </c>
      <c r="G42" s="87" cm="1">
        <f t="array" ref="G42">INDEX('[1]3. Unit-Level Index'!M:M,MATCH(CONCATENATE('4. Live Offers'!B42,"",'4. Live Offers'!E42),CONCATENATE('[1]3. Unit-Level Index'!B:B,"",'[1]3. Unit-Level Index'!G:G),0))</f>
        <v>0</v>
      </c>
      <c r="H42" s="22" t="str">
        <f>AV42</f>
        <v>-</v>
      </c>
      <c r="J42" s="23"/>
      <c r="K42" s="24"/>
      <c r="L42" s="24"/>
      <c r="M42" s="24"/>
      <c r="N42" s="25"/>
      <c r="P42" s="80"/>
      <c r="Q42" s="19"/>
      <c r="R42" s="27"/>
      <c r="S42" s="19"/>
      <c r="T42" s="19"/>
      <c r="U42" s="28"/>
      <c r="V42" s="2"/>
      <c r="W42" s="29"/>
      <c r="X42" s="30"/>
      <c r="Y42" s="30"/>
      <c r="Z42" s="31"/>
      <c r="AA42" s="32"/>
      <c r="AB42" s="33"/>
      <c r="AC42" s="33"/>
      <c r="AD42" s="85"/>
      <c r="AE42" s="34">
        <f t="shared" ref="AE42" si="13">IFERROR(AD42/G42,0)</f>
        <v>0</v>
      </c>
      <c r="AF42" s="88" cm="1">
        <f t="array" ref="AF42">INDEX('[1]Mar-24'!N:N,MATCH(CONCATENATE('4. Live Offers'!B42,"",'4. Live Offers'!E42),CONCATENATE('[1]Mar-24'!B:B,"",'[1]Mar-24'!C:C),0))</f>
        <v>0</v>
      </c>
      <c r="AG42" s="36" t="str">
        <f t="shared" ref="AG42" si="14">IFERROR((AD42-AF42)/AF42,"-")</f>
        <v>-</v>
      </c>
      <c r="AI42" s="37"/>
      <c r="AJ42" s="38"/>
      <c r="AK42" s="39"/>
      <c r="AL42" s="40">
        <f>(-(AD42/12)*AJ42)</f>
        <v>0</v>
      </c>
      <c r="AM42" s="41" t="str">
        <f>IFERROR((-AK42)/(AD42/12),"-")</f>
        <v>-</v>
      </c>
      <c r="AN42" s="41" t="str">
        <f>IFERROR(AM42+AJ42,"-")</f>
        <v>-</v>
      </c>
      <c r="AO42" s="40">
        <f>AL42+AK42</f>
        <v>0</v>
      </c>
      <c r="AP42" s="42" t="str">
        <f>IFERROR(-AO42/G42,"-")</f>
        <v>-</v>
      </c>
      <c r="AQ42" s="43" t="str">
        <f>IFERROR((IF(X42&lt;W42,((AD42*X42+AO42)/X42),(AD42*W42+AO42)/W42)),"-")</f>
        <v>-</v>
      </c>
      <c r="AR42" s="44" cm="1">
        <f t="array" ref="AR42">INDEX('[1]Mar-24'!S:S,MATCH(CONCATENATE('4. Live Offers'!B42,"",'4. Live Offers'!E42),CONCATENATE('[1]Mar-24'!B:B,"",'[1]Mar-24'!C:C),0))</f>
        <v>0</v>
      </c>
      <c r="AS42" s="88" cm="1">
        <f t="array" ref="AS42">INDEX('[1]Mar-24'!R:R,MATCH(CONCATENATE('4. Live Offers'!B42,"",'4. Live Offers'!E42),CONCATENATE('[1]Mar-24'!B:B,"",'[1]Mar-24'!C:C),0))</f>
        <v>0</v>
      </c>
      <c r="AT42" s="45" t="str">
        <f>IFERROR((1+AR42)^-(AI42/12)*(1/AR42),"-")</f>
        <v>-</v>
      </c>
      <c r="AU42" s="40" t="str">
        <f>IFERROR(AQ42*AT42,"-")</f>
        <v>-</v>
      </c>
      <c r="AV42" s="46" t="str">
        <f>IFERROR(((AT42*AQ42)-AS42)/AS42,"-")</f>
        <v>-</v>
      </c>
      <c r="AX42" s="47"/>
      <c r="AY42" s="48"/>
      <c r="AZ42" s="48"/>
      <c r="BA42" s="49">
        <f>IFERROR(DATEDIF(AX42,AY42,"m"),"In Progress")</f>
        <v>0</v>
      </c>
      <c r="BB42" s="50"/>
      <c r="BD42" s="51"/>
      <c r="BE42" s="51"/>
      <c r="BF42" s="48"/>
      <c r="BH42" s="52"/>
    </row>
    <row r="43" spans="2:60" ht="15.75" customHeight="1">
      <c r="V43" s="2"/>
    </row>
    <row r="44" spans="2:60" ht="15.75" customHeight="1">
      <c r="B44" s="10" t="s">
        <v>193</v>
      </c>
      <c r="AU44" s="12"/>
    </row>
    <row r="45" spans="2:60" ht="15.75" customHeight="1">
      <c r="Q45" s="2"/>
      <c r="AU45" s="12"/>
    </row>
    <row r="46" spans="2:60" ht="15.75" customHeight="1">
      <c r="B46" s="3"/>
    </row>
    <row r="47" spans="2:60" ht="15.75" customHeight="1">
      <c r="AD47" s="11"/>
      <c r="AE47" s="11"/>
    </row>
  </sheetData>
  <autoFilter ref="B9:H40" xr:uid="{7E728B8A-37EF-4BEA-BD01-85C4D35C1E61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7">
    <mergeCell ref="BD9:BF9"/>
    <mergeCell ref="B9:H9"/>
    <mergeCell ref="J9:N9"/>
    <mergeCell ref="P9:U9"/>
    <mergeCell ref="W9:AG9"/>
    <mergeCell ref="AI9:AV9"/>
    <mergeCell ref="AX9:BB9"/>
  </mergeCells>
  <conditionalFormatting sqref="D11:E42 G11:H42 P11:U42 AB11:AD42 AX11:AZ42 BB11:BB42 BD11:BF42 Q44:W67 R68:W68 Q69:W1048576">
    <cfRule type="containsText" dxfId="16" priority="12" operator="containsText" text="Vacant">
      <formula>NOT(ISERROR(SEARCH("Vacant",D11)))</formula>
    </cfRule>
  </conditionalFormatting>
  <conditionalFormatting sqref="F11:F42">
    <cfRule type="cellIs" dxfId="15" priority="13" operator="equal">
      <formula>0</formula>
    </cfRule>
  </conditionalFormatting>
  <conditionalFormatting sqref="J11:N42">
    <cfRule type="containsText" dxfId="14" priority="7" operator="containsText" text="No">
      <formula>NOT(ISERROR(SEARCH("No",J11)))</formula>
    </cfRule>
    <cfRule type="containsText" dxfId="13" priority="8" operator="containsText" text="Yes">
      <formula>NOT(ISERROR(SEARCH("Yes",J11)))</formula>
    </cfRule>
    <cfRule type="containsText" dxfId="12" priority="9" operator="containsText" text="HoTs">
      <formula>NOT(ISERROR(SEARCH("HoTs",J11)))</formula>
    </cfRule>
    <cfRule type="containsText" dxfId="11" priority="10" operator="containsText" text="Leased">
      <formula>NOT(ISERROR(SEARCH("Leased",J11)))</formula>
    </cfRule>
    <cfRule type="containsText" dxfId="10" priority="11" operator="containsText" text="Aborted">
      <formula>NOT(ISERROR(SEARCH("Aborted",J11)))</formula>
    </cfRule>
  </conditionalFormatting>
  <conditionalFormatting sqref="J43:N1048576">
    <cfRule type="containsText" dxfId="9" priority="17" operator="containsText" text="Historic">
      <formula>NOT(ISERROR(SEARCH("Historic",J43)))</formula>
    </cfRule>
    <cfRule type="containsText" dxfId="8" priority="18" operator="containsText" text="Live">
      <formula>NOT(ISERROR(SEARCH("Live",J43)))</formula>
    </cfRule>
  </conditionalFormatting>
  <conditionalFormatting sqref="K34:L35">
    <cfRule type="containsText" dxfId="7" priority="3" operator="containsText" text="Requested">
      <formula>NOT(ISERROR(SEARCH("Requested",K34)))</formula>
    </cfRule>
  </conditionalFormatting>
  <conditionalFormatting sqref="K11:N42">
    <cfRule type="containsText" dxfId="6" priority="6" operator="containsText" text="Planned">
      <formula>NOT(ISERROR(SEARCH("Planned",K11)))</formula>
    </cfRule>
  </conditionalFormatting>
  <conditionalFormatting sqref="L14:L17 K27:L31">
    <cfRule type="containsText" dxfId="5" priority="4" operator="containsText" text="Requested">
      <formula>NOT(ISERROR(SEARCH("Requested",K14)))</formula>
    </cfRule>
  </conditionalFormatting>
  <conditionalFormatting sqref="L11:N13">
    <cfRule type="containsText" dxfId="4" priority="5" operator="containsText" text="Requested">
      <formula>NOT(ISERROR(SEARCH("Requested",L11)))</formula>
    </cfRule>
  </conditionalFormatting>
  <conditionalFormatting sqref="M14:N42">
    <cfRule type="containsText" dxfId="3" priority="1" operator="containsText" text="Requested">
      <formula>NOT(ISERROR(SEARCH("Requested",M14)))</formula>
    </cfRule>
  </conditionalFormatting>
  <conditionalFormatting sqref="Q43:U43 W43 D43:H46 P43:P1048576 AB43:AC1048576 D47:I1048576">
    <cfRule type="containsText" dxfId="2" priority="19" operator="containsText" text="Vacant">
      <formula>NOT(ISERROR(SEARCH("Vacant",D43)))</formula>
    </cfRule>
  </conditionalFormatting>
  <conditionalFormatting sqref="W13:X17">
    <cfRule type="iconSet" priority="25">
      <iconSet>
        <cfvo type="percent" val="0"/>
        <cfvo type="num" val="1" gte="0"/>
        <cfvo type="num" val="5"/>
      </iconSet>
    </cfRule>
  </conditionalFormatting>
  <conditionalFormatting sqref="W18:X42 W11:X12">
    <cfRule type="iconSet" priority="21">
      <iconSet>
        <cfvo type="percent" val="0"/>
        <cfvo type="num" val="1" gte="0"/>
        <cfvo type="num" val="5"/>
      </iconSet>
    </cfRule>
  </conditionalFormatting>
  <conditionalFormatting sqref="Y18:Y42 Y11:Y12">
    <cfRule type="iconSet" priority="22">
      <iconSet>
        <cfvo type="percent" val="0"/>
        <cfvo type="num" val="1" gte="0"/>
        <cfvo type="num" val="5"/>
      </iconSet>
    </cfRule>
  </conditionalFormatting>
  <conditionalFormatting sqref="Y13:Z17">
    <cfRule type="iconSet" priority="26">
      <iconSet>
        <cfvo type="percent" val="0"/>
        <cfvo type="num" val="1" gte="0"/>
        <cfvo type="num" val="5"/>
      </iconSet>
    </cfRule>
  </conditionalFormatting>
  <conditionalFormatting sqref="Z11:Z12">
    <cfRule type="iconSet" priority="15">
      <iconSet>
        <cfvo type="percent" val="0"/>
        <cfvo type="num" val="1" gte="0"/>
        <cfvo type="num" val="5"/>
      </iconSet>
    </cfRule>
  </conditionalFormatting>
  <conditionalFormatting sqref="Z18:Z19">
    <cfRule type="iconSet" priority="20">
      <iconSet>
        <cfvo type="percent" val="0"/>
        <cfvo type="num" val="1" gte="0"/>
        <cfvo type="num" val="5"/>
      </iconSet>
    </cfRule>
  </conditionalFormatting>
  <conditionalFormatting sqref="Z20:Z42">
    <cfRule type="iconSet" priority="23">
      <iconSet>
        <cfvo type="percent" val="0"/>
        <cfvo type="num" val="1" gte="0"/>
        <cfvo type="num" val="5"/>
      </iconSet>
    </cfRule>
  </conditionalFormatting>
  <conditionalFormatting sqref="AK11:AK42">
    <cfRule type="cellIs" dxfId="1" priority="16" operator="greaterThan">
      <formula>0</formula>
    </cfRule>
  </conditionalFormatting>
  <conditionalFormatting sqref="BA11:BA42">
    <cfRule type="containsText" dxfId="0" priority="14" operator="containsText" text="In Progress">
      <formula>NOT(ISERROR(SEARCH("In Progress",BA11)))</formula>
    </cfRule>
  </conditionalFormatting>
  <dataValidations count="7">
    <dataValidation type="list" allowBlank="1" showInputMessage="1" showErrorMessage="1" sqref="K11:K42" xr:uid="{CC914F92-E43F-4F3D-8C22-2EFE76FB9F3B}">
      <formula1>"Yes, No, Requested, Planned"</formula1>
    </dataValidation>
    <dataValidation type="list" allowBlank="1" showInputMessage="1" showErrorMessage="1" sqref="J11:J38" xr:uid="{7C094DAC-FE3D-489F-B38C-42EFFD9BEEF8}">
      <formula1>"Yes, No"</formula1>
    </dataValidation>
    <dataValidation type="list" allowBlank="1" showInputMessage="1" showErrorMessage="1" sqref="AI11:AI25" xr:uid="{CFCC9372-3C1E-45C6-8DF1-BDFC7C111084}">
      <formula1>"1,2,3,4,5,6,7,8,9,10,11,12"</formula1>
    </dataValidation>
    <dataValidation type="list" allowBlank="1" showInputMessage="1" showErrorMessage="1" sqref="Z11:Z25" xr:uid="{ABBD6153-8D67-4692-BF31-CB534DBC30FA}">
      <formula1>"Inside, Outside"</formula1>
    </dataValidation>
    <dataValidation type="list" allowBlank="1" showInputMessage="1" showErrorMessage="1" sqref="M11:M12" xr:uid="{26508304-88C0-4FB2-883B-AADD4AF17C5F}">
      <formula1>"Yes, Requested"</formula1>
    </dataValidation>
    <dataValidation type="list" allowBlank="1" showInputMessage="1" showErrorMessage="1" sqref="N10 L27:L31 L34:L35 N27 L11:N25 M34:N34" xr:uid="{8A9D60F8-81C5-41A2-95FD-8AA6FA9F2066}">
      <formula1>"Yes, No, Requested"</formula1>
    </dataValidation>
    <dataValidation type="list" allowBlank="1" showInputMessage="1" showErrorMessage="1" sqref="L26 K43:K1048576 J39:J1048576 L36:L1048576 L32:L33 N26 N28:N33 M26:M33 M35:N1048576" xr:uid="{84D00A2B-5011-438D-AA13-BC4C08F1B9AD}">
      <formula1>"Live, Historic"</formula1>
    </dataValidation>
  </dataValidations>
  <pageMargins left="0.70866141732283472" right="0.70866141732283472" top="0.74803149606299213" bottom="0.74803149606299213" header="0.31496062992125984" footer="0.31496062992125984"/>
  <pageSetup paperSize="8" scale="23" orientation="landscape" r:id="rId1"/>
  <customProperties>
    <customPr name="layoutContexts" r:id="rId2"/>
  </customPropertie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F0EBC076-66BF-4D32-9575-14EEBB92F66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H11:H42</xm:sqref>
        </x14:conditionalFormatting>
        <x14:conditionalFormatting xmlns:xm="http://schemas.microsoft.com/office/excel/2006/main">
          <x14:cfRule type="iconSet" priority="27" id="{58211359-0CD0-4C48-8C00-3517228EEB2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AG11:AG42</xm:sqref>
        </x14:conditionalFormatting>
        <x14:conditionalFormatting xmlns:xm="http://schemas.microsoft.com/office/excel/2006/main">
          <x14:cfRule type="iconSet" priority="2" id="{C46F32FA-831D-4A6B-98C4-9559184B1EF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AH16</xm:sqref>
        </x14:conditionalFormatting>
        <x14:conditionalFormatting xmlns:xm="http://schemas.microsoft.com/office/excel/2006/main">
          <x14:cfRule type="iconSet" priority="28" id="{4E677D67-9B3E-4913-A491-54801BB460E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AV11:AV42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94E895-83A4-4ED2-B69D-8865029AA042}"/>
</file>

<file path=customXml/itemProps2.xml><?xml version="1.0" encoding="utf-8"?>
<ds:datastoreItem xmlns:ds="http://schemas.openxmlformats.org/officeDocument/2006/customXml" ds:itemID="{D9D01A17-2994-454E-8A3C-0A42670A771A}"/>
</file>

<file path=customXml/itemProps3.xml><?xml version="1.0" encoding="utf-8"?>
<ds:datastoreItem xmlns:ds="http://schemas.openxmlformats.org/officeDocument/2006/customXml" ds:itemID="{0C88F480-52DA-4984-9B4E-2CE33AE3F128}"/>
</file>

<file path=customXml/itemProps4.xml><?xml version="1.0" encoding="utf-8"?>
<ds:datastoreItem xmlns:ds="http://schemas.openxmlformats.org/officeDocument/2006/customXml" ds:itemID="{E633C4B7-1179-4C6E-9469-AA294E316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Yvonne Dargavel</dc:creator>
  <cp:keywords/>
  <dc:description/>
  <cp:lastModifiedBy>Jacob Smycz</cp:lastModifiedBy>
  <cp:revision/>
  <dcterms:created xsi:type="dcterms:W3CDTF">2024-11-01T09:18:37Z</dcterms:created>
  <dcterms:modified xsi:type="dcterms:W3CDTF">2025-03-06T15:01:21Z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2024-11-01T09:20:35Z</vt:filetime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Project Document Type">
    <vt:lpwstr>4;#Generic Project Document|258c2ed6-b93b-4ffe-8901-a23f2dc98ec9</vt:lpwstr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  <property fmtid="{D5CDD505-2E9C-101B-9397-08002B2CF9AE}" pid="7" name="Project_x0020_Document_x0020_Type">
    <vt:lpwstr>4;#Generic Project Document|258c2ed6-b93b-4ffe-8901-a23f2dc98ec9</vt:lpwstr>
  </property>
  <property fmtid="{D5CDD505-2E9C-101B-9397-08002B2CF9AE}" pid="8" name="Division">
    <vt:lpwstr>5;#Enterprise Solutions|08c57b01-67e8-4a4f-abc6-ffb3392ace7f</vt:lpwstr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  <property fmtid="{D5CDD505-2E9C-101B-9397-08002B2CF9AE}" pid="11" name="Client_x0020_Project">
    <vt:lpwstr/>
  </property>
</Properties>
</file>