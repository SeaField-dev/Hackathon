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"/>
    </mc:Choice>
  </mc:AlternateContent>
  <xr:revisionPtr revIDLastSave="84" documentId="8_{5EF14EC6-5A62-4879-9681-18076A5761D6}" xr6:coauthVersionLast="47" xr6:coauthVersionMax="47" xr10:uidLastSave="{067FA3EA-9795-4769-9C71-37AA3599A0BF}"/>
  <bookViews>
    <workbookView xWindow="-28920" yWindow="-1575" windowWidth="29040" windowHeight="15720" xr2:uid="{585AF38F-A055-4FFC-92CC-D7E96B8DFF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B62" i="1"/>
  <c r="B65" i="1" s="1"/>
  <c r="B34" i="1"/>
  <c r="B30" i="1"/>
  <c r="B66" i="1" s="1"/>
  <c r="B68" i="1" l="1"/>
  <c r="B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tc={0CC73741-B027-4912-87B4-97B7F86A645E}</author>
    <author>tc={511F8534-9585-46E3-A61F-38DBEBB78108}</author>
  </authors>
  <commentList>
    <comment ref="C59" authorId="0" shapeId="0" xr:uid="{0CC73741-B027-4912-87B4-97B7F86A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 in Qube:
Bank of England, Barclays, LIBOR, Lloyds, Midlands, NatWest, RPI Figures, Sales System RPI Figures, Standard Bank Rates</t>
      </text>
    </comment>
    <comment ref="A95" authorId="1" shapeId="0" xr:uid="{511F8534-9585-46E3-A61F-38DBEBB78108}">
      <text>
        <t>[Threaded comment]
Your version of Excel allows you to read this threaded comment; however, any edits to it will get removed if the file is opened in a newer version of Excel. Learn more: https://go.microsoft.com/fwlink/?linkid=870924
Comment:
     (Meter Point Administration Number)</t>
      </text>
    </comment>
  </commentList>
</comments>
</file>

<file path=xl/sharedStrings.xml><?xml version="1.0" encoding="utf-8"?>
<sst xmlns="http://schemas.openxmlformats.org/spreadsheetml/2006/main" count="410" uniqueCount="244">
  <si>
    <t>Field Name</t>
  </si>
  <si>
    <t>Sample Data</t>
  </si>
  <si>
    <t>Field Type &amp; Content</t>
  </si>
  <si>
    <t>Default Value</t>
  </si>
  <si>
    <t>Editable?</t>
  </si>
  <si>
    <t>Conditional Display</t>
  </si>
  <si>
    <t>Questions</t>
  </si>
  <si>
    <t>Companies &amp; Persons Lined to the Opportunity</t>
  </si>
  <si>
    <t xml:space="preserve">Tenant </t>
  </si>
  <si>
    <t>Phenix-UK Realty Ltd</t>
  </si>
  <si>
    <t>Account Lookup</t>
  </si>
  <si>
    <t>Y</t>
  </si>
  <si>
    <t>Tenant Contact</t>
  </si>
  <si>
    <t>Contact Lookup</t>
  </si>
  <si>
    <t>Guarantor</t>
  </si>
  <si>
    <t xml:space="preserve">Account or Contact Lookup </t>
  </si>
  <si>
    <t>Agent</t>
  </si>
  <si>
    <t>Account Lookup; Multiple agents may be captured</t>
  </si>
  <si>
    <t>Agent Contact</t>
  </si>
  <si>
    <t>Contact Lookup; Multiple contacts may be captured</t>
  </si>
  <si>
    <t>Grainger Solicitor</t>
  </si>
  <si>
    <t>Legal Contact</t>
  </si>
  <si>
    <t>General Details</t>
  </si>
  <si>
    <t>Opportunity Owner</t>
  </si>
  <si>
    <t>Bradley Wallace</t>
  </si>
  <si>
    <t>User Lookup</t>
  </si>
  <si>
    <t>User who creates opportunity</t>
  </si>
  <si>
    <t>Stage</t>
  </si>
  <si>
    <t>Closed Lost</t>
  </si>
  <si>
    <t>In Order: Offer Negotiation, AM Approval, IC Approval, Heads of Terms, Legals, AFL, Lease Completion, Audit, Fit Out, Closed Won, Closed Lost</t>
  </si>
  <si>
    <t>"Offer Negotiation"</t>
  </si>
  <si>
    <t>Sub Stage</t>
  </si>
  <si>
    <t>Rejected by Leasing</t>
  </si>
  <si>
    <r>
      <t xml:space="preserve">Picklist; options where </t>
    </r>
    <r>
      <rPr>
        <i/>
        <sz val="11"/>
        <rFont val="Calibri"/>
        <family val="2"/>
      </rPr>
      <t>Stage</t>
    </r>
    <r>
      <rPr>
        <sz val="11"/>
        <rFont val="Calibri"/>
        <family val="2"/>
      </rPr>
      <t xml:space="preserve"> is 'Closed Lost': Rejected by Leasing, Rejected by AM, Rejected by IC</t>
    </r>
  </si>
  <si>
    <t>Tenancy Type</t>
  </si>
  <si>
    <t>New</t>
  </si>
  <si>
    <t>Picklist: New, Renewal</t>
  </si>
  <si>
    <t>"New"</t>
  </si>
  <si>
    <t>Agreement Type</t>
  </si>
  <si>
    <t>Commercial Let</t>
  </si>
  <si>
    <t>Picklist: New option: Commercial Let?</t>
  </si>
  <si>
    <t>Jaic to confirm</t>
  </si>
  <si>
    <t>Primary Unit</t>
  </si>
  <si>
    <t>Unit 1, The Condor,1 Springwell Square</t>
  </si>
  <si>
    <t>Unit Lookup</t>
  </si>
  <si>
    <t>Additional Unit 1</t>
  </si>
  <si>
    <t>Unit 2, The Condor,1 Springwell Square</t>
  </si>
  <si>
    <t>Additional Unit 2</t>
  </si>
  <si>
    <t>Unit 3, The Condor,1 Springwell Square</t>
  </si>
  <si>
    <t>Additional Unit 3</t>
  </si>
  <si>
    <t>Unit 4, The Condor,1 Springwell Square</t>
  </si>
  <si>
    <t>Building</t>
  </si>
  <si>
    <t>The Condor - Commercial</t>
  </si>
  <si>
    <t>Sourced from primary unit; hyperlinked to open building details</t>
  </si>
  <si>
    <t>N</t>
  </si>
  <si>
    <t>Area ft²</t>
  </si>
  <si>
    <t>Calculated numeric field = sum of [Unit] [Internal Space GIA ft²] for all the units</t>
  </si>
  <si>
    <t>Use Type</t>
  </si>
  <si>
    <t>Class E Health and Beauty</t>
  </si>
  <si>
    <t>Short Text</t>
  </si>
  <si>
    <t>Offer Summary</t>
  </si>
  <si>
    <t>Terms (Years)</t>
  </si>
  <si>
    <t>15 Years</t>
  </si>
  <si>
    <t>Picklist: 1 Year, 2 Years, 3 Years, ... 25 Years</t>
  </si>
  <si>
    <t xml:space="preserve">Lease Start Date </t>
  </si>
  <si>
    <t>Date</t>
  </si>
  <si>
    <t>Tenancy End Date</t>
  </si>
  <si>
    <t>= Lease start date + term</t>
  </si>
  <si>
    <t>Marketing Rent (Annual)</t>
  </si>
  <si>
    <t>Calculated currency field: Sun the latest price book rent from all units</t>
  </si>
  <si>
    <t>Initial Rent (Annual)</t>
  </si>
  <si>
    <t>Currency</t>
  </si>
  <si>
    <t>Stewart to confirm fields required</t>
  </si>
  <si>
    <t>Rent Free Months</t>
  </si>
  <si>
    <t>Numeric (or integer)</t>
  </si>
  <si>
    <t>Rent Free Value</t>
  </si>
  <si>
    <t>Calculated currency field = 
[Initial Rent] ÷ 12 x [Rent Free Months]</t>
  </si>
  <si>
    <t>Stepped Rent Increase</t>
  </si>
  <si>
    <t>Stepped Rent Frequency (Years)</t>
  </si>
  <si>
    <t>Integer</t>
  </si>
  <si>
    <t>Headline Rent (Annual)</t>
  </si>
  <si>
    <t>TBD if this can be calculated or is input. Is the average rent to earlier of first break or first review or lease term. Incorporates RF months?</t>
  </si>
  <si>
    <t>?</t>
  </si>
  <si>
    <t>Headline Rent / SqFt</t>
  </si>
  <si>
    <r>
      <t xml:space="preserve">Calculated currency field =  Headline Rent </t>
    </r>
    <r>
      <rPr>
        <b/>
        <sz val="11"/>
        <color theme="1"/>
        <rFont val="Calibri"/>
        <family val="2"/>
      </rPr>
      <t xml:space="preserve"> ÷ </t>
    </r>
    <r>
      <rPr>
        <sz val="11"/>
        <color theme="1"/>
        <rFont val="Calibri"/>
        <family val="2"/>
      </rPr>
      <t xml:space="preserve"> Area</t>
    </r>
  </si>
  <si>
    <t>Rent Commencement Date</t>
  </si>
  <si>
    <t>= Lease start date + RF Month</t>
  </si>
  <si>
    <t>Payment Periodicity</t>
  </si>
  <si>
    <t>Legal Quarters in Advance</t>
  </si>
  <si>
    <t>Picklist: Legal Quarters in Advance, Monthly in Advance</t>
  </si>
  <si>
    <t>Rent Review Frequency (Years)</t>
  </si>
  <si>
    <t>First Rent Review Date</t>
  </si>
  <si>
    <t xml:space="preserve">Date </t>
  </si>
  <si>
    <t>= Lease start date + Rent Review Frequency Years</t>
  </si>
  <si>
    <t>First Rent Review Type</t>
  </si>
  <si>
    <t>CPI</t>
  </si>
  <si>
    <t>Picklist: CPI, Market Rent Review, RPI, UORR</t>
  </si>
  <si>
    <t>Cap</t>
  </si>
  <si>
    <t>Percentage</t>
  </si>
  <si>
    <t>Only displays where First Rent Review Type is 'CPI' or 'RPI'</t>
  </si>
  <si>
    <t>Collar</t>
  </si>
  <si>
    <t>Break Clause</t>
  </si>
  <si>
    <t>TT Break</t>
  </si>
  <si>
    <t xml:space="preserve">Picklist: TT Break, LL Break, Mutual Break, Rolling Break, No Break </t>
  </si>
  <si>
    <t>First Break Clause Date</t>
  </si>
  <si>
    <t>= Lease start date + Years to First Break Clause</t>
  </si>
  <si>
    <t>Only displays for TT Break, LL Break, Mutual Break, Rolling Break</t>
  </si>
  <si>
    <t>Second Break Clause Date</t>
  </si>
  <si>
    <t>Only displays for TT Break, LL Break, Mutual Break</t>
  </si>
  <si>
    <t>Stewart to confirm if required?</t>
  </si>
  <si>
    <t>Years to First Break</t>
  </si>
  <si>
    <t>Calculated numeric field = Years from 'Lease Start Date' to 'First Break Clause Date'</t>
  </si>
  <si>
    <t>Break Clause Notice (Months)</t>
  </si>
  <si>
    <t>Subject to 1954 Act</t>
  </si>
  <si>
    <t>Outside</t>
  </si>
  <si>
    <t>Picklist: Inside, Outside</t>
  </si>
  <si>
    <t>Required Notice (Months)</t>
  </si>
  <si>
    <t>Could default based on 'Subject to 1954 Act'. If Outside: Defaults to 6 months &amp; if Inside: Defaults to 12 months?</t>
  </si>
  <si>
    <t>Estate Charge (£/ft²)</t>
  </si>
  <si>
    <t>Deposit</t>
  </si>
  <si>
    <t>Deposit to be Paid Back</t>
  </si>
  <si>
    <t>After 3 years</t>
  </si>
  <si>
    <t>Picklist: After 1 Year, After 2 Years, After 3 Years, After 4 Years, After 5 Years, End of Term</t>
  </si>
  <si>
    <t>VAT</t>
  </si>
  <si>
    <t>Exclusive</t>
  </si>
  <si>
    <t>Picklist: Inclusive, Exclusive</t>
  </si>
  <si>
    <t>Repair Covenant</t>
  </si>
  <si>
    <t>Effective FRI</t>
  </si>
  <si>
    <t>Picklist: Effective FRI, FRI, Internal Repairing Insuring, Internal Repairing Only</t>
  </si>
  <si>
    <t xml:space="preserve">Service Charge </t>
  </si>
  <si>
    <t>Service Charge Contribution</t>
  </si>
  <si>
    <t>Fair &amp; Reasonable</t>
  </si>
  <si>
    <t>Picklist: Fair &amp; Reasonable, Percentage</t>
  </si>
  <si>
    <t>Service Charge %</t>
  </si>
  <si>
    <t>Only displays if SC Contribution is 'Percentage'</t>
  </si>
  <si>
    <t>Insurance</t>
  </si>
  <si>
    <t>Interest on Arrears</t>
  </si>
  <si>
    <t>Bank (Base Rate)</t>
  </si>
  <si>
    <t>Bank of England</t>
  </si>
  <si>
    <t>Picklist: Bank of England, Barclays, Lloyds</t>
  </si>
  <si>
    <t>Arrears Period</t>
  </si>
  <si>
    <t>10 Working Days</t>
  </si>
  <si>
    <t>Picklist: 10 Working Days, 14 Working Days, 21 Working Days</t>
  </si>
  <si>
    <t>Capital Contributions</t>
  </si>
  <si>
    <t>Capital Contributions (Months)</t>
  </si>
  <si>
    <t>Calculated numeric field = [Capital Contributions] ÷ [Headline Rent] x 12</t>
  </si>
  <si>
    <t>Other Notes</t>
  </si>
  <si>
    <t xml:space="preserve">Long Text </t>
  </si>
  <si>
    <t>Appraisal Summary</t>
  </si>
  <si>
    <t>Total TIs (Months)</t>
  </si>
  <si>
    <t>Calculated numeric field = [Capital Contributions Months] + [Rent Free Months]</t>
  </si>
  <si>
    <t>TI Value</t>
  </si>
  <si>
    <t>Calculated currency field = [Capital Contributions] + [Rent Free Value]</t>
  </si>
  <si>
    <t>TI/ft²</t>
  </si>
  <si>
    <t>Calculated currency field = [TI Value] ÷ [Area]</t>
  </si>
  <si>
    <t>N.E.R.</t>
  </si>
  <si>
    <r>
      <t xml:space="preserve">Calculated currency field; 
If [Years to First Break]&lt; [Term]  = ([Years to First Break] x [Headline Rent] + [TI Value]) ÷ [Years to First Break]
Otherwise </t>
    </r>
    <r>
      <rPr>
        <b/>
        <sz val="11"/>
        <color theme="1"/>
        <rFont val="Calibri"/>
        <family val="2"/>
      </rPr>
      <t>=</t>
    </r>
    <r>
      <rPr>
        <sz val="11"/>
        <color theme="1"/>
        <rFont val="Calibri"/>
        <family val="2"/>
      </rPr>
      <t xml:space="preserve"> ([Term] x [Headline Rent Annual] + [TI Value]) ÷ [Term]</t>
    </r>
  </si>
  <si>
    <t>Agents Fee</t>
  </si>
  <si>
    <t>Fee Percentage</t>
  </si>
  <si>
    <t>Minimum Fee</t>
  </si>
  <si>
    <r>
      <t xml:space="preserve">Calculated currency field = Sum of the </t>
    </r>
    <r>
      <rPr>
        <i/>
        <sz val="11"/>
        <color theme="1"/>
        <rFont val="Calibri"/>
        <family val="2"/>
      </rPr>
      <t>Minimum Fee</t>
    </r>
    <r>
      <rPr>
        <sz val="11"/>
        <color theme="1"/>
        <rFont val="Calibri"/>
        <family val="2"/>
      </rPr>
      <t xml:space="preserve"> for all agents linked to the opportunity.</t>
    </r>
  </si>
  <si>
    <t>Stewart to confirm this is the minimum fee for both agents added together, or the greater of the 2 minimum fees?</t>
  </si>
  <si>
    <t>Total Agent Fee</t>
  </si>
  <si>
    <t>Calculated currency field = Greater of [Fee Percentage x Headline Rent] or [Minumum Fee]</t>
  </si>
  <si>
    <t>References</t>
  </si>
  <si>
    <t>References Provided</t>
  </si>
  <si>
    <t>Bank Account References</t>
  </si>
  <si>
    <t>Uploaded</t>
  </si>
  <si>
    <t>Picklist: Uploaded, Not Applicable</t>
  </si>
  <si>
    <t>LL References</t>
  </si>
  <si>
    <t>Credit Report</t>
  </si>
  <si>
    <t>Company Accounts</t>
  </si>
  <si>
    <t>Not Applicable</t>
  </si>
  <si>
    <t>Approval</t>
  </si>
  <si>
    <t>AM Comment</t>
  </si>
  <si>
    <t>Long reason why this deal is unsuitable.</t>
  </si>
  <si>
    <t>Long Text</t>
  </si>
  <si>
    <t>Populated on latest AM approval or rejection</t>
  </si>
  <si>
    <t>AM Sign Off</t>
  </si>
  <si>
    <t>31/07/2024</t>
  </si>
  <si>
    <t>Populated on AM approval</t>
  </si>
  <si>
    <t>Heads of Terms / IC Sign Off</t>
  </si>
  <si>
    <t>Populated with date the opportunity is moved from 'IC Approval' to 'Heads of Terms' stage.</t>
  </si>
  <si>
    <t xml:space="preserve">Lost Reason </t>
  </si>
  <si>
    <t>Unsuitable Usage</t>
  </si>
  <si>
    <t>Picklist</t>
  </si>
  <si>
    <t>Only displays where Stage is 'Closed Lost'</t>
  </si>
  <si>
    <t>List to be provided</t>
  </si>
  <si>
    <t>Closed Lost Date</t>
  </si>
  <si>
    <t>Populated with the date that the Stage changes to 'Closed Lost'</t>
  </si>
  <si>
    <t xml:space="preserve">Technical Information </t>
  </si>
  <si>
    <t>Lease Plan Status</t>
  </si>
  <si>
    <t>Yes</t>
  </si>
  <si>
    <t>Picklist: Yes, No, Requested</t>
  </si>
  <si>
    <t>Tenant Pack - Required</t>
  </si>
  <si>
    <t>Checkbox</t>
  </si>
  <si>
    <t xml:space="preserve">List to be provided </t>
  </si>
  <si>
    <t>Tenant Pack - Provided</t>
  </si>
  <si>
    <t>Only display if 'Tenant Pack / Drawings - Required' is checked</t>
  </si>
  <si>
    <t>Or will all the tech info be provided together?</t>
  </si>
  <si>
    <t>Consumption - Required</t>
  </si>
  <si>
    <t>Consumption - Provided</t>
  </si>
  <si>
    <t>Only display if 'Consumption - Required' is checked</t>
  </si>
  <si>
    <t>Building Safety Act Sign Off Certificate - Required</t>
  </si>
  <si>
    <t>Building Safety Act Sign Off Certificate - Provided</t>
  </si>
  <si>
    <t>Only display if 'Building Safety Act Sign Off Certificate - Required' is checked</t>
  </si>
  <si>
    <t>If reporting on how long it takes to get technical info to T; what is the start date</t>
  </si>
  <si>
    <t>EPC - Required</t>
  </si>
  <si>
    <t>EPC - Provided</t>
  </si>
  <si>
    <t>Only display if 'EPC - Required' is checked</t>
  </si>
  <si>
    <t>MPAN - Required</t>
  </si>
  <si>
    <t>MPAN - Provided</t>
  </si>
  <si>
    <t>Only display if 'MPAN - Required' is checked</t>
  </si>
  <si>
    <t>Legal Completion</t>
  </si>
  <si>
    <t>Legals Instructed</t>
  </si>
  <si>
    <t>Populated with date the opportunity is moved from 'Heads of Terms' to 'Legals' stage.</t>
  </si>
  <si>
    <t>Draft Lease Received</t>
  </si>
  <si>
    <t>Estimated Completion Date</t>
  </si>
  <si>
    <t>Deposit Paid [Move in Monies Paid]</t>
  </si>
  <si>
    <t>Tenancy Signing Date Grainger</t>
  </si>
  <si>
    <t>Tenancy Signing Date Tenant(s)</t>
  </si>
  <si>
    <t>Lease Completion Date</t>
  </si>
  <si>
    <r>
      <t xml:space="preserve">Calculated date field; If </t>
    </r>
    <r>
      <rPr>
        <i/>
        <sz val="11"/>
        <color theme="1"/>
        <rFont val="Calibri"/>
        <family val="2"/>
      </rPr>
      <t>Tenancy Signing Date Grainger</t>
    </r>
    <r>
      <rPr>
        <sz val="11"/>
        <color theme="1"/>
        <rFont val="Calibri"/>
        <family val="2"/>
      </rPr>
      <t xml:space="preserve"> &amp; </t>
    </r>
    <r>
      <rPr>
        <i/>
        <sz val="11"/>
        <color theme="1"/>
        <rFont val="Calibri"/>
        <family val="2"/>
      </rPr>
      <t xml:space="preserve">Tenancy Signing Date Tenant(s) </t>
    </r>
    <r>
      <rPr>
        <sz val="11"/>
        <color theme="1"/>
        <rFont val="Calibri"/>
        <family val="2"/>
      </rPr>
      <t>are both populated = Greater of [Tenancy Signing Date Grainger] or [Tenancy Signing Date Tenant(s)</t>
    </r>
  </si>
  <si>
    <t>Legal Duration (Months)</t>
  </si>
  <si>
    <t>Calculated numeric field = Months from 
[Legals Instructed] to [Lease Completion]</t>
  </si>
  <si>
    <t>Agreement for Lease</t>
  </si>
  <si>
    <t>Agreement for Lease Required?</t>
  </si>
  <si>
    <t>Long Stop Date</t>
  </si>
  <si>
    <t>Fit Out</t>
  </si>
  <si>
    <t>Project Manager Status</t>
  </si>
  <si>
    <t>Project Manager Sign Off</t>
  </si>
  <si>
    <t>date</t>
  </si>
  <si>
    <t xml:space="preserve">System Information </t>
  </si>
  <si>
    <t>PMS Reference</t>
  </si>
  <si>
    <t>222683008003</t>
  </si>
  <si>
    <t>Populated by GREP integration</t>
  </si>
  <si>
    <t>Record Type</t>
  </si>
  <si>
    <t>Commercial</t>
  </si>
  <si>
    <t>"Commercial"</t>
  </si>
  <si>
    <t>Created By</t>
  </si>
  <si>
    <t>Bob Smith, 26/02/2022, 09:27</t>
  </si>
  <si>
    <t>Populated on creation</t>
  </si>
  <si>
    <t>Last Modified By</t>
  </si>
  <si>
    <t>Updated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</si>
</sst>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yy;@"/>
    <numFmt numFmtId="166" formatCode="_-[$£-809]* #,##0.00_-;\-[$£-809]* #,##0.00_-;_-[$£-809]* &quot;-&quot;??_-;_-@_-"/>
    <numFmt numFmtId="167" formatCode="_-* #,##0_-;\-* #,##0_-;_-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5">
    <xf numFmtId="0" fontId="0" fillId="0" borderId="0" xfId="0"/>
    <xf numFmtId="0" fontId="9" fillId="0" borderId="0" xfId="3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6" fontId="7" fillId="6" borderId="0" xfId="0" quotePrefix="1" applyNumberFormat="1" applyFont="1" applyFill="1" applyAlignment="1">
      <alignment vertical="center"/>
    </xf>
    <xf numFmtId="164" fontId="7" fillId="0" borderId="0" xfId="1" applyFont="1" applyBorder="1" applyAlignment="1">
      <alignment vertical="center"/>
    </xf>
    <xf numFmtId="167" fontId="7" fillId="6" borderId="0" xfId="1" applyNumberFormat="1" applyFont="1" applyFill="1" applyBorder="1" applyAlignment="1">
      <alignment vertical="center"/>
    </xf>
    <xf numFmtId="166" fontId="7" fillId="0" borderId="0" xfId="0" quotePrefix="1" applyNumberFormat="1" applyFont="1" applyAlignment="1">
      <alignment vertical="center"/>
    </xf>
    <xf numFmtId="0" fontId="7" fillId="0" borderId="0" xfId="0" quotePrefix="1" applyFont="1" applyAlignment="1">
      <alignment vertical="center"/>
    </xf>
    <xf numFmtId="10" fontId="7" fillId="0" borderId="0" xfId="2" quotePrefix="1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0" fontId="5" fillId="4" borderId="0" xfId="0" applyFont="1" applyFill="1" applyAlignment="1">
      <alignment vertical="center"/>
    </xf>
    <xf numFmtId="0" fontId="7" fillId="0" borderId="0" xfId="3" applyFont="1" applyFill="1" applyBorder="1" applyAlignment="1">
      <alignment vertical="center"/>
    </xf>
    <xf numFmtId="0" fontId="7" fillId="0" borderId="0" xfId="3" applyFont="1" applyFill="1" applyBorder="1" applyAlignment="1">
      <alignment vertical="center" wrapText="1"/>
    </xf>
    <xf numFmtId="165" fontId="7" fillId="0" borderId="0" xfId="3" applyNumberFormat="1" applyFont="1" applyFill="1" applyBorder="1" applyAlignment="1">
      <alignment vertical="center"/>
    </xf>
    <xf numFmtId="164" fontId="7" fillId="0" borderId="0" xfId="1" quotePrefix="1" applyFont="1" applyBorder="1" applyAlignment="1">
      <alignment vertical="center"/>
    </xf>
    <xf numFmtId="165" fontId="7" fillId="0" borderId="0" xfId="3" applyNumberFormat="1" applyFont="1" applyFill="1" applyBorder="1" applyAlignment="1">
      <alignment horizontal="right" vertical="center"/>
    </xf>
    <xf numFmtId="2" fontId="7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4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quotePrefix="1" applyFont="1" applyAlignment="1">
      <alignment vertical="center" wrapText="1"/>
    </xf>
    <xf numFmtId="0" fontId="7" fillId="6" borderId="0" xfId="0" applyFont="1" applyFill="1" applyAlignment="1">
      <alignment vertical="center" wrapText="1"/>
    </xf>
    <xf numFmtId="166" fontId="7" fillId="0" borderId="0" xfId="0" applyNumberFormat="1" applyFont="1" applyAlignment="1">
      <alignment vertical="top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5" fillId="5" borderId="0" xfId="0" applyFont="1" applyFill="1" applyAlignment="1">
      <alignment vertical="center"/>
    </xf>
    <xf numFmtId="10" fontId="7" fillId="0" borderId="5" xfId="2" quotePrefix="1" applyNumberFormat="1" applyFont="1" applyBorder="1" applyAlignment="1">
      <alignment vertical="center"/>
    </xf>
    <xf numFmtId="0" fontId="7" fillId="0" borderId="1" xfId="0" quotePrefix="1" applyFont="1" applyBorder="1" applyAlignment="1">
      <alignment vertical="center"/>
    </xf>
    <xf numFmtId="0" fontId="7" fillId="0" borderId="5" xfId="0" quotePrefix="1" applyFont="1" applyBorder="1" applyAlignment="1">
      <alignment vertical="center"/>
    </xf>
  </cellXfs>
  <cellStyles count="5">
    <cellStyle name="Comma" xfId="1" builtinId="3"/>
    <cellStyle name="Good" xfId="3" builtinId="26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66D268D6-11B1-4607-9B2E-2FA2788D9C22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9" dT="2024-11-19T11:05:35.37" personId="{66D268D6-11B1-4607-9B2E-2FA2788D9C22}" id="{0CC73741-B027-4912-87B4-97B7F86A645E}">
    <text>Options in Qube:
Bank of England, Barclays, LIBOR, Lloyds, Midlands, NatWest, RPI Figures, Sales System RPI Figures, Standard Bank Rates</text>
  </threadedComment>
  <threadedComment ref="A95" dT="2024-11-08T13:42:13.51" personId="{66D268D6-11B1-4607-9B2E-2FA2788D9C22}" id="{511F8534-9585-46E3-A61F-38DBEBB78108}">
    <text xml:space="preserve"> (Meter Point Administration Number)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F9C6-6A68-4153-9B02-672F8D716C37}">
  <dimension ref="A1:G116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9.140625" defaultRowHeight="15" outlineLevelRow="1"/>
  <cols>
    <col min="1" max="1" width="28.85546875" style="19" customWidth="1"/>
    <col min="2" max="2" width="28.42578125" style="19" customWidth="1"/>
    <col min="3" max="3" width="61.140625" style="19" customWidth="1"/>
    <col min="4" max="4" width="27.85546875" style="18" customWidth="1"/>
    <col min="5" max="5" width="9.5703125" style="39" customWidth="1"/>
    <col min="6" max="6" width="25.28515625" style="19" customWidth="1"/>
    <col min="7" max="7" width="28.5703125" style="18" customWidth="1"/>
    <col min="8" max="16384" width="9.140625" style="19"/>
  </cols>
  <sheetData>
    <row r="1" spans="1:7" s="27" customFormat="1">
      <c r="A1" s="34" t="s">
        <v>0</v>
      </c>
      <c r="B1" s="16" t="s">
        <v>1</v>
      </c>
      <c r="C1" s="34" t="s">
        <v>2</v>
      </c>
      <c r="D1" s="34" t="s">
        <v>3</v>
      </c>
      <c r="E1" s="35" t="s">
        <v>4</v>
      </c>
      <c r="F1" s="34" t="s">
        <v>5</v>
      </c>
      <c r="G1" s="34" t="s">
        <v>6</v>
      </c>
    </row>
    <row r="2" spans="1:7" s="17" customFormat="1">
      <c r="A2" s="51" t="s">
        <v>7</v>
      </c>
      <c r="D2" s="37"/>
      <c r="E2" s="38"/>
      <c r="G2" s="36"/>
    </row>
    <row r="3" spans="1:7" outlineLevel="1">
      <c r="A3" s="19" t="s">
        <v>8</v>
      </c>
      <c r="B3" s="28" t="s">
        <v>9</v>
      </c>
      <c r="C3" s="40" t="s">
        <v>10</v>
      </c>
      <c r="E3" s="39" t="s">
        <v>11</v>
      </c>
      <c r="G3" s="41"/>
    </row>
    <row r="4" spans="1:7" outlineLevel="1">
      <c r="A4" s="19" t="s">
        <v>12</v>
      </c>
      <c r="B4" s="28"/>
      <c r="C4" s="40" t="s">
        <v>13</v>
      </c>
      <c r="E4" s="39" t="s">
        <v>11</v>
      </c>
      <c r="G4" s="41"/>
    </row>
    <row r="5" spans="1:7" outlineLevel="1">
      <c r="A5" s="18" t="s">
        <v>14</v>
      </c>
      <c r="B5" s="18"/>
      <c r="C5" s="40" t="s">
        <v>15</v>
      </c>
      <c r="E5" s="39" t="s">
        <v>11</v>
      </c>
      <c r="G5" s="1"/>
    </row>
    <row r="6" spans="1:7" outlineLevel="1">
      <c r="A6" s="18" t="s">
        <v>16</v>
      </c>
      <c r="B6" s="18"/>
      <c r="C6" s="1" t="s">
        <v>17</v>
      </c>
      <c r="E6" s="39" t="s">
        <v>11</v>
      </c>
      <c r="G6" s="1"/>
    </row>
    <row r="7" spans="1:7" outlineLevel="1">
      <c r="A7" s="18" t="s">
        <v>18</v>
      </c>
      <c r="B7" s="18"/>
      <c r="C7" s="1" t="s">
        <v>19</v>
      </c>
      <c r="E7" s="39" t="s">
        <v>11</v>
      </c>
      <c r="G7" s="1"/>
    </row>
    <row r="8" spans="1:7" outlineLevel="1">
      <c r="A8" s="18" t="s">
        <v>20</v>
      </c>
      <c r="B8" s="18"/>
      <c r="C8" s="40" t="s">
        <v>10</v>
      </c>
      <c r="E8" s="39" t="s">
        <v>11</v>
      </c>
      <c r="G8" s="1"/>
    </row>
    <row r="9" spans="1:7" outlineLevel="1">
      <c r="A9" s="18" t="s">
        <v>21</v>
      </c>
      <c r="B9" s="18"/>
      <c r="C9" s="1" t="s">
        <v>19</v>
      </c>
      <c r="E9" s="39" t="s">
        <v>11</v>
      </c>
      <c r="G9" s="1"/>
    </row>
    <row r="10" spans="1:7" s="17" customFormat="1">
      <c r="A10" s="36" t="s">
        <v>22</v>
      </c>
      <c r="D10" s="37"/>
      <c r="E10" s="38"/>
      <c r="G10" s="36"/>
    </row>
    <row r="11" spans="1:7" outlineLevel="1">
      <c r="A11" s="19" t="s">
        <v>23</v>
      </c>
      <c r="B11" s="19" t="s">
        <v>24</v>
      </c>
      <c r="C11" s="40" t="s">
        <v>25</v>
      </c>
      <c r="D11" s="18" t="s">
        <v>26</v>
      </c>
      <c r="E11" s="39" t="s">
        <v>11</v>
      </c>
      <c r="G11" s="41"/>
    </row>
    <row r="12" spans="1:7" ht="45" outlineLevel="1">
      <c r="A12" s="19" t="s">
        <v>27</v>
      </c>
      <c r="B12" s="28" t="s">
        <v>28</v>
      </c>
      <c r="C12" s="40" t="s">
        <v>29</v>
      </c>
      <c r="D12" s="18" t="s">
        <v>30</v>
      </c>
      <c r="E12" s="39" t="s">
        <v>11</v>
      </c>
      <c r="G12" s="41"/>
    </row>
    <row r="13" spans="1:7" ht="30" outlineLevel="1">
      <c r="A13" s="19" t="s">
        <v>31</v>
      </c>
      <c r="B13" s="28" t="s">
        <v>32</v>
      </c>
      <c r="C13" s="40" t="s">
        <v>33</v>
      </c>
      <c r="E13" s="39" t="s">
        <v>11</v>
      </c>
      <c r="F13" s="18"/>
    </row>
    <row r="14" spans="1:7" outlineLevel="1">
      <c r="A14" s="19" t="s">
        <v>34</v>
      </c>
      <c r="B14" s="28" t="s">
        <v>35</v>
      </c>
      <c r="C14" s="19" t="s">
        <v>36</v>
      </c>
      <c r="D14" s="18" t="s">
        <v>37</v>
      </c>
      <c r="E14" s="39" t="s">
        <v>11</v>
      </c>
      <c r="F14" s="18"/>
    </row>
    <row r="15" spans="1:7" outlineLevel="1">
      <c r="A15" s="19" t="s">
        <v>38</v>
      </c>
      <c r="B15" s="28" t="s">
        <v>39</v>
      </c>
      <c r="C15" s="18" t="s">
        <v>40</v>
      </c>
      <c r="E15" s="39" t="s">
        <v>11</v>
      </c>
      <c r="G15" s="18" t="s">
        <v>41</v>
      </c>
    </row>
    <row r="16" spans="1:7" s="42" customFormat="1" ht="30" outlineLevel="1">
      <c r="A16" s="18" t="s">
        <v>42</v>
      </c>
      <c r="B16" s="29" t="s">
        <v>43</v>
      </c>
      <c r="C16" s="19" t="s">
        <v>44</v>
      </c>
      <c r="D16" s="43"/>
      <c r="E16" s="39" t="s">
        <v>11</v>
      </c>
      <c r="G16" s="43"/>
    </row>
    <row r="17" spans="1:7" s="42" customFormat="1" ht="30" outlineLevel="1">
      <c r="A17" s="19" t="s">
        <v>45</v>
      </c>
      <c r="B17" s="29" t="s">
        <v>46</v>
      </c>
      <c r="C17" s="19" t="s">
        <v>44</v>
      </c>
      <c r="D17" s="43"/>
      <c r="E17" s="39" t="s">
        <v>11</v>
      </c>
      <c r="G17" s="43"/>
    </row>
    <row r="18" spans="1:7" s="42" customFormat="1" ht="30" outlineLevel="1">
      <c r="A18" s="19" t="s">
        <v>47</v>
      </c>
      <c r="B18" s="29" t="s">
        <v>48</v>
      </c>
      <c r="C18" s="19" t="s">
        <v>44</v>
      </c>
      <c r="D18" s="43"/>
      <c r="E18" s="39" t="s">
        <v>11</v>
      </c>
      <c r="F18" s="43"/>
      <c r="G18" s="43"/>
    </row>
    <row r="19" spans="1:7" s="42" customFormat="1" ht="30" outlineLevel="1">
      <c r="A19" s="19" t="s">
        <v>49</v>
      </c>
      <c r="B19" s="29" t="s">
        <v>50</v>
      </c>
      <c r="C19" s="19" t="s">
        <v>44</v>
      </c>
      <c r="D19" s="43"/>
      <c r="E19" s="39" t="s">
        <v>11</v>
      </c>
      <c r="F19" s="43"/>
      <c r="G19" s="43"/>
    </row>
    <row r="20" spans="1:7" outlineLevel="1">
      <c r="A20" s="19" t="s">
        <v>51</v>
      </c>
      <c r="B20" s="28" t="s">
        <v>52</v>
      </c>
      <c r="C20" s="44" t="s">
        <v>53</v>
      </c>
      <c r="E20" s="39" t="s">
        <v>54</v>
      </c>
    </row>
    <row r="21" spans="1:7" ht="30" outlineLevel="1">
      <c r="A21" s="19" t="s">
        <v>55</v>
      </c>
      <c r="B21" s="21">
        <v>4266</v>
      </c>
      <c r="C21" s="44" t="s">
        <v>56</v>
      </c>
      <c r="E21" s="39" t="s">
        <v>54</v>
      </c>
    </row>
    <row r="22" spans="1:7" ht="30" outlineLevel="1">
      <c r="A22" s="19" t="s">
        <v>57</v>
      </c>
      <c r="B22" s="29" t="s">
        <v>58</v>
      </c>
      <c r="C22" s="44" t="s">
        <v>59</v>
      </c>
      <c r="E22" s="39" t="s">
        <v>11</v>
      </c>
    </row>
    <row r="23" spans="1:7" s="17" customFormat="1">
      <c r="A23" s="36" t="s">
        <v>60</v>
      </c>
      <c r="D23" s="37"/>
      <c r="E23" s="38"/>
      <c r="G23" s="36"/>
    </row>
    <row r="24" spans="1:7" s="42" customFormat="1" outlineLevel="1">
      <c r="A24" s="19" t="s">
        <v>61</v>
      </c>
      <c r="B24" s="19" t="s">
        <v>62</v>
      </c>
      <c r="C24" s="18" t="s">
        <v>63</v>
      </c>
      <c r="D24" s="43"/>
      <c r="E24" s="39" t="s">
        <v>11</v>
      </c>
      <c r="G24" s="43"/>
    </row>
    <row r="25" spans="1:7" s="42" customFormat="1" outlineLevel="1">
      <c r="A25" s="19" t="s">
        <v>64</v>
      </c>
      <c r="B25" s="30">
        <v>45474</v>
      </c>
      <c r="C25" s="19" t="s">
        <v>65</v>
      </c>
      <c r="D25" s="43"/>
      <c r="E25" s="39" t="s">
        <v>11</v>
      </c>
      <c r="G25" s="43"/>
    </row>
    <row r="26" spans="1:7" s="42" customFormat="1" outlineLevel="1">
      <c r="A26" s="19" t="s">
        <v>66</v>
      </c>
      <c r="B26" s="30">
        <v>50948</v>
      </c>
      <c r="C26" s="19" t="s">
        <v>65</v>
      </c>
      <c r="D26" s="44" t="s">
        <v>67</v>
      </c>
      <c r="E26" s="39" t="s">
        <v>11</v>
      </c>
      <c r="G26" s="43"/>
    </row>
    <row r="27" spans="1:7" s="42" customFormat="1" ht="30" outlineLevel="1">
      <c r="A27" s="19" t="s">
        <v>68</v>
      </c>
      <c r="B27" s="23">
        <v>100000</v>
      </c>
      <c r="C27" s="18" t="s">
        <v>69</v>
      </c>
      <c r="D27" s="43"/>
      <c r="E27" s="39" t="s">
        <v>54</v>
      </c>
      <c r="G27" s="43"/>
    </row>
    <row r="28" spans="1:7" ht="30" outlineLevel="1">
      <c r="A28" s="19" t="s">
        <v>70</v>
      </c>
      <c r="B28" s="23">
        <v>96000</v>
      </c>
      <c r="C28" s="19" t="s">
        <v>71</v>
      </c>
      <c r="E28" s="39" t="s">
        <v>11</v>
      </c>
      <c r="G28" s="18" t="s">
        <v>72</v>
      </c>
    </row>
    <row r="29" spans="1:7" outlineLevel="1">
      <c r="A29" s="19" t="s">
        <v>73</v>
      </c>
      <c r="B29" s="21">
        <v>6</v>
      </c>
      <c r="C29" s="19" t="s">
        <v>74</v>
      </c>
      <c r="E29" s="39" t="s">
        <v>11</v>
      </c>
    </row>
    <row r="30" spans="1:7" ht="30" outlineLevel="1">
      <c r="A30" s="19" t="s">
        <v>75</v>
      </c>
      <c r="B30" s="23">
        <f>B33/12*B29</f>
        <v>48000</v>
      </c>
      <c r="C30" s="18" t="s">
        <v>76</v>
      </c>
      <c r="E30" s="39" t="s">
        <v>54</v>
      </c>
    </row>
    <row r="31" spans="1:7" ht="30" outlineLevel="1">
      <c r="A31" s="45" t="s">
        <v>77</v>
      </c>
      <c r="B31" s="20">
        <v>10000</v>
      </c>
      <c r="C31" s="19" t="s">
        <v>71</v>
      </c>
      <c r="E31" s="39" t="s">
        <v>11</v>
      </c>
      <c r="G31" s="18" t="s">
        <v>72</v>
      </c>
    </row>
    <row r="32" spans="1:7" ht="30" outlineLevel="1">
      <c r="A32" s="45" t="s">
        <v>78</v>
      </c>
      <c r="B32" s="22">
        <v>5</v>
      </c>
      <c r="C32" s="19" t="s">
        <v>79</v>
      </c>
      <c r="E32" s="39" t="s">
        <v>11</v>
      </c>
      <c r="G32" s="18" t="s">
        <v>72</v>
      </c>
    </row>
    <row r="33" spans="1:7" s="42" customFormat="1" ht="45" outlineLevel="1">
      <c r="A33" s="19" t="s">
        <v>80</v>
      </c>
      <c r="B33" s="23">
        <v>96000</v>
      </c>
      <c r="C33" s="45" t="s">
        <v>81</v>
      </c>
      <c r="D33" s="43"/>
      <c r="E33" s="39" t="s">
        <v>82</v>
      </c>
      <c r="F33" s="46"/>
      <c r="G33" s="18"/>
    </row>
    <row r="34" spans="1:7" outlineLevel="1">
      <c r="A34" s="19" t="s">
        <v>83</v>
      </c>
      <c r="B34" s="23">
        <f>B33/B21</f>
        <v>22.50351617440225</v>
      </c>
      <c r="C34" s="18" t="s">
        <v>84</v>
      </c>
      <c r="E34" s="39" t="s">
        <v>54</v>
      </c>
    </row>
    <row r="35" spans="1:7" outlineLevel="1">
      <c r="A35" s="47" t="s">
        <v>85</v>
      </c>
      <c r="B35" s="30">
        <v>45654</v>
      </c>
      <c r="C35" s="19" t="s">
        <v>65</v>
      </c>
      <c r="D35" s="44" t="s">
        <v>86</v>
      </c>
      <c r="E35" s="39" t="s">
        <v>11</v>
      </c>
    </row>
    <row r="36" spans="1:7" outlineLevel="1">
      <c r="A36" s="18" t="s">
        <v>87</v>
      </c>
      <c r="B36" s="19" t="s">
        <v>88</v>
      </c>
      <c r="C36" s="18" t="s">
        <v>89</v>
      </c>
      <c r="E36" s="39" t="s">
        <v>11</v>
      </c>
      <c r="F36" s="18"/>
    </row>
    <row r="37" spans="1:7" s="5" customFormat="1" ht="30" outlineLevel="1">
      <c r="A37" s="13" t="s">
        <v>90</v>
      </c>
      <c r="B37" s="5">
        <v>5</v>
      </c>
      <c r="C37" s="5" t="s">
        <v>79</v>
      </c>
      <c r="D37" s="6"/>
      <c r="E37" s="10" t="s">
        <v>11</v>
      </c>
      <c r="G37" s="6"/>
    </row>
    <row r="38" spans="1:7" ht="30" outlineLevel="1">
      <c r="A38" s="2" t="s">
        <v>91</v>
      </c>
      <c r="B38" s="30">
        <v>47297</v>
      </c>
      <c r="C38" s="18" t="s">
        <v>92</v>
      </c>
      <c r="D38" s="44" t="s">
        <v>93</v>
      </c>
      <c r="E38" s="39" t="s">
        <v>11</v>
      </c>
    </row>
    <row r="39" spans="1:7" outlineLevel="1">
      <c r="A39" s="3" t="s">
        <v>94</v>
      </c>
      <c r="B39" s="24" t="s">
        <v>95</v>
      </c>
      <c r="C39" s="18" t="s">
        <v>96</v>
      </c>
      <c r="D39" s="44"/>
      <c r="E39" s="39" t="s">
        <v>11</v>
      </c>
    </row>
    <row r="40" spans="1:7" ht="45" outlineLevel="1">
      <c r="A40" s="3" t="s">
        <v>97</v>
      </c>
      <c r="B40" s="25">
        <v>0.01</v>
      </c>
      <c r="C40" s="18" t="s">
        <v>98</v>
      </c>
      <c r="D40" s="44"/>
      <c r="E40" s="39" t="s">
        <v>11</v>
      </c>
      <c r="F40" s="18" t="s">
        <v>99</v>
      </c>
    </row>
    <row r="41" spans="1:7" s="8" customFormat="1" ht="45" outlineLevel="1">
      <c r="A41" s="7" t="s">
        <v>100</v>
      </c>
      <c r="B41" s="52">
        <v>0.03</v>
      </c>
      <c r="C41" s="11" t="s">
        <v>98</v>
      </c>
      <c r="D41" s="9"/>
      <c r="E41" s="12" t="s">
        <v>11</v>
      </c>
      <c r="F41" s="11" t="s">
        <v>99</v>
      </c>
      <c r="G41" s="11"/>
    </row>
    <row r="42" spans="1:7" s="5" customFormat="1" outlineLevel="1">
      <c r="A42" s="4" t="s">
        <v>101</v>
      </c>
      <c r="B42" s="53" t="s">
        <v>102</v>
      </c>
      <c r="C42" s="6" t="s">
        <v>103</v>
      </c>
      <c r="D42" s="6"/>
      <c r="E42" s="10" t="s">
        <v>11</v>
      </c>
      <c r="G42" s="6"/>
    </row>
    <row r="43" spans="1:7" ht="45" outlineLevel="1">
      <c r="A43" s="14" t="s">
        <v>104</v>
      </c>
      <c r="B43" s="30">
        <v>47297</v>
      </c>
      <c r="C43" s="18" t="s">
        <v>92</v>
      </c>
      <c r="D43" s="44" t="s">
        <v>105</v>
      </c>
      <c r="E43" s="39" t="s">
        <v>11</v>
      </c>
      <c r="F43" s="18" t="s">
        <v>106</v>
      </c>
    </row>
    <row r="44" spans="1:7" ht="30" outlineLevel="1">
      <c r="A44" s="14" t="s">
        <v>107</v>
      </c>
      <c r="B44" s="30">
        <v>49124</v>
      </c>
      <c r="C44" s="18" t="s">
        <v>92</v>
      </c>
      <c r="D44" s="44"/>
      <c r="E44" s="39" t="s">
        <v>11</v>
      </c>
      <c r="F44" s="18" t="s">
        <v>108</v>
      </c>
      <c r="G44" s="18" t="s">
        <v>109</v>
      </c>
    </row>
    <row r="45" spans="1:7" ht="45" outlineLevel="1">
      <c r="A45" s="14" t="s">
        <v>110</v>
      </c>
      <c r="B45" s="31">
        <v>5</v>
      </c>
      <c r="C45" s="18" t="s">
        <v>111</v>
      </c>
      <c r="E45" s="39" t="s">
        <v>54</v>
      </c>
      <c r="F45" s="18" t="s">
        <v>106</v>
      </c>
    </row>
    <row r="46" spans="1:7" s="8" customFormat="1" ht="45" outlineLevel="1">
      <c r="A46" s="15" t="s">
        <v>112</v>
      </c>
      <c r="B46" s="54">
        <v>6</v>
      </c>
      <c r="C46" s="11" t="s">
        <v>79</v>
      </c>
      <c r="D46" s="9"/>
      <c r="E46" s="12" t="s">
        <v>11</v>
      </c>
      <c r="F46" s="11" t="s">
        <v>106</v>
      </c>
      <c r="G46" s="11"/>
    </row>
    <row r="47" spans="1:7" outlineLevel="1">
      <c r="A47" s="19" t="s">
        <v>113</v>
      </c>
      <c r="B47" s="24" t="s">
        <v>114</v>
      </c>
      <c r="C47" s="19" t="s">
        <v>115</v>
      </c>
      <c r="E47" s="39" t="s">
        <v>11</v>
      </c>
      <c r="G47" s="41"/>
    </row>
    <row r="48" spans="1:7" ht="75" outlineLevel="1">
      <c r="A48" s="19" t="s">
        <v>116</v>
      </c>
      <c r="B48" s="24">
        <v>9</v>
      </c>
      <c r="C48" s="19" t="s">
        <v>79</v>
      </c>
      <c r="D48" s="18">
        <v>9</v>
      </c>
      <c r="E48" s="39" t="s">
        <v>11</v>
      </c>
      <c r="G48" s="18" t="s">
        <v>117</v>
      </c>
    </row>
    <row r="49" spans="1:7" outlineLevel="1">
      <c r="A49" s="19" t="s">
        <v>118</v>
      </c>
      <c r="B49" s="23">
        <v>1.84</v>
      </c>
      <c r="C49" s="19" t="s">
        <v>71</v>
      </c>
      <c r="E49" s="39" t="s">
        <v>11</v>
      </c>
      <c r="G49" s="41"/>
    </row>
    <row r="50" spans="1:7" outlineLevel="1">
      <c r="A50" s="19" t="s">
        <v>119</v>
      </c>
      <c r="B50" s="23">
        <v>16000</v>
      </c>
      <c r="C50" s="19" t="s">
        <v>71</v>
      </c>
      <c r="E50" s="39" t="s">
        <v>11</v>
      </c>
      <c r="G50" s="41"/>
    </row>
    <row r="51" spans="1:7" ht="30" outlineLevel="1">
      <c r="A51" s="19" t="s">
        <v>120</v>
      </c>
      <c r="B51" s="23" t="s">
        <v>121</v>
      </c>
      <c r="C51" s="18" t="s">
        <v>122</v>
      </c>
      <c r="E51" s="39" t="s">
        <v>11</v>
      </c>
      <c r="G51" s="41"/>
    </row>
    <row r="52" spans="1:7" outlineLevel="1">
      <c r="A52" s="19" t="s">
        <v>123</v>
      </c>
      <c r="B52" s="24" t="s">
        <v>124</v>
      </c>
      <c r="C52" s="19" t="s">
        <v>125</v>
      </c>
      <c r="E52" s="39" t="s">
        <v>11</v>
      </c>
    </row>
    <row r="53" spans="1:7" ht="30" outlineLevel="1">
      <c r="A53" s="19" t="s">
        <v>126</v>
      </c>
      <c r="B53" s="24" t="s">
        <v>127</v>
      </c>
      <c r="C53" s="18" t="s">
        <v>128</v>
      </c>
      <c r="E53" s="39" t="s">
        <v>11</v>
      </c>
    </row>
    <row r="54" spans="1:7" outlineLevel="1">
      <c r="A54" s="19" t="s">
        <v>129</v>
      </c>
      <c r="B54" s="24" t="s">
        <v>124</v>
      </c>
      <c r="C54" s="19" t="s">
        <v>125</v>
      </c>
      <c r="E54" s="39" t="s">
        <v>11</v>
      </c>
    </row>
    <row r="55" spans="1:7" outlineLevel="1">
      <c r="A55" s="19" t="s">
        <v>130</v>
      </c>
      <c r="B55" s="25" t="s">
        <v>131</v>
      </c>
      <c r="C55" s="19" t="s">
        <v>132</v>
      </c>
      <c r="E55" s="39" t="s">
        <v>11</v>
      </c>
    </row>
    <row r="56" spans="1:7" ht="45" outlineLevel="1">
      <c r="A56" s="19" t="s">
        <v>133</v>
      </c>
      <c r="B56" s="25">
        <v>0.1</v>
      </c>
      <c r="C56" s="19" t="s">
        <v>98</v>
      </c>
      <c r="E56" s="39" t="s">
        <v>11</v>
      </c>
      <c r="F56" s="18" t="s">
        <v>134</v>
      </c>
    </row>
    <row r="57" spans="1:7" outlineLevel="1">
      <c r="A57" s="19" t="s">
        <v>135</v>
      </c>
      <c r="B57" s="24" t="s">
        <v>124</v>
      </c>
      <c r="C57" s="19" t="s">
        <v>125</v>
      </c>
      <c r="E57" s="39" t="s">
        <v>11</v>
      </c>
    </row>
    <row r="58" spans="1:7" outlineLevel="1">
      <c r="A58" s="19" t="s">
        <v>136</v>
      </c>
      <c r="B58" s="25">
        <v>0.03</v>
      </c>
      <c r="C58" s="19" t="s">
        <v>98</v>
      </c>
      <c r="E58" s="39" t="s">
        <v>11</v>
      </c>
    </row>
    <row r="59" spans="1:7" outlineLevel="1">
      <c r="A59" s="19" t="s">
        <v>137</v>
      </c>
      <c r="B59" s="25" t="s">
        <v>138</v>
      </c>
      <c r="C59" s="18" t="s">
        <v>139</v>
      </c>
      <c r="E59" s="39" t="s">
        <v>11</v>
      </c>
    </row>
    <row r="60" spans="1:7" outlineLevel="1">
      <c r="A60" s="19" t="s">
        <v>140</v>
      </c>
      <c r="B60" s="25" t="s">
        <v>141</v>
      </c>
      <c r="C60" s="18" t="s">
        <v>142</v>
      </c>
      <c r="E60" s="39" t="s">
        <v>11</v>
      </c>
    </row>
    <row r="61" spans="1:7" outlineLevel="1">
      <c r="A61" s="19" t="s">
        <v>143</v>
      </c>
      <c r="B61" s="23">
        <v>16000</v>
      </c>
      <c r="C61" s="19" t="s">
        <v>71</v>
      </c>
      <c r="E61" s="39" t="s">
        <v>11</v>
      </c>
    </row>
    <row r="62" spans="1:7" ht="30" outlineLevel="1">
      <c r="A62" s="19" t="s">
        <v>144</v>
      </c>
      <c r="B62" s="31">
        <f>B61/B33*12</f>
        <v>2</v>
      </c>
      <c r="C62" s="18" t="s">
        <v>145</v>
      </c>
      <c r="E62" s="39" t="s">
        <v>54</v>
      </c>
    </row>
    <row r="63" spans="1:7" outlineLevel="1">
      <c r="A63" s="19" t="s">
        <v>146</v>
      </c>
      <c r="B63" s="25"/>
      <c r="C63" s="19" t="s">
        <v>147</v>
      </c>
      <c r="E63" s="39" t="s">
        <v>11</v>
      </c>
    </row>
    <row r="64" spans="1:7" s="17" customFormat="1">
      <c r="A64" s="36" t="s">
        <v>148</v>
      </c>
      <c r="D64" s="37"/>
      <c r="E64" s="38"/>
      <c r="G64" s="36"/>
    </row>
    <row r="65" spans="1:7" ht="30" outlineLevel="1">
      <c r="A65" s="19" t="s">
        <v>149</v>
      </c>
      <c r="B65" s="31">
        <f>B62+B29</f>
        <v>8</v>
      </c>
      <c r="C65" s="18" t="s">
        <v>150</v>
      </c>
      <c r="E65" s="39" t="s">
        <v>54</v>
      </c>
    </row>
    <row r="66" spans="1:7" ht="30" outlineLevel="1">
      <c r="A66" s="19" t="s">
        <v>151</v>
      </c>
      <c r="B66" s="23">
        <f>B61+B30</f>
        <v>64000</v>
      </c>
      <c r="C66" s="18" t="s">
        <v>152</v>
      </c>
      <c r="E66" s="39" t="s">
        <v>54</v>
      </c>
    </row>
    <row r="67" spans="1:7" outlineLevel="1">
      <c r="A67" s="19" t="s">
        <v>153</v>
      </c>
      <c r="B67" s="23">
        <f>B66/B21</f>
        <v>15.002344116268167</v>
      </c>
      <c r="C67" s="18" t="s">
        <v>154</v>
      </c>
      <c r="E67" s="39" t="s">
        <v>54</v>
      </c>
    </row>
    <row r="68" spans="1:7" ht="75" outlineLevel="1">
      <c r="A68" s="19" t="s">
        <v>155</v>
      </c>
      <c r="B68" s="23">
        <f>(B45*B33+B66)/B45</f>
        <v>108800</v>
      </c>
      <c r="C68" s="18" t="s">
        <v>156</v>
      </c>
      <c r="E68" s="39" t="s">
        <v>54</v>
      </c>
    </row>
    <row r="69" spans="1:7" s="17" customFormat="1">
      <c r="A69" s="36" t="s">
        <v>157</v>
      </c>
      <c r="C69" s="37"/>
      <c r="D69" s="37"/>
      <c r="E69" s="38"/>
      <c r="G69" s="36"/>
    </row>
    <row r="70" spans="1:7" outlineLevel="1">
      <c r="A70" s="19" t="s">
        <v>158</v>
      </c>
      <c r="B70" s="26">
        <v>0.1</v>
      </c>
      <c r="C70" s="19" t="s">
        <v>98</v>
      </c>
      <c r="E70" s="39" t="s">
        <v>11</v>
      </c>
      <c r="G70" s="49"/>
    </row>
    <row r="71" spans="1:7" ht="60" outlineLevel="1">
      <c r="A71" s="19" t="s">
        <v>159</v>
      </c>
      <c r="B71" s="23">
        <v>5000</v>
      </c>
      <c r="C71" s="18" t="s">
        <v>160</v>
      </c>
      <c r="E71" s="39" t="s">
        <v>54</v>
      </c>
      <c r="G71" s="49" t="s">
        <v>161</v>
      </c>
    </row>
    <row r="72" spans="1:7" ht="30" outlineLevel="1">
      <c r="A72" s="19" t="s">
        <v>162</v>
      </c>
      <c r="B72" s="23">
        <v>5000</v>
      </c>
      <c r="C72" s="18" t="s">
        <v>163</v>
      </c>
      <c r="E72" s="39" t="s">
        <v>54</v>
      </c>
      <c r="G72" s="49"/>
    </row>
    <row r="73" spans="1:7" s="17" customFormat="1">
      <c r="A73" s="36" t="s">
        <v>164</v>
      </c>
      <c r="D73" s="37"/>
      <c r="E73" s="38"/>
      <c r="G73" s="36"/>
    </row>
    <row r="74" spans="1:7" outlineLevel="1">
      <c r="A74" s="18" t="s">
        <v>165</v>
      </c>
      <c r="B74" s="30">
        <v>45444</v>
      </c>
      <c r="C74" s="19" t="s">
        <v>65</v>
      </c>
      <c r="E74" s="39" t="s">
        <v>11</v>
      </c>
      <c r="G74" s="49"/>
    </row>
    <row r="75" spans="1:7" outlineLevel="1">
      <c r="A75" s="19" t="s">
        <v>166</v>
      </c>
      <c r="B75" s="19" t="s">
        <v>167</v>
      </c>
      <c r="C75" s="19" t="s">
        <v>168</v>
      </c>
      <c r="E75" s="39" t="s">
        <v>11</v>
      </c>
      <c r="G75" s="49"/>
    </row>
    <row r="76" spans="1:7" outlineLevel="1">
      <c r="A76" s="19" t="s">
        <v>169</v>
      </c>
      <c r="B76" s="19" t="s">
        <v>167</v>
      </c>
      <c r="C76" s="19" t="s">
        <v>168</v>
      </c>
      <c r="E76" s="39" t="s">
        <v>11</v>
      </c>
      <c r="G76" s="41"/>
    </row>
    <row r="77" spans="1:7" outlineLevel="1">
      <c r="A77" s="19" t="s">
        <v>170</v>
      </c>
      <c r="B77" s="19" t="s">
        <v>167</v>
      </c>
      <c r="C77" s="19" t="s">
        <v>168</v>
      </c>
      <c r="E77" s="39" t="s">
        <v>11</v>
      </c>
      <c r="G77" s="41"/>
    </row>
    <row r="78" spans="1:7" outlineLevel="1">
      <c r="A78" s="19" t="s">
        <v>171</v>
      </c>
      <c r="B78" s="19" t="s">
        <v>172</v>
      </c>
      <c r="C78" s="19" t="s">
        <v>168</v>
      </c>
      <c r="E78" s="39" t="s">
        <v>11</v>
      </c>
      <c r="G78" s="41"/>
    </row>
    <row r="79" spans="1:7" s="17" customFormat="1">
      <c r="A79" s="36" t="s">
        <v>173</v>
      </c>
      <c r="D79" s="37"/>
      <c r="E79" s="38"/>
      <c r="G79" s="36"/>
    </row>
    <row r="80" spans="1:7" ht="30" outlineLevel="1">
      <c r="A80" s="18" t="s">
        <v>174</v>
      </c>
      <c r="B80" s="18" t="s">
        <v>175</v>
      </c>
      <c r="C80" s="18" t="s">
        <v>176</v>
      </c>
      <c r="D80" s="18" t="s">
        <v>177</v>
      </c>
      <c r="E80" s="39" t="s">
        <v>54</v>
      </c>
    </row>
    <row r="81" spans="1:7" outlineLevel="1">
      <c r="A81" s="18" t="s">
        <v>178</v>
      </c>
      <c r="B81" s="32" t="s">
        <v>179</v>
      </c>
      <c r="C81" s="19" t="s">
        <v>65</v>
      </c>
      <c r="D81" s="18" t="s">
        <v>180</v>
      </c>
      <c r="E81" s="39" t="s">
        <v>54</v>
      </c>
    </row>
    <row r="82" spans="1:7" ht="60" outlineLevel="1">
      <c r="A82" s="19" t="s">
        <v>181</v>
      </c>
      <c r="B82" s="32">
        <v>45444</v>
      </c>
      <c r="C82" s="19" t="s">
        <v>65</v>
      </c>
      <c r="D82" s="18" t="s">
        <v>182</v>
      </c>
      <c r="E82" s="39" t="s">
        <v>54</v>
      </c>
    </row>
    <row r="83" spans="1:7" ht="30" outlineLevel="1">
      <c r="A83" s="19" t="s">
        <v>183</v>
      </c>
      <c r="B83" s="19" t="s">
        <v>184</v>
      </c>
      <c r="C83" s="19" t="s">
        <v>185</v>
      </c>
      <c r="E83" s="39" t="s">
        <v>11</v>
      </c>
      <c r="F83" s="18" t="s">
        <v>186</v>
      </c>
      <c r="G83" s="49" t="s">
        <v>187</v>
      </c>
    </row>
    <row r="84" spans="1:7" ht="45" outlineLevel="1">
      <c r="A84" s="19" t="s">
        <v>188</v>
      </c>
      <c r="B84" s="32" t="s">
        <v>179</v>
      </c>
      <c r="C84" s="19" t="s">
        <v>65</v>
      </c>
      <c r="D84" s="18" t="s">
        <v>189</v>
      </c>
      <c r="E84" s="39" t="s">
        <v>54</v>
      </c>
      <c r="F84" s="18" t="s">
        <v>186</v>
      </c>
      <c r="G84" s="49"/>
    </row>
    <row r="85" spans="1:7" s="17" customFormat="1">
      <c r="A85" s="36" t="s">
        <v>190</v>
      </c>
      <c r="D85" s="37"/>
      <c r="E85" s="38"/>
      <c r="G85" s="36"/>
    </row>
    <row r="86" spans="1:7" s="42" customFormat="1" outlineLevel="1">
      <c r="A86" s="42" t="s">
        <v>191</v>
      </c>
      <c r="B86" s="19" t="s">
        <v>192</v>
      </c>
      <c r="C86" s="19" t="s">
        <v>193</v>
      </c>
      <c r="D86" s="43"/>
      <c r="E86" s="39" t="s">
        <v>11</v>
      </c>
      <c r="G86" s="43"/>
    </row>
    <row r="87" spans="1:7" s="18" customFormat="1" outlineLevel="1">
      <c r="A87" s="18" t="s">
        <v>194</v>
      </c>
      <c r="B87" s="19" t="s">
        <v>11</v>
      </c>
      <c r="C87" s="18" t="s">
        <v>195</v>
      </c>
      <c r="E87" s="39" t="s">
        <v>11</v>
      </c>
      <c r="G87" s="49" t="s">
        <v>196</v>
      </c>
    </row>
    <row r="88" spans="1:7" s="18" customFormat="1" ht="45" outlineLevel="1">
      <c r="A88" s="18" t="s">
        <v>197</v>
      </c>
      <c r="B88" s="30">
        <v>45459</v>
      </c>
      <c r="C88" s="18" t="s">
        <v>65</v>
      </c>
      <c r="E88" s="39" t="s">
        <v>11</v>
      </c>
      <c r="F88" s="18" t="s">
        <v>198</v>
      </c>
      <c r="G88" s="49" t="s">
        <v>199</v>
      </c>
    </row>
    <row r="89" spans="1:7" s="18" customFormat="1" outlineLevel="1">
      <c r="A89" s="18" t="s">
        <v>200</v>
      </c>
      <c r="B89" s="19" t="s">
        <v>11</v>
      </c>
      <c r="C89" s="18" t="s">
        <v>195</v>
      </c>
      <c r="E89" s="39" t="s">
        <v>11</v>
      </c>
      <c r="G89" s="49"/>
    </row>
    <row r="90" spans="1:7" s="18" customFormat="1" ht="45" outlineLevel="1">
      <c r="A90" s="18" t="s">
        <v>201</v>
      </c>
      <c r="B90" s="30">
        <v>45459</v>
      </c>
      <c r="C90" s="18" t="s">
        <v>65</v>
      </c>
      <c r="E90" s="39" t="s">
        <v>11</v>
      </c>
      <c r="F90" s="18" t="s">
        <v>202</v>
      </c>
      <c r="G90" s="49"/>
    </row>
    <row r="91" spans="1:7" s="18" customFormat="1" ht="30" outlineLevel="1">
      <c r="A91" s="18" t="s">
        <v>203</v>
      </c>
      <c r="B91" s="19" t="s">
        <v>11</v>
      </c>
      <c r="C91" s="18" t="s">
        <v>195</v>
      </c>
      <c r="E91" s="39" t="s">
        <v>11</v>
      </c>
      <c r="G91" s="49"/>
    </row>
    <row r="92" spans="1:7" s="18" customFormat="1" ht="60" outlineLevel="1">
      <c r="A92" s="18" t="s">
        <v>204</v>
      </c>
      <c r="B92" s="30">
        <v>45459</v>
      </c>
      <c r="C92" s="18" t="s">
        <v>65</v>
      </c>
      <c r="E92" s="39" t="s">
        <v>11</v>
      </c>
      <c r="F92" s="18" t="s">
        <v>205</v>
      </c>
      <c r="G92" s="49" t="s">
        <v>206</v>
      </c>
    </row>
    <row r="93" spans="1:7" s="18" customFormat="1" outlineLevel="1">
      <c r="A93" s="18" t="s">
        <v>207</v>
      </c>
      <c r="B93" s="19" t="s">
        <v>11</v>
      </c>
      <c r="C93" s="18" t="s">
        <v>195</v>
      </c>
      <c r="E93" s="39" t="s">
        <v>11</v>
      </c>
    </row>
    <row r="94" spans="1:7" s="18" customFormat="1" ht="30" outlineLevel="1">
      <c r="A94" s="18" t="s">
        <v>208</v>
      </c>
      <c r="B94" s="30">
        <v>45459</v>
      </c>
      <c r="C94" s="18" t="s">
        <v>65</v>
      </c>
      <c r="E94" s="39" t="s">
        <v>11</v>
      </c>
      <c r="F94" s="18" t="s">
        <v>209</v>
      </c>
    </row>
    <row r="95" spans="1:7" s="18" customFormat="1" outlineLevel="1">
      <c r="A95" s="18" t="s">
        <v>210</v>
      </c>
      <c r="B95" s="19" t="s">
        <v>11</v>
      </c>
      <c r="C95" s="18" t="s">
        <v>195</v>
      </c>
      <c r="E95" s="39" t="s">
        <v>11</v>
      </c>
    </row>
    <row r="96" spans="1:7" s="18" customFormat="1" ht="30" outlineLevel="1">
      <c r="A96" s="18" t="s">
        <v>211</v>
      </c>
      <c r="B96" s="30">
        <v>45459</v>
      </c>
      <c r="C96" s="18" t="s">
        <v>65</v>
      </c>
      <c r="E96" s="39" t="s">
        <v>11</v>
      </c>
      <c r="F96" s="18" t="s">
        <v>212</v>
      </c>
    </row>
    <row r="97" spans="1:7" s="17" customFormat="1">
      <c r="A97" s="36" t="s">
        <v>213</v>
      </c>
      <c r="D97" s="37"/>
      <c r="E97" s="38"/>
      <c r="G97" s="36"/>
    </row>
    <row r="98" spans="1:7" ht="60" outlineLevel="1">
      <c r="A98" s="18" t="s">
        <v>214</v>
      </c>
      <c r="B98" s="30">
        <v>45444</v>
      </c>
      <c r="C98" s="19" t="s">
        <v>65</v>
      </c>
      <c r="D98" s="18" t="s">
        <v>215</v>
      </c>
      <c r="E98" s="39" t="s">
        <v>11</v>
      </c>
    </row>
    <row r="99" spans="1:7" outlineLevel="1">
      <c r="A99" s="18" t="s">
        <v>216</v>
      </c>
      <c r="B99" s="30">
        <v>45446</v>
      </c>
      <c r="C99" s="19" t="s">
        <v>65</v>
      </c>
      <c r="E99" s="39" t="s">
        <v>11</v>
      </c>
    </row>
    <row r="100" spans="1:7" outlineLevel="1">
      <c r="A100" s="18" t="s">
        <v>217</v>
      </c>
      <c r="B100" s="30">
        <v>45457</v>
      </c>
      <c r="C100" s="19" t="s">
        <v>65</v>
      </c>
      <c r="E100" s="39" t="s">
        <v>11</v>
      </c>
    </row>
    <row r="101" spans="1:7" s="42" customFormat="1" ht="30" outlineLevel="1">
      <c r="A101" s="18" t="s">
        <v>218</v>
      </c>
      <c r="B101" s="30">
        <v>45459</v>
      </c>
      <c r="C101" s="19" t="s">
        <v>65</v>
      </c>
      <c r="D101" s="43"/>
      <c r="E101" s="39" t="s">
        <v>11</v>
      </c>
      <c r="G101" s="50"/>
    </row>
    <row r="102" spans="1:7" outlineLevel="1">
      <c r="A102" s="18" t="s">
        <v>219</v>
      </c>
      <c r="B102" s="30">
        <v>45463</v>
      </c>
      <c r="C102" s="19" t="s">
        <v>65</v>
      </c>
      <c r="E102" s="39" t="s">
        <v>11</v>
      </c>
    </row>
    <row r="103" spans="1:7" ht="30" outlineLevel="1">
      <c r="A103" s="18" t="s">
        <v>220</v>
      </c>
      <c r="B103" s="30">
        <v>45465</v>
      </c>
      <c r="C103" s="19" t="s">
        <v>65</v>
      </c>
      <c r="E103" s="39" t="s">
        <v>11</v>
      </c>
    </row>
    <row r="104" spans="1:7" ht="48" customHeight="1" outlineLevel="1">
      <c r="A104" s="18" t="s">
        <v>221</v>
      </c>
      <c r="B104" s="30">
        <f>B103</f>
        <v>45465</v>
      </c>
      <c r="C104" s="18" t="s">
        <v>222</v>
      </c>
      <c r="E104" s="39" t="s">
        <v>54</v>
      </c>
    </row>
    <row r="105" spans="1:7" ht="30" outlineLevel="1">
      <c r="A105" s="18" t="s">
        <v>223</v>
      </c>
      <c r="B105" s="33">
        <v>5.5</v>
      </c>
      <c r="C105" s="18" t="s">
        <v>224</v>
      </c>
      <c r="E105" s="39" t="s">
        <v>54</v>
      </c>
    </row>
    <row r="106" spans="1:7" s="17" customFormat="1">
      <c r="A106" s="36" t="s">
        <v>225</v>
      </c>
      <c r="D106" s="37"/>
      <c r="E106" s="38"/>
      <c r="G106" s="36"/>
    </row>
    <row r="107" spans="1:7" s="42" customFormat="1" outlineLevel="1">
      <c r="A107" s="42" t="s">
        <v>226</v>
      </c>
      <c r="B107" s="19" t="s">
        <v>11</v>
      </c>
      <c r="C107" s="19" t="s">
        <v>195</v>
      </c>
      <c r="D107" s="43"/>
      <c r="E107" s="39" t="s">
        <v>11</v>
      </c>
      <c r="G107" s="43"/>
    </row>
    <row r="108" spans="1:7" outlineLevel="1">
      <c r="A108" s="19" t="s">
        <v>227</v>
      </c>
      <c r="B108" s="30">
        <v>45509</v>
      </c>
      <c r="C108" s="19" t="s">
        <v>65</v>
      </c>
      <c r="E108" s="39" t="s">
        <v>11</v>
      </c>
    </row>
    <row r="109" spans="1:7" s="17" customFormat="1">
      <c r="A109" s="36" t="s">
        <v>228</v>
      </c>
      <c r="D109" s="37"/>
      <c r="E109" s="38"/>
      <c r="G109" s="36"/>
    </row>
    <row r="110" spans="1:7" outlineLevel="1">
      <c r="A110" s="19" t="s">
        <v>229</v>
      </c>
      <c r="B110" s="19" t="s">
        <v>192</v>
      </c>
      <c r="C110" s="19" t="s">
        <v>193</v>
      </c>
      <c r="E110" s="39" t="s">
        <v>11</v>
      </c>
      <c r="G110" s="49"/>
    </row>
    <row r="111" spans="1:7" outlineLevel="1">
      <c r="A111" s="19" t="s">
        <v>230</v>
      </c>
      <c r="B111" s="30">
        <v>45548</v>
      </c>
      <c r="C111" s="19" t="s">
        <v>231</v>
      </c>
      <c r="E111" s="39" t="s">
        <v>11</v>
      </c>
      <c r="G111" s="49"/>
    </row>
    <row r="112" spans="1:7" s="17" customFormat="1">
      <c r="A112" s="51" t="s">
        <v>232</v>
      </c>
      <c r="D112" s="37"/>
      <c r="E112" s="38"/>
      <c r="G112" s="51"/>
    </row>
    <row r="113" spans="1:7" outlineLevel="1">
      <c r="A113" s="19" t="s">
        <v>233</v>
      </c>
      <c r="B113" s="24" t="s">
        <v>234</v>
      </c>
      <c r="C113" s="18" t="s">
        <v>235</v>
      </c>
      <c r="D113" s="19"/>
      <c r="E113" s="39" t="s">
        <v>54</v>
      </c>
      <c r="G113" s="49"/>
    </row>
    <row r="114" spans="1:7" outlineLevel="1">
      <c r="A114" s="48" t="s">
        <v>236</v>
      </c>
      <c r="B114" s="19" t="s">
        <v>237</v>
      </c>
      <c r="C114" s="40"/>
      <c r="D114" s="40" t="s">
        <v>238</v>
      </c>
      <c r="E114" s="39" t="s">
        <v>54</v>
      </c>
      <c r="G114" s="41"/>
    </row>
    <row r="115" spans="1:7" outlineLevel="1">
      <c r="A115" s="19" t="s">
        <v>239</v>
      </c>
      <c r="B115" s="19" t="s">
        <v>240</v>
      </c>
      <c r="C115" s="19" t="s">
        <v>241</v>
      </c>
      <c r="E115" s="39" t="s">
        <v>54</v>
      </c>
      <c r="G115" s="49"/>
    </row>
    <row r="116" spans="1:7" outlineLevel="1">
      <c r="A116" s="19" t="s">
        <v>242</v>
      </c>
      <c r="B116" s="19" t="s">
        <v>240</v>
      </c>
      <c r="C116" s="19" t="s">
        <v>243</v>
      </c>
      <c r="E116" s="39" t="s">
        <v>54</v>
      </c>
      <c r="G116" s="4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E4CC8D99-2497-4BA4-B883-15E25B551147}"/>
</file>

<file path=customXml/itemProps2.xml><?xml version="1.0" encoding="utf-8"?>
<ds:datastoreItem xmlns:ds="http://schemas.openxmlformats.org/officeDocument/2006/customXml" ds:itemID="{788C90A8-5040-406F-BB48-D97F39D3850C}"/>
</file>

<file path=customXml/itemProps3.xml><?xml version="1.0" encoding="utf-8"?>
<ds:datastoreItem xmlns:ds="http://schemas.openxmlformats.org/officeDocument/2006/customXml" ds:itemID="{AED5CFE7-1958-4BF0-ADD1-9C2A72498880}"/>
</file>

<file path=customXml/itemProps4.xml><?xml version="1.0" encoding="utf-8"?>
<ds:datastoreItem xmlns:ds="http://schemas.openxmlformats.org/officeDocument/2006/customXml" ds:itemID="{40CBFC2D-7659-4757-9734-FA4C7B1DB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2024-11-19T13:03:47Z</dcterms:created>
  <dcterms:modified xsi:type="dcterms:W3CDTF">2024-11-21T14:18:51Z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