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filterPrivacy="1" codeName="ThisWorkbook"/>
  <xr:revisionPtr revIDLastSave="132" documentId="8_{211E20EE-409E-4C23-8269-029F8330D4A1}" xr6:coauthVersionLast="47" xr6:coauthVersionMax="47" xr10:uidLastSave="{4AB112A2-3899-496C-9FE6-DCA46E18E02A}"/>
  <bookViews>
    <workbookView xWindow="-120" yWindow="-120" windowWidth="29040" windowHeight="15720" tabRatio="791" firstSheet="4" activeTab="10" xr2:uid="{00000000-000D-0000-FFFF-FFFF00000000}"/>
  </bookViews>
  <sheets>
    <sheet name="IL to HORIZON" sheetId="21" state="hidden" r:id="rId1"/>
    <sheet name="IL Data Mapping #WORKING#" sheetId="16" state="hidden" r:id="rId2"/>
    <sheet name="Sheet1" sheetId="52" r:id="rId3"/>
    <sheet name="Version History" sheetId="35" r:id="rId4"/>
    <sheet name="Salesforce to Qube  - Units" sheetId="40" r:id="rId5"/>
    <sheet name="Salesforce to Qube  - Tenancy" sheetId="44" r:id="rId6"/>
    <sheet name="Salesforce to Qube  - Clients" sheetId="46" r:id="rId7"/>
    <sheet name="Opportunity Filtering Logic" sheetId="51" r:id="rId8"/>
    <sheet name="Break Clause Rules" sheetId="49" r:id="rId9"/>
    <sheet name="Client Role Mappings" sheetId="48" r:id="rId10"/>
    <sheet name="Agreement Type Mappings" sheetId="45" r:id="rId11"/>
  </sheets>
  <definedNames>
    <definedName name="_xlnm._FilterDatabase" localSheetId="1" hidden="1">'IL Data Mapping #WORKING#'!$A$9:$F$98</definedName>
    <definedName name="_xlnm._FilterDatabase" localSheetId="6" hidden="1">'Salesforce to Qube  - Clients'!$A$9:$Q$33</definedName>
    <definedName name="_xlnm._FilterDatabase" localSheetId="5" hidden="1">'Salesforce to Qube  - Tenancy'!$A$9:$Q$124</definedName>
    <definedName name="_xlnm._FilterDatabase" localSheetId="4" hidden="1">'Salesforce to Qube  - Units'!$A$9:$Q$30</definedName>
  </definedNames>
  <calcPr calcId="191028"/>
  <extLst>
    <ext xmlns:x14="http://schemas.microsoft.com/office/spreadsheetml/2009/9/main" uri="{79F54976-1DA5-4618-B147-4CDE4B953A38}">
      <x14:workbookPr defaultImageDpi="330"/>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93" i="16" l="1"/>
  <c r="I10" i="16"/>
  <c r="H10" i="16"/>
  <c r="H11" i="16"/>
  <c r="H12" i="16"/>
  <c r="H13" i="16"/>
  <c r="H14" i="16"/>
  <c r="H15" i="16"/>
  <c r="H16" i="16"/>
  <c r="H17" i="16"/>
  <c r="H18" i="16"/>
  <c r="H19" i="16"/>
  <c r="H20" i="16"/>
  <c r="H21" i="16"/>
  <c r="H22" i="16"/>
  <c r="H23" i="16"/>
  <c r="H24" i="16"/>
  <c r="H25" i="16"/>
  <c r="H26" i="16"/>
  <c r="H27" i="16"/>
  <c r="H28" i="16"/>
  <c r="H29" i="16"/>
  <c r="H30" i="16"/>
  <c r="H31" i="16"/>
  <c r="H32" i="16"/>
  <c r="H33" i="16"/>
  <c r="H34" i="16"/>
  <c r="H35" i="16"/>
  <c r="H36" i="16"/>
  <c r="H37" i="16"/>
  <c r="H38" i="16"/>
  <c r="H39" i="16"/>
  <c r="H40" i="16"/>
  <c r="H41" i="16"/>
  <c r="H42" i="16"/>
  <c r="H43" i="16"/>
  <c r="H44" i="16"/>
  <c r="H45" i="16"/>
  <c r="H46" i="16"/>
  <c r="H47" i="16"/>
  <c r="H48" i="16"/>
  <c r="H49" i="16"/>
  <c r="H50" i="16"/>
  <c r="H51" i="16"/>
  <c r="H52" i="16"/>
  <c r="H53" i="16"/>
  <c r="H54" i="16"/>
  <c r="H55" i="16"/>
  <c r="H56" i="16"/>
  <c r="H57" i="16"/>
  <c r="H58" i="16"/>
  <c r="H59" i="16"/>
  <c r="H60" i="16"/>
  <c r="H61" i="16"/>
  <c r="H62" i="16"/>
  <c r="H63" i="16"/>
  <c r="H64" i="16"/>
  <c r="H65" i="16"/>
  <c r="H66" i="16"/>
  <c r="H67" i="16"/>
  <c r="H68" i="16"/>
  <c r="H69" i="16"/>
  <c r="H70" i="16"/>
  <c r="H71" i="16"/>
  <c r="H72" i="16"/>
  <c r="H73" i="16"/>
  <c r="H74" i="16"/>
  <c r="H75" i="16"/>
  <c r="H76" i="16"/>
  <c r="H77" i="16"/>
  <c r="H78" i="16"/>
  <c r="H79" i="16"/>
  <c r="H80" i="16"/>
  <c r="H81" i="16"/>
  <c r="H82" i="16"/>
  <c r="H83" i="16"/>
  <c r="H84" i="16"/>
  <c r="H85" i="16"/>
  <c r="H86" i="16"/>
  <c r="H87" i="16"/>
  <c r="H88" i="16"/>
  <c r="H89" i="16"/>
  <c r="H90" i="16"/>
  <c r="H91" i="16"/>
  <c r="H92" i="16"/>
  <c r="H93" i="16"/>
  <c r="H94" i="16"/>
  <c r="H95" i="16"/>
  <c r="H96" i="16"/>
  <c r="H97" i="16"/>
  <c r="H98" i="16"/>
  <c r="H99" i="16"/>
  <c r="H100" i="16"/>
  <c r="H101" i="16"/>
  <c r="H102" i="16"/>
  <c r="H103" i="16"/>
  <c r="H104" i="16"/>
  <c r="H105" i="16"/>
  <c r="H106" i="16"/>
  <c r="H107" i="16"/>
  <c r="H108" i="16"/>
  <c r="H109" i="16"/>
  <c r="H110" i="16"/>
  <c r="H111" i="16"/>
  <c r="H112" i="16"/>
  <c r="H113" i="16"/>
  <c r="H114" i="16"/>
  <c r="H115" i="16"/>
  <c r="H116" i="16"/>
  <c r="H117" i="16"/>
  <c r="H118" i="16"/>
  <c r="H119" i="16"/>
  <c r="H120" i="16"/>
  <c r="H121" i="16"/>
  <c r="H122" i="16"/>
  <c r="H123" i="16"/>
  <c r="H124" i="16"/>
  <c r="H125" i="16"/>
  <c r="H126" i="16"/>
  <c r="H127" i="16"/>
  <c r="H128" i="16"/>
  <c r="H129" i="16"/>
  <c r="H130" i="16"/>
  <c r="H131" i="16"/>
  <c r="H132" i="16"/>
  <c r="H133" i="16"/>
  <c r="H134" i="16"/>
  <c r="H135" i="16"/>
  <c r="H136" i="16"/>
  <c r="H137" i="16"/>
  <c r="H138" i="16"/>
  <c r="H139" i="16"/>
  <c r="H140" i="16"/>
  <c r="H141" i="16"/>
  <c r="H142" i="16"/>
  <c r="H143" i="16"/>
  <c r="H144" i="16"/>
  <c r="H145" i="16"/>
  <c r="H146" i="16"/>
  <c r="H147" i="16"/>
  <c r="H148" i="16"/>
  <c r="H149" i="16"/>
  <c r="H150" i="16"/>
  <c r="H151" i="16"/>
  <c r="H152" i="16"/>
  <c r="H153" i="16"/>
  <c r="H154" i="16"/>
  <c r="H155" i="16"/>
  <c r="H156" i="16"/>
  <c r="H157" i="16"/>
  <c r="H158" i="16"/>
  <c r="H159" i="16"/>
  <c r="H160" i="16"/>
  <c r="H161" i="16"/>
  <c r="H162" i="16"/>
  <c r="H163" i="16"/>
  <c r="H164" i="16"/>
  <c r="H165" i="16"/>
  <c r="H166" i="16"/>
  <c r="H167" i="16"/>
  <c r="H168" i="16"/>
  <c r="H169" i="16"/>
  <c r="H170" i="16"/>
  <c r="H171" i="16"/>
  <c r="H172" i="16"/>
  <c r="H173" i="16"/>
  <c r="H174" i="16"/>
  <c r="H175" i="16"/>
  <c r="H176" i="16"/>
  <c r="H177" i="16"/>
  <c r="H178" i="16"/>
  <c r="H179" i="16"/>
  <c r="H180" i="16"/>
  <c r="H181" i="16"/>
  <c r="H182" i="16"/>
  <c r="H183" i="16"/>
  <c r="H184" i="16"/>
  <c r="H185" i="16"/>
  <c r="H186" i="16"/>
  <c r="H187" i="16"/>
  <c r="H188" i="16"/>
  <c r="H189" i="16"/>
  <c r="H190" i="16"/>
  <c r="H191" i="16"/>
  <c r="H192" i="16"/>
  <c r="H194" i="16"/>
  <c r="H195" i="16"/>
  <c r="H196" i="16"/>
  <c r="H197" i="16"/>
  <c r="H198" i="16"/>
  <c r="H199" i="16"/>
  <c r="H200" i="16"/>
  <c r="H201" i="16"/>
  <c r="H202" i="16"/>
  <c r="H203" i="16"/>
  <c r="H204" i="16"/>
  <c r="H205" i="16"/>
  <c r="H206" i="16"/>
  <c r="H207" i="16"/>
  <c r="H208" i="16"/>
  <c r="H209" i="16"/>
  <c r="H210" i="16"/>
  <c r="H211" i="16"/>
  <c r="H212" i="16"/>
  <c r="H213" i="16"/>
  <c r="H214" i="16"/>
  <c r="H215" i="16"/>
  <c r="H216" i="16"/>
  <c r="H217" i="16"/>
  <c r="H218" i="16"/>
  <c r="H219" i="16"/>
  <c r="H220" i="16"/>
  <c r="H221" i="16"/>
  <c r="H222" i="16"/>
  <c r="H223" i="16"/>
  <c r="H224" i="16"/>
  <c r="H225" i="16"/>
  <c r="H226" i="16"/>
  <c r="H227" i="16"/>
  <c r="H228" i="16"/>
  <c r="H229" i="16"/>
  <c r="H230" i="16"/>
  <c r="H231" i="16"/>
  <c r="H232" i="16"/>
  <c r="H233" i="16"/>
  <c r="H234" i="16"/>
  <c r="H235" i="16"/>
  <c r="H236" i="16"/>
  <c r="H237" i="16"/>
  <c r="H238" i="16"/>
  <c r="H239" i="16"/>
  <c r="H240" i="16"/>
  <c r="H241" i="16"/>
  <c r="H242" i="16"/>
  <c r="H243" i="16"/>
  <c r="H244" i="16"/>
  <c r="H245" i="16"/>
  <c r="H246" i="16"/>
  <c r="H247" i="16"/>
  <c r="H248" i="16"/>
  <c r="H249" i="16"/>
  <c r="H250" i="16"/>
  <c r="H251" i="16"/>
  <c r="H252" i="16"/>
  <c r="H253" i="16"/>
  <c r="H254" i="16"/>
  <c r="H255" i="16"/>
  <c r="H256" i="16"/>
  <c r="H257" i="16"/>
  <c r="H258" i="16"/>
  <c r="H259" i="16"/>
  <c r="H260" i="16"/>
  <c r="H261" i="16"/>
  <c r="H262" i="16"/>
  <c r="H263" i="16"/>
  <c r="H264" i="16"/>
  <c r="H265" i="16"/>
  <c r="H266" i="16"/>
  <c r="H267" i="16"/>
  <c r="H268" i="16"/>
  <c r="H269" i="16"/>
  <c r="H270" i="16"/>
  <c r="H271" i="16"/>
  <c r="H272" i="16"/>
  <c r="H273" i="16"/>
  <c r="H274" i="16"/>
  <c r="H275" i="16"/>
  <c r="H276" i="16"/>
  <c r="H277" i="16"/>
  <c r="H278" i="16"/>
  <c r="H279" i="16"/>
  <c r="H280" i="16"/>
  <c r="H281" i="16"/>
  <c r="H282" i="16"/>
  <c r="H283" i="16"/>
  <c r="H284" i="16"/>
  <c r="H285" i="16"/>
  <c r="H286" i="16"/>
  <c r="H287" i="16"/>
  <c r="H288" i="16"/>
  <c r="H289" i="16"/>
  <c r="H290" i="16"/>
  <c r="H291" i="16"/>
  <c r="H292" i="16"/>
  <c r="H293" i="16"/>
  <c r="H294" i="16"/>
  <c r="H295" i="16"/>
  <c r="H296" i="16"/>
  <c r="H297" i="16"/>
  <c r="H298" i="16"/>
  <c r="H299" i="16"/>
  <c r="H300" i="16"/>
  <c r="H301" i="16"/>
  <c r="H302" i="16"/>
  <c r="H303" i="16"/>
  <c r="H304" i="16"/>
  <c r="H305" i="16"/>
  <c r="H306" i="16"/>
  <c r="H307" i="16"/>
  <c r="H308" i="16"/>
  <c r="H309" i="16"/>
  <c r="H310" i="16"/>
  <c r="H311" i="16"/>
  <c r="H312" i="16"/>
  <c r="H313" i="16"/>
  <c r="H314" i="16"/>
  <c r="H315" i="16"/>
  <c r="H316" i="16"/>
  <c r="H317" i="16"/>
  <c r="H318" i="16"/>
  <c r="H319" i="16"/>
  <c r="H320" i="16"/>
  <c r="H321" i="16"/>
  <c r="H322" i="16"/>
  <c r="H323" i="16"/>
  <c r="H324" i="16"/>
  <c r="H325" i="16"/>
  <c r="H326" i="16"/>
  <c r="H327" i="16"/>
  <c r="H328" i="16"/>
  <c r="H329" i="16"/>
  <c r="H330" i="16"/>
  <c r="H331" i="16"/>
  <c r="H332" i="16"/>
  <c r="H333" i="16"/>
  <c r="H334" i="16"/>
  <c r="H335" i="16"/>
  <c r="H336" i="16"/>
  <c r="H337" i="16"/>
  <c r="H338" i="16"/>
  <c r="H339" i="16"/>
  <c r="H340" i="16"/>
  <c r="H341" i="16"/>
  <c r="H342" i="16"/>
  <c r="H343" i="16"/>
  <c r="H344" i="16"/>
  <c r="H345" i="16"/>
  <c r="H346" i="16"/>
  <c r="H347" i="16"/>
  <c r="H348" i="16"/>
  <c r="H349" i="16"/>
  <c r="H350" i="16"/>
  <c r="H351" i="16"/>
  <c r="H352" i="16"/>
  <c r="H353" i="16"/>
  <c r="H354" i="16"/>
  <c r="H355" i="16"/>
  <c r="H356" i="16"/>
  <c r="H357" i="16"/>
  <c r="H358" i="16"/>
  <c r="H359" i="16"/>
  <c r="H360" i="16"/>
  <c r="H361" i="16"/>
  <c r="H362" i="16"/>
  <c r="H9" i="16"/>
</calcChain>
</file>

<file path=xl/sharedStrings.xml><?xml version="1.0" encoding="utf-8"?>
<sst xmlns="http://schemas.openxmlformats.org/spreadsheetml/2006/main" count="2539" uniqueCount="850">
  <si>
    <t>Interface code</t>
  </si>
  <si>
    <t>1.1.2 &amp; 1.2.2</t>
  </si>
  <si>
    <t>Destination system</t>
  </si>
  <si>
    <t>HORIZON</t>
  </si>
  <si>
    <t>Message Name</t>
  </si>
  <si>
    <t>Input Type (File/XML/Idoc/Others)?</t>
  </si>
  <si>
    <t>Fixed, Delimited or Tagged?</t>
  </si>
  <si>
    <t>Level</t>
  </si>
  <si>
    <t>Table Name</t>
  </si>
  <si>
    <t>Field Name</t>
  </si>
  <si>
    <t>Parent Table</t>
  </si>
  <si>
    <t>Mandatory / Optional</t>
  </si>
  <si>
    <t>Data Type / Size</t>
  </si>
  <si>
    <t xml:space="preserve">Format </t>
  </si>
  <si>
    <t>Description</t>
  </si>
  <si>
    <t>TNNT_REF</t>
  </si>
  <si>
    <t>Mandatory</t>
  </si>
  <si>
    <t>String(8)</t>
  </si>
  <si>
    <t>Tenant Ref</t>
  </si>
  <si>
    <t>y</t>
  </si>
  <si>
    <t>TNNT_LEVEL</t>
  </si>
  <si>
    <t>String(3)</t>
  </si>
  <si>
    <t>TNNT_GROUP_TNNT_REF</t>
  </si>
  <si>
    <t>Optional</t>
  </si>
  <si>
    <t>Group Tenant Ref</t>
  </si>
  <si>
    <t>Parent tenant id</t>
  </si>
  <si>
    <t>Need to be restricted to 3 levels in NAV</t>
  </si>
  <si>
    <t>TNNT_TRADE_NAME</t>
  </si>
  <si>
    <t>String(60)</t>
  </si>
  <si>
    <t>Trade Name</t>
  </si>
  <si>
    <t>TNNT_ADDR_REF</t>
  </si>
  <si>
    <t>Address Ref</t>
  </si>
  <si>
    <t>default to customer ref</t>
  </si>
  <si>
    <t>TNNT_VALID_DEMANDS</t>
  </si>
  <si>
    <t>String(1)</t>
  </si>
  <si>
    <t>Valid Demands</t>
  </si>
  <si>
    <t>Default Always B</t>
  </si>
  <si>
    <t>TNNT_TYPE_CODE</t>
  </si>
  <si>
    <t>Type Code</t>
  </si>
  <si>
    <t>TNNT_STATUS_CODE</t>
  </si>
  <si>
    <t>Status Code</t>
  </si>
  <si>
    <t>TNNT_USER_CODE</t>
  </si>
  <si>
    <t>User Code</t>
  </si>
  <si>
    <t>not used</t>
  </si>
  <si>
    <t>TNNT_CUR_CODE</t>
  </si>
  <si>
    <t>Currency Code</t>
  </si>
  <si>
    <t>TNNT_LEGAL_NAME</t>
  </si>
  <si>
    <t>Legal Name</t>
  </si>
  <si>
    <t>TNNT_EMAIL_INVOICE_FLAG</t>
  </si>
  <si>
    <t>Email Invoice Flag</t>
  </si>
  <si>
    <t>defaulted based on email address</t>
  </si>
  <si>
    <t>TNNT_AGENT_CODE</t>
  </si>
  <si>
    <t>Agent Code</t>
  </si>
  <si>
    <t>TNNT_DOC_LAN_CODE</t>
  </si>
  <si>
    <t>Doc Lan Code</t>
  </si>
  <si>
    <t>default to English</t>
  </si>
  <si>
    <t>TNNT_TERI_CODE</t>
  </si>
  <si>
    <t>Teri Code</t>
  </si>
  <si>
    <t>TNNT_MESS</t>
  </si>
  <si>
    <t>Mess</t>
  </si>
  <si>
    <t>TNNT_DEMAND_TYPE_FLAG</t>
  </si>
  <si>
    <t>Demand Type Flag</t>
  </si>
  <si>
    <t>Default Always S</t>
  </si>
  <si>
    <t>TNNT_DISC_FLAG</t>
  </si>
  <si>
    <t>Disc Flag</t>
  </si>
  <si>
    <t>TNNT_DISC_RATE</t>
  </si>
  <si>
    <t>Number(5,2)</t>
  </si>
  <si>
    <t>Disc Rate</t>
  </si>
  <si>
    <t>TNNT_DISC_DAYS</t>
  </si>
  <si>
    <t>Number(3)</t>
  </si>
  <si>
    <t>Disc Days</t>
  </si>
  <si>
    <t>TNNT_INT_ON_ARR_FLAG</t>
  </si>
  <si>
    <t>Int On Late Payment</t>
  </si>
  <si>
    <t>TNNT_AUTO_GENERATE</t>
  </si>
  <si>
    <t>Auto Generate</t>
  </si>
  <si>
    <t>TNNT_BASE_RATE_NUM</t>
  </si>
  <si>
    <t>Base Rate Num</t>
  </si>
  <si>
    <t>TNNT_ABOVE_BASE_AMT</t>
  </si>
  <si>
    <t>Number(4,2)</t>
  </si>
  <si>
    <t>Above Base Amount</t>
  </si>
  <si>
    <t>TNNT_GRACE_NUM</t>
  </si>
  <si>
    <t>Days Grace</t>
  </si>
  <si>
    <t>TNNT_INV_DUE_DAYS</t>
  </si>
  <si>
    <t>Inv Due Days</t>
  </si>
  <si>
    <t>TNNT_CREDIT_LIMIT</t>
  </si>
  <si>
    <t>Number(14,2)</t>
  </si>
  <si>
    <t>Credit Limit</t>
  </si>
  <si>
    <t>TNNT_COMPOSITE_BILL_FLAG</t>
  </si>
  <si>
    <t>Composite Bill Flag</t>
  </si>
  <si>
    <t>Manual update in Horizon</t>
  </si>
  <si>
    <t>TNNT_EXTRACT_CODE</t>
  </si>
  <si>
    <t>Extract Code</t>
  </si>
  <si>
    <t>TNNT_BILL_OUTSORT_FLAG</t>
  </si>
  <si>
    <t>Bill Outsort Flag</t>
  </si>
  <si>
    <t>TNNT_REM_FLAG</t>
  </si>
  <si>
    <t>Rem Flag</t>
  </si>
  <si>
    <t>TNNT_RMLS_CDGN_REF</t>
  </si>
  <si>
    <t>Rmls Cdgn Ref</t>
  </si>
  <si>
    <t>TNNT_PRNT_FLAG</t>
  </si>
  <si>
    <t>Prnt Flag</t>
  </si>
  <si>
    <t>Default to Y</t>
  </si>
  <si>
    <t>TNNT_PRNT_BY_CODE</t>
  </si>
  <si>
    <t>Prnt By Code</t>
  </si>
  <si>
    <t>TNNT_PRNT_BY_DATE</t>
  </si>
  <si>
    <t>Date</t>
  </si>
  <si>
    <t>Prnt By Date</t>
  </si>
  <si>
    <t>TNNT_PRNT_BY_DESC</t>
  </si>
  <si>
    <t>String(30)</t>
  </si>
  <si>
    <t>Prnt By Description</t>
  </si>
  <si>
    <t>TNNT_RCVE_FLAG</t>
  </si>
  <si>
    <t>Rcve Flag</t>
  </si>
  <si>
    <t>TNNT_RCVE_BY_CODE</t>
  </si>
  <si>
    <t>Rcve By Code</t>
  </si>
  <si>
    <t>TNNT_RCVE_BY_DATE</t>
  </si>
  <si>
    <t>Rcve By Date</t>
  </si>
  <si>
    <t>TNNT_RCVE_BY_DESC_CODE</t>
  </si>
  <si>
    <t>Rcve By Description Code</t>
  </si>
  <si>
    <t>TNNT_RELIEF_FLAG</t>
  </si>
  <si>
    <t>Relief Flag</t>
  </si>
  <si>
    <t>TNNT_MORT_BILL_AGENT</t>
  </si>
  <si>
    <t>Mort Bill Agent</t>
  </si>
  <si>
    <t>TNNT_MORT_AGENT_ADDR_REF</t>
  </si>
  <si>
    <t>Mort Agent Address Ref</t>
  </si>
  <si>
    <t>TNNT_PRINT_RCPT</t>
  </si>
  <si>
    <t>Print Rcpt</t>
  </si>
  <si>
    <t>Full legal name</t>
  </si>
  <si>
    <t>new field</t>
  </si>
  <si>
    <t>ADDR_REF</t>
  </si>
  <si>
    <t>ADDR_NAME</t>
  </si>
  <si>
    <t>Name</t>
  </si>
  <si>
    <t>ADDR_PROP_NAME</t>
  </si>
  <si>
    <t>Property Name</t>
  </si>
  <si>
    <t>ADDR_L1</t>
  </si>
  <si>
    <t>Address L1</t>
  </si>
  <si>
    <t>ADDR_L2</t>
  </si>
  <si>
    <t>Address L2</t>
  </si>
  <si>
    <t>ADDR_TOWN</t>
  </si>
  <si>
    <t>Town</t>
  </si>
  <si>
    <t>ADDR_COUNTY</t>
  </si>
  <si>
    <t>County</t>
  </si>
  <si>
    <t>ADDR_POSTCODE</t>
  </si>
  <si>
    <t>String(12)</t>
  </si>
  <si>
    <t>Postcode</t>
  </si>
  <si>
    <t>ADDR_COUNTRY</t>
  </si>
  <si>
    <t>Country</t>
  </si>
  <si>
    <t>ADDR_PHONE</t>
  </si>
  <si>
    <t>String(20)</t>
  </si>
  <si>
    <t>Phone</t>
  </si>
  <si>
    <t>ADDR_EMAIL</t>
  </si>
  <si>
    <t>Email</t>
  </si>
  <si>
    <t>ADDR_FAX</t>
  </si>
  <si>
    <t>Address Fax</t>
  </si>
  <si>
    <t>ADDR_WEB</t>
  </si>
  <si>
    <t>Address Web</t>
  </si>
  <si>
    <t>ADDR_AGENT_CODE</t>
  </si>
  <si>
    <t>ADDR_VAT_NUM</t>
  </si>
  <si>
    <t>String(25)</t>
  </si>
  <si>
    <t>Vat Num</t>
  </si>
  <si>
    <t>ADDR_CDGN_VAT_CREF</t>
  </si>
  <si>
    <t>Cdgn Vat Cref</t>
  </si>
  <si>
    <t>ADDR_TERI_CODE</t>
  </si>
  <si>
    <t>Address Territory</t>
  </si>
  <si>
    <t>ADDR_COMP_REG_NUM</t>
  </si>
  <si>
    <t>Operation Reg Num</t>
  </si>
  <si>
    <t>Address L3</t>
  </si>
  <si>
    <t>Add new 4th line of address</t>
  </si>
  <si>
    <t>TNAC_TNNT_REF</t>
  </si>
  <si>
    <t>TNAC_REF</t>
  </si>
  <si>
    <t>Tnac Ref</t>
  </si>
  <si>
    <t>HZN autogenerate</t>
  </si>
  <si>
    <t>TNAC_DESC</t>
  </si>
  <si>
    <t>TNAC_DEB_STATUS_CODE</t>
  </si>
  <si>
    <t>Deb Status Code</t>
  </si>
  <si>
    <t>auto Creation with 001, Manual update in Horizon?</t>
  </si>
  <si>
    <t>TNAC_AC_NUM</t>
  </si>
  <si>
    <t>String(36)</t>
  </si>
  <si>
    <t>Account Num</t>
  </si>
  <si>
    <t>TNAC_AC_NAME</t>
  </si>
  <si>
    <t>Account Name</t>
  </si>
  <si>
    <t>TNAC_BANK_SORT_CODE</t>
  </si>
  <si>
    <t>String(15)</t>
  </si>
  <si>
    <t>Bank Sort Code</t>
  </si>
  <si>
    <t>TNAC_EFT_CODE</t>
  </si>
  <si>
    <t>EFT Collection Code</t>
  </si>
  <si>
    <t>need to identify where data to be stored in NAV?</t>
  </si>
  <si>
    <t>TNAC_BANK_NAME</t>
  </si>
  <si>
    <t>Bank Name</t>
  </si>
  <si>
    <t>TNAC_BANK_ADDR_L1</t>
  </si>
  <si>
    <t>Bank Address L1</t>
  </si>
  <si>
    <t>TNAC_BANK_ADDR_L2</t>
  </si>
  <si>
    <t>Bank Address L2</t>
  </si>
  <si>
    <t>TNAC_BANK_TOWN</t>
  </si>
  <si>
    <t>Bank Town</t>
  </si>
  <si>
    <t>TNAC_BANK_COUNTY</t>
  </si>
  <si>
    <t>Bank County</t>
  </si>
  <si>
    <t>TNAC_BANK_POSTCODE</t>
  </si>
  <si>
    <t>Bank Postcode</t>
  </si>
  <si>
    <t>TNAC_COUNTRY</t>
  </si>
  <si>
    <t>TNAC_SWIFT_BIC_NUMBER</t>
  </si>
  <si>
    <t>Swift Bic Number</t>
  </si>
  <si>
    <t>TNAC_IBAN_NUMBER</t>
  </si>
  <si>
    <t>String(34)</t>
  </si>
  <si>
    <t>Iban Number</t>
  </si>
  <si>
    <t>TNAC_EFT_REFUND_CODE</t>
  </si>
  <si>
    <t>EFT Refund Code</t>
  </si>
  <si>
    <t>ADUS_CODE</t>
  </si>
  <si>
    <t>Code</t>
  </si>
  <si>
    <t>ADUS_REF</t>
  </si>
  <si>
    <t>Adus Ref</t>
  </si>
  <si>
    <t>ADUS_ADDR_REF</t>
  </si>
  <si>
    <t>Data Mapping</t>
  </si>
  <si>
    <t>Sending Interface system</t>
  </si>
  <si>
    <t>NAV</t>
  </si>
  <si>
    <t>Outbound Data Structure</t>
  </si>
  <si>
    <t>Receiving Interface system</t>
  </si>
  <si>
    <t>Inbound Data Structure</t>
  </si>
  <si>
    <t>Title</t>
  </si>
  <si>
    <t>Source</t>
  </si>
  <si>
    <t>Transformation rule/logic</t>
  </si>
  <si>
    <t>Destination</t>
  </si>
  <si>
    <t>Table</t>
  </si>
  <si>
    <t>Customer</t>
  </si>
  <si>
    <t>No.</t>
  </si>
  <si>
    <t>Code20</t>
  </si>
  <si>
    <t>Direct</t>
  </si>
  <si>
    <t>Text50</t>
  </si>
  <si>
    <t>direct</t>
  </si>
  <si>
    <t>Search Name</t>
  </si>
  <si>
    <t>Code50</t>
  </si>
  <si>
    <t>Name 2</t>
  </si>
  <si>
    <t>Address</t>
  </si>
  <si>
    <t>Address 2</t>
  </si>
  <si>
    <t>City</t>
  </si>
  <si>
    <t>Text30</t>
  </si>
  <si>
    <t>Contact</t>
  </si>
  <si>
    <t>Phone No.</t>
  </si>
  <si>
    <t>Telex No.</t>
  </si>
  <si>
    <t>Text20</t>
  </si>
  <si>
    <t>Document Sending Profile</t>
  </si>
  <si>
    <t>Our Account No.</t>
  </si>
  <si>
    <t>Territory Code</t>
  </si>
  <si>
    <t>Code10</t>
  </si>
  <si>
    <t>Global Dimension 1 Code</t>
  </si>
  <si>
    <t>Global Dimension 2 Code</t>
  </si>
  <si>
    <t>Chain Name</t>
  </si>
  <si>
    <t>Budgeted Amount</t>
  </si>
  <si>
    <t>Decimal</t>
  </si>
  <si>
    <t>Credit Limit (LCY)</t>
  </si>
  <si>
    <t>Customer Posting Group</t>
  </si>
  <si>
    <t>mapping  code(10) to code(3)</t>
  </si>
  <si>
    <t>do these NAV codes align to HZN codes??</t>
  </si>
  <si>
    <t>map  NULL = GBP otherwise direct if same 3 char code</t>
  </si>
  <si>
    <t>Customer Price Group</t>
  </si>
  <si>
    <t>Language Code</t>
  </si>
  <si>
    <t>Statistics Group</t>
  </si>
  <si>
    <t>Integer</t>
  </si>
  <si>
    <t>Payment Terms Code</t>
  </si>
  <si>
    <t xml:space="preserve">map Code 10 to number of days </t>
  </si>
  <si>
    <t>Fin. Charge Terms Code</t>
  </si>
  <si>
    <t>Salesperson Code</t>
  </si>
  <si>
    <t>Shipment Method Code</t>
  </si>
  <si>
    <t>Shipping Agent Code</t>
  </si>
  <si>
    <t>Place of Export</t>
  </si>
  <si>
    <t>Invoice Disc. Code</t>
  </si>
  <si>
    <t>Customer Disc. Group</t>
  </si>
  <si>
    <t>Country/Region Code</t>
  </si>
  <si>
    <t>both using ISO 2 char code</t>
  </si>
  <si>
    <t>Collection Method</t>
  </si>
  <si>
    <t>Amount</t>
  </si>
  <si>
    <t>Comment</t>
  </si>
  <si>
    <t>Boolean</t>
  </si>
  <si>
    <t>Blocked</t>
  </si>
  <si>
    <t>Option</t>
  </si>
  <si>
    <t>Blocked/not blocked</t>
  </si>
  <si>
    <t>Invoice Copies</t>
  </si>
  <si>
    <t>Question for JA</t>
  </si>
  <si>
    <t>Last Statement No.</t>
  </si>
  <si>
    <t>Print Statements</t>
  </si>
  <si>
    <t>Bill-to Customer No.</t>
  </si>
  <si>
    <t>Priority</t>
  </si>
  <si>
    <t>Payment Method Code</t>
  </si>
  <si>
    <t>Last Date Modified</t>
  </si>
  <si>
    <t>Date Filter</t>
  </si>
  <si>
    <t>Global Dimension 1 Filter</t>
  </si>
  <si>
    <t>Global Dimension 2 Filter</t>
  </si>
  <si>
    <t>Balance</t>
  </si>
  <si>
    <t>Balance (LCY)</t>
  </si>
  <si>
    <t>Net Change</t>
  </si>
  <si>
    <t>Net Change (LCY)</t>
  </si>
  <si>
    <t>Sales (LCY)</t>
  </si>
  <si>
    <t>Profit (LCY)</t>
  </si>
  <si>
    <t>Inv. Discounts (LCY)</t>
  </si>
  <si>
    <t>Pmt. Discounts (LCY)</t>
  </si>
  <si>
    <t>Balance Due</t>
  </si>
  <si>
    <t>Balance Due (LCY)</t>
  </si>
  <si>
    <t>Payments</t>
  </si>
  <si>
    <t>Invoice Amounts</t>
  </si>
  <si>
    <t>Cr. Memo Amounts</t>
  </si>
  <si>
    <t>Finance Charge Memo Amounts</t>
  </si>
  <si>
    <t>Payments (LCY)</t>
  </si>
  <si>
    <t>Inv. Amounts (LCY)</t>
  </si>
  <si>
    <t>Cr. Memo Amounts (LCY)</t>
  </si>
  <si>
    <t>Fin. Charge Memo Amounts (LCY)</t>
  </si>
  <si>
    <t>Outstanding Orders</t>
  </si>
  <si>
    <t>Shipped Not Invoiced</t>
  </si>
  <si>
    <t>Application Method</t>
  </si>
  <si>
    <t>Prices Including VAT</t>
  </si>
  <si>
    <t>Location Code</t>
  </si>
  <si>
    <t>Fax No.</t>
  </si>
  <si>
    <t>Telex Answer Back</t>
  </si>
  <si>
    <t>VAT Registration No.</t>
  </si>
  <si>
    <t>Combine Shipments</t>
  </si>
  <si>
    <t>Gen. Bus. Posting Group</t>
  </si>
  <si>
    <t>Picture</t>
  </si>
  <si>
    <t>BLOB</t>
  </si>
  <si>
    <t>GLN</t>
  </si>
  <si>
    <t>Code13</t>
  </si>
  <si>
    <t>Post Code</t>
  </si>
  <si>
    <t>NAV free text to be validated, needs to match value list from HZN</t>
  </si>
  <si>
    <t>Debit Amount</t>
  </si>
  <si>
    <t>Credit Amount</t>
  </si>
  <si>
    <t>Debit Amount (LCY)</t>
  </si>
  <si>
    <t>Credit Amount (LCY)</t>
  </si>
  <si>
    <t>E-Mail</t>
  </si>
  <si>
    <t>Text80</t>
  </si>
  <si>
    <t>Home Page</t>
  </si>
  <si>
    <t>Reminder Terms Code</t>
  </si>
  <si>
    <t>Reminder Amounts</t>
  </si>
  <si>
    <t>Reminder Amounts (LCY)</t>
  </si>
  <si>
    <t>No. Series</t>
  </si>
  <si>
    <t>Tax Area Code</t>
  </si>
  <si>
    <t>Tax Liable</t>
  </si>
  <si>
    <t>VAT Bus. Posting Group</t>
  </si>
  <si>
    <t>Currency Filter</t>
  </si>
  <si>
    <t>Outstanding Orders (LCY)</t>
  </si>
  <si>
    <t>Shipped Not Invoiced (LCY)</t>
  </si>
  <si>
    <t>Reserve</t>
  </si>
  <si>
    <t>Block Payment Tolerance</t>
  </si>
  <si>
    <t>Pmt. Disc. Tolerance (LCY)</t>
  </si>
  <si>
    <t>Pmt. Tolerance (LCY)</t>
  </si>
  <si>
    <t>IC Partner Code</t>
  </si>
  <si>
    <t>Refunds</t>
  </si>
  <si>
    <t>Refunds (LCY)</t>
  </si>
  <si>
    <t>Other Amounts</t>
  </si>
  <si>
    <t>Other Amounts (LCY)</t>
  </si>
  <si>
    <t>Prepayment %</t>
  </si>
  <si>
    <t>Outstanding Invoices (LCY)</t>
  </si>
  <si>
    <t>Outstanding Invoices</t>
  </si>
  <si>
    <t>Bill-to No. Of Archived Doc.</t>
  </si>
  <si>
    <t>Sell-to No. Of Archived Doc.</t>
  </si>
  <si>
    <t>Partner Type</t>
  </si>
  <si>
    <t>Preferred Bank Account</t>
  </si>
  <si>
    <t>Cash Flow Payment Terms Code</t>
  </si>
  <si>
    <t>Primary Contact No.</t>
  </si>
  <si>
    <t>Responsibility Center</t>
  </si>
  <si>
    <t>Shipping Advice</t>
  </si>
  <si>
    <t>Shipping Time</t>
  </si>
  <si>
    <t>DateFormula</t>
  </si>
  <si>
    <t>Shipping Agent Service Code</t>
  </si>
  <si>
    <t>Service Zone Code</t>
  </si>
  <si>
    <t>Contract Gain/Loss Amount</t>
  </si>
  <si>
    <t>Ship-to Filter</t>
  </si>
  <si>
    <t>Outstanding Serv. Orders (LCY)</t>
  </si>
  <si>
    <t>Serv Shipped Not Invoiced(LCY)</t>
  </si>
  <si>
    <t>Outstanding Serv.Invoices(LCY)</t>
  </si>
  <si>
    <t>Allow Line Disc.</t>
  </si>
  <si>
    <t>No. of Quotes</t>
  </si>
  <si>
    <t>No. of Blanket Orders</t>
  </si>
  <si>
    <t>No. of Orders</t>
  </si>
  <si>
    <t>No. of Invoices</t>
  </si>
  <si>
    <t>No. of Return Orders</t>
  </si>
  <si>
    <t>No. of Credit Memos</t>
  </si>
  <si>
    <t>No. of Pstd. Shipments</t>
  </si>
  <si>
    <t>No. of Pstd. Invoices</t>
  </si>
  <si>
    <t>No. of Pstd. Return Receipts</t>
  </si>
  <si>
    <t>No. of Pstd. Credit Memos</t>
  </si>
  <si>
    <t>No. of Ship-to Addresses</t>
  </si>
  <si>
    <t>Bill-To No. of Quotes</t>
  </si>
  <si>
    <t>Bill-To No. of Blanket Orders</t>
  </si>
  <si>
    <t>Bill-To No. of Orders</t>
  </si>
  <si>
    <t>Bill-To No. of Invoices</t>
  </si>
  <si>
    <t>Bill-To No. of Return Orders</t>
  </si>
  <si>
    <t>Bill-To No. of Credit Memos</t>
  </si>
  <si>
    <t>Bill-To No. of Pstd. Shipments</t>
  </si>
  <si>
    <t>Bill-To No. of Pstd. Invoices</t>
  </si>
  <si>
    <t>Bill-To No. of Pstd. Return R.</t>
  </si>
  <si>
    <t>Bill-To No. of Pstd. Cr. Memos</t>
  </si>
  <si>
    <t>Base Calendar Code</t>
  </si>
  <si>
    <t>Copy Sell-to Addr. to Qte From</t>
  </si>
  <si>
    <t>Type of Supply Code</t>
  </si>
  <si>
    <t>Oracle Account No.</t>
  </si>
  <si>
    <t>Address 3</t>
  </si>
  <si>
    <t>Address 4</t>
  </si>
  <si>
    <t>Address line 4</t>
  </si>
  <si>
    <t>to be created</t>
  </si>
  <si>
    <t>Status</t>
  </si>
  <si>
    <t>Active/non active map to TNC/TFS (current/Former)</t>
  </si>
  <si>
    <t>Billing Frequency</t>
  </si>
  <si>
    <t>NEW FIELD</t>
  </si>
  <si>
    <t>Need new field in Horizon for this</t>
  </si>
  <si>
    <t>Hierarchy Type</t>
  </si>
  <si>
    <t>Parent Customer No.</t>
  </si>
  <si>
    <t>Required Credit Check</t>
  </si>
  <si>
    <t>Debt Provision Level</t>
  </si>
  <si>
    <t>Vendor No.</t>
  </si>
  <si>
    <t>new field to be created in nav</t>
  </si>
  <si>
    <t>Customer Bank Account</t>
  </si>
  <si>
    <t>Customer No.</t>
  </si>
  <si>
    <t>Bank Branch No.</t>
  </si>
  <si>
    <t>Bank Account No.</t>
  </si>
  <si>
    <t>Transit No.</t>
  </si>
  <si>
    <t>IBAN</t>
  </si>
  <si>
    <t>SWIFT Code</t>
  </si>
  <si>
    <t>Bank Clearing Code</t>
  </si>
  <si>
    <t>Bank Clearing Standard</t>
  </si>
  <si>
    <t>New NAV field for Account description</t>
  </si>
  <si>
    <t>This is the unique reference</t>
  </si>
  <si>
    <t>Type</t>
  </si>
  <si>
    <t>Option 0. Company 1 Person</t>
  </si>
  <si>
    <t>Company No.</t>
  </si>
  <si>
    <t>Company Name</t>
  </si>
  <si>
    <t>Lookup Contact No.</t>
  </si>
  <si>
    <t>First Name</t>
  </si>
  <si>
    <t>Middle Name</t>
  </si>
  <si>
    <t>Surname</t>
  </si>
  <si>
    <t>Job Title</t>
  </si>
  <si>
    <t>Initials</t>
  </si>
  <si>
    <t>Extension No.</t>
  </si>
  <si>
    <t>Mobile Phone No.</t>
  </si>
  <si>
    <t>Pager</t>
  </si>
  <si>
    <t>Organizational Level Code</t>
  </si>
  <si>
    <t>Exclude from Segment</t>
  </si>
  <si>
    <t>External ID</t>
  </si>
  <si>
    <t>Correspondence Type</t>
  </si>
  <si>
    <t>Option 0. 1. Hard Copy 2. Email 3 Fax</t>
  </si>
  <si>
    <t>Salutation Code</t>
  </si>
  <si>
    <t>Search E-Mail</t>
  </si>
  <si>
    <t>Code80</t>
  </si>
  <si>
    <t>Last Time Modified</t>
  </si>
  <si>
    <t>Time</t>
  </si>
  <si>
    <t>E-Mail 2</t>
  </si>
  <si>
    <t>Contact Type</t>
  </si>
  <si>
    <t>map</t>
  </si>
  <si>
    <t>new field to be created in both syustems for direct FULL LEGAL NAME (256 chars)</t>
  </si>
  <si>
    <t>Address3</t>
  </si>
  <si>
    <t>new field to be created</t>
  </si>
  <si>
    <t>Address4</t>
  </si>
  <si>
    <t>Address line 3</t>
  </si>
  <si>
    <t>NAV will need to work back from primary contact to customer id</t>
  </si>
  <si>
    <t>Field</t>
  </si>
  <si>
    <t>Description/Usage</t>
  </si>
  <si>
    <t>Info_1</t>
  </si>
  <si>
    <t>Trading as</t>
  </si>
  <si>
    <t>This would seem to be the logical place to store Commercial  company number. 300 active child records (tenants)  have been populated with data in Qube but very little of it seems to relate to "Trading As" reference so I am sure if we needed to we could leave this data on the  non- commercial units or move it to one of the other fields mentioned below</t>
  </si>
  <si>
    <t>Info_2</t>
  </si>
  <si>
    <t>Guarantor</t>
  </si>
  <si>
    <t>Indicates if a guarantor exists-avoiding the need for users to drill down into tenant data tab to obtain this information</t>
  </si>
  <si>
    <t>info_s1</t>
  </si>
  <si>
    <t>Fixed increase</t>
  </si>
  <si>
    <t>Holds details of fixed increase and date. This data should come over from Salesforce for the commercial leases if possible but at the moment the integration is not designed to pass this data -therefore for now it would have to be input into Qube manually if required to be held there</t>
  </si>
  <si>
    <t>Info_s2</t>
  </si>
  <si>
    <t>Rent concessions</t>
  </si>
  <si>
    <t>Used in the past to hold details of any rent concessions. Probably not being used now that the information is held on Salesforce other than for leases that do not pass through Salesforce. This would be another field where the information could feed from Salesforce but where the current integration does not cater for this</t>
  </si>
  <si>
    <t>Info_s3</t>
  </si>
  <si>
    <t>Payment Plans</t>
  </si>
  <si>
    <t>Indicates if a tenant account is subject to a Payment Plan. Used by Credit Control Team and for Finance Reporting</t>
  </si>
  <si>
    <t>Info_s4</t>
  </si>
  <si>
    <t>Prepaid Rent</t>
  </si>
  <si>
    <t>Indicates whether a tenant account includes any pre paid rent. Used for finance reporting.</t>
  </si>
  <si>
    <t>Info_s5</t>
  </si>
  <si>
    <t>No of occupants</t>
  </si>
  <si>
    <t>Stores the number of occupants. Not really used now but holds legacy data.</t>
  </si>
  <si>
    <t>Info_s6</t>
  </si>
  <si>
    <t>Salesforce Contact id</t>
  </si>
  <si>
    <t>Stores the Salesforce 18 digit contact id to link the Salesforce contact with the Qube child tenant</t>
  </si>
  <si>
    <t>Version</t>
  </si>
  <si>
    <t>Author</t>
  </si>
  <si>
    <t>Comments</t>
  </si>
  <si>
    <t>1.0</t>
  </si>
  <si>
    <t>Phil Cullum</t>
  </si>
  <si>
    <t>Created</t>
  </si>
  <si>
    <t>11/112021</t>
  </si>
  <si>
    <t>Updated to match Tenancy, Unit and Client APIs provided by Qube</t>
  </si>
  <si>
    <t>1.1</t>
  </si>
  <si>
    <t>Added canonical message fields</t>
  </si>
  <si>
    <t>Added missing transformation logic for client phone numbers</t>
  </si>
  <si>
    <t>Removed transformation logic for client phone numbers, no longer required</t>
  </si>
  <si>
    <t>Removed tenancy end date mapping as requested by Anita/Scott</t>
  </si>
  <si>
    <t>Changed Salesforce move in date to map to tenancy start date</t>
  </si>
  <si>
    <t>Updated to match updated Qube v12 API and new Unit update requirements</t>
  </si>
  <si>
    <t>Update after review by Deb Stein</t>
  </si>
  <si>
    <t>Updated with lease-percentage mapping</t>
  </si>
  <si>
    <t>Agreement type and tenant-type mapping changes</t>
  </si>
  <si>
    <t>1.10</t>
  </si>
  <si>
    <t>Added tenant-type mapping to child tenant elements</t>
  </si>
  <si>
    <t>1.11</t>
  </si>
  <si>
    <t>Updated with Opportunity filter rules</t>
  </si>
  <si>
    <t>1.12</t>
  </si>
  <si>
    <t>Updated Opportunity Filtering Logic tab to include "Closed Won"</t>
  </si>
  <si>
    <t>1.13</t>
  </si>
  <si>
    <t>Corrected agreement type mappings</t>
  </si>
  <si>
    <t>1.14</t>
  </si>
  <si>
    <t>Mapped Salesforce contact mobile number to Qube Tenant Telephone3 field. See https://graingerplc.atlassian.net/browse/QUP-923</t>
  </si>
  <si>
    <t>CP-LJ-01</t>
  </si>
  <si>
    <t>Salesforce</t>
  </si>
  <si>
    <t>JSON</t>
  </si>
  <si>
    <t>Qube</t>
  </si>
  <si>
    <t>XML</t>
  </si>
  <si>
    <t>TenancyCreated</t>
  </si>
  <si>
    <t>Method</t>
  </si>
  <si>
    <t>POST</t>
  </si>
  <si>
    <t>Source - Salesforce</t>
  </si>
  <si>
    <t>JSON Element</t>
  </si>
  <si>
    <t>Mandatory/Optional</t>
  </si>
  <si>
    <t>Data Type</t>
  </si>
  <si>
    <t>Field Length</t>
  </si>
  <si>
    <t>Sample Data</t>
  </si>
  <si>
    <t>ChartOfAccounts</t>
  </si>
  <si>
    <t>Target - Qube</t>
  </si>
  <si>
    <t>XML Element</t>
  </si>
  <si>
    <t>Notes</t>
  </si>
  <si>
    <t>Canonical field</t>
  </si>
  <si>
    <t>Source API</t>
  </si>
  <si>
    <t>string</t>
  </si>
  <si>
    <t>See Opportunity Filtering Logic tab for details of which Opportunities should be processed
Only send update when tenancy start date is today or in the past</t>
  </si>
  <si>
    <t>Set to "false"</t>
  </si>
  <si>
    <t>lookup</t>
  </si>
  <si>
    <t>boolean</t>
  </si>
  <si>
    <t>Set to "true"</t>
  </si>
  <si>
    <t>update-if-exists</t>
  </si>
  <si>
    <t>clear-empty-fields</t>
  </si>
  <si>
    <t>Opportunity</t>
  </si>
  <si>
    <t>Id</t>
  </si>
  <si>
    <t>Read from XRef</t>
  </si>
  <si>
    <t>EntityListing/UnitReference/entry/EntityID</t>
  </si>
  <si>
    <t>unit-reference</t>
  </si>
  <si>
    <t>NOT MAPPED</t>
  </si>
  <si>
    <t>property-reference</t>
  </si>
  <si>
    <t>desc</t>
  </si>
  <si>
    <t xml:space="preserve">Tenancy_Start_Date
</t>
  </si>
  <si>
    <t>Convert to yyyy-mm-dd format</t>
  </si>
  <si>
    <t>EntityListing/UnitReference/entry/CMResidents/entry/LeaseStartDate</t>
  </si>
  <si>
    <t>units</t>
  </si>
  <si>
    <t>leasedate5</t>
  </si>
  <si>
    <t>lease-start</t>
  </si>
  <si>
    <t>Tenancy_End_Date__c</t>
  </si>
  <si>
    <t>EntityListing/UnitReference/entry/CMResidents/entry/LeaseEndDate</t>
  </si>
  <si>
    <t>leasedate6</t>
  </si>
  <si>
    <t>lease-end</t>
  </si>
  <si>
    <t>M</t>
  </si>
  <si>
    <t>leaseterm1</t>
  </si>
  <si>
    <t>lease-term-years</t>
  </si>
  <si>
    <t>Need to test this is set by default</t>
  </si>
  <si>
    <t>leaseterm2</t>
  </si>
  <si>
    <t>lease-term-months</t>
  </si>
  <si>
    <t>leaseterm3</t>
  </si>
  <si>
    <t>lease-term-days</t>
  </si>
  <si>
    <t>Agreement_Type__c</t>
  </si>
  <si>
    <t>If current Qube Unit status value is "Tenanted" do not update.
See Agreement Type Mappings tab - ref data</t>
  </si>
  <si>
    <t>EntityListing/UnitReference/entry/Tenure</t>
  </si>
  <si>
    <t>tenure</t>
  </si>
  <si>
    <t>TBA</t>
  </si>
  <si>
    <t>rent-review-date</t>
  </si>
  <si>
    <t>rent-review-notice</t>
  </si>
  <si>
    <t>rent-review- frequency</t>
  </si>
  <si>
    <t>Primary_Offer_Break_Clause__c</t>
  </si>
  <si>
    <t>See Break Clause Rules</t>
  </si>
  <si>
    <t>break-date</t>
  </si>
  <si>
    <t>See Primary Offer Break Clause and email from Jaic</t>
  </si>
  <si>
    <t>break-notice</t>
  </si>
  <si>
    <t>break-frequency</t>
  </si>
  <si>
    <t>Set to Tenanted  - store in QuickConnect reference data</t>
  </si>
  <si>
    <t>unit_stat</t>
  </si>
  <si>
    <t>status</t>
  </si>
  <si>
    <t>New field: % rent increase field TBC Tenancy.Uplift</t>
  </si>
  <si>
    <t>Foreign Keys</t>
  </si>
  <si>
    <t>None</t>
  </si>
  <si>
    <t>?</t>
  </si>
  <si>
    <t>&lt;detail&gt;&lt;nett&gt;</t>
  </si>
  <si>
    <t>Number</t>
  </si>
  <si>
    <t>13,2</t>
  </si>
  <si>
    <t>&lt;detail&gt;&lt;gross&gt;</t>
  </si>
  <si>
    <t>&lt;detail&gt;&lt;vat-code&gt;</t>
  </si>
  <si>
    <t>&lt;detail&gt;&lt;vat&gt;</t>
  </si>
  <si>
    <t>&lt;detail&gt;&lt;line-type&gt;</t>
  </si>
  <si>
    <t>&lt;detail&gt;&lt;property-reference&gt;</t>
  </si>
  <si>
    <t>&lt;detail&gt;&lt;unit-reference&gt;</t>
  </si>
  <si>
    <t>&lt;detail&gt;&lt;tenant-reference&gt;</t>
  </si>
  <si>
    <t>&lt;detail&gt;&lt;heading-unique-id&gt;</t>
  </si>
  <si>
    <t>long integer</t>
  </si>
  <si>
    <t>&lt;detail&gt;&lt;in-cis&gt;</t>
  </si>
  <si>
    <t>Not Mapped</t>
  </si>
  <si>
    <t>&lt;detail&gt;&lt;materials&gt;</t>
  </si>
  <si>
    <t>&lt;detail&gt;&lt;labour&gt;</t>
  </si>
  <si>
    <t>Xpath</t>
  </si>
  <si>
    <t xml:space="preserve">See Opportunity Filtering Logic tab for details of which Opportunities should be processed
</t>
  </si>
  <si>
    <t>[root]</t>
  </si>
  <si>
    <t>tenant</t>
  </si>
  <si>
    <t>x</t>
  </si>
  <si>
    <t>The following mappings are for the parent tenancy</t>
  </si>
  <si>
    <t>Primary_Offer_Live_Unit__c</t>
  </si>
  <si>
    <t>reference</t>
  </si>
  <si>
    <t>EntityListing/UnitReference/entry/OccupantReference</t>
  </si>
  <si>
    <t>tenant-reference</t>
  </si>
  <si>
    <t>12 forced</t>
  </si>
  <si>
    <t>Direct - set to same value as tenant-reference</t>
  </si>
  <si>
    <t>parent-tenant</t>
  </si>
  <si>
    <t>Account</t>
  </si>
  <si>
    <t>EntityListing/UnitReference/entry/CMResidents/entry/OccupantName</t>
  </si>
  <si>
    <t>name</t>
  </si>
  <si>
    <t>lease-percentage</t>
  </si>
  <si>
    <t>Unit</t>
  </si>
  <si>
    <t>Street_Name__c</t>
  </si>
  <si>
    <t>Only map if no address1 set. Truncate to 45</t>
  </si>
  <si>
    <t>EntityListing/UnitReference/entry/AddressLine1</t>
  </si>
  <si>
    <t>address[1]</t>
  </si>
  <si>
    <t>tenant/address</t>
  </si>
  <si>
    <t>address1</t>
  </si>
  <si>
    <t>address[2]</t>
  </si>
  <si>
    <t>address2</t>
  </si>
  <si>
    <t>address[3]</t>
  </si>
  <si>
    <t>address3</t>
  </si>
  <si>
    <t>address[4]</t>
  </si>
  <si>
    <t>address4</t>
  </si>
  <si>
    <t>address[5]</t>
  </si>
  <si>
    <t>address5</t>
  </si>
  <si>
    <t>address[6]</t>
  </si>
  <si>
    <t>address6</t>
  </si>
  <si>
    <t>Post_Code__c</t>
  </si>
  <si>
    <t>EntityListing/UnitReference/entry/UnitPostCode</t>
  </si>
  <si>
    <t>postcode</t>
  </si>
  <si>
    <t>EntityListing/UnitReference/entry/CMResidents/entry/Phone1</t>
  </si>
  <si>
    <t>telephone[1]</t>
  </si>
  <si>
    <t>tenant/telephone</t>
  </si>
  <si>
    <t>telephone1</t>
  </si>
  <si>
    <t>telephone[2]</t>
  </si>
  <si>
    <t>telephone2</t>
  </si>
  <si>
    <t>PersonMobilePhone</t>
  </si>
  <si>
    <t>EntityListing/UnitReference/entry/CMResidents/entry/Phone2</t>
  </si>
  <si>
    <t>telephone[3]</t>
  </si>
  <si>
    <t>telephone3</t>
  </si>
  <si>
    <t>telephone[4]</t>
  </si>
  <si>
    <t>telephone4</t>
  </si>
  <si>
    <t>PersonEmail</t>
  </si>
  <si>
    <t>EntityListing/UnitReference/entry/CMResidents/entry/Email</t>
  </si>
  <si>
    <t>email[1]</t>
  </si>
  <si>
    <t>tenant/email</t>
  </si>
  <si>
    <t>email1</t>
  </si>
  <si>
    <t>email[2]</t>
  </si>
  <si>
    <t>email2</t>
  </si>
  <si>
    <t>email[3]</t>
  </si>
  <si>
    <t>email3</t>
  </si>
  <si>
    <t xml:space="preserve">Tenancy_Start_Date__c
</t>
  </si>
  <si>
    <t>yyyy-mm-dd</t>
  </si>
  <si>
    <t>ten_begin</t>
  </si>
  <si>
    <t>start-date</t>
  </si>
  <si>
    <t>date</t>
  </si>
  <si>
    <t>Removed</t>
  </si>
  <si>
    <t>end-date</t>
  </si>
  <si>
    <t>dear</t>
  </si>
  <si>
    <t>Set to "Sincerely" - store in QuickConnect reference data</t>
  </si>
  <si>
    <t>yours</t>
  </si>
  <si>
    <t>choice</t>
  </si>
  <si>
    <t>info-_[1]</t>
  </si>
  <si>
    <t>info-l1</t>
  </si>
  <si>
    <t>info-_[2]</t>
  </si>
  <si>
    <t>info-l2</t>
  </si>
  <si>
    <t>info_s[1]</t>
  </si>
  <si>
    <t>info-s1</t>
  </si>
  <si>
    <t>info_s[2]</t>
  </si>
  <si>
    <t>info-s2</t>
  </si>
  <si>
    <t>info_s[3]</t>
  </si>
  <si>
    <t>info-s3</t>
  </si>
  <si>
    <t>info_s[4]</t>
  </si>
  <si>
    <t>info-s4</t>
  </si>
  <si>
    <t>info_s[5]</t>
  </si>
  <si>
    <t>info-s5</t>
  </si>
  <si>
    <t>info_s[6]</t>
  </si>
  <si>
    <t>info-s6</t>
  </si>
  <si>
    <t>Set to "DD" - store in QuickConnect reference data</t>
  </si>
  <si>
    <t>paymethod</t>
  </si>
  <si>
    <t>Set to "GBP" - store in QuickConnect reference data</t>
  </si>
  <si>
    <t>currency</t>
  </si>
  <si>
    <t>scOmit</t>
  </si>
  <si>
    <t>sc-omit</t>
  </si>
  <si>
    <t>scPeriod[1]</t>
  </si>
  <si>
    <t>sc-period-start</t>
  </si>
  <si>
    <t>scPeriod[2]</t>
  </si>
  <si>
    <t>sc-period-end</t>
  </si>
  <si>
    <t>scFreq</t>
  </si>
  <si>
    <t>sc-frequency</t>
  </si>
  <si>
    <t>Set to "GRML" - store in QuickConnect reference data</t>
  </si>
  <si>
    <t>demsuite</t>
  </si>
  <si>
    <t>demand-suite</t>
  </si>
  <si>
    <t>refString</t>
  </si>
  <si>
    <t>Set to blank</t>
  </si>
  <si>
    <t>sta_code</t>
  </si>
  <si>
    <t>sta-code</t>
  </si>
  <si>
    <t>7flagged</t>
  </si>
  <si>
    <t>Set to "Yes"  - store in QuickConnect reference data</t>
  </si>
  <si>
    <t>supdemand</t>
  </si>
  <si>
    <t>Set to "No" - store in QuickConnect reference data</t>
  </si>
  <si>
    <t>supletter</t>
  </si>
  <si>
    <t>suppress-letters</t>
  </si>
  <si>
    <t>Set to "Emailed and printed" - store in QuickConnect reference data</t>
  </si>
  <si>
    <t>demletby</t>
  </si>
  <si>
    <t>correspondence-by</t>
  </si>
  <si>
    <t>Set to "Email1"</t>
  </si>
  <si>
    <t>email-to</t>
  </si>
  <si>
    <t>Set to "Telephone3"</t>
  </si>
  <si>
    <t>phone-for-sms</t>
  </si>
  <si>
    <t>tunorent</t>
  </si>
  <si>
    <t>turnover-rent</t>
  </si>
  <si>
    <t>trading</t>
  </si>
  <si>
    <t>vatnum</t>
  </si>
  <si>
    <t>vat-number</t>
  </si>
  <si>
    <t>landtact</t>
  </si>
  <si>
    <t>l-and-t-act</t>
  </si>
  <si>
    <t>ltaType</t>
  </si>
  <si>
    <t>l-t-act-type</t>
  </si>
  <si>
    <t>Set to "Multi-party lease" - store in QuickConnect</t>
  </si>
  <si>
    <t>contran</t>
  </si>
  <si>
    <t>tenant-type</t>
  </si>
  <si>
    <t>datetime</t>
  </si>
  <si>
    <t>If Tenancy_Start_Date__c is in the future, set to "Future"
If Tenancy_Start_Date__c is today or in the past, set to "Current"
Values stored in QuickConnect reference data</t>
  </si>
  <si>
    <t>ten_stat</t>
  </si>
  <si>
    <t>Set to "Allow all" - store in QuickConnect reference data</t>
  </si>
  <si>
    <t>stoppost</t>
  </si>
  <si>
    <t>stop-posting</t>
  </si>
  <si>
    <t>tpalldocs</t>
  </si>
  <si>
    <t>no_yesflagged</t>
  </si>
  <si>
    <t>float</t>
  </si>
  <si>
    <t>bill_per</t>
  </si>
  <si>
    <t>periods</t>
  </si>
  <si>
    <t>The following mappings are for the child tenancies (clients)</t>
  </si>
  <si>
    <t>Read from Xref if available, otherwise fetch a list of previous clients for the Unit from Qube and find the last used to calculate next value</t>
  </si>
  <si>
    <t>EntityListing/UnitReference/entry/CMResidents/entry/CMResidents/entry/CMContacts/entry/ContactID</t>
  </si>
  <si>
    <t>Set to reference of parent tenancy</t>
  </si>
  <si>
    <t>EntityListing/UnitReference/entry/OccupantRef</t>
  </si>
  <si>
    <t>EntityListing/UnitReference/entry/CMResidents/entry/CMContacts/entry/Name</t>
  </si>
  <si>
    <t>OpportunityContactRole</t>
  </si>
  <si>
    <t>Role</t>
  </si>
  <si>
    <t>Tenant (from ref data), see Client Role Mappngs. Set lease-percentage to 100 if ContatctType = "Lead Tenant" otherwise set to zero</t>
  </si>
  <si>
    <t>EntityListing/UnitReference/entry/CMResidents/entry/CMContacts/entry/ContactType</t>
  </si>
  <si>
    <t>EntityListing/UnitReference/entry/CMResidents/entry/CMContacts/entry/Phone</t>
  </si>
  <si>
    <t>EntityListing/UnitReference/entry/CMResidents/entry/CMContacts/entry/MobilePhone</t>
  </si>
  <si>
    <t>EntityListing/UnitReference/entry/CMResidents/entry/CMContacts/entry/Email</t>
  </si>
  <si>
    <t>Move_In_Date__c</t>
  </si>
  <si>
    <t>Read from Xref - set Canonical ID in canonical element and Salesforce Contact ID in Qube element</t>
  </si>
  <si>
    <t>EntityListing/UnitReference/entry/CMResidents/entry/CMResidents/entry/CMContacts/entry/CustomerID</t>
  </si>
  <si>
    <t>Set to "Telephone2"</t>
  </si>
  <si>
    <t>Set to "Sharer" - store in QuickConnect</t>
  </si>
  <si>
    <t>Salesforce Foreign Keys</t>
  </si>
  <si>
    <t>Opportunity.AccountId</t>
  </si>
  <si>
    <t>OpportunityContactRole.ContactId</t>
  </si>
  <si>
    <t>Opportunity.Primary_Offer_Live_Unit__c</t>
  </si>
  <si>
    <t>Path</t>
  </si>
  <si>
    <t>tenantsdata</t>
  </si>
  <si>
    <t>title</t>
  </si>
  <si>
    <t>FirstName</t>
  </si>
  <si>
    <t>EntityListing/UnitReference/entry/CMResidents/entry/CMContacts/entry/FirstName</t>
  </si>
  <si>
    <t>first-name</t>
  </si>
  <si>
    <t>middle-name</t>
  </si>
  <si>
    <t>LastName</t>
  </si>
  <si>
    <t>EntityListing/UnitReference/entry/CMResidents/entry/CMContacts/entry/LastName</t>
  </si>
  <si>
    <t>surname</t>
  </si>
  <si>
    <t>Tenant (from ref data), see Client Role Mappngs</t>
  </si>
  <si>
    <t>occupier-type</t>
  </si>
  <si>
    <t>method-of-contact</t>
  </si>
  <si>
    <t>Birthdate</t>
  </si>
  <si>
    <t>date-of-birth</t>
  </si>
  <si>
    <t>date-of-death</t>
  </si>
  <si>
    <t>spouse-date-of-birth</t>
  </si>
  <si>
    <t>gender</t>
  </si>
  <si>
    <t>country-of-origin</t>
  </si>
  <si>
    <t>marital-status</t>
  </si>
  <si>
    <t>benefit-received</t>
  </si>
  <si>
    <t>benefit-provider</t>
  </si>
  <si>
    <t>ni-number</t>
  </si>
  <si>
    <t>benefit-refnumber</t>
  </si>
  <si>
    <t>reason-for-vacancy</t>
  </si>
  <si>
    <t>vip</t>
  </si>
  <si>
    <t>OpportunityContactRole.OpportunityId</t>
  </si>
  <si>
    <t>Only send Salesforce Opportunities to Qube where:</t>
  </si>
  <si>
    <t xml:space="preserve">Opportunity Agreement Type is specified </t>
  </si>
  <si>
    <t xml:space="preserve">Opportunity Agreement Type &lt;&gt; AST (Affordable) </t>
  </si>
  <si>
    <t>Opportunity Tenancy Type = New</t>
  </si>
  <si>
    <t>Opportunity PMS Reference specified</t>
  </si>
  <si>
    <t>Opportunity Stage = "Audit" or "Closed Won"</t>
  </si>
  <si>
    <t>(Processed By GREP = Not Processed OR (Processed By GREP &lt;&gt; Processed - Current Tenancy AND Move In Date is today or in the past)</t>
  </si>
  <si>
    <t>Note: All conditions must be met for Opportunity to be processed</t>
  </si>
  <si>
    <t>Salesforce Primary Offer Break Clause</t>
  </si>
  <si>
    <t>Meaning</t>
  </si>
  <si>
    <t>Break Date</t>
  </si>
  <si>
    <t>Break Notice</t>
  </si>
  <si>
    <t>Break Frequency</t>
  </si>
  <si>
    <t>2 at 4 to expire at 6  </t>
  </si>
  <si>
    <t>2 months notice after min 4 months to expire at 6 months</t>
  </si>
  <si>
    <t>Move in date + 6 months</t>
  </si>
  <si>
    <t>Do not map</t>
  </si>
  <si>
    <t>2 at 6 to expire at 8     </t>
  </si>
  <si>
    <t>2 months notice after min 6 months to expire at 8 months</t>
  </si>
  <si>
    <t>Move in date + 8 months</t>
  </si>
  <si>
    <t xml:space="preserve">2 at 8 to expire at 10       </t>
  </si>
  <si>
    <t>2 months notice after min 8 months to expire at 10 months</t>
  </si>
  <si>
    <t>Move in date + 10 months</t>
  </si>
  <si>
    <t xml:space="preserve">2 at 10 to expire at 12    </t>
  </si>
  <si>
    <t>2 months notice after min 10 months to expire at 12 months</t>
  </si>
  <si>
    <t>Move in date + 12 months</t>
  </si>
  <si>
    <t>Halfway on an 18    </t>
  </si>
  <si>
    <t>Expire after min 9 months</t>
  </si>
  <si>
    <t>Move in date + 9 months</t>
  </si>
  <si>
    <t>Halfway on an 24       </t>
  </si>
  <si>
    <t>Expire after min 12 months</t>
  </si>
  <si>
    <t>Halfway on an 36 </t>
  </si>
  <si>
    <t>Expire after min 18 months</t>
  </si>
  <si>
    <t>Move in date + 18 months</t>
  </si>
  <si>
    <t>No break     </t>
  </si>
  <si>
    <t>Break not permitted</t>
  </si>
  <si>
    <t>Live work      </t>
  </si>
  <si>
    <t xml:space="preserve">Check Contract  </t>
  </si>
  <si>
    <t>Old tenancy and so not listed in Salesforce</t>
  </si>
  <si>
    <t>Renewal 1 month     </t>
  </si>
  <si>
    <t xml:space="preserve">1m renewal, then tenant will leave        </t>
  </si>
  <si>
    <t>Renewal 2 month      </t>
  </si>
  <si>
    <t xml:space="preserve">2m renewal and then tenant will leave       </t>
  </si>
  <si>
    <t xml:space="preserve">LW Renewal 1 month      </t>
  </si>
  <si>
    <t>LW Renewal 2 month</t>
  </si>
  <si>
    <t>Salesforce Opportunity Contact Role</t>
  </si>
  <si>
    <t>Canonical</t>
  </si>
  <si>
    <t>Qube Occupier Type</t>
  </si>
  <si>
    <t>Lead Tenant</t>
  </si>
  <si>
    <t>Tenant</t>
  </si>
  <si>
    <t>Sub Tenant</t>
  </si>
  <si>
    <t>Permitted Occupier</t>
  </si>
  <si>
    <t>Additional occupier</t>
  </si>
  <si>
    <t>Relevant Person</t>
  </si>
  <si>
    <t>Alternative contact</t>
  </si>
  <si>
    <t xml:space="preserve">Salesforce </t>
  </si>
  <si>
    <t>AST</t>
  </si>
  <si>
    <t>Non-Housing (Company)</t>
  </si>
  <si>
    <t>COL</t>
  </si>
  <si>
    <t>Comp-Let</t>
  </si>
  <si>
    <t>Live Work</t>
  </si>
  <si>
    <t>ALW</t>
  </si>
  <si>
    <t>Parking Licence</t>
  </si>
  <si>
    <t>LIC</t>
  </si>
  <si>
    <t>Licence</t>
  </si>
  <si>
    <t>Shed Licence</t>
  </si>
  <si>
    <t>Occupation Licence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</si>
</sst>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F400]h:mm:ss\ AM/PM"/>
  </numFmts>
  <fonts count="42"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name val="Arial"/>
      <family val="2"/>
    </font>
    <font>
      <b/>
      <sz val="14"/>
      <name val="Arial"/>
      <family val="2"/>
    </font>
    <font>
      <sz val="10"/>
      <name val="Arial"/>
      <family val="2"/>
    </font>
    <font>
      <sz val="10"/>
      <name val="Arial"/>
      <family val="2"/>
    </font>
    <font>
      <sz val="8"/>
      <name val="Arial"/>
      <family val="2"/>
    </font>
    <font>
      <sz val="11"/>
      <color theme="1"/>
      <name val="Calibri"/>
      <family val="2"/>
      <scheme val="minor"/>
    </font>
    <font>
      <sz val="11"/>
      <color theme="0"/>
      <name val="Calibri"/>
      <family val="2"/>
      <scheme val="minor"/>
    </font>
    <font>
      <sz val="8"/>
      <color theme="1"/>
      <name val="Arial"/>
      <family val="2"/>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8"/>
      <color theme="1"/>
      <name val="Arial"/>
      <family val="2"/>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sz val="18"/>
      <color theme="3"/>
      <name val="Calibri Light"/>
      <family val="2"/>
      <scheme val="major"/>
    </font>
    <font>
      <b/>
      <sz val="11"/>
      <color theme="1"/>
      <name val="Calibri"/>
      <family val="2"/>
      <scheme val="minor"/>
    </font>
    <font>
      <sz val="11"/>
      <color rgb="FFFF0000"/>
      <name val="Calibri"/>
      <family val="2"/>
      <scheme val="minor"/>
    </font>
    <font>
      <sz val="11"/>
      <name val="Calibri"/>
      <family val="2"/>
      <scheme val="minor"/>
    </font>
    <font>
      <sz val="10"/>
      <color theme="1"/>
      <name val="Arial"/>
      <family val="2"/>
    </font>
    <font>
      <sz val="10"/>
      <color rgb="FF000000"/>
      <name val="Arial"/>
      <family val="2"/>
    </font>
    <font>
      <sz val="10"/>
      <color rgb="FFFF0000"/>
      <name val="Arial"/>
      <family val="2"/>
    </font>
    <font>
      <sz val="11"/>
      <color theme="1"/>
      <name val="Arial"/>
      <family val="2"/>
    </font>
    <font>
      <u/>
      <sz val="11"/>
      <color theme="10"/>
      <name val="Calibri"/>
      <family val="2"/>
      <scheme val="minor"/>
    </font>
    <font>
      <sz val="4"/>
      <color rgb="FF242424"/>
      <name val="Segoe UI"/>
      <family val="2"/>
    </font>
    <font>
      <sz val="11"/>
      <name val="Calibri"/>
      <family val="2"/>
    </font>
    <font>
      <sz val="10"/>
      <name val="Arial"/>
      <family val="2"/>
      <charset val="1"/>
    </font>
    <font>
      <b/>
      <sz val="11"/>
      <color rgb="FF000000"/>
      <name val="Aptos Narrow"/>
      <family val="2"/>
    </font>
    <font>
      <sz val="11"/>
      <color rgb="FF000000"/>
      <name val="Aptos Narrow"/>
      <family val="2"/>
    </font>
  </fonts>
  <fills count="48">
    <fill>
      <patternFill patternType="none"/>
    </fill>
    <fill>
      <patternFill patternType="gray125"/>
    </fill>
    <fill>
      <patternFill patternType="solid">
        <fgColor indexed="44"/>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rgb="FF87CEFA"/>
        <bgColor indexed="64"/>
      </patternFill>
    </fill>
    <fill>
      <patternFill patternType="solid">
        <fgColor rgb="FFFF0000"/>
        <bgColor indexed="64"/>
      </patternFill>
    </fill>
    <fill>
      <patternFill patternType="solid">
        <fgColor rgb="FFFFFF00"/>
        <bgColor indexed="64"/>
      </patternFill>
    </fill>
    <fill>
      <patternFill patternType="solid">
        <fgColor rgb="FFFFFFFF"/>
        <bgColor indexed="64"/>
      </patternFill>
    </fill>
    <fill>
      <patternFill patternType="solid">
        <fgColor rgb="FFFFC000"/>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rgb="FFED7D31"/>
        <bgColor indexed="64"/>
      </patternFill>
    </fill>
    <fill>
      <patternFill patternType="solid">
        <fgColor rgb="FFFCE4D6"/>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C0E6F5"/>
        <bgColor indexed="64"/>
      </patternFill>
    </fill>
    <fill>
      <patternFill patternType="solid">
        <fgColor theme="7" tint="0.79998168889431442"/>
        <bgColor indexed="64"/>
      </patternFill>
    </fill>
  </fills>
  <borders count="36">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diagonal/>
    </border>
    <border>
      <left style="medium">
        <color auto="1"/>
      </left>
      <right/>
      <top style="thin">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medium">
        <color auto="1"/>
      </top>
      <bottom style="thin">
        <color auto="1"/>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04">
    <xf numFmtId="0" fontId="0" fillId="0" borderId="0"/>
    <xf numFmtId="0" fontId="9" fillId="0" borderId="0"/>
    <xf numFmtId="0" fontId="9" fillId="0" borderId="0"/>
    <xf numFmtId="0" fontId="12" fillId="3" borderId="0" applyNumberFormat="0" applyBorder="0" applyAlignment="0" applyProtection="0"/>
    <xf numFmtId="0" fontId="12" fillId="4" borderId="0" applyNumberFormat="0" applyBorder="0" applyAlignment="0" applyProtection="0"/>
    <xf numFmtId="0" fontId="12" fillId="5" borderId="0" applyNumberFormat="0" applyBorder="0" applyAlignment="0" applyProtection="0"/>
    <xf numFmtId="0" fontId="12" fillId="6" borderId="0" applyNumberFormat="0" applyBorder="0" applyAlignment="0" applyProtection="0"/>
    <xf numFmtId="0" fontId="12" fillId="7" borderId="0" applyNumberFormat="0" applyBorder="0" applyAlignment="0" applyProtection="0"/>
    <xf numFmtId="0" fontId="12" fillId="8"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11" borderId="0" applyNumberFormat="0" applyBorder="0" applyAlignment="0" applyProtection="0"/>
    <xf numFmtId="0" fontId="12" fillId="12" borderId="0" applyNumberFormat="0" applyBorder="0" applyAlignment="0" applyProtection="0"/>
    <xf numFmtId="0" fontId="12" fillId="13" borderId="0" applyNumberFormat="0" applyBorder="0" applyAlignment="0" applyProtection="0"/>
    <xf numFmtId="0" fontId="12" fillId="14"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18"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21" borderId="0" applyNumberFormat="0" applyBorder="0" applyAlignment="0" applyProtection="0"/>
    <xf numFmtId="0" fontId="13" fillId="22" borderId="0" applyNumberFormat="0" applyBorder="0" applyAlignment="0" applyProtection="0"/>
    <xf numFmtId="0" fontId="13" fillId="23" borderId="0" applyNumberFormat="0" applyBorder="0" applyAlignment="0" applyProtection="0"/>
    <xf numFmtId="0" fontId="13" fillId="24" borderId="0" applyNumberFormat="0" applyBorder="0" applyAlignment="0" applyProtection="0"/>
    <xf numFmtId="0" fontId="13" fillId="25" borderId="0" applyNumberFormat="0" applyBorder="0" applyAlignment="0" applyProtection="0"/>
    <xf numFmtId="0" fontId="13" fillId="26" borderId="0" applyNumberFormat="0" applyBorder="0" applyAlignment="0" applyProtection="0"/>
    <xf numFmtId="0" fontId="14" fillId="0" borderId="0"/>
    <xf numFmtId="0" fontId="15" fillId="27" borderId="0" applyNumberFormat="0" applyBorder="0" applyAlignment="0" applyProtection="0"/>
    <xf numFmtId="0" fontId="14" fillId="0" borderId="0"/>
    <xf numFmtId="0" fontId="16" fillId="28" borderId="20" applyNumberFormat="0" applyAlignment="0" applyProtection="0"/>
    <xf numFmtId="0" fontId="17" fillId="29" borderId="21" applyNumberFormat="0" applyAlignment="0" applyProtection="0"/>
    <xf numFmtId="0" fontId="18" fillId="0" borderId="0" applyNumberFormat="0" applyFill="0" applyBorder="0" applyAlignment="0" applyProtection="0"/>
    <xf numFmtId="0" fontId="19" fillId="30" borderId="0" applyNumberFormat="0" applyBorder="0" applyAlignment="0" applyProtection="0"/>
    <xf numFmtId="0" fontId="20" fillId="0" borderId="0"/>
    <xf numFmtId="0" fontId="21" fillId="0" borderId="22" applyNumberFormat="0" applyFill="0" applyAlignment="0" applyProtection="0"/>
    <xf numFmtId="0" fontId="22" fillId="0" borderId="23" applyNumberFormat="0" applyFill="0" applyAlignment="0" applyProtection="0"/>
    <xf numFmtId="0" fontId="23" fillId="0" borderId="24" applyNumberFormat="0" applyFill="0" applyAlignment="0" applyProtection="0"/>
    <xf numFmtId="0" fontId="23" fillId="0" borderId="0" applyNumberFormat="0" applyFill="0" applyBorder="0" applyAlignment="0" applyProtection="0"/>
    <xf numFmtId="0" fontId="24" fillId="31" borderId="20" applyNumberFormat="0" applyAlignment="0" applyProtection="0"/>
    <xf numFmtId="0" fontId="10" fillId="0" borderId="0"/>
    <xf numFmtId="0" fontId="9" fillId="0" borderId="0"/>
    <xf numFmtId="0" fontId="25" fillId="0" borderId="25" applyNumberFormat="0" applyFill="0" applyAlignment="0" applyProtection="0"/>
    <xf numFmtId="0" fontId="26" fillId="32" borderId="0" applyNumberFormat="0" applyBorder="0" applyAlignment="0" applyProtection="0"/>
    <xf numFmtId="0" fontId="9" fillId="0" borderId="0"/>
    <xf numFmtId="0" fontId="9" fillId="0" borderId="0" applyBorder="0"/>
    <xf numFmtId="0" fontId="12" fillId="0" borderId="0"/>
    <xf numFmtId="0" fontId="12" fillId="33" borderId="26" applyNumberFormat="0" applyFont="0" applyAlignment="0" applyProtection="0"/>
    <xf numFmtId="0" fontId="27" fillId="28" borderId="27" applyNumberFormat="0" applyAlignment="0" applyProtection="0"/>
    <xf numFmtId="0" fontId="28" fillId="0" borderId="0" applyNumberFormat="0" applyFill="0" applyBorder="0" applyAlignment="0" applyProtection="0"/>
    <xf numFmtId="0" fontId="20" fillId="0" borderId="0"/>
    <xf numFmtId="0" fontId="29" fillId="0" borderId="28" applyNumberFormat="0" applyFill="0" applyAlignment="0" applyProtection="0"/>
    <xf numFmtId="0" fontId="30" fillId="0" borderId="0" applyNumberFormat="0" applyFill="0" applyBorder="0" applyAlignment="0" applyProtection="0"/>
    <xf numFmtId="0" fontId="6" fillId="0" borderId="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0" borderId="0"/>
    <xf numFmtId="0" fontId="6" fillId="33" borderId="26" applyNumberFormat="0" applyFont="0" applyAlignment="0" applyProtection="0"/>
    <xf numFmtId="0" fontId="5" fillId="0" borderId="0"/>
    <xf numFmtId="0" fontId="4" fillId="0" borderId="0"/>
    <xf numFmtId="0" fontId="36" fillId="0" borderId="0" applyNumberFormat="0" applyFill="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0" borderId="0"/>
    <xf numFmtId="0" fontId="3" fillId="33" borderId="26" applyNumberFormat="0" applyFont="0" applyAlignment="0" applyProtection="0"/>
    <xf numFmtId="0" fontId="3" fillId="0" borderId="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0" borderId="0"/>
    <xf numFmtId="0" fontId="3" fillId="33" borderId="26" applyNumberFormat="0" applyFont="0" applyAlignment="0" applyProtection="0"/>
    <xf numFmtId="0" fontId="3" fillId="0" borderId="0"/>
    <xf numFmtId="0" fontId="3" fillId="0" borderId="0"/>
    <xf numFmtId="0" fontId="2" fillId="0" borderId="0"/>
    <xf numFmtId="0" fontId="1" fillId="0" borderId="0"/>
  </cellStyleXfs>
  <cellXfs count="250">
    <xf numFmtId="0" fontId="0" fillId="0" borderId="0" xfId="0"/>
    <xf numFmtId="0" fontId="7" fillId="0" borderId="1" xfId="40" applyFont="1" applyBorder="1"/>
    <xf numFmtId="0" fontId="9" fillId="0" borderId="1" xfId="40" applyFont="1" applyBorder="1"/>
    <xf numFmtId="0" fontId="9" fillId="0" borderId="0" xfId="40" applyFont="1"/>
    <xf numFmtId="0" fontId="9" fillId="0" borderId="1" xfId="40" applyFont="1" applyBorder="1" applyAlignment="1">
      <alignment vertical="top"/>
    </xf>
    <xf numFmtId="0" fontId="11" fillId="0" borderId="1" xfId="0" applyFont="1" applyBorder="1" applyAlignment="1">
      <alignment vertical="top"/>
    </xf>
    <xf numFmtId="0" fontId="7" fillId="2" borderId="2" xfId="40" applyFont="1" applyFill="1" applyBorder="1" applyAlignment="1">
      <alignment horizontal="left" vertical="top"/>
    </xf>
    <xf numFmtId="0" fontId="7" fillId="2" borderId="3" xfId="40" applyFont="1" applyFill="1" applyBorder="1" applyAlignment="1">
      <alignment horizontal="left" vertical="top"/>
    </xf>
    <xf numFmtId="0" fontId="8" fillId="0" borderId="0" xfId="40" applyFont="1"/>
    <xf numFmtId="0" fontId="9" fillId="0" borderId="0" xfId="40" applyFont="1" applyAlignment="1">
      <alignment horizontal="left"/>
    </xf>
    <xf numFmtId="0" fontId="0" fillId="0" borderId="0" xfId="0" applyAlignment="1">
      <alignment horizontal="left" vertical="top"/>
    </xf>
    <xf numFmtId="0" fontId="0" fillId="0" borderId="0" xfId="0" applyAlignment="1">
      <alignment vertical="center"/>
    </xf>
    <xf numFmtId="0" fontId="0" fillId="0" borderId="0" xfId="0" applyAlignment="1">
      <alignment horizontal="left" vertical="center" wrapText="1"/>
    </xf>
    <xf numFmtId="0" fontId="31" fillId="0" borderId="0" xfId="0" applyFont="1"/>
    <xf numFmtId="0" fontId="13" fillId="0" borderId="0" xfId="0" applyFont="1"/>
    <xf numFmtId="0" fontId="0" fillId="0" borderId="0" xfId="0" applyAlignment="1">
      <alignment wrapText="1"/>
    </xf>
    <xf numFmtId="0" fontId="0" fillId="0" borderId="0" xfId="0" applyAlignment="1">
      <alignment horizontal="left"/>
    </xf>
    <xf numFmtId="0" fontId="9" fillId="0" borderId="3" xfId="0" applyFont="1" applyBorder="1" applyAlignment="1">
      <alignment horizontal="left" vertical="top"/>
    </xf>
    <xf numFmtId="0" fontId="7" fillId="0" borderId="0" xfId="1" applyFont="1" applyAlignment="1">
      <alignment vertical="top"/>
    </xf>
    <xf numFmtId="0" fontId="9" fillId="0" borderId="0" xfId="1" applyAlignment="1">
      <alignment vertical="top"/>
    </xf>
    <xf numFmtId="0" fontId="9" fillId="0" borderId="0" xfId="1" applyAlignment="1">
      <alignment vertical="top" wrapText="1"/>
    </xf>
    <xf numFmtId="0" fontId="9" fillId="0" borderId="0" xfId="1"/>
    <xf numFmtId="0" fontId="7" fillId="0" borderId="0" xfId="1" applyFont="1"/>
    <xf numFmtId="0" fontId="9" fillId="0" borderId="0" xfId="1" applyAlignment="1">
      <alignment wrapText="1"/>
    </xf>
    <xf numFmtId="0" fontId="9" fillId="0" borderId="1" xfId="1" applyBorder="1" applyAlignment="1">
      <alignment horizontal="right" vertical="top"/>
    </xf>
    <xf numFmtId="0" fontId="7" fillId="0" borderId="1" xfId="1" applyFont="1" applyBorder="1"/>
    <xf numFmtId="0" fontId="9" fillId="34" borderId="1" xfId="1" applyFill="1" applyBorder="1" applyAlignment="1">
      <alignment horizontal="left" vertical="top" wrapText="1"/>
    </xf>
    <xf numFmtId="0" fontId="9" fillId="34" borderId="0" xfId="1" applyFill="1"/>
    <xf numFmtId="0" fontId="9" fillId="0" borderId="1" xfId="1" applyBorder="1"/>
    <xf numFmtId="0" fontId="9" fillId="0" borderId="4" xfId="0" applyFont="1" applyBorder="1" applyAlignment="1">
      <alignment horizontal="left" vertical="top"/>
    </xf>
    <xf numFmtId="0" fontId="0" fillId="34" borderId="1" xfId="0" applyFill="1" applyBorder="1" applyAlignment="1">
      <alignment horizontal="left" vertical="top" wrapText="1"/>
    </xf>
    <xf numFmtId="0" fontId="0" fillId="34" borderId="1" xfId="0" applyFill="1" applyBorder="1" applyAlignment="1">
      <alignment horizontal="center" vertical="top" wrapText="1"/>
    </xf>
    <xf numFmtId="0" fontId="9" fillId="0" borderId="1" xfId="1" applyBorder="1" applyAlignment="1">
      <alignment wrapText="1"/>
    </xf>
    <xf numFmtId="0" fontId="7" fillId="0" borderId="1" xfId="1" applyFont="1" applyBorder="1" applyAlignment="1">
      <alignment vertical="top"/>
    </xf>
    <xf numFmtId="0" fontId="7" fillId="2" borderId="3" xfId="40" applyFont="1" applyFill="1" applyBorder="1" applyAlignment="1">
      <alignment horizontal="center" vertical="top"/>
    </xf>
    <xf numFmtId="0" fontId="7" fillId="2" borderId="5" xfId="40" applyFont="1" applyFill="1" applyBorder="1" applyAlignment="1">
      <alignment horizontal="center" vertical="top"/>
    </xf>
    <xf numFmtId="0" fontId="9" fillId="0" borderId="7" xfId="0" applyFont="1" applyBorder="1" applyAlignment="1">
      <alignment horizontal="left" vertical="top"/>
    </xf>
    <xf numFmtId="0" fontId="0" fillId="34" borderId="3" xfId="0" applyFill="1" applyBorder="1" applyAlignment="1">
      <alignment horizontal="left" vertical="top" wrapText="1"/>
    </xf>
    <xf numFmtId="0" fontId="9" fillId="0" borderId="8" xfId="0" applyFont="1" applyBorder="1" applyAlignment="1">
      <alignment horizontal="left" vertical="top"/>
    </xf>
    <xf numFmtId="49" fontId="11" fillId="0" borderId="29" xfId="46" applyNumberFormat="1" applyFont="1" applyBorder="1" applyAlignment="1">
      <alignment horizontal="left" vertical="center" wrapText="1"/>
    </xf>
    <xf numFmtId="49" fontId="11" fillId="0" borderId="30" xfId="46" applyNumberFormat="1" applyFont="1" applyBorder="1" applyAlignment="1">
      <alignment horizontal="left" vertical="center" wrapText="1"/>
    </xf>
    <xf numFmtId="49" fontId="14" fillId="0" borderId="29" xfId="46" applyNumberFormat="1" applyFont="1" applyBorder="1" applyAlignment="1">
      <alignment horizontal="left" vertical="center" wrapText="1"/>
    </xf>
    <xf numFmtId="49" fontId="14" fillId="0" borderId="30" xfId="46" applyNumberFormat="1" applyFont="1" applyBorder="1" applyAlignment="1">
      <alignment horizontal="left" vertical="center" wrapText="1"/>
    </xf>
    <xf numFmtId="0" fontId="9" fillId="34" borderId="1" xfId="0" applyFont="1" applyFill="1" applyBorder="1" applyAlignment="1">
      <alignment horizontal="left" vertical="top" wrapText="1"/>
    </xf>
    <xf numFmtId="0" fontId="7" fillId="2" borderId="9" xfId="40" applyFont="1" applyFill="1" applyBorder="1" applyAlignment="1">
      <alignment horizontal="center" vertical="top"/>
    </xf>
    <xf numFmtId="0" fontId="9" fillId="37" borderId="0" xfId="1" applyFill="1"/>
    <xf numFmtId="0" fontId="9" fillId="34" borderId="1" xfId="1" applyFill="1" applyBorder="1" applyAlignment="1">
      <alignment wrapText="1"/>
    </xf>
    <xf numFmtId="49" fontId="11" fillId="34" borderId="30" xfId="46" applyNumberFormat="1" applyFont="1" applyFill="1" applyBorder="1" applyAlignment="1">
      <alignment horizontal="left" vertical="center" wrapText="1"/>
    </xf>
    <xf numFmtId="49" fontId="14" fillId="34" borderId="29" xfId="46" applyNumberFormat="1" applyFont="1" applyFill="1" applyBorder="1" applyAlignment="1">
      <alignment horizontal="left" vertical="center" wrapText="1"/>
    </xf>
    <xf numFmtId="49" fontId="11" fillId="34" borderId="29" xfId="46" applyNumberFormat="1" applyFont="1" applyFill="1" applyBorder="1" applyAlignment="1">
      <alignment horizontal="left" vertical="center" wrapText="1"/>
    </xf>
    <xf numFmtId="49" fontId="14" fillId="34" borderId="30" xfId="46" applyNumberFormat="1" applyFont="1" applyFill="1" applyBorder="1" applyAlignment="1">
      <alignment horizontal="left" vertical="center" wrapText="1"/>
    </xf>
    <xf numFmtId="0" fontId="9" fillId="36" borderId="1" xfId="40" applyFont="1" applyFill="1" applyBorder="1"/>
    <xf numFmtId="0" fontId="9" fillId="36" borderId="1" xfId="40" applyFont="1" applyFill="1" applyBorder="1" applyAlignment="1">
      <alignment vertical="top"/>
    </xf>
    <xf numFmtId="49" fontId="14" fillId="35" borderId="29" xfId="46" applyNumberFormat="1" applyFont="1" applyFill="1" applyBorder="1" applyAlignment="1">
      <alignment horizontal="left" vertical="center" wrapText="1"/>
    </xf>
    <xf numFmtId="49" fontId="14" fillId="36" borderId="29" xfId="46" applyNumberFormat="1" applyFont="1" applyFill="1" applyBorder="1" applyAlignment="1">
      <alignment horizontal="left" vertical="center" wrapText="1"/>
    </xf>
    <xf numFmtId="49" fontId="14" fillId="36" borderId="30" xfId="46" applyNumberFormat="1" applyFont="1" applyFill="1" applyBorder="1" applyAlignment="1">
      <alignment horizontal="left" vertical="center" wrapText="1"/>
    </xf>
    <xf numFmtId="0" fontId="0" fillId="0" borderId="6" xfId="0" applyBorder="1"/>
    <xf numFmtId="49" fontId="14" fillId="36" borderId="31" xfId="46" applyNumberFormat="1" applyFont="1" applyFill="1" applyBorder="1" applyAlignment="1">
      <alignment horizontal="left" vertical="center" wrapText="1"/>
    </xf>
    <xf numFmtId="0" fontId="0" fillId="0" borderId="6" xfId="0" applyBorder="1" applyAlignment="1">
      <alignment horizontal="left" vertical="top" wrapText="1"/>
    </xf>
    <xf numFmtId="49" fontId="14" fillId="0" borderId="6" xfId="46" applyNumberFormat="1" applyFont="1" applyBorder="1" applyAlignment="1">
      <alignment horizontal="left" vertical="center" wrapText="1"/>
    </xf>
    <xf numFmtId="0" fontId="9" fillId="0" borderId="6" xfId="0" applyFont="1" applyBorder="1" applyAlignment="1">
      <alignment horizontal="left" vertical="top"/>
    </xf>
    <xf numFmtId="49" fontId="14" fillId="35" borderId="31" xfId="46" applyNumberFormat="1" applyFont="1" applyFill="1" applyBorder="1" applyAlignment="1">
      <alignment horizontal="left" vertical="center" wrapText="1"/>
    </xf>
    <xf numFmtId="0" fontId="31" fillId="0" borderId="6" xfId="0" applyFont="1" applyBorder="1"/>
    <xf numFmtId="0" fontId="0" fillId="0" borderId="1" xfId="0" applyBorder="1" applyAlignment="1">
      <alignment horizontal="left" vertical="top" wrapText="1"/>
    </xf>
    <xf numFmtId="0" fontId="9" fillId="0" borderId="0" xfId="0" applyFont="1"/>
    <xf numFmtId="0" fontId="32" fillId="0" borderId="1" xfId="0" applyFont="1" applyBorder="1" applyAlignment="1">
      <alignment vertical="top"/>
    </xf>
    <xf numFmtId="0" fontId="0" fillId="0" borderId="1" xfId="0" applyBorder="1" applyAlignment="1">
      <alignment horizontal="left" vertical="top"/>
    </xf>
    <xf numFmtId="0" fontId="32" fillId="0" borderId="1" xfId="40" applyFont="1" applyBorder="1" applyAlignment="1">
      <alignment vertical="top"/>
    </xf>
    <xf numFmtId="0" fontId="32" fillId="34" borderId="1" xfId="40" applyFont="1" applyFill="1" applyBorder="1"/>
    <xf numFmtId="0" fontId="32" fillId="34" borderId="1" xfId="40" applyFont="1" applyFill="1" applyBorder="1" applyAlignment="1">
      <alignment horizontal="left" vertical="top"/>
    </xf>
    <xf numFmtId="0" fontId="33" fillId="0" borderId="1" xfId="0" applyFont="1" applyBorder="1" applyAlignment="1">
      <alignment horizontal="left"/>
    </xf>
    <xf numFmtId="0" fontId="9" fillId="34" borderId="1" xfId="0" applyFont="1" applyFill="1" applyBorder="1" applyAlignment="1">
      <alignment horizontal="left"/>
    </xf>
    <xf numFmtId="0" fontId="35" fillId="0" borderId="1" xfId="0" applyFont="1" applyBorder="1" applyAlignment="1">
      <alignment horizontal="left" vertical="top"/>
    </xf>
    <xf numFmtId="0" fontId="32" fillId="34" borderId="1" xfId="40" applyFont="1" applyFill="1" applyBorder="1" applyAlignment="1">
      <alignment horizontal="left"/>
    </xf>
    <xf numFmtId="0" fontId="9" fillId="0" borderId="0" xfId="0" applyFont="1" applyAlignment="1">
      <alignment horizontal="left" vertical="top"/>
    </xf>
    <xf numFmtId="0" fontId="32" fillId="0" borderId="1" xfId="40" applyFont="1" applyBorder="1" applyAlignment="1">
      <alignment horizontal="left" vertical="top"/>
    </xf>
    <xf numFmtId="0" fontId="32" fillId="0" borderId="1" xfId="0" applyFont="1" applyBorder="1" applyAlignment="1">
      <alignment horizontal="left" vertical="top"/>
    </xf>
    <xf numFmtId="0" fontId="34" fillId="0" borderId="1" xfId="0" applyFont="1" applyBorder="1" applyAlignment="1">
      <alignment horizontal="left" vertical="top"/>
    </xf>
    <xf numFmtId="0" fontId="0" fillId="0" borderId="1" xfId="0" applyBorder="1" applyAlignment="1">
      <alignment horizontal="left" wrapText="1"/>
    </xf>
    <xf numFmtId="0" fontId="9" fillId="34" borderId="1" xfId="40" applyFont="1" applyFill="1" applyBorder="1"/>
    <xf numFmtId="0" fontId="9" fillId="0" borderId="1" xfId="0" applyFont="1" applyBorder="1" applyAlignment="1">
      <alignment horizontal="left" vertical="center"/>
    </xf>
    <xf numFmtId="0" fontId="32" fillId="0" borderId="1" xfId="0" applyFont="1" applyBorder="1" applyAlignment="1">
      <alignment horizontal="left" vertical="top" wrapText="1"/>
    </xf>
    <xf numFmtId="0" fontId="7" fillId="2" borderId="1" xfId="40" applyFont="1" applyFill="1" applyBorder="1" applyAlignment="1">
      <alignment horizontal="center" vertical="top"/>
    </xf>
    <xf numFmtId="0" fontId="32" fillId="0" borderId="1" xfId="0" applyFont="1" applyBorder="1"/>
    <xf numFmtId="0" fontId="0" fillId="0" borderId="1" xfId="0" applyBorder="1"/>
    <xf numFmtId="0" fontId="0" fillId="0" borderId="1" xfId="0" applyBorder="1" applyAlignment="1">
      <alignment horizontal="left"/>
    </xf>
    <xf numFmtId="0" fontId="32" fillId="34" borderId="1" xfId="0" applyFont="1" applyFill="1" applyBorder="1" applyAlignment="1">
      <alignment horizontal="left"/>
    </xf>
    <xf numFmtId="0" fontId="32" fillId="34" borderId="1" xfId="0" applyFont="1" applyFill="1" applyBorder="1"/>
    <xf numFmtId="0" fontId="9" fillId="0" borderId="1" xfId="0" applyFont="1" applyBorder="1"/>
    <xf numFmtId="0" fontId="32" fillId="0" borderId="1" xfId="40" applyFont="1" applyBorder="1"/>
    <xf numFmtId="0" fontId="9" fillId="0" borderId="1" xfId="41" applyBorder="1"/>
    <xf numFmtId="0" fontId="34" fillId="0" borderId="1" xfId="0" applyFont="1" applyBorder="1" applyAlignment="1">
      <alignment horizontal="left"/>
    </xf>
    <xf numFmtId="0" fontId="32" fillId="0" borderId="1" xfId="0" applyFont="1" applyBorder="1" applyAlignment="1">
      <alignment wrapText="1"/>
    </xf>
    <xf numFmtId="0" fontId="9" fillId="0" borderId="1" xfId="0" applyFont="1" applyBorder="1" applyAlignment="1">
      <alignment horizontal="left"/>
    </xf>
    <xf numFmtId="0" fontId="9" fillId="0" borderId="1" xfId="0" applyFont="1" applyBorder="1" applyAlignment="1">
      <alignment horizontal="left" vertical="top"/>
    </xf>
    <xf numFmtId="49" fontId="32" fillId="0" borderId="1" xfId="68" applyNumberFormat="1" applyFont="1" applyBorder="1" applyAlignment="1">
      <alignment horizontal="left"/>
    </xf>
    <xf numFmtId="0" fontId="7" fillId="40" borderId="1" xfId="0" applyFont="1" applyFill="1" applyBorder="1"/>
    <xf numFmtId="0" fontId="0" fillId="0" borderId="1" xfId="0" applyBorder="1" applyAlignment="1">
      <alignment horizontal="left" vertical="center"/>
    </xf>
    <xf numFmtId="0" fontId="9" fillId="0" borderId="1" xfId="40" applyFont="1" applyBorder="1" applyAlignment="1">
      <alignment horizontal="left"/>
    </xf>
    <xf numFmtId="0" fontId="9" fillId="0" borderId="1" xfId="0" applyFont="1" applyBorder="1" applyAlignment="1">
      <alignment horizontal="left" vertical="center" wrapText="1"/>
    </xf>
    <xf numFmtId="0" fontId="9" fillId="0" borderId="1" xfId="40" applyFont="1" applyBorder="1" applyAlignment="1">
      <alignment horizontal="left" wrapText="1"/>
    </xf>
    <xf numFmtId="0" fontId="9" fillId="0" borderId="1" xfId="0" applyFont="1" applyBorder="1" applyAlignment="1">
      <alignment wrapText="1"/>
    </xf>
    <xf numFmtId="0" fontId="7" fillId="0" borderId="1" xfId="0" applyFont="1" applyBorder="1"/>
    <xf numFmtId="0" fontId="34" fillId="0" borderId="1" xfId="0" applyFont="1" applyBorder="1"/>
    <xf numFmtId="0" fontId="34" fillId="0" borderId="1" xfId="41" applyFont="1" applyBorder="1"/>
    <xf numFmtId="0" fontId="8" fillId="0" borderId="1" xfId="40" applyFont="1" applyBorder="1"/>
    <xf numFmtId="0" fontId="9" fillId="34" borderId="1" xfId="0" applyFont="1" applyFill="1" applyBorder="1"/>
    <xf numFmtId="0" fontId="32" fillId="34" borderId="1" xfId="0" applyFont="1" applyFill="1" applyBorder="1" applyAlignment="1">
      <alignment vertical="top" wrapText="1"/>
    </xf>
    <xf numFmtId="0" fontId="32" fillId="34" borderId="1" xfId="0" applyFont="1" applyFill="1" applyBorder="1" applyAlignment="1">
      <alignment horizontal="left" wrapText="1"/>
    </xf>
    <xf numFmtId="164" fontId="9" fillId="34" borderId="1" xfId="0" applyNumberFormat="1" applyFont="1" applyFill="1" applyBorder="1" applyAlignment="1">
      <alignment horizontal="left"/>
    </xf>
    <xf numFmtId="0" fontId="0" fillId="34" borderId="0" xfId="0" applyFill="1"/>
    <xf numFmtId="0" fontId="9" fillId="34" borderId="1" xfId="40" applyFont="1" applyFill="1" applyBorder="1" applyAlignment="1">
      <alignment horizontal="left" vertical="top"/>
    </xf>
    <xf numFmtId="0" fontId="9" fillId="34" borderId="1" xfId="0" applyFont="1" applyFill="1" applyBorder="1" applyAlignment="1">
      <alignment horizontal="left" vertical="top"/>
    </xf>
    <xf numFmtId="0" fontId="32" fillId="34" borderId="1" xfId="0" applyFont="1" applyFill="1" applyBorder="1" applyAlignment="1">
      <alignment vertical="center"/>
    </xf>
    <xf numFmtId="0" fontId="9" fillId="34" borderId="1" xfId="0" applyFont="1" applyFill="1" applyBorder="1" applyAlignment="1">
      <alignment vertical="center"/>
    </xf>
    <xf numFmtId="0" fontId="32" fillId="34" borderId="1" xfId="40" applyFont="1" applyFill="1" applyBorder="1" applyAlignment="1">
      <alignment horizontal="left" vertical="center"/>
    </xf>
    <xf numFmtId="0" fontId="9" fillId="34" borderId="1" xfId="0" applyFont="1" applyFill="1" applyBorder="1" applyAlignment="1">
      <alignment horizontal="left" vertical="center"/>
    </xf>
    <xf numFmtId="0" fontId="37" fillId="0" borderId="1" xfId="0" applyFont="1" applyBorder="1"/>
    <xf numFmtId="0" fontId="9" fillId="0" borderId="1" xfId="0" applyFont="1" applyBorder="1" applyAlignment="1">
      <alignment vertical="top" wrapText="1"/>
    </xf>
    <xf numFmtId="0" fontId="9" fillId="41" borderId="1" xfId="41" applyFill="1" applyBorder="1"/>
    <xf numFmtId="0" fontId="9" fillId="41" borderId="1" xfId="0" applyFont="1" applyFill="1" applyBorder="1" applyAlignment="1">
      <alignment vertical="top" wrapText="1"/>
    </xf>
    <xf numFmtId="0" fontId="9" fillId="41" borderId="1" xfId="0" applyFont="1" applyFill="1" applyBorder="1"/>
    <xf numFmtId="0" fontId="9" fillId="41" borderId="1" xfId="0" applyFont="1" applyFill="1" applyBorder="1" applyAlignment="1">
      <alignment horizontal="left"/>
    </xf>
    <xf numFmtId="0" fontId="9" fillId="34" borderId="1" xfId="41" applyFill="1" applyBorder="1"/>
    <xf numFmtId="0" fontId="9" fillId="34" borderId="1" xfId="0" applyFont="1" applyFill="1" applyBorder="1" applyAlignment="1">
      <alignment horizontal="left" wrapText="1"/>
    </xf>
    <xf numFmtId="0" fontId="9" fillId="38" borderId="1" xfId="0" applyFont="1" applyFill="1" applyBorder="1" applyAlignment="1">
      <alignment horizontal="left"/>
    </xf>
    <xf numFmtId="0" fontId="9" fillId="0" borderId="1" xfId="0" applyFont="1" applyBorder="1" applyAlignment="1">
      <alignment horizontal="center" vertical="top"/>
    </xf>
    <xf numFmtId="0" fontId="9" fillId="34" borderId="1" xfId="40" applyFont="1" applyFill="1" applyBorder="1" applyAlignment="1">
      <alignment horizontal="left"/>
    </xf>
    <xf numFmtId="14" fontId="0" fillId="0" borderId="1" xfId="0" applyNumberFormat="1" applyBorder="1" applyAlignment="1">
      <alignment horizontal="left" vertical="top"/>
    </xf>
    <xf numFmtId="0" fontId="7" fillId="40" borderId="1" xfId="0" applyFont="1" applyFill="1" applyBorder="1" applyAlignment="1">
      <alignment horizontal="left" vertical="top"/>
    </xf>
    <xf numFmtId="0" fontId="32" fillId="34" borderId="1" xfId="0" applyFont="1" applyFill="1" applyBorder="1" applyAlignment="1">
      <alignment wrapText="1"/>
    </xf>
    <xf numFmtId="0" fontId="32" fillId="37" borderId="1" xfId="0" applyFont="1" applyFill="1" applyBorder="1"/>
    <xf numFmtId="0" fontId="9" fillId="37" borderId="1" xfId="0" applyFont="1" applyFill="1" applyBorder="1"/>
    <xf numFmtId="0" fontId="7" fillId="34" borderId="1" xfId="0" applyFont="1" applyFill="1" applyBorder="1"/>
    <xf numFmtId="0" fontId="9" fillId="0" borderId="1" xfId="0" applyFont="1" applyBorder="1" applyAlignment="1">
      <alignment horizontal="left" vertical="top" wrapText="1"/>
    </xf>
    <xf numFmtId="0" fontId="9" fillId="37" borderId="1" xfId="0" applyFont="1" applyFill="1" applyBorder="1" applyAlignment="1">
      <alignment horizontal="left" vertical="top" wrapText="1"/>
    </xf>
    <xf numFmtId="0" fontId="9" fillId="0" borderId="1" xfId="1" applyBorder="1" applyAlignment="1">
      <alignment vertical="top"/>
    </xf>
    <xf numFmtId="0" fontId="7" fillId="2" borderId="1" xfId="40" applyFont="1" applyFill="1" applyBorder="1"/>
    <xf numFmtId="0" fontId="7" fillId="2" borderId="1" xfId="40" applyFont="1" applyFill="1" applyBorder="1" applyAlignment="1">
      <alignment horizontal="left"/>
    </xf>
    <xf numFmtId="0" fontId="33" fillId="0" borderId="1" xfId="0" applyFont="1" applyBorder="1" applyAlignment="1">
      <alignment horizontal="left" vertical="top"/>
    </xf>
    <xf numFmtId="0" fontId="9" fillId="0" borderId="1" xfId="40" applyFont="1" applyBorder="1" applyAlignment="1">
      <alignment horizontal="left" vertical="top"/>
    </xf>
    <xf numFmtId="0" fontId="7" fillId="42" borderId="1" xfId="0" applyFont="1" applyFill="1" applyBorder="1" applyAlignment="1">
      <alignment horizontal="center" vertical="center" wrapText="1"/>
    </xf>
    <xf numFmtId="0" fontId="32" fillId="39" borderId="1" xfId="0" applyFont="1" applyFill="1" applyBorder="1" applyAlignment="1">
      <alignment wrapText="1"/>
    </xf>
    <xf numFmtId="0" fontId="32" fillId="34" borderId="1" xfId="0" applyFont="1" applyFill="1" applyBorder="1" applyAlignment="1">
      <alignment vertical="center" wrapText="1"/>
    </xf>
    <xf numFmtId="0" fontId="9" fillId="34" borderId="1" xfId="0" applyFont="1" applyFill="1" applyBorder="1" applyAlignment="1">
      <alignment wrapText="1"/>
    </xf>
    <xf numFmtId="14" fontId="9" fillId="0" borderId="1" xfId="0" applyNumberFormat="1" applyFont="1" applyBorder="1" applyAlignment="1">
      <alignment horizontal="left" vertical="top"/>
    </xf>
    <xf numFmtId="49" fontId="9" fillId="0" borderId="1" xfId="0" applyNumberFormat="1" applyFont="1" applyBorder="1" applyAlignment="1">
      <alignment horizontal="left" vertical="top"/>
    </xf>
    <xf numFmtId="0" fontId="9" fillId="0" borderId="1" xfId="0" applyFont="1" applyBorder="1" applyAlignment="1">
      <alignment horizontal="left" wrapText="1"/>
    </xf>
    <xf numFmtId="0" fontId="7" fillId="0" borderId="0" xfId="0" applyFont="1"/>
    <xf numFmtId="0" fontId="33" fillId="0" borderId="0" xfId="0" applyFont="1"/>
    <xf numFmtId="164" fontId="9" fillId="0" borderId="1" xfId="0" applyNumberFormat="1" applyFont="1" applyBorder="1" applyAlignment="1">
      <alignment horizontal="left"/>
    </xf>
    <xf numFmtId="0" fontId="9" fillId="44" borderId="1" xfId="0" applyFont="1" applyFill="1" applyBorder="1" applyAlignment="1">
      <alignment horizontal="left" vertical="top"/>
    </xf>
    <xf numFmtId="165" fontId="7" fillId="2" borderId="1" xfId="40" applyNumberFormat="1" applyFont="1" applyFill="1" applyBorder="1" applyAlignment="1">
      <alignment wrapText="1"/>
    </xf>
    <xf numFmtId="165" fontId="9" fillId="34" borderId="1" xfId="0" applyNumberFormat="1" applyFont="1" applyFill="1" applyBorder="1" applyAlignment="1">
      <alignment wrapText="1"/>
    </xf>
    <xf numFmtId="165" fontId="9" fillId="0" borderId="1" xfId="0" applyNumberFormat="1" applyFont="1" applyBorder="1" applyAlignment="1">
      <alignment wrapText="1"/>
    </xf>
    <xf numFmtId="0" fontId="9" fillId="0" borderId="1" xfId="40" applyFont="1" applyBorder="1" applyAlignment="1">
      <alignment wrapText="1"/>
    </xf>
    <xf numFmtId="0" fontId="34" fillId="0" borderId="1" xfId="41" applyFont="1" applyBorder="1" applyAlignment="1">
      <alignment wrapText="1"/>
    </xf>
    <xf numFmtId="0" fontId="0" fillId="0" borderId="1" xfId="0" applyBorder="1" applyAlignment="1">
      <alignment wrapText="1"/>
    </xf>
    <xf numFmtId="0" fontId="7" fillId="2" borderId="17" xfId="40" applyFont="1" applyFill="1" applyBorder="1"/>
    <xf numFmtId="0" fontId="7" fillId="2" borderId="5" xfId="40" applyFont="1" applyFill="1" applyBorder="1"/>
    <xf numFmtId="0" fontId="9" fillId="36" borderId="1" xfId="0" applyFont="1" applyFill="1" applyBorder="1" applyAlignment="1">
      <alignment wrapText="1"/>
    </xf>
    <xf numFmtId="0" fontId="32" fillId="0" borderId="1" xfId="0" applyFont="1" applyBorder="1" applyAlignment="1">
      <alignment vertical="top" wrapText="1"/>
    </xf>
    <xf numFmtId="0" fontId="9" fillId="0" borderId="1" xfId="41" applyBorder="1" applyAlignment="1">
      <alignment wrapText="1"/>
    </xf>
    <xf numFmtId="165" fontId="9" fillId="45" borderId="1" xfId="0" applyNumberFormat="1" applyFont="1" applyFill="1" applyBorder="1" applyAlignment="1">
      <alignment wrapText="1"/>
    </xf>
    <xf numFmtId="0" fontId="9" fillId="45" borderId="1" xfId="0" applyFont="1" applyFill="1" applyBorder="1"/>
    <xf numFmtId="0" fontId="9" fillId="45" borderId="1" xfId="40" applyFont="1" applyFill="1" applyBorder="1"/>
    <xf numFmtId="0" fontId="9" fillId="45" borderId="1" xfId="0" applyFont="1" applyFill="1" applyBorder="1" applyAlignment="1">
      <alignment vertical="top"/>
    </xf>
    <xf numFmtId="0" fontId="9" fillId="45" borderId="1" xfId="40" applyFont="1" applyFill="1" applyBorder="1" applyAlignment="1">
      <alignment horizontal="left" vertical="top"/>
    </xf>
    <xf numFmtId="0" fontId="9" fillId="45" borderId="1" xfId="0" applyFont="1" applyFill="1" applyBorder="1" applyAlignment="1">
      <alignment horizontal="left" vertical="top"/>
    </xf>
    <xf numFmtId="165" fontId="9" fillId="45" borderId="1" xfId="0" applyNumberFormat="1" applyFont="1" applyFill="1" applyBorder="1" applyAlignment="1">
      <alignment vertical="center" wrapText="1"/>
    </xf>
    <xf numFmtId="0" fontId="9" fillId="45" borderId="1" xfId="0" applyFont="1" applyFill="1" applyBorder="1" applyAlignment="1">
      <alignment horizontal="left" vertical="center"/>
    </xf>
    <xf numFmtId="0" fontId="9" fillId="44" borderId="1" xfId="0" applyFont="1" applyFill="1" applyBorder="1"/>
    <xf numFmtId="165" fontId="9" fillId="44" borderId="1" xfId="0" applyNumberFormat="1" applyFont="1" applyFill="1" applyBorder="1" applyAlignment="1">
      <alignment wrapText="1"/>
    </xf>
    <xf numFmtId="0" fontId="9" fillId="44" borderId="1" xfId="40" applyFont="1" applyFill="1" applyBorder="1"/>
    <xf numFmtId="0" fontId="9" fillId="44" borderId="1" xfId="40" applyFont="1" applyFill="1" applyBorder="1" applyAlignment="1">
      <alignment horizontal="left" vertical="top"/>
    </xf>
    <xf numFmtId="0" fontId="9" fillId="44" borderId="1" xfId="0" applyFont="1" applyFill="1" applyBorder="1" applyAlignment="1">
      <alignment vertical="top"/>
    </xf>
    <xf numFmtId="0" fontId="9" fillId="44" borderId="1" xfId="40" applyFont="1" applyFill="1" applyBorder="1" applyAlignment="1">
      <alignment vertical="top"/>
    </xf>
    <xf numFmtId="165" fontId="9" fillId="44" borderId="1" xfId="0" applyNumberFormat="1" applyFont="1" applyFill="1" applyBorder="1" applyAlignment="1">
      <alignment vertical="center" wrapText="1"/>
    </xf>
    <xf numFmtId="0" fontId="9" fillId="44" borderId="1" xfId="0" applyFont="1" applyFill="1" applyBorder="1" applyAlignment="1">
      <alignment horizontal="left" vertical="center"/>
    </xf>
    <xf numFmtId="0" fontId="9" fillId="44" borderId="1" xfId="40" applyFont="1" applyFill="1" applyBorder="1" applyAlignment="1">
      <alignment horizontal="left" vertical="center"/>
    </xf>
    <xf numFmtId="0" fontId="9" fillId="45" borderId="1" xfId="40" applyFont="1" applyFill="1" applyBorder="1" applyAlignment="1">
      <alignment vertical="top"/>
    </xf>
    <xf numFmtId="0" fontId="9" fillId="45" borderId="1" xfId="40" applyFont="1" applyFill="1" applyBorder="1" applyAlignment="1">
      <alignment horizontal="left" vertical="center"/>
    </xf>
    <xf numFmtId="0" fontId="38" fillId="0" borderId="0" xfId="0" applyFont="1" applyAlignment="1">
      <alignment horizontal="left" vertical="center" indent="1"/>
    </xf>
    <xf numFmtId="0" fontId="38" fillId="0" borderId="0" xfId="0" applyFont="1" applyAlignment="1">
      <alignment horizontal="left" vertical="center" indent="2"/>
    </xf>
    <xf numFmtId="0" fontId="38" fillId="0" borderId="0" xfId="0" applyFont="1" applyAlignment="1">
      <alignment vertical="center"/>
    </xf>
    <xf numFmtId="0" fontId="39" fillId="0" borderId="0" xfId="0" applyFont="1"/>
    <xf numFmtId="14" fontId="0" fillId="0" borderId="0" xfId="0" applyNumberFormat="1" applyAlignment="1">
      <alignment horizontal="left" vertical="top"/>
    </xf>
    <xf numFmtId="0" fontId="9" fillId="0" borderId="0" xfId="0" applyFont="1" applyAlignment="1">
      <alignment horizontal="left" vertical="top" wrapText="1"/>
    </xf>
    <xf numFmtId="49" fontId="0" fillId="0" borderId="1" xfId="0" applyNumberFormat="1" applyBorder="1" applyAlignment="1">
      <alignment horizontal="left" vertical="top"/>
    </xf>
    <xf numFmtId="0" fontId="7" fillId="34" borderId="1" xfId="0" applyFont="1" applyFill="1" applyBorder="1" applyAlignment="1">
      <alignment wrapText="1"/>
    </xf>
    <xf numFmtId="0" fontId="7" fillId="0" borderId="1" xfId="0" applyFont="1" applyBorder="1" applyAlignment="1">
      <alignment wrapText="1"/>
    </xf>
    <xf numFmtId="0" fontId="9" fillId="37" borderId="1" xfId="0" applyFont="1" applyFill="1" applyBorder="1" applyAlignment="1">
      <alignment wrapText="1"/>
    </xf>
    <xf numFmtId="0" fontId="32" fillId="37" borderId="1" xfId="0" applyFont="1" applyFill="1" applyBorder="1" applyAlignment="1">
      <alignment wrapText="1"/>
    </xf>
    <xf numFmtId="0" fontId="0" fillId="34" borderId="1" xfId="0" applyFill="1" applyBorder="1" applyAlignment="1">
      <alignment horizontal="left" vertical="center" wrapText="1"/>
    </xf>
    <xf numFmtId="0" fontId="40" fillId="46" borderId="32" xfId="0" applyFont="1" applyFill="1" applyBorder="1" applyAlignment="1">
      <alignment vertical="center"/>
    </xf>
    <xf numFmtId="0" fontId="40" fillId="46" borderId="33" xfId="0" applyFont="1" applyFill="1" applyBorder="1" applyAlignment="1">
      <alignment vertical="center"/>
    </xf>
    <xf numFmtId="0" fontId="41" fillId="0" borderId="34" xfId="0" applyFont="1" applyBorder="1" applyAlignment="1">
      <alignment vertical="center"/>
    </xf>
    <xf numFmtId="0" fontId="41" fillId="0" borderId="35" xfId="0" applyFont="1" applyBorder="1" applyAlignment="1">
      <alignment vertical="center"/>
    </xf>
    <xf numFmtId="0" fontId="41" fillId="0" borderId="35" xfId="0" applyFont="1" applyBorder="1" applyAlignment="1">
      <alignment vertical="center" wrapText="1"/>
    </xf>
    <xf numFmtId="0" fontId="7" fillId="44" borderId="1" xfId="0" applyFont="1" applyFill="1" applyBorder="1" applyAlignment="1">
      <alignment wrapText="1"/>
    </xf>
    <xf numFmtId="0" fontId="9" fillId="47" borderId="1" xfId="0" applyFont="1" applyFill="1" applyBorder="1"/>
    <xf numFmtId="0" fontId="9" fillId="47" borderId="1" xfId="40" applyFont="1" applyFill="1" applyBorder="1"/>
    <xf numFmtId="0" fontId="9" fillId="47" borderId="1" xfId="0" applyFont="1" applyFill="1" applyBorder="1" applyAlignment="1">
      <alignment horizontal="left"/>
    </xf>
    <xf numFmtId="0" fontId="7" fillId="47" borderId="1" xfId="0" applyFont="1" applyFill="1" applyBorder="1" applyAlignment="1">
      <alignment wrapText="1"/>
    </xf>
    <xf numFmtId="165" fontId="9" fillId="47" borderId="1" xfId="0" applyNumberFormat="1" applyFont="1" applyFill="1" applyBorder="1" applyAlignment="1">
      <alignment wrapText="1"/>
    </xf>
    <xf numFmtId="0" fontId="9" fillId="47" borderId="1" xfId="40" applyFont="1" applyFill="1" applyBorder="1" applyAlignment="1">
      <alignment horizontal="left" vertical="top"/>
    </xf>
    <xf numFmtId="0" fontId="9" fillId="44" borderId="1" xfId="0" applyFont="1" applyFill="1" applyBorder="1" applyAlignment="1">
      <alignment wrapText="1"/>
    </xf>
    <xf numFmtId="0" fontId="9" fillId="44" borderId="1" xfId="40" applyFont="1" applyFill="1" applyBorder="1" applyAlignment="1">
      <alignment horizontal="left" wrapText="1"/>
    </xf>
    <xf numFmtId="0" fontId="9" fillId="44" borderId="1" xfId="40" applyFont="1" applyFill="1" applyBorder="1" applyAlignment="1">
      <alignment horizontal="left"/>
    </xf>
    <xf numFmtId="165" fontId="9" fillId="0" borderId="1" xfId="40" applyNumberFormat="1" applyFont="1" applyBorder="1"/>
    <xf numFmtId="165" fontId="7" fillId="2" borderId="1" xfId="40" applyNumberFormat="1" applyFont="1" applyFill="1" applyBorder="1"/>
    <xf numFmtId="165" fontId="9" fillId="45" borderId="1" xfId="0" applyNumberFormat="1" applyFont="1" applyFill="1" applyBorder="1"/>
    <xf numFmtId="165" fontId="9" fillId="44" borderId="1" xfId="0" applyNumberFormat="1" applyFont="1" applyFill="1" applyBorder="1"/>
    <xf numFmtId="165" fontId="0" fillId="0" borderId="1" xfId="0" applyNumberFormat="1" applyBorder="1"/>
    <xf numFmtId="0" fontId="7" fillId="2" borderId="1" xfId="1" applyFont="1" applyFill="1" applyBorder="1" applyAlignment="1">
      <alignment vertical="top"/>
    </xf>
    <xf numFmtId="0" fontId="9" fillId="0" borderId="1" xfId="1" applyBorder="1" applyAlignment="1">
      <alignment vertical="top"/>
    </xf>
    <xf numFmtId="0" fontId="0" fillId="0" borderId="5" xfId="1" applyFont="1" applyBorder="1" applyAlignment="1">
      <alignment vertical="top"/>
    </xf>
    <xf numFmtId="0" fontId="0" fillId="0" borderId="16" xfId="1" applyFont="1" applyBorder="1" applyAlignment="1">
      <alignment vertical="top"/>
    </xf>
    <xf numFmtId="0" fontId="7" fillId="0" borderId="1" xfId="1" applyFont="1" applyBorder="1" applyAlignment="1">
      <alignment vertical="top"/>
    </xf>
    <xf numFmtId="0" fontId="7" fillId="2" borderId="1" xfId="1" applyFont="1" applyFill="1" applyBorder="1" applyAlignment="1">
      <alignment vertical="top" wrapText="1"/>
    </xf>
    <xf numFmtId="0" fontId="9" fillId="0" borderId="1" xfId="1" applyBorder="1" applyAlignment="1">
      <alignment vertical="top" wrapText="1"/>
    </xf>
    <xf numFmtId="0" fontId="7" fillId="2" borderId="17" xfId="1" applyFont="1" applyFill="1" applyBorder="1" applyAlignment="1">
      <alignment horizontal="left" vertical="top"/>
    </xf>
    <xf numFmtId="0" fontId="7" fillId="2" borderId="5" xfId="1" applyFont="1" applyFill="1" applyBorder="1" applyAlignment="1">
      <alignment horizontal="left" vertical="top"/>
    </xf>
    <xf numFmtId="0" fontId="7" fillId="0" borderId="18" xfId="1" applyFont="1" applyBorder="1" applyAlignment="1">
      <alignment vertical="top"/>
    </xf>
    <xf numFmtId="0" fontId="7" fillId="0" borderId="11" xfId="1" applyFont="1" applyBorder="1" applyAlignment="1">
      <alignment vertical="top"/>
    </xf>
    <xf numFmtId="0" fontId="7" fillId="2" borderId="13" xfId="1" applyFont="1" applyFill="1" applyBorder="1" applyAlignment="1">
      <alignment vertical="top"/>
    </xf>
    <xf numFmtId="0" fontId="9" fillId="0" borderId="14" xfId="1" applyBorder="1" applyAlignment="1">
      <alignment vertical="top"/>
    </xf>
    <xf numFmtId="0" fontId="9" fillId="0" borderId="15" xfId="1" applyBorder="1" applyAlignment="1">
      <alignment vertical="top"/>
    </xf>
    <xf numFmtId="0" fontId="9" fillId="0" borderId="18" xfId="1" applyBorder="1" applyAlignment="1">
      <alignment vertical="top"/>
    </xf>
    <xf numFmtId="0" fontId="0" fillId="0" borderId="18" xfId="1" applyFont="1" applyBorder="1" applyAlignment="1">
      <alignment vertical="top"/>
    </xf>
    <xf numFmtId="0" fontId="0" fillId="0" borderId="11" xfId="1" applyFont="1" applyBorder="1" applyAlignment="1">
      <alignment vertical="top"/>
    </xf>
    <xf numFmtId="0" fontId="7" fillId="0" borderId="11" xfId="1" applyFont="1" applyBorder="1" applyAlignment="1">
      <alignment horizontal="center" vertical="top"/>
    </xf>
    <xf numFmtId="0" fontId="7" fillId="0" borderId="0" xfId="1" applyFont="1" applyAlignment="1">
      <alignment horizontal="center" vertical="top"/>
    </xf>
    <xf numFmtId="0" fontId="7" fillId="2" borderId="12" xfId="40" applyFont="1" applyFill="1" applyBorder="1" applyAlignment="1">
      <alignment horizontal="center" vertical="top"/>
    </xf>
    <xf numFmtId="0" fontId="7" fillId="2" borderId="6" xfId="40" applyFont="1" applyFill="1" applyBorder="1" applyAlignment="1">
      <alignment horizontal="center" vertical="top"/>
    </xf>
    <xf numFmtId="0" fontId="7" fillId="2" borderId="10" xfId="40" applyFont="1" applyFill="1" applyBorder="1" applyAlignment="1">
      <alignment horizontal="center" vertical="top"/>
    </xf>
    <xf numFmtId="0" fontId="7" fillId="2" borderId="17" xfId="40" applyFont="1" applyFill="1" applyBorder="1" applyAlignment="1">
      <alignment horizontal="center" vertical="center" wrapText="1"/>
    </xf>
    <xf numFmtId="0" fontId="7" fillId="2" borderId="5" xfId="40" applyFont="1" applyFill="1" applyBorder="1" applyAlignment="1">
      <alignment horizontal="center" vertical="center" wrapText="1"/>
    </xf>
    <xf numFmtId="0" fontId="9" fillId="0" borderId="19" xfId="40" applyFont="1" applyBorder="1"/>
    <xf numFmtId="0" fontId="9" fillId="0" borderId="1" xfId="40" applyFont="1" applyBorder="1"/>
    <xf numFmtId="0" fontId="9" fillId="0" borderId="17" xfId="40" applyFont="1" applyBorder="1"/>
    <xf numFmtId="0" fontId="7" fillId="2" borderId="1" xfId="40" applyFont="1" applyFill="1" applyBorder="1"/>
    <xf numFmtId="0" fontId="7" fillId="2" borderId="1" xfId="40" applyFont="1" applyFill="1" applyBorder="1" applyAlignment="1">
      <alignment wrapText="1"/>
    </xf>
    <xf numFmtId="0" fontId="7" fillId="2" borderId="1" xfId="40" applyFont="1" applyFill="1" applyBorder="1" applyAlignment="1">
      <alignment horizontal="left"/>
    </xf>
    <xf numFmtId="0" fontId="7" fillId="2" borderId="1" xfId="40" applyFont="1" applyFill="1" applyBorder="1" applyAlignment="1">
      <alignment horizontal="left" vertical="top" wrapText="1"/>
    </xf>
    <xf numFmtId="0" fontId="9" fillId="43" borderId="1" xfId="0" applyFont="1" applyFill="1" applyBorder="1" applyAlignment="1">
      <alignment horizontal="left" vertical="top" wrapText="1"/>
    </xf>
    <xf numFmtId="0" fontId="9" fillId="41" borderId="1" xfId="41" applyFill="1" applyBorder="1" applyAlignment="1">
      <alignment horizontal="center" vertical="center"/>
    </xf>
    <xf numFmtId="0" fontId="0" fillId="0" borderId="1" xfId="0" applyBorder="1" applyAlignment="1">
      <alignment horizontal="center" vertical="top" wrapText="1"/>
    </xf>
    <xf numFmtId="0" fontId="7" fillId="2" borderId="17" xfId="40" applyFont="1" applyFill="1" applyBorder="1"/>
    <xf numFmtId="0" fontId="7" fillId="2" borderId="5" xfId="40" applyFont="1" applyFill="1" applyBorder="1"/>
  </cellXfs>
  <cellStyles count="104">
    <cellStyle name="_x000d__x000a_JournalTemplate=C:\COMFO\CTALK\JOURSTD.TPL_x000d__x000a_LbStateAddress=3 3 0 251 1 89 2 311_x000d__x000a_LbStateJou" xfId="1" xr:uid="{00000000-0005-0000-0000-000000000000}"/>
    <cellStyle name="%" xfId="2" xr:uid="{00000000-0005-0000-0000-000001000000}"/>
    <cellStyle name="20% - Accent1" xfId="3" builtinId="30" customBuiltin="1"/>
    <cellStyle name="20% - Accent1 2" xfId="54" xr:uid="{00000000-0005-0000-0000-000003000000}"/>
    <cellStyle name="20% - Accent1 2 2" xfId="86" xr:uid="{00000000-0005-0000-0000-000004000000}"/>
    <cellStyle name="20% - Accent1 3" xfId="71" xr:uid="{00000000-0005-0000-0000-000005000000}"/>
    <cellStyle name="20% - Accent2" xfId="4" builtinId="34" customBuiltin="1"/>
    <cellStyle name="20% - Accent2 2" xfId="55" xr:uid="{00000000-0005-0000-0000-000007000000}"/>
    <cellStyle name="20% - Accent2 2 2" xfId="87" xr:uid="{00000000-0005-0000-0000-000008000000}"/>
    <cellStyle name="20% - Accent2 3" xfId="72" xr:uid="{00000000-0005-0000-0000-000009000000}"/>
    <cellStyle name="20% - Accent3" xfId="5" builtinId="38" customBuiltin="1"/>
    <cellStyle name="20% - Accent3 2" xfId="56" xr:uid="{00000000-0005-0000-0000-00000B000000}"/>
    <cellStyle name="20% - Accent3 2 2" xfId="88" xr:uid="{00000000-0005-0000-0000-00000C000000}"/>
    <cellStyle name="20% - Accent3 3" xfId="73" xr:uid="{00000000-0005-0000-0000-00000D000000}"/>
    <cellStyle name="20% - Accent4" xfId="6" builtinId="42" customBuiltin="1"/>
    <cellStyle name="20% - Accent4 2" xfId="57" xr:uid="{00000000-0005-0000-0000-00000F000000}"/>
    <cellStyle name="20% - Accent4 2 2" xfId="89" xr:uid="{00000000-0005-0000-0000-000010000000}"/>
    <cellStyle name="20% - Accent4 3" xfId="74" xr:uid="{00000000-0005-0000-0000-000011000000}"/>
    <cellStyle name="20% - Accent5" xfId="7" builtinId="46" customBuiltin="1"/>
    <cellStyle name="20% - Accent5 2" xfId="58" xr:uid="{00000000-0005-0000-0000-000013000000}"/>
    <cellStyle name="20% - Accent5 2 2" xfId="90" xr:uid="{00000000-0005-0000-0000-000014000000}"/>
    <cellStyle name="20% - Accent5 3" xfId="75" xr:uid="{00000000-0005-0000-0000-000015000000}"/>
    <cellStyle name="20% - Accent6" xfId="8" builtinId="50" customBuiltin="1"/>
    <cellStyle name="20% - Accent6 2" xfId="59" xr:uid="{00000000-0005-0000-0000-000017000000}"/>
    <cellStyle name="20% - Accent6 2 2" xfId="91" xr:uid="{00000000-0005-0000-0000-000018000000}"/>
    <cellStyle name="20% - Accent6 3" xfId="76" xr:uid="{00000000-0005-0000-0000-000019000000}"/>
    <cellStyle name="40% - Accent1" xfId="9" builtinId="31" customBuiltin="1"/>
    <cellStyle name="40% - Accent1 2" xfId="60" xr:uid="{00000000-0005-0000-0000-00001B000000}"/>
    <cellStyle name="40% - Accent1 2 2" xfId="92" xr:uid="{00000000-0005-0000-0000-00001C000000}"/>
    <cellStyle name="40% - Accent1 3" xfId="77" xr:uid="{00000000-0005-0000-0000-00001D000000}"/>
    <cellStyle name="40% - Accent2" xfId="10" builtinId="35" customBuiltin="1"/>
    <cellStyle name="40% - Accent2 2" xfId="61" xr:uid="{00000000-0005-0000-0000-00001F000000}"/>
    <cellStyle name="40% - Accent2 2 2" xfId="93" xr:uid="{00000000-0005-0000-0000-000020000000}"/>
    <cellStyle name="40% - Accent2 3" xfId="78" xr:uid="{00000000-0005-0000-0000-000021000000}"/>
    <cellStyle name="40% - Accent3" xfId="11" builtinId="39" customBuiltin="1"/>
    <cellStyle name="40% - Accent3 2" xfId="62" xr:uid="{00000000-0005-0000-0000-000023000000}"/>
    <cellStyle name="40% - Accent3 2 2" xfId="94" xr:uid="{00000000-0005-0000-0000-000024000000}"/>
    <cellStyle name="40% - Accent3 3" xfId="79" xr:uid="{00000000-0005-0000-0000-000025000000}"/>
    <cellStyle name="40% - Accent4" xfId="12" builtinId="43" customBuiltin="1"/>
    <cellStyle name="40% - Accent4 2" xfId="63" xr:uid="{00000000-0005-0000-0000-000027000000}"/>
    <cellStyle name="40% - Accent4 2 2" xfId="95" xr:uid="{00000000-0005-0000-0000-000028000000}"/>
    <cellStyle name="40% - Accent4 3" xfId="80" xr:uid="{00000000-0005-0000-0000-000029000000}"/>
    <cellStyle name="40% - Accent5" xfId="13" builtinId="47" customBuiltin="1"/>
    <cellStyle name="40% - Accent5 2" xfId="64" xr:uid="{00000000-0005-0000-0000-00002B000000}"/>
    <cellStyle name="40% - Accent5 2 2" xfId="96" xr:uid="{00000000-0005-0000-0000-00002C000000}"/>
    <cellStyle name="40% - Accent5 3" xfId="81" xr:uid="{00000000-0005-0000-0000-00002D000000}"/>
    <cellStyle name="40% - Accent6" xfId="14" builtinId="51" customBuiltin="1"/>
    <cellStyle name="40% - Accent6 2" xfId="65" xr:uid="{00000000-0005-0000-0000-00002F000000}"/>
    <cellStyle name="40% - Accent6 2 2" xfId="97" xr:uid="{00000000-0005-0000-0000-000030000000}"/>
    <cellStyle name="40% - Accent6 3" xfId="82" xr:uid="{00000000-0005-0000-0000-000031000000}"/>
    <cellStyle name="60% - Accent1" xfId="15" builtinId="32" customBuiltin="1"/>
    <cellStyle name="60% - Accent2" xfId="16" builtinId="36" customBuiltin="1"/>
    <cellStyle name="60% - Accent3" xfId="17" builtinId="40" customBuiltin="1"/>
    <cellStyle name="60% - Accent4" xfId="18" builtinId="44" customBuiltin="1"/>
    <cellStyle name="60% - Accent5" xfId="19" builtinId="48" customBuiltin="1"/>
    <cellStyle name="60% - Accent6" xfId="20" builtinId="52" customBuiltin="1"/>
    <cellStyle name="Accent1" xfId="21" builtinId="29" customBuiltin="1"/>
    <cellStyle name="Accent2" xfId="22" builtinId="33" customBuiltin="1"/>
    <cellStyle name="Accent3" xfId="23" builtinId="37" customBuiltin="1"/>
    <cellStyle name="Accent4" xfId="24" builtinId="41" customBuiltin="1"/>
    <cellStyle name="Accent5" xfId="25" builtinId="45" customBuiltin="1"/>
    <cellStyle name="Accent6" xfId="26" builtinId="49" customBuiltin="1"/>
    <cellStyle name="AllStyle" xfId="27" xr:uid="{00000000-0005-0000-0000-00003E000000}"/>
    <cellStyle name="Bad" xfId="28" builtinId="27" customBuiltin="1"/>
    <cellStyle name="BodyStyle" xfId="29" xr:uid="{00000000-0005-0000-0000-000040000000}"/>
    <cellStyle name="Calculation" xfId="30" builtinId="22" customBuiltin="1"/>
    <cellStyle name="Check Cell" xfId="31" builtinId="23" customBuiltin="1"/>
    <cellStyle name="Explanatory Text" xfId="32" builtinId="53" customBuiltin="1"/>
    <cellStyle name="Good" xfId="33" builtinId="26" customBuiltin="1"/>
    <cellStyle name="HeaderStyle" xfId="34" xr:uid="{00000000-0005-0000-0000-000045000000}"/>
    <cellStyle name="Heading 1" xfId="35" builtinId="16" customBuiltin="1"/>
    <cellStyle name="Heading 2" xfId="36" builtinId="17" customBuiltin="1"/>
    <cellStyle name="Heading 3" xfId="37" builtinId="18" customBuiltin="1"/>
    <cellStyle name="Heading 4" xfId="38" builtinId="19" customBuiltin="1"/>
    <cellStyle name="Hyperlink 2" xfId="70" xr:uid="{00000000-0005-0000-0000-00004A000000}"/>
    <cellStyle name="Input" xfId="39" builtinId="20" customBuiltin="1"/>
    <cellStyle name="Jun" xfId="40" xr:uid="{00000000-0005-0000-0000-00004C000000}"/>
    <cellStyle name="Jun 2" xfId="41" xr:uid="{00000000-0005-0000-0000-00004D000000}"/>
    <cellStyle name="Linked Cell" xfId="42" builtinId="24" customBuiltin="1"/>
    <cellStyle name="Neutral" xfId="43" builtinId="28" customBuiltin="1"/>
    <cellStyle name="Normal" xfId="0" builtinId="0" customBuiltin="1"/>
    <cellStyle name="Normal 2" xfId="44" xr:uid="{00000000-0005-0000-0000-000051000000}"/>
    <cellStyle name="Normal 3" xfId="45" xr:uid="{00000000-0005-0000-0000-000052000000}"/>
    <cellStyle name="Normal 4" xfId="46" xr:uid="{00000000-0005-0000-0000-000053000000}"/>
    <cellStyle name="Normal 4 2" xfId="66" xr:uid="{00000000-0005-0000-0000-000054000000}"/>
    <cellStyle name="Normal 4 2 2" xfId="98" xr:uid="{00000000-0005-0000-0000-000055000000}"/>
    <cellStyle name="Normal 4 3" xfId="83" xr:uid="{00000000-0005-0000-0000-000056000000}"/>
    <cellStyle name="Normal 5" xfId="53" xr:uid="{00000000-0005-0000-0000-000057000000}"/>
    <cellStyle name="Normal 5 2" xfId="85" xr:uid="{00000000-0005-0000-0000-000058000000}"/>
    <cellStyle name="Normal 6" xfId="68" xr:uid="{00000000-0005-0000-0000-000059000000}"/>
    <cellStyle name="Normal 6 2" xfId="100" xr:uid="{00000000-0005-0000-0000-00005A000000}"/>
    <cellStyle name="Normal 7" xfId="69" xr:uid="{00000000-0005-0000-0000-00005B000000}"/>
    <cellStyle name="Normal 7 2" xfId="101" xr:uid="{00000000-0005-0000-0000-00005C000000}"/>
    <cellStyle name="Normal 8" xfId="103" xr:uid="{AE878A94-8B29-47A8-9307-80892225FF26}"/>
    <cellStyle name="Normal 9" xfId="102" xr:uid="{9FCE645E-CF47-411E-847E-C3725B5176DE}"/>
    <cellStyle name="Note 2" xfId="47" xr:uid="{00000000-0005-0000-0000-00005D000000}"/>
    <cellStyle name="Note 2 2" xfId="67" xr:uid="{00000000-0005-0000-0000-00005E000000}"/>
    <cellStyle name="Note 2 2 2" xfId="99" xr:uid="{00000000-0005-0000-0000-00005F000000}"/>
    <cellStyle name="Note 2 3" xfId="84" xr:uid="{00000000-0005-0000-0000-000060000000}"/>
    <cellStyle name="Output" xfId="48" builtinId="21" customBuiltin="1"/>
    <cellStyle name="Title 2" xfId="49" xr:uid="{00000000-0005-0000-0000-000063000000}"/>
    <cellStyle name="TitleStyle" xfId="50" xr:uid="{00000000-0005-0000-0000-000064000000}"/>
    <cellStyle name="Total" xfId="51" builtinId="25" customBuiltin="1"/>
    <cellStyle name="Warning Text" xfId="52" builtinId="11" customBuiltin="1"/>
  </cellStyles>
  <dxfs count="2">
    <dxf>
      <font>
        <condense val="0"/>
        <extend val="0"/>
        <color rgb="FF006100"/>
      </font>
      <fill>
        <patternFill>
          <bgColor rgb="FFC6EFCE"/>
        </patternFill>
      </fill>
    </dxf>
    <dxf>
      <font>
        <condense val="0"/>
        <extend val="0"/>
        <color rgb="FF006100"/>
      </font>
      <fill>
        <patternFill>
          <bgColor rgb="FFC6EFCE"/>
        </patternFill>
      </fill>
    </dxf>
  </dxfs>
  <tableStyles count="0" defaultTableStyle="TableStyleMedium9" defaultPivotStyle="PivotStyleLight16"/>
  <colors>
    <mruColors>
      <color rgb="FF5382AD"/>
      <color rgb="FFC739B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0"/>
  <sheetViews>
    <sheetView topLeftCell="B1" workbookViewId="0">
      <selection activeCell="I74" sqref="I74"/>
    </sheetView>
  </sheetViews>
  <sheetFormatPr defaultColWidth="9" defaultRowHeight="12.75" x14ac:dyDescent="0.2"/>
  <cols>
    <col min="1" max="1" width="8.28515625" style="21" customWidth="1"/>
    <col min="2" max="2" width="19" style="22" customWidth="1"/>
    <col min="3" max="3" width="28.28515625" style="21" customWidth="1"/>
    <col min="4" max="4" width="12.28515625" style="21" customWidth="1"/>
    <col min="5" max="6" width="16.28515625" style="21" customWidth="1"/>
    <col min="7" max="7" width="29.28515625" style="23" hidden="1" customWidth="1"/>
    <col min="8" max="8" width="17.28515625" style="21" bestFit="1" customWidth="1"/>
    <col min="9" max="9" width="29.28515625" style="21" customWidth="1"/>
    <col min="10" max="10" width="41.28515625" style="21" customWidth="1"/>
    <col min="11" max="16384" width="9" style="21"/>
  </cols>
  <sheetData>
    <row r="1" spans="1:10" ht="13.5" thickBot="1" x14ac:dyDescent="0.25">
      <c r="A1" s="18"/>
      <c r="B1" s="18"/>
      <c r="C1" s="19"/>
      <c r="D1" s="19"/>
      <c r="E1" s="19"/>
      <c r="F1" s="19"/>
      <c r="G1" s="20"/>
      <c r="H1" s="19"/>
    </row>
    <row r="2" spans="1:10" x14ac:dyDescent="0.2">
      <c r="A2" s="225" t="s">
        <v>0</v>
      </c>
      <c r="B2" s="226"/>
      <c r="C2" s="227"/>
      <c r="D2" s="136" t="s">
        <v>1</v>
      </c>
      <c r="E2" s="228"/>
      <c r="F2" s="229"/>
      <c r="G2" s="229"/>
      <c r="H2" s="230"/>
    </row>
    <row r="3" spans="1:10" x14ac:dyDescent="0.2">
      <c r="A3" s="214" t="s">
        <v>2</v>
      </c>
      <c r="B3" s="215"/>
      <c r="C3" s="215"/>
      <c r="D3" s="33" t="s">
        <v>3</v>
      </c>
      <c r="E3" s="231"/>
      <c r="F3" s="232"/>
      <c r="G3" s="232"/>
      <c r="H3" s="232"/>
    </row>
    <row r="4" spans="1:10" x14ac:dyDescent="0.2">
      <c r="A4" s="214" t="s">
        <v>4</v>
      </c>
      <c r="B4" s="215"/>
      <c r="C4" s="215"/>
      <c r="D4" s="136"/>
      <c r="E4" s="229"/>
      <c r="F4" s="229"/>
      <c r="G4" s="229"/>
      <c r="H4" s="230"/>
    </row>
    <row r="5" spans="1:10" x14ac:dyDescent="0.2">
      <c r="A5" s="214" t="s">
        <v>5</v>
      </c>
      <c r="B5" s="215"/>
      <c r="C5" s="215"/>
      <c r="D5" s="136"/>
      <c r="E5" s="223"/>
      <c r="F5" s="223"/>
      <c r="G5" s="223"/>
      <c r="H5" s="224"/>
    </row>
    <row r="6" spans="1:10" x14ac:dyDescent="0.2">
      <c r="A6" s="214" t="s">
        <v>6</v>
      </c>
      <c r="B6" s="215"/>
      <c r="C6" s="215"/>
      <c r="D6" s="136"/>
      <c r="E6" s="216"/>
      <c r="F6" s="216"/>
      <c r="G6" s="216"/>
      <c r="H6" s="217"/>
    </row>
    <row r="7" spans="1:10" x14ac:dyDescent="0.2">
      <c r="A7" s="214" t="s">
        <v>7</v>
      </c>
      <c r="B7" s="214" t="s">
        <v>8</v>
      </c>
      <c r="C7" s="214" t="s">
        <v>9</v>
      </c>
      <c r="D7" s="221" t="s">
        <v>10</v>
      </c>
      <c r="E7" s="219" t="s">
        <v>11</v>
      </c>
      <c r="F7" s="214" t="s">
        <v>12</v>
      </c>
      <c r="G7" s="219" t="s">
        <v>13</v>
      </c>
      <c r="H7" s="214" t="s">
        <v>14</v>
      </c>
    </row>
    <row r="8" spans="1:10" x14ac:dyDescent="0.2">
      <c r="A8" s="215"/>
      <c r="B8" s="218"/>
      <c r="C8" s="215"/>
      <c r="D8" s="222"/>
      <c r="E8" s="215"/>
      <c r="F8" s="215"/>
      <c r="G8" s="220"/>
      <c r="H8" s="215"/>
    </row>
    <row r="9" spans="1:10" s="27" customFormat="1" x14ac:dyDescent="0.2">
      <c r="A9" s="24"/>
      <c r="B9" s="25"/>
      <c r="C9" s="41" t="s">
        <v>15</v>
      </c>
      <c r="D9" s="30"/>
      <c r="E9" s="31" t="s">
        <v>16</v>
      </c>
      <c r="F9" s="41" t="s">
        <v>17</v>
      </c>
      <c r="G9" s="26"/>
      <c r="H9" s="39" t="s">
        <v>18</v>
      </c>
      <c r="I9" s="27" t="s">
        <v>19</v>
      </c>
    </row>
    <row r="10" spans="1:10" x14ac:dyDescent="0.2">
      <c r="A10" s="24"/>
      <c r="B10" s="25"/>
      <c r="C10" s="41" t="s">
        <v>20</v>
      </c>
      <c r="D10" s="30"/>
      <c r="E10" s="31" t="s">
        <v>16</v>
      </c>
      <c r="F10" s="41" t="s">
        <v>21</v>
      </c>
      <c r="G10" s="28"/>
      <c r="H10" s="39" t="s">
        <v>7</v>
      </c>
      <c r="I10" s="21" t="s">
        <v>19</v>
      </c>
    </row>
    <row r="11" spans="1:10" x14ac:dyDescent="0.2">
      <c r="A11" s="24"/>
      <c r="B11" s="25"/>
      <c r="C11" s="41" t="s">
        <v>22</v>
      </c>
      <c r="D11" s="30"/>
      <c r="E11" s="31" t="s">
        <v>23</v>
      </c>
      <c r="F11" s="41" t="s">
        <v>17</v>
      </c>
      <c r="G11" s="28"/>
      <c r="H11" s="39" t="s">
        <v>24</v>
      </c>
      <c r="I11" s="21" t="s">
        <v>25</v>
      </c>
      <c r="J11" s="21" t="s">
        <v>26</v>
      </c>
    </row>
    <row r="12" spans="1:10" x14ac:dyDescent="0.2">
      <c r="A12" s="24"/>
      <c r="B12" s="25"/>
      <c r="C12" s="41" t="s">
        <v>27</v>
      </c>
      <c r="D12" s="30"/>
      <c r="E12" s="31" t="s">
        <v>23</v>
      </c>
      <c r="F12" s="41" t="s">
        <v>28</v>
      </c>
      <c r="G12" s="28"/>
      <c r="H12" s="39" t="s">
        <v>29</v>
      </c>
      <c r="I12" s="21" t="s">
        <v>19</v>
      </c>
    </row>
    <row r="13" spans="1:10" x14ac:dyDescent="0.2">
      <c r="A13" s="24"/>
      <c r="B13" s="25"/>
      <c r="C13" s="41" t="s">
        <v>30</v>
      </c>
      <c r="D13" s="30"/>
      <c r="E13" s="31" t="s">
        <v>16</v>
      </c>
      <c r="F13" s="41" t="s">
        <v>17</v>
      </c>
      <c r="G13" s="28"/>
      <c r="H13" s="39" t="s">
        <v>31</v>
      </c>
      <c r="I13" s="21" t="s">
        <v>32</v>
      </c>
    </row>
    <row r="14" spans="1:10" x14ac:dyDescent="0.2">
      <c r="A14" s="24"/>
      <c r="B14" s="25"/>
      <c r="C14" s="41" t="s">
        <v>33</v>
      </c>
      <c r="D14" s="30"/>
      <c r="E14" s="31" t="s">
        <v>16</v>
      </c>
      <c r="F14" s="41" t="s">
        <v>34</v>
      </c>
      <c r="G14" s="28"/>
      <c r="H14" s="39" t="s">
        <v>35</v>
      </c>
      <c r="I14" s="21" t="s">
        <v>36</v>
      </c>
    </row>
    <row r="15" spans="1:10" x14ac:dyDescent="0.2">
      <c r="A15" s="24"/>
      <c r="B15" s="25"/>
      <c r="C15" s="41" t="s">
        <v>37</v>
      </c>
      <c r="D15" s="30"/>
      <c r="E15" s="31" t="s">
        <v>23</v>
      </c>
      <c r="F15" s="41" t="s">
        <v>21</v>
      </c>
      <c r="G15" s="28"/>
      <c r="H15" s="39" t="s">
        <v>38</v>
      </c>
      <c r="I15" s="21" t="s">
        <v>19</v>
      </c>
    </row>
    <row r="16" spans="1:10" x14ac:dyDescent="0.2">
      <c r="A16" s="24"/>
      <c r="B16" s="25"/>
      <c r="C16" s="41" t="s">
        <v>39</v>
      </c>
      <c r="D16" s="30"/>
      <c r="E16" s="31" t="s">
        <v>23</v>
      </c>
      <c r="F16" s="41" t="s">
        <v>21</v>
      </c>
      <c r="G16" s="28"/>
      <c r="H16" s="39" t="s">
        <v>40</v>
      </c>
      <c r="I16" s="21" t="s">
        <v>19</v>
      </c>
    </row>
    <row r="17" spans="1:9" x14ac:dyDescent="0.2">
      <c r="A17" s="24"/>
      <c r="B17" s="25"/>
      <c r="C17" s="41" t="s">
        <v>41</v>
      </c>
      <c r="D17" s="30"/>
      <c r="E17" s="31" t="s">
        <v>23</v>
      </c>
      <c r="F17" s="41" t="s">
        <v>21</v>
      </c>
      <c r="G17" s="28"/>
      <c r="H17" s="39" t="s">
        <v>42</v>
      </c>
      <c r="I17" s="21" t="s">
        <v>43</v>
      </c>
    </row>
    <row r="18" spans="1:9" x14ac:dyDescent="0.2">
      <c r="A18" s="24"/>
      <c r="B18" s="25"/>
      <c r="C18" s="41" t="s">
        <v>44</v>
      </c>
      <c r="D18" s="30"/>
      <c r="E18" s="31" t="s">
        <v>16</v>
      </c>
      <c r="F18" s="41" t="s">
        <v>21</v>
      </c>
      <c r="G18" s="24"/>
      <c r="H18" s="39" t="s">
        <v>45</v>
      </c>
      <c r="I18" s="21" t="s">
        <v>19</v>
      </c>
    </row>
    <row r="19" spans="1:9" x14ac:dyDescent="0.2">
      <c r="A19" s="24"/>
      <c r="B19" s="25"/>
      <c r="C19" s="41" t="s">
        <v>46</v>
      </c>
      <c r="D19" s="30"/>
      <c r="E19" s="31" t="s">
        <v>23</v>
      </c>
      <c r="F19" s="41" t="s">
        <v>28</v>
      </c>
      <c r="G19" s="24"/>
      <c r="H19" s="39" t="s">
        <v>47</v>
      </c>
      <c r="I19" s="21" t="s">
        <v>43</v>
      </c>
    </row>
    <row r="20" spans="1:9" x14ac:dyDescent="0.2">
      <c r="A20" s="24"/>
      <c r="B20" s="25"/>
      <c r="C20" s="41" t="s">
        <v>48</v>
      </c>
      <c r="D20" s="30"/>
      <c r="E20" s="31" t="s">
        <v>23</v>
      </c>
      <c r="F20" s="41" t="s">
        <v>34</v>
      </c>
      <c r="G20" s="24"/>
      <c r="H20" s="39" t="s">
        <v>49</v>
      </c>
      <c r="I20" s="21" t="s">
        <v>50</v>
      </c>
    </row>
    <row r="21" spans="1:9" x14ac:dyDescent="0.2">
      <c r="A21" s="24"/>
      <c r="B21" s="25"/>
      <c r="C21" s="41" t="s">
        <v>51</v>
      </c>
      <c r="D21" s="30"/>
      <c r="E21" s="31" t="s">
        <v>23</v>
      </c>
      <c r="F21" s="41" t="s">
        <v>21</v>
      </c>
      <c r="G21" s="24"/>
      <c r="H21" s="39" t="s">
        <v>52</v>
      </c>
      <c r="I21" s="21" t="s">
        <v>43</v>
      </c>
    </row>
    <row r="22" spans="1:9" x14ac:dyDescent="0.2">
      <c r="A22" s="24"/>
      <c r="B22" s="25"/>
      <c r="C22" s="41" t="s">
        <v>53</v>
      </c>
      <c r="D22" s="30"/>
      <c r="E22" s="31" t="s">
        <v>23</v>
      </c>
      <c r="F22" s="41" t="s">
        <v>21</v>
      </c>
      <c r="G22" s="24"/>
      <c r="H22" s="39" t="s">
        <v>54</v>
      </c>
      <c r="I22" s="21" t="s">
        <v>55</v>
      </c>
    </row>
    <row r="23" spans="1:9" x14ac:dyDescent="0.2">
      <c r="A23" s="24"/>
      <c r="B23" s="25"/>
      <c r="C23" s="41" t="s">
        <v>56</v>
      </c>
      <c r="D23" s="30"/>
      <c r="E23" s="31" t="s">
        <v>23</v>
      </c>
      <c r="F23" s="41" t="s">
        <v>21</v>
      </c>
      <c r="G23" s="24"/>
      <c r="H23" s="39" t="s">
        <v>57</v>
      </c>
      <c r="I23" s="21" t="s">
        <v>43</v>
      </c>
    </row>
    <row r="24" spans="1:9" x14ac:dyDescent="0.2">
      <c r="A24" s="24"/>
      <c r="B24" s="25"/>
      <c r="C24" s="41" t="s">
        <v>58</v>
      </c>
      <c r="D24" s="30"/>
      <c r="E24" s="31" t="s">
        <v>23</v>
      </c>
      <c r="F24" s="41" t="s">
        <v>28</v>
      </c>
      <c r="G24" s="24"/>
      <c r="H24" s="39" t="s">
        <v>59</v>
      </c>
      <c r="I24" s="21" t="s">
        <v>43</v>
      </c>
    </row>
    <row r="25" spans="1:9" x14ac:dyDescent="0.2">
      <c r="A25" s="24"/>
      <c r="B25" s="25"/>
      <c r="C25" s="41" t="s">
        <v>60</v>
      </c>
      <c r="D25" s="30"/>
      <c r="E25" s="31" t="s">
        <v>16</v>
      </c>
      <c r="F25" s="41" t="s">
        <v>34</v>
      </c>
      <c r="G25" s="24"/>
      <c r="H25" s="39" t="s">
        <v>61</v>
      </c>
      <c r="I25" s="21" t="s">
        <v>62</v>
      </c>
    </row>
    <row r="26" spans="1:9" x14ac:dyDescent="0.2">
      <c r="A26" s="24"/>
      <c r="B26" s="25"/>
      <c r="C26" s="41" t="s">
        <v>63</v>
      </c>
      <c r="D26" s="30"/>
      <c r="E26" s="31" t="s">
        <v>16</v>
      </c>
      <c r="F26" s="41" t="s">
        <v>34</v>
      </c>
      <c r="G26" s="24"/>
      <c r="H26" s="39" t="s">
        <v>64</v>
      </c>
      <c r="I26" s="21" t="s">
        <v>43</v>
      </c>
    </row>
    <row r="27" spans="1:9" x14ac:dyDescent="0.2">
      <c r="A27" s="24"/>
      <c r="B27" s="25"/>
      <c r="C27" s="41" t="s">
        <v>65</v>
      </c>
      <c r="D27" s="30"/>
      <c r="E27" s="31" t="s">
        <v>23</v>
      </c>
      <c r="F27" s="41" t="s">
        <v>66</v>
      </c>
      <c r="G27" s="24"/>
      <c r="H27" s="39" t="s">
        <v>67</v>
      </c>
      <c r="I27" s="21" t="s">
        <v>43</v>
      </c>
    </row>
    <row r="28" spans="1:9" x14ac:dyDescent="0.2">
      <c r="A28" s="24"/>
      <c r="B28" s="25"/>
      <c r="C28" s="41" t="s">
        <v>68</v>
      </c>
      <c r="D28" s="30"/>
      <c r="E28" s="31" t="s">
        <v>23</v>
      </c>
      <c r="F28" s="41" t="s">
        <v>69</v>
      </c>
      <c r="G28" s="24"/>
      <c r="H28" s="39" t="s">
        <v>70</v>
      </c>
      <c r="I28" s="21" t="s">
        <v>43</v>
      </c>
    </row>
    <row r="29" spans="1:9" x14ac:dyDescent="0.2">
      <c r="A29" s="24"/>
      <c r="B29" s="25"/>
      <c r="C29" s="41" t="s">
        <v>71</v>
      </c>
      <c r="D29" s="30"/>
      <c r="E29" s="31" t="s">
        <v>16</v>
      </c>
      <c r="F29" s="41" t="s">
        <v>34</v>
      </c>
      <c r="G29" s="24"/>
      <c r="H29" s="39" t="s">
        <v>72</v>
      </c>
      <c r="I29" s="21" t="s">
        <v>43</v>
      </c>
    </row>
    <row r="30" spans="1:9" x14ac:dyDescent="0.2">
      <c r="A30" s="24"/>
      <c r="B30" s="25"/>
      <c r="C30" s="41" t="s">
        <v>73</v>
      </c>
      <c r="D30" s="30"/>
      <c r="E30" s="31" t="s">
        <v>16</v>
      </c>
      <c r="F30" s="41" t="s">
        <v>34</v>
      </c>
      <c r="G30" s="24"/>
      <c r="H30" s="39" t="s">
        <v>74</v>
      </c>
      <c r="I30" s="21" t="s">
        <v>43</v>
      </c>
    </row>
    <row r="31" spans="1:9" x14ac:dyDescent="0.2">
      <c r="A31" s="24"/>
      <c r="B31" s="25"/>
      <c r="C31" s="41" t="s">
        <v>75</v>
      </c>
      <c r="D31" s="30"/>
      <c r="E31" s="31" t="s">
        <v>23</v>
      </c>
      <c r="F31" s="41" t="s">
        <v>21</v>
      </c>
      <c r="G31" s="24"/>
      <c r="H31" s="39" t="s">
        <v>76</v>
      </c>
      <c r="I31" s="21" t="s">
        <v>43</v>
      </c>
    </row>
    <row r="32" spans="1:9" x14ac:dyDescent="0.2">
      <c r="A32" s="28"/>
      <c r="B32" s="28"/>
      <c r="C32" s="41" t="s">
        <v>77</v>
      </c>
      <c r="D32" s="30"/>
      <c r="E32" s="31" t="s">
        <v>23</v>
      </c>
      <c r="F32" s="41" t="s">
        <v>78</v>
      </c>
      <c r="G32" s="28"/>
      <c r="H32" s="39" t="s">
        <v>79</v>
      </c>
      <c r="I32" s="21" t="s">
        <v>43</v>
      </c>
    </row>
    <row r="33" spans="1:9" x14ac:dyDescent="0.2">
      <c r="A33" s="28"/>
      <c r="B33" s="28"/>
      <c r="C33" s="41" t="s">
        <v>80</v>
      </c>
      <c r="D33" s="30"/>
      <c r="E33" s="31" t="s">
        <v>23</v>
      </c>
      <c r="F33" s="41" t="s">
        <v>69</v>
      </c>
      <c r="G33" s="28"/>
      <c r="H33" s="39" t="s">
        <v>81</v>
      </c>
      <c r="I33" s="21" t="s">
        <v>43</v>
      </c>
    </row>
    <row r="34" spans="1:9" x14ac:dyDescent="0.2">
      <c r="A34" s="28"/>
      <c r="B34" s="25"/>
      <c r="C34" s="41" t="s">
        <v>82</v>
      </c>
      <c r="D34" s="30"/>
      <c r="E34" s="31" t="s">
        <v>16</v>
      </c>
      <c r="F34" s="41" t="s">
        <v>69</v>
      </c>
      <c r="G34" s="32"/>
      <c r="H34" s="39" t="s">
        <v>83</v>
      </c>
      <c r="I34" s="21" t="s">
        <v>19</v>
      </c>
    </row>
    <row r="35" spans="1:9" x14ac:dyDescent="0.2">
      <c r="A35" s="28"/>
      <c r="B35" s="25"/>
      <c r="C35" s="41" t="s">
        <v>84</v>
      </c>
      <c r="D35" s="30"/>
      <c r="E35" s="31" t="s">
        <v>23</v>
      </c>
      <c r="F35" s="41" t="s">
        <v>85</v>
      </c>
      <c r="G35" s="32"/>
      <c r="H35" s="39" t="s">
        <v>86</v>
      </c>
      <c r="I35" s="21" t="s">
        <v>43</v>
      </c>
    </row>
    <row r="36" spans="1:9" x14ac:dyDescent="0.2">
      <c r="A36" s="28"/>
      <c r="B36" s="25"/>
      <c r="C36" s="41" t="s">
        <v>87</v>
      </c>
      <c r="D36" s="30"/>
      <c r="E36" s="31" t="s">
        <v>16</v>
      </c>
      <c r="F36" s="41" t="s">
        <v>34</v>
      </c>
      <c r="G36" s="32"/>
      <c r="H36" s="39" t="s">
        <v>88</v>
      </c>
      <c r="I36" s="21" t="s">
        <v>89</v>
      </c>
    </row>
    <row r="37" spans="1:9" x14ac:dyDescent="0.2">
      <c r="A37" s="28"/>
      <c r="B37" s="25"/>
      <c r="C37" s="41" t="s">
        <v>90</v>
      </c>
      <c r="D37" s="30"/>
      <c r="E37" s="31" t="s">
        <v>23</v>
      </c>
      <c r="F37" s="41" t="s">
        <v>21</v>
      </c>
      <c r="G37" s="32"/>
      <c r="H37" s="39" t="s">
        <v>91</v>
      </c>
      <c r="I37" s="21" t="s">
        <v>43</v>
      </c>
    </row>
    <row r="38" spans="1:9" x14ac:dyDescent="0.2">
      <c r="A38" s="28"/>
      <c r="B38" s="25"/>
      <c r="C38" s="41" t="s">
        <v>92</v>
      </c>
      <c r="D38" s="30"/>
      <c r="E38" s="31" t="s">
        <v>23</v>
      </c>
      <c r="F38" s="41" t="s">
        <v>34</v>
      </c>
      <c r="G38" s="32"/>
      <c r="H38" s="39" t="s">
        <v>93</v>
      </c>
      <c r="I38" s="21" t="s">
        <v>43</v>
      </c>
    </row>
    <row r="39" spans="1:9" x14ac:dyDescent="0.2">
      <c r="A39" s="28"/>
      <c r="B39" s="25"/>
      <c r="C39" s="41" t="s">
        <v>94</v>
      </c>
      <c r="D39" s="30"/>
      <c r="E39" s="31" t="s">
        <v>16</v>
      </c>
      <c r="F39" s="41" t="s">
        <v>34</v>
      </c>
      <c r="G39" s="32"/>
      <c r="H39" s="39" t="s">
        <v>95</v>
      </c>
      <c r="I39" s="21" t="s">
        <v>43</v>
      </c>
    </row>
    <row r="40" spans="1:9" x14ac:dyDescent="0.2">
      <c r="A40" s="28"/>
      <c r="B40" s="25"/>
      <c r="C40" s="41" t="s">
        <v>96</v>
      </c>
      <c r="D40" s="30"/>
      <c r="E40" s="31" t="s">
        <v>23</v>
      </c>
      <c r="F40" s="41" t="s">
        <v>21</v>
      </c>
      <c r="G40" s="32"/>
      <c r="H40" s="39" t="s">
        <v>97</v>
      </c>
      <c r="I40" s="21" t="s">
        <v>43</v>
      </c>
    </row>
    <row r="41" spans="1:9" x14ac:dyDescent="0.2">
      <c r="A41" s="28"/>
      <c r="B41" s="25"/>
      <c r="C41" s="41" t="s">
        <v>98</v>
      </c>
      <c r="D41" s="30"/>
      <c r="E41" s="31" t="s">
        <v>16</v>
      </c>
      <c r="F41" s="41" t="s">
        <v>34</v>
      </c>
      <c r="G41" s="32"/>
      <c r="H41" s="39" t="s">
        <v>99</v>
      </c>
      <c r="I41" s="21" t="s">
        <v>100</v>
      </c>
    </row>
    <row r="42" spans="1:9" x14ac:dyDescent="0.2">
      <c r="A42" s="28"/>
      <c r="B42" s="25"/>
      <c r="C42" s="41" t="s">
        <v>101</v>
      </c>
      <c r="D42" s="30"/>
      <c r="E42" s="31" t="s">
        <v>23</v>
      </c>
      <c r="F42" s="41" t="s">
        <v>21</v>
      </c>
      <c r="G42" s="32"/>
      <c r="H42" s="39" t="s">
        <v>102</v>
      </c>
      <c r="I42" s="21" t="s">
        <v>43</v>
      </c>
    </row>
    <row r="43" spans="1:9" x14ac:dyDescent="0.2">
      <c r="A43" s="28"/>
      <c r="B43" s="25"/>
      <c r="C43" s="41" t="s">
        <v>103</v>
      </c>
      <c r="D43" s="30"/>
      <c r="E43" s="31" t="s">
        <v>23</v>
      </c>
      <c r="F43" s="41" t="s">
        <v>104</v>
      </c>
      <c r="G43" s="32"/>
      <c r="H43" s="39" t="s">
        <v>105</v>
      </c>
      <c r="I43" s="21" t="s">
        <v>43</v>
      </c>
    </row>
    <row r="44" spans="1:9" x14ac:dyDescent="0.2">
      <c r="A44" s="28"/>
      <c r="B44" s="25"/>
      <c r="C44" s="41" t="s">
        <v>106</v>
      </c>
      <c r="D44" s="30"/>
      <c r="E44" s="31" t="s">
        <v>23</v>
      </c>
      <c r="F44" s="41" t="s">
        <v>107</v>
      </c>
      <c r="G44" s="32"/>
      <c r="H44" s="39" t="s">
        <v>108</v>
      </c>
      <c r="I44" s="21" t="s">
        <v>43</v>
      </c>
    </row>
    <row r="45" spans="1:9" x14ac:dyDescent="0.2">
      <c r="A45" s="28"/>
      <c r="B45" s="25"/>
      <c r="C45" s="41" t="s">
        <v>109</v>
      </c>
      <c r="D45" s="30"/>
      <c r="E45" s="31" t="s">
        <v>16</v>
      </c>
      <c r="F45" s="41" t="s">
        <v>34</v>
      </c>
      <c r="G45" s="32"/>
      <c r="H45" s="39" t="s">
        <v>110</v>
      </c>
      <c r="I45" s="21" t="s">
        <v>43</v>
      </c>
    </row>
    <row r="46" spans="1:9" x14ac:dyDescent="0.2">
      <c r="A46" s="28"/>
      <c r="B46" s="25"/>
      <c r="C46" s="41" t="s">
        <v>111</v>
      </c>
      <c r="D46" s="30"/>
      <c r="E46" s="31" t="s">
        <v>23</v>
      </c>
      <c r="F46" s="41" t="s">
        <v>21</v>
      </c>
      <c r="G46" s="32"/>
      <c r="H46" s="39" t="s">
        <v>112</v>
      </c>
      <c r="I46" s="21" t="s">
        <v>43</v>
      </c>
    </row>
    <row r="47" spans="1:9" x14ac:dyDescent="0.2">
      <c r="A47" s="28"/>
      <c r="B47" s="25"/>
      <c r="C47" s="41" t="s">
        <v>113</v>
      </c>
      <c r="D47" s="30"/>
      <c r="E47" s="31" t="s">
        <v>23</v>
      </c>
      <c r="F47" s="41" t="s">
        <v>104</v>
      </c>
      <c r="G47" s="32"/>
      <c r="H47" s="39" t="s">
        <v>114</v>
      </c>
      <c r="I47" s="21" t="s">
        <v>43</v>
      </c>
    </row>
    <row r="48" spans="1:9" ht="22.5" x14ac:dyDescent="0.2">
      <c r="A48" s="28"/>
      <c r="B48" s="25"/>
      <c r="C48" s="41" t="s">
        <v>115</v>
      </c>
      <c r="D48" s="30"/>
      <c r="E48" s="31" t="s">
        <v>23</v>
      </c>
      <c r="F48" s="41" t="s">
        <v>21</v>
      </c>
      <c r="G48" s="32"/>
      <c r="H48" s="39" t="s">
        <v>116</v>
      </c>
      <c r="I48" s="21" t="s">
        <v>43</v>
      </c>
    </row>
    <row r="49" spans="1:9" x14ac:dyDescent="0.2">
      <c r="A49" s="28"/>
      <c r="B49" s="25"/>
      <c r="C49" s="41" t="s">
        <v>117</v>
      </c>
      <c r="D49" s="30"/>
      <c r="E49" s="31" t="s">
        <v>16</v>
      </c>
      <c r="F49" s="41" t="s">
        <v>34</v>
      </c>
      <c r="G49" s="32"/>
      <c r="H49" s="39" t="s">
        <v>118</v>
      </c>
      <c r="I49" s="21" t="s">
        <v>43</v>
      </c>
    </row>
    <row r="50" spans="1:9" x14ac:dyDescent="0.2">
      <c r="A50" s="28"/>
      <c r="B50" s="25"/>
      <c r="C50" s="41" t="s">
        <v>119</v>
      </c>
      <c r="D50" s="30"/>
      <c r="E50" s="31" t="s">
        <v>23</v>
      </c>
      <c r="F50" s="41" t="s">
        <v>34</v>
      </c>
      <c r="G50" s="32"/>
      <c r="H50" s="39" t="s">
        <v>120</v>
      </c>
      <c r="I50" s="21" t="s">
        <v>43</v>
      </c>
    </row>
    <row r="51" spans="1:9" ht="22.5" x14ac:dyDescent="0.2">
      <c r="A51" s="28"/>
      <c r="B51" s="25"/>
      <c r="C51" s="41" t="s">
        <v>121</v>
      </c>
      <c r="D51" s="30"/>
      <c r="E51" s="31" t="s">
        <v>23</v>
      </c>
      <c r="F51" s="41" t="s">
        <v>17</v>
      </c>
      <c r="G51" s="32"/>
      <c r="H51" s="39" t="s">
        <v>122</v>
      </c>
      <c r="I51" s="21" t="s">
        <v>43</v>
      </c>
    </row>
    <row r="52" spans="1:9" x14ac:dyDescent="0.2">
      <c r="A52" s="28"/>
      <c r="B52" s="25"/>
      <c r="C52" s="42" t="s">
        <v>123</v>
      </c>
      <c r="D52" s="30"/>
      <c r="E52" s="31" t="s">
        <v>23</v>
      </c>
      <c r="F52" s="42" t="s">
        <v>34</v>
      </c>
      <c r="G52" s="32"/>
      <c r="H52" s="40" t="s">
        <v>124</v>
      </c>
      <c r="I52" s="21" t="s">
        <v>43</v>
      </c>
    </row>
    <row r="53" spans="1:9" x14ac:dyDescent="0.2">
      <c r="A53" s="28"/>
      <c r="B53" s="25"/>
      <c r="C53" s="63"/>
      <c r="D53" s="30"/>
      <c r="E53" s="31" t="s">
        <v>23</v>
      </c>
      <c r="F53" s="28">
        <v>256</v>
      </c>
      <c r="G53" s="32"/>
      <c r="H53" s="43" t="s">
        <v>125</v>
      </c>
      <c r="I53" s="45" t="s">
        <v>126</v>
      </c>
    </row>
    <row r="54" spans="1:9" x14ac:dyDescent="0.2">
      <c r="A54" s="28"/>
      <c r="B54" s="25"/>
      <c r="C54" s="41" t="s">
        <v>127</v>
      </c>
      <c r="D54" s="30"/>
      <c r="E54" s="31" t="s">
        <v>16</v>
      </c>
      <c r="F54" s="41" t="s">
        <v>17</v>
      </c>
      <c r="G54" s="32"/>
      <c r="H54" s="39" t="s">
        <v>31</v>
      </c>
      <c r="I54" s="21" t="s">
        <v>32</v>
      </c>
    </row>
    <row r="55" spans="1:9" x14ac:dyDescent="0.2">
      <c r="A55" s="28"/>
      <c r="B55" s="25"/>
      <c r="C55" s="41" t="s">
        <v>128</v>
      </c>
      <c r="D55" s="30"/>
      <c r="E55" s="31" t="s">
        <v>16</v>
      </c>
      <c r="F55" s="41" t="s">
        <v>28</v>
      </c>
      <c r="G55" s="32"/>
      <c r="H55" s="39" t="s">
        <v>129</v>
      </c>
      <c r="I55" s="21" t="s">
        <v>19</v>
      </c>
    </row>
    <row r="56" spans="1:9" x14ac:dyDescent="0.2">
      <c r="A56" s="28"/>
      <c r="B56" s="25"/>
      <c r="C56" s="41" t="s">
        <v>130</v>
      </c>
      <c r="D56" s="30"/>
      <c r="E56" s="31" t="s">
        <v>23</v>
      </c>
      <c r="F56" s="41" t="s">
        <v>28</v>
      </c>
      <c r="G56" s="32"/>
      <c r="H56" s="39" t="s">
        <v>131</v>
      </c>
      <c r="I56" s="21" t="s">
        <v>19</v>
      </c>
    </row>
    <row r="57" spans="1:9" x14ac:dyDescent="0.2">
      <c r="A57" s="28"/>
      <c r="B57" s="25"/>
      <c r="C57" s="41" t="s">
        <v>132</v>
      </c>
      <c r="D57" s="30"/>
      <c r="E57" s="31" t="s">
        <v>23</v>
      </c>
      <c r="F57" s="41" t="s">
        <v>107</v>
      </c>
      <c r="G57" s="32"/>
      <c r="H57" s="39" t="s">
        <v>133</v>
      </c>
      <c r="I57" s="21" t="s">
        <v>19</v>
      </c>
    </row>
    <row r="58" spans="1:9" x14ac:dyDescent="0.2">
      <c r="A58" s="28"/>
      <c r="B58" s="25"/>
      <c r="C58" s="41" t="s">
        <v>134</v>
      </c>
      <c r="D58" s="30"/>
      <c r="E58" s="31" t="s">
        <v>23</v>
      </c>
      <c r="F58" s="41" t="s">
        <v>107</v>
      </c>
      <c r="G58" s="32"/>
      <c r="H58" s="39" t="s">
        <v>135</v>
      </c>
      <c r="I58" s="21" t="s">
        <v>19</v>
      </c>
    </row>
    <row r="59" spans="1:9" x14ac:dyDescent="0.2">
      <c r="A59" s="28"/>
      <c r="B59" s="25"/>
      <c r="C59" s="41" t="s">
        <v>136</v>
      </c>
      <c r="D59" s="30"/>
      <c r="E59" s="31" t="s">
        <v>23</v>
      </c>
      <c r="F59" s="41" t="s">
        <v>107</v>
      </c>
      <c r="G59" s="32"/>
      <c r="H59" s="39" t="s">
        <v>137</v>
      </c>
      <c r="I59" s="21" t="s">
        <v>19</v>
      </c>
    </row>
    <row r="60" spans="1:9" x14ac:dyDescent="0.2">
      <c r="A60" s="28"/>
      <c r="B60" s="25"/>
      <c r="C60" s="41" t="s">
        <v>138</v>
      </c>
      <c r="D60" s="30"/>
      <c r="E60" s="31" t="s">
        <v>23</v>
      </c>
      <c r="F60" s="41" t="s">
        <v>107</v>
      </c>
      <c r="G60" s="32"/>
      <c r="H60" s="39" t="s">
        <v>139</v>
      </c>
      <c r="I60" s="21" t="s">
        <v>19</v>
      </c>
    </row>
    <row r="61" spans="1:9" x14ac:dyDescent="0.2">
      <c r="A61" s="28"/>
      <c r="B61" s="25"/>
      <c r="C61" s="41" t="s">
        <v>140</v>
      </c>
      <c r="D61" s="30"/>
      <c r="E61" s="31" t="s">
        <v>23</v>
      </c>
      <c r="F61" s="41" t="s">
        <v>141</v>
      </c>
      <c r="G61" s="32"/>
      <c r="H61" s="39" t="s">
        <v>142</v>
      </c>
      <c r="I61" s="21" t="s">
        <v>19</v>
      </c>
    </row>
    <row r="62" spans="1:9" x14ac:dyDescent="0.2">
      <c r="A62" s="28"/>
      <c r="B62" s="25"/>
      <c r="C62" s="41" t="s">
        <v>143</v>
      </c>
      <c r="D62" s="30"/>
      <c r="E62" s="31" t="s">
        <v>23</v>
      </c>
      <c r="F62" s="41" t="s">
        <v>107</v>
      </c>
      <c r="G62" s="32"/>
      <c r="H62" s="39" t="s">
        <v>144</v>
      </c>
      <c r="I62" s="21" t="s">
        <v>19</v>
      </c>
    </row>
    <row r="63" spans="1:9" x14ac:dyDescent="0.2">
      <c r="A63" s="28"/>
      <c r="B63" s="25"/>
      <c r="C63" s="41" t="s">
        <v>145</v>
      </c>
      <c r="D63" s="30"/>
      <c r="E63" s="31" t="s">
        <v>23</v>
      </c>
      <c r="F63" s="41" t="s">
        <v>146</v>
      </c>
      <c r="G63" s="32"/>
      <c r="H63" s="39" t="s">
        <v>147</v>
      </c>
      <c r="I63" s="21" t="s">
        <v>19</v>
      </c>
    </row>
    <row r="64" spans="1:9" x14ac:dyDescent="0.2">
      <c r="A64" s="28"/>
      <c r="B64" s="25"/>
      <c r="C64" s="41" t="s">
        <v>148</v>
      </c>
      <c r="D64" s="30"/>
      <c r="E64" s="31" t="s">
        <v>23</v>
      </c>
      <c r="F64" s="41" t="s">
        <v>28</v>
      </c>
      <c r="G64" s="32"/>
      <c r="H64" s="39" t="s">
        <v>149</v>
      </c>
      <c r="I64" s="21" t="s">
        <v>19</v>
      </c>
    </row>
    <row r="65" spans="1:10" x14ac:dyDescent="0.2">
      <c r="A65" s="28"/>
      <c r="B65" s="25"/>
      <c r="C65" s="41" t="s">
        <v>150</v>
      </c>
      <c r="D65" s="30"/>
      <c r="E65" s="31" t="s">
        <v>23</v>
      </c>
      <c r="F65" s="41" t="s">
        <v>146</v>
      </c>
      <c r="G65" s="32"/>
      <c r="H65" s="39" t="s">
        <v>151</v>
      </c>
      <c r="I65" s="21" t="s">
        <v>43</v>
      </c>
    </row>
    <row r="66" spans="1:10" x14ac:dyDescent="0.2">
      <c r="A66" s="28"/>
      <c r="B66" s="25"/>
      <c r="C66" s="41" t="s">
        <v>152</v>
      </c>
      <c r="D66" s="30"/>
      <c r="E66" s="31" t="s">
        <v>23</v>
      </c>
      <c r="F66" s="41" t="s">
        <v>28</v>
      </c>
      <c r="G66" s="32"/>
      <c r="H66" s="39" t="s">
        <v>153</v>
      </c>
      <c r="I66" s="21" t="s">
        <v>19</v>
      </c>
    </row>
    <row r="67" spans="1:10" x14ac:dyDescent="0.2">
      <c r="A67" s="28"/>
      <c r="B67" s="25"/>
      <c r="C67" s="41" t="s">
        <v>154</v>
      </c>
      <c r="D67" s="30"/>
      <c r="E67" s="31" t="s">
        <v>23</v>
      </c>
      <c r="F67" s="41" t="s">
        <v>21</v>
      </c>
      <c r="G67" s="32"/>
      <c r="H67" s="39" t="s">
        <v>52</v>
      </c>
      <c r="I67" s="21" t="s">
        <v>43</v>
      </c>
    </row>
    <row r="68" spans="1:10" x14ac:dyDescent="0.2">
      <c r="A68" s="28"/>
      <c r="B68" s="25"/>
      <c r="C68" s="41" t="s">
        <v>155</v>
      </c>
      <c r="D68" s="30"/>
      <c r="E68" s="31" t="s">
        <v>23</v>
      </c>
      <c r="F68" s="41" t="s">
        <v>156</v>
      </c>
      <c r="G68" s="32"/>
      <c r="H68" s="39" t="s">
        <v>157</v>
      </c>
      <c r="I68" s="21" t="s">
        <v>19</v>
      </c>
    </row>
    <row r="69" spans="1:10" x14ac:dyDescent="0.2">
      <c r="A69" s="28"/>
      <c r="B69" s="25"/>
      <c r="C69" s="41" t="s">
        <v>158</v>
      </c>
      <c r="D69" s="30"/>
      <c r="E69" s="31" t="s">
        <v>23</v>
      </c>
      <c r="F69" s="41" t="s">
        <v>21</v>
      </c>
      <c r="G69" s="32"/>
      <c r="H69" s="39" t="s">
        <v>159</v>
      </c>
      <c r="I69" s="21" t="s">
        <v>43</v>
      </c>
    </row>
    <row r="70" spans="1:10" x14ac:dyDescent="0.2">
      <c r="A70" s="28"/>
      <c r="B70" s="25"/>
      <c r="C70" s="41" t="s">
        <v>160</v>
      </c>
      <c r="D70" s="30"/>
      <c r="E70" s="31" t="s">
        <v>23</v>
      </c>
      <c r="F70" s="41" t="s">
        <v>21</v>
      </c>
      <c r="G70" s="32"/>
      <c r="H70" s="39" t="s">
        <v>161</v>
      </c>
      <c r="I70" s="21" t="s">
        <v>43</v>
      </c>
    </row>
    <row r="71" spans="1:10" x14ac:dyDescent="0.2">
      <c r="A71" s="28"/>
      <c r="B71" s="25"/>
      <c r="C71" s="42" t="s">
        <v>162</v>
      </c>
      <c r="D71" s="30"/>
      <c r="E71" s="31" t="s">
        <v>23</v>
      </c>
      <c r="F71" s="42" t="s">
        <v>156</v>
      </c>
      <c r="G71" s="32"/>
      <c r="H71" s="40" t="s">
        <v>163</v>
      </c>
      <c r="I71" s="21" t="s">
        <v>43</v>
      </c>
    </row>
    <row r="72" spans="1:10" x14ac:dyDescent="0.2">
      <c r="A72" s="28"/>
      <c r="B72" s="25"/>
      <c r="C72" s="63"/>
      <c r="D72" s="30"/>
      <c r="E72" s="31" t="s">
        <v>23</v>
      </c>
      <c r="F72" s="28"/>
      <c r="G72" s="32"/>
      <c r="H72" s="135" t="s">
        <v>164</v>
      </c>
      <c r="I72" s="45" t="s">
        <v>165</v>
      </c>
    </row>
    <row r="73" spans="1:10" x14ac:dyDescent="0.2">
      <c r="A73" s="28"/>
      <c r="B73" s="25"/>
      <c r="C73" s="41" t="s">
        <v>166</v>
      </c>
      <c r="D73" s="30"/>
      <c r="E73" s="31" t="s">
        <v>16</v>
      </c>
      <c r="F73" s="48" t="s">
        <v>17</v>
      </c>
      <c r="G73" s="46"/>
      <c r="H73" s="49" t="s">
        <v>18</v>
      </c>
      <c r="I73" s="21" t="s">
        <v>19</v>
      </c>
    </row>
    <row r="74" spans="1:10" x14ac:dyDescent="0.2">
      <c r="A74" s="28"/>
      <c r="B74" s="25"/>
      <c r="C74" s="41" t="s">
        <v>167</v>
      </c>
      <c r="D74" s="28"/>
      <c r="E74" s="31" t="s">
        <v>16</v>
      </c>
      <c r="F74" s="48" t="s">
        <v>17</v>
      </c>
      <c r="G74" s="46"/>
      <c r="H74" s="49" t="s">
        <v>168</v>
      </c>
      <c r="I74" s="21" t="s">
        <v>169</v>
      </c>
    </row>
    <row r="75" spans="1:10" x14ac:dyDescent="0.2">
      <c r="A75" s="28"/>
      <c r="B75" s="25"/>
      <c r="C75" s="41" t="s">
        <v>170</v>
      </c>
      <c r="D75" s="28"/>
      <c r="E75" s="31" t="s">
        <v>23</v>
      </c>
      <c r="F75" s="48" t="s">
        <v>107</v>
      </c>
      <c r="G75" s="46"/>
      <c r="H75" s="49" t="s">
        <v>14</v>
      </c>
      <c r="I75" s="21" t="s">
        <v>19</v>
      </c>
    </row>
    <row r="76" spans="1:10" x14ac:dyDescent="0.2">
      <c r="A76" s="28"/>
      <c r="B76" s="25"/>
      <c r="C76" s="41" t="s">
        <v>171</v>
      </c>
      <c r="D76" s="28"/>
      <c r="E76" s="31" t="s">
        <v>16</v>
      </c>
      <c r="F76" s="48" t="s">
        <v>21</v>
      </c>
      <c r="G76" s="46"/>
      <c r="H76" s="49" t="s">
        <v>172</v>
      </c>
      <c r="I76" s="21" t="s">
        <v>173</v>
      </c>
    </row>
    <row r="77" spans="1:10" x14ac:dyDescent="0.2">
      <c r="A77" s="28"/>
      <c r="B77" s="25"/>
      <c r="C77" s="41" t="s">
        <v>174</v>
      </c>
      <c r="D77" s="28"/>
      <c r="E77" s="31" t="s">
        <v>23</v>
      </c>
      <c r="F77" s="48" t="s">
        <v>175</v>
      </c>
      <c r="G77" s="46"/>
      <c r="H77" s="49" t="s">
        <v>176</v>
      </c>
      <c r="I77" s="21" t="s">
        <v>19</v>
      </c>
    </row>
    <row r="78" spans="1:10" x14ac:dyDescent="0.2">
      <c r="A78" s="28"/>
      <c r="B78" s="25"/>
      <c r="C78" s="41" t="s">
        <v>177</v>
      </c>
      <c r="D78" s="28"/>
      <c r="E78" s="31" t="s">
        <v>23</v>
      </c>
      <c r="F78" s="48" t="s">
        <v>107</v>
      </c>
      <c r="G78" s="46"/>
      <c r="H78" s="49" t="s">
        <v>178</v>
      </c>
      <c r="I78" s="21" t="s">
        <v>19</v>
      </c>
    </row>
    <row r="79" spans="1:10" x14ac:dyDescent="0.2">
      <c r="A79" s="28"/>
      <c r="B79" s="25"/>
      <c r="C79" s="41" t="s">
        <v>179</v>
      </c>
      <c r="D79" s="28"/>
      <c r="E79" s="31" t="s">
        <v>23</v>
      </c>
      <c r="F79" s="48" t="s">
        <v>180</v>
      </c>
      <c r="G79" s="46"/>
      <c r="H79" s="49" t="s">
        <v>181</v>
      </c>
      <c r="I79" s="21" t="s">
        <v>19</v>
      </c>
    </row>
    <row r="80" spans="1:10" x14ac:dyDescent="0.2">
      <c r="A80" s="28"/>
      <c r="B80" s="25"/>
      <c r="C80" s="41" t="s">
        <v>182</v>
      </c>
      <c r="D80" s="28"/>
      <c r="E80" s="31" t="s">
        <v>23</v>
      </c>
      <c r="F80" s="48" t="s">
        <v>21</v>
      </c>
      <c r="G80" s="46"/>
      <c r="H80" s="49" t="s">
        <v>183</v>
      </c>
      <c r="J80" s="45" t="s">
        <v>184</v>
      </c>
    </row>
    <row r="81" spans="1:10" x14ac:dyDescent="0.2">
      <c r="A81" s="28"/>
      <c r="B81" s="25"/>
      <c r="C81" s="41" t="s">
        <v>185</v>
      </c>
      <c r="D81" s="28"/>
      <c r="E81" s="31" t="s">
        <v>23</v>
      </c>
      <c r="F81" s="48" t="s">
        <v>28</v>
      </c>
      <c r="G81" s="46"/>
      <c r="H81" s="49" t="s">
        <v>186</v>
      </c>
      <c r="I81" s="21" t="s">
        <v>19</v>
      </c>
    </row>
    <row r="82" spans="1:10" x14ac:dyDescent="0.2">
      <c r="A82" s="28"/>
      <c r="B82" s="25"/>
      <c r="C82" s="41" t="s">
        <v>187</v>
      </c>
      <c r="D82" s="28"/>
      <c r="E82" s="31" t="s">
        <v>23</v>
      </c>
      <c r="F82" s="48" t="s">
        <v>107</v>
      </c>
      <c r="G82" s="46"/>
      <c r="H82" s="49" t="s">
        <v>188</v>
      </c>
      <c r="I82" s="21" t="s">
        <v>19</v>
      </c>
    </row>
    <row r="83" spans="1:10" x14ac:dyDescent="0.2">
      <c r="A83" s="28"/>
      <c r="B83" s="25"/>
      <c r="C83" s="41" t="s">
        <v>189</v>
      </c>
      <c r="D83" s="28"/>
      <c r="E83" s="31" t="s">
        <v>23</v>
      </c>
      <c r="F83" s="48" t="s">
        <v>107</v>
      </c>
      <c r="G83" s="46"/>
      <c r="H83" s="49" t="s">
        <v>190</v>
      </c>
      <c r="I83" s="21" t="s">
        <v>19</v>
      </c>
    </row>
    <row r="84" spans="1:10" x14ac:dyDescent="0.2">
      <c r="A84" s="28"/>
      <c r="B84" s="25"/>
      <c r="C84" s="41" t="s">
        <v>191</v>
      </c>
      <c r="D84" s="28"/>
      <c r="E84" s="31" t="s">
        <v>23</v>
      </c>
      <c r="F84" s="48" t="s">
        <v>107</v>
      </c>
      <c r="G84" s="46"/>
      <c r="H84" s="49" t="s">
        <v>192</v>
      </c>
      <c r="I84" s="21" t="s">
        <v>19</v>
      </c>
    </row>
    <row r="85" spans="1:10" x14ac:dyDescent="0.2">
      <c r="A85" s="28"/>
      <c r="B85" s="25"/>
      <c r="C85" s="41" t="s">
        <v>193</v>
      </c>
      <c r="D85" s="28"/>
      <c r="E85" s="31" t="s">
        <v>23</v>
      </c>
      <c r="F85" s="48" t="s">
        <v>107</v>
      </c>
      <c r="G85" s="46"/>
      <c r="H85" s="49" t="s">
        <v>194</v>
      </c>
      <c r="I85" s="21" t="s">
        <v>19</v>
      </c>
    </row>
    <row r="86" spans="1:10" x14ac:dyDescent="0.2">
      <c r="A86" s="28"/>
      <c r="B86" s="25"/>
      <c r="C86" s="41" t="s">
        <v>195</v>
      </c>
      <c r="D86" s="28"/>
      <c r="E86" s="31" t="s">
        <v>23</v>
      </c>
      <c r="F86" s="48" t="s">
        <v>141</v>
      </c>
      <c r="G86" s="46"/>
      <c r="H86" s="49" t="s">
        <v>196</v>
      </c>
      <c r="I86" s="21" t="s">
        <v>19</v>
      </c>
    </row>
    <row r="87" spans="1:10" x14ac:dyDescent="0.2">
      <c r="A87" s="28"/>
      <c r="B87" s="25"/>
      <c r="C87" s="41" t="s">
        <v>197</v>
      </c>
      <c r="D87" s="28"/>
      <c r="E87" s="31" t="s">
        <v>23</v>
      </c>
      <c r="F87" s="48" t="s">
        <v>107</v>
      </c>
      <c r="G87" s="46"/>
      <c r="H87" s="49" t="s">
        <v>144</v>
      </c>
      <c r="I87" s="21" t="s">
        <v>19</v>
      </c>
    </row>
    <row r="88" spans="1:10" x14ac:dyDescent="0.2">
      <c r="A88" s="28"/>
      <c r="B88" s="25"/>
      <c r="C88" s="41" t="s">
        <v>198</v>
      </c>
      <c r="D88" s="28"/>
      <c r="E88" s="31" t="s">
        <v>23</v>
      </c>
      <c r="F88" s="48" t="s">
        <v>107</v>
      </c>
      <c r="G88" s="46"/>
      <c r="H88" s="49" t="s">
        <v>199</v>
      </c>
      <c r="I88" s="21" t="s">
        <v>19</v>
      </c>
    </row>
    <row r="89" spans="1:10" x14ac:dyDescent="0.2">
      <c r="A89" s="28"/>
      <c r="B89" s="25"/>
      <c r="C89" s="41" t="s">
        <v>200</v>
      </c>
      <c r="D89" s="28"/>
      <c r="E89" s="31" t="s">
        <v>23</v>
      </c>
      <c r="F89" s="48" t="s">
        <v>201</v>
      </c>
      <c r="G89" s="46"/>
      <c r="H89" s="49" t="s">
        <v>202</v>
      </c>
      <c r="I89" s="21" t="s">
        <v>19</v>
      </c>
    </row>
    <row r="90" spans="1:10" x14ac:dyDescent="0.2">
      <c r="A90" s="28"/>
      <c r="B90" s="25"/>
      <c r="C90" s="42" t="s">
        <v>203</v>
      </c>
      <c r="D90" s="28"/>
      <c r="E90" s="31" t="s">
        <v>23</v>
      </c>
      <c r="F90" s="50" t="s">
        <v>21</v>
      </c>
      <c r="G90" s="46"/>
      <c r="H90" s="47" t="s">
        <v>204</v>
      </c>
      <c r="J90" s="45" t="s">
        <v>184</v>
      </c>
    </row>
    <row r="91" spans="1:10" x14ac:dyDescent="0.2">
      <c r="A91" s="28"/>
      <c r="B91" s="25"/>
      <c r="C91" s="41" t="s">
        <v>205</v>
      </c>
      <c r="D91" s="28"/>
      <c r="E91" s="31" t="s">
        <v>16</v>
      </c>
      <c r="F91" s="48" t="s">
        <v>21</v>
      </c>
      <c r="G91" s="46"/>
      <c r="H91" s="49" t="s">
        <v>206</v>
      </c>
      <c r="I91" s="21" t="s">
        <v>19</v>
      </c>
    </row>
    <row r="92" spans="1:10" x14ac:dyDescent="0.2">
      <c r="A92" s="28"/>
      <c r="B92" s="25"/>
      <c r="C92" s="41" t="s">
        <v>207</v>
      </c>
      <c r="D92" s="28"/>
      <c r="E92" s="31" t="s">
        <v>16</v>
      </c>
      <c r="F92" s="48" t="s">
        <v>17</v>
      </c>
      <c r="G92" s="46"/>
      <c r="H92" s="49" t="s">
        <v>208</v>
      </c>
    </row>
    <row r="93" spans="1:10" x14ac:dyDescent="0.2">
      <c r="A93" s="28"/>
      <c r="B93" s="25"/>
      <c r="C93" s="42" t="s">
        <v>209</v>
      </c>
      <c r="D93" s="28"/>
      <c r="E93" s="31" t="s">
        <v>16</v>
      </c>
      <c r="F93" s="50" t="s">
        <v>17</v>
      </c>
      <c r="G93" s="46"/>
      <c r="H93" s="47" t="s">
        <v>31</v>
      </c>
      <c r="I93" s="21" t="s">
        <v>19</v>
      </c>
    </row>
    <row r="94" spans="1:10" x14ac:dyDescent="0.2">
      <c r="A94" s="28"/>
      <c r="B94" s="25"/>
      <c r="C94" s="28"/>
      <c r="D94" s="28"/>
      <c r="E94" s="28"/>
      <c r="F94" s="28"/>
      <c r="G94" s="32"/>
      <c r="H94" s="28"/>
    </row>
    <row r="95" spans="1:10" x14ac:dyDescent="0.2">
      <c r="A95" s="28"/>
      <c r="B95" s="25"/>
      <c r="C95" s="28"/>
      <c r="D95" s="28"/>
      <c r="E95" s="28"/>
      <c r="F95" s="28"/>
      <c r="G95" s="32"/>
      <c r="H95" s="28"/>
    </row>
    <row r="96" spans="1:10" x14ac:dyDescent="0.2">
      <c r="A96" s="28"/>
      <c r="B96" s="25"/>
      <c r="C96" s="28"/>
      <c r="D96" s="28"/>
      <c r="E96" s="28"/>
      <c r="F96" s="28"/>
      <c r="G96" s="32"/>
      <c r="H96" s="28"/>
    </row>
    <row r="97" spans="1:8" x14ac:dyDescent="0.2">
      <c r="A97" s="28"/>
      <c r="B97" s="25"/>
      <c r="C97" s="28"/>
      <c r="D97" s="28"/>
      <c r="E97" s="28"/>
      <c r="F97" s="28"/>
      <c r="G97" s="32"/>
      <c r="H97" s="28"/>
    </row>
    <row r="98" spans="1:8" x14ac:dyDescent="0.2">
      <c r="A98" s="28"/>
      <c r="B98" s="25"/>
      <c r="C98" s="28"/>
      <c r="D98" s="28"/>
      <c r="E98" s="28"/>
      <c r="F98" s="28"/>
      <c r="G98" s="32"/>
      <c r="H98" s="28"/>
    </row>
    <row r="99" spans="1:8" x14ac:dyDescent="0.2">
      <c r="A99" s="28"/>
      <c r="B99" s="25"/>
      <c r="C99" s="28"/>
      <c r="D99" s="28"/>
      <c r="E99" s="28"/>
      <c r="F99" s="28"/>
      <c r="G99" s="32"/>
      <c r="H99" s="28"/>
    </row>
    <row r="100" spans="1:8" x14ac:dyDescent="0.2">
      <c r="A100" s="28"/>
      <c r="B100" s="25"/>
      <c r="C100" s="28"/>
      <c r="D100" s="28"/>
      <c r="E100" s="28"/>
      <c r="F100" s="28"/>
      <c r="G100" s="32"/>
      <c r="H100" s="28"/>
    </row>
    <row r="101" spans="1:8" x14ac:dyDescent="0.2">
      <c r="A101" s="28"/>
      <c r="B101" s="25"/>
      <c r="C101" s="28"/>
      <c r="D101" s="28"/>
      <c r="E101" s="28"/>
      <c r="F101" s="28"/>
      <c r="G101" s="32"/>
      <c r="H101" s="28"/>
    </row>
    <row r="102" spans="1:8" x14ac:dyDescent="0.2">
      <c r="A102" s="28"/>
      <c r="B102" s="25"/>
      <c r="C102" s="28"/>
      <c r="D102" s="28"/>
      <c r="E102" s="28"/>
      <c r="F102" s="28"/>
      <c r="G102" s="32"/>
      <c r="H102" s="28"/>
    </row>
    <row r="103" spans="1:8" x14ac:dyDescent="0.2">
      <c r="A103" s="28"/>
      <c r="B103" s="25"/>
      <c r="C103" s="28"/>
      <c r="D103" s="28"/>
      <c r="E103" s="28"/>
      <c r="F103" s="28"/>
      <c r="G103" s="32"/>
      <c r="H103" s="28"/>
    </row>
    <row r="104" spans="1:8" x14ac:dyDescent="0.2">
      <c r="A104" s="28"/>
      <c r="B104" s="25"/>
      <c r="C104" s="28"/>
      <c r="D104" s="28"/>
      <c r="E104" s="28"/>
      <c r="F104" s="28"/>
      <c r="G104" s="32"/>
      <c r="H104" s="28"/>
    </row>
    <row r="105" spans="1:8" x14ac:dyDescent="0.2">
      <c r="A105" s="28"/>
      <c r="B105" s="25"/>
      <c r="C105" s="28"/>
      <c r="D105" s="28"/>
      <c r="E105" s="28"/>
      <c r="F105" s="28"/>
      <c r="G105" s="32"/>
      <c r="H105" s="28"/>
    </row>
    <row r="106" spans="1:8" x14ac:dyDescent="0.2">
      <c r="A106" s="28"/>
      <c r="B106" s="25"/>
      <c r="C106" s="28"/>
      <c r="D106" s="28"/>
      <c r="E106" s="28"/>
      <c r="F106" s="28"/>
      <c r="G106" s="32"/>
      <c r="H106" s="28"/>
    </row>
    <row r="107" spans="1:8" x14ac:dyDescent="0.2">
      <c r="A107" s="28"/>
      <c r="B107" s="25"/>
      <c r="C107" s="28"/>
      <c r="D107" s="28"/>
      <c r="E107" s="28"/>
      <c r="F107" s="28"/>
      <c r="G107" s="32"/>
      <c r="H107" s="28"/>
    </row>
    <row r="108" spans="1:8" x14ac:dyDescent="0.2">
      <c r="A108" s="28"/>
      <c r="B108" s="25"/>
      <c r="C108" s="28"/>
      <c r="D108" s="28"/>
      <c r="E108" s="28"/>
      <c r="F108" s="28"/>
      <c r="G108" s="32"/>
      <c r="H108" s="28"/>
    </row>
    <row r="109" spans="1:8" x14ac:dyDescent="0.2">
      <c r="A109" s="28"/>
      <c r="B109" s="25"/>
      <c r="C109" s="28"/>
      <c r="D109" s="28"/>
      <c r="E109" s="28"/>
      <c r="F109" s="28"/>
      <c r="G109" s="32"/>
      <c r="H109" s="28"/>
    </row>
    <row r="110" spans="1:8" x14ac:dyDescent="0.2">
      <c r="A110" s="28"/>
      <c r="B110" s="25"/>
      <c r="C110" s="28"/>
      <c r="D110" s="28"/>
      <c r="E110" s="28"/>
      <c r="F110" s="28"/>
      <c r="G110" s="32"/>
      <c r="H110" s="28"/>
    </row>
    <row r="111" spans="1:8" x14ac:dyDescent="0.2">
      <c r="A111" s="28"/>
      <c r="B111" s="25"/>
      <c r="C111" s="28"/>
      <c r="D111" s="28"/>
      <c r="E111" s="28"/>
      <c r="F111" s="28"/>
      <c r="G111" s="32"/>
      <c r="H111" s="28"/>
    </row>
    <row r="112" spans="1:8" x14ac:dyDescent="0.2">
      <c r="A112" s="28"/>
      <c r="B112" s="25"/>
      <c r="C112" s="28"/>
      <c r="D112" s="28"/>
      <c r="E112" s="28"/>
      <c r="F112" s="28"/>
      <c r="G112" s="32"/>
      <c r="H112" s="28"/>
    </row>
    <row r="113" spans="1:8" x14ac:dyDescent="0.2">
      <c r="A113" s="28"/>
      <c r="B113" s="25"/>
      <c r="C113" s="28"/>
      <c r="D113" s="28"/>
      <c r="E113" s="28"/>
      <c r="F113" s="28"/>
      <c r="G113" s="32"/>
      <c r="H113" s="28"/>
    </row>
    <row r="114" spans="1:8" x14ac:dyDescent="0.2">
      <c r="A114" s="28"/>
      <c r="B114" s="25"/>
      <c r="C114" s="28"/>
      <c r="D114" s="28"/>
      <c r="E114" s="28"/>
      <c r="F114" s="28"/>
      <c r="G114" s="32"/>
      <c r="H114" s="28"/>
    </row>
    <row r="115" spans="1:8" x14ac:dyDescent="0.2">
      <c r="A115" s="28"/>
      <c r="B115" s="25"/>
      <c r="C115" s="28"/>
      <c r="D115" s="28"/>
      <c r="E115" s="28"/>
      <c r="F115" s="28"/>
      <c r="G115" s="32"/>
      <c r="H115" s="28"/>
    </row>
    <row r="116" spans="1:8" x14ac:dyDescent="0.2">
      <c r="A116" s="28"/>
      <c r="B116" s="25"/>
      <c r="C116" s="28"/>
      <c r="D116" s="28"/>
      <c r="E116" s="28"/>
      <c r="F116" s="28"/>
      <c r="G116" s="32"/>
      <c r="H116" s="28"/>
    </row>
    <row r="117" spans="1:8" x14ac:dyDescent="0.2">
      <c r="A117" s="28"/>
      <c r="B117" s="25"/>
      <c r="C117" s="28"/>
      <c r="D117" s="28"/>
      <c r="E117" s="28"/>
      <c r="F117" s="28"/>
      <c r="G117" s="32"/>
      <c r="H117" s="28"/>
    </row>
    <row r="118" spans="1:8" x14ac:dyDescent="0.2">
      <c r="A118" s="28"/>
      <c r="B118" s="25"/>
      <c r="C118" s="28"/>
      <c r="D118" s="28"/>
      <c r="E118" s="28"/>
      <c r="F118" s="28"/>
      <c r="G118" s="32"/>
      <c r="H118" s="28"/>
    </row>
    <row r="119" spans="1:8" x14ac:dyDescent="0.2">
      <c r="A119" s="28"/>
      <c r="B119" s="25"/>
      <c r="C119" s="28"/>
      <c r="D119" s="28"/>
      <c r="E119" s="28"/>
      <c r="F119" s="28"/>
      <c r="G119" s="32"/>
      <c r="H119" s="28"/>
    </row>
    <row r="120" spans="1:8" x14ac:dyDescent="0.2">
      <c r="A120" s="28"/>
      <c r="B120" s="25"/>
      <c r="C120" s="28"/>
      <c r="D120" s="28"/>
      <c r="E120" s="28"/>
      <c r="F120" s="28"/>
      <c r="G120" s="32"/>
      <c r="H120" s="28"/>
    </row>
    <row r="121" spans="1:8" x14ac:dyDescent="0.2">
      <c r="A121" s="28"/>
      <c r="B121" s="25"/>
      <c r="C121" s="28"/>
      <c r="D121" s="28"/>
      <c r="E121" s="28"/>
      <c r="F121" s="28"/>
      <c r="G121" s="32"/>
      <c r="H121" s="28"/>
    </row>
    <row r="122" spans="1:8" x14ac:dyDescent="0.2">
      <c r="A122" s="28"/>
      <c r="B122" s="25"/>
      <c r="C122" s="28"/>
      <c r="D122" s="28"/>
      <c r="E122" s="28"/>
      <c r="F122" s="28"/>
      <c r="G122" s="32"/>
      <c r="H122" s="28"/>
    </row>
    <row r="123" spans="1:8" x14ac:dyDescent="0.2">
      <c r="A123" s="28"/>
      <c r="B123" s="25"/>
      <c r="C123" s="28"/>
      <c r="D123" s="28"/>
      <c r="E123" s="28"/>
      <c r="F123" s="28"/>
      <c r="G123" s="32"/>
      <c r="H123" s="28"/>
    </row>
    <row r="124" spans="1:8" x14ac:dyDescent="0.2">
      <c r="A124" s="28"/>
      <c r="B124" s="25"/>
      <c r="C124" s="28"/>
      <c r="D124" s="28"/>
      <c r="E124" s="28"/>
      <c r="F124" s="28"/>
      <c r="G124" s="32"/>
      <c r="H124" s="28"/>
    </row>
    <row r="125" spans="1:8" x14ac:dyDescent="0.2">
      <c r="A125" s="28"/>
      <c r="B125" s="25"/>
      <c r="C125" s="28"/>
      <c r="D125" s="28"/>
      <c r="E125" s="28"/>
      <c r="F125" s="28"/>
      <c r="G125" s="32"/>
      <c r="H125" s="28"/>
    </row>
    <row r="126" spans="1:8" x14ac:dyDescent="0.2">
      <c r="A126" s="28"/>
      <c r="B126" s="25"/>
      <c r="C126" s="28"/>
      <c r="D126" s="28"/>
      <c r="E126" s="28"/>
      <c r="F126" s="28"/>
      <c r="G126" s="32"/>
      <c r="H126" s="28"/>
    </row>
    <row r="127" spans="1:8" x14ac:dyDescent="0.2">
      <c r="A127" s="28"/>
      <c r="B127" s="25"/>
      <c r="C127" s="28"/>
      <c r="D127" s="28"/>
      <c r="E127" s="28"/>
      <c r="F127" s="28"/>
      <c r="G127" s="32"/>
      <c r="H127" s="28"/>
    </row>
    <row r="128" spans="1:8" x14ac:dyDescent="0.2">
      <c r="A128" s="28"/>
      <c r="B128" s="25"/>
      <c r="C128" s="28"/>
      <c r="D128" s="28"/>
      <c r="E128" s="28"/>
      <c r="F128" s="28"/>
      <c r="G128" s="32"/>
      <c r="H128" s="28"/>
    </row>
    <row r="129" spans="1:8" x14ac:dyDescent="0.2">
      <c r="A129" s="28"/>
      <c r="B129" s="25"/>
      <c r="C129" s="28"/>
      <c r="D129" s="28"/>
      <c r="E129" s="28"/>
      <c r="F129" s="28"/>
      <c r="G129" s="32"/>
      <c r="H129" s="28"/>
    </row>
    <row r="130" spans="1:8" x14ac:dyDescent="0.2">
      <c r="A130" s="28"/>
      <c r="B130" s="25"/>
      <c r="C130" s="28"/>
      <c r="D130" s="28"/>
      <c r="E130" s="28"/>
      <c r="F130" s="28"/>
      <c r="G130" s="32"/>
      <c r="H130" s="28"/>
    </row>
    <row r="131" spans="1:8" x14ac:dyDescent="0.2">
      <c r="A131" s="28"/>
      <c r="B131" s="25"/>
      <c r="C131" s="28"/>
      <c r="D131" s="28"/>
      <c r="E131" s="28"/>
      <c r="F131" s="28"/>
      <c r="G131" s="32"/>
      <c r="H131" s="28"/>
    </row>
    <row r="132" spans="1:8" x14ac:dyDescent="0.2">
      <c r="A132" s="28"/>
      <c r="B132" s="25"/>
      <c r="C132" s="28"/>
      <c r="D132" s="28"/>
      <c r="E132" s="28"/>
      <c r="F132" s="28"/>
      <c r="G132" s="32"/>
      <c r="H132" s="28"/>
    </row>
    <row r="133" spans="1:8" x14ac:dyDescent="0.2">
      <c r="A133" s="28"/>
      <c r="B133" s="25"/>
      <c r="C133" s="28"/>
      <c r="D133" s="28"/>
      <c r="E133" s="28"/>
      <c r="F133" s="28"/>
      <c r="G133" s="32"/>
      <c r="H133" s="28"/>
    </row>
    <row r="134" spans="1:8" x14ac:dyDescent="0.2">
      <c r="A134" s="28"/>
      <c r="B134" s="25"/>
      <c r="C134" s="28"/>
      <c r="D134" s="28"/>
      <c r="E134" s="28"/>
      <c r="F134" s="28"/>
      <c r="G134" s="32"/>
      <c r="H134" s="28"/>
    </row>
    <row r="135" spans="1:8" x14ac:dyDescent="0.2">
      <c r="A135" s="28"/>
      <c r="B135" s="25"/>
      <c r="C135" s="28"/>
      <c r="D135" s="28"/>
      <c r="E135" s="28"/>
      <c r="F135" s="28"/>
      <c r="G135" s="32"/>
      <c r="H135" s="28"/>
    </row>
    <row r="136" spans="1:8" x14ac:dyDescent="0.2">
      <c r="A136" s="28"/>
      <c r="B136" s="25"/>
      <c r="C136" s="28"/>
      <c r="D136" s="28"/>
      <c r="E136" s="28"/>
      <c r="F136" s="28"/>
      <c r="G136" s="32"/>
      <c r="H136" s="28"/>
    </row>
    <row r="137" spans="1:8" x14ac:dyDescent="0.2">
      <c r="A137" s="28"/>
      <c r="B137" s="25"/>
      <c r="C137" s="28"/>
      <c r="D137" s="28"/>
      <c r="E137" s="28"/>
      <c r="F137" s="28"/>
      <c r="G137" s="32"/>
      <c r="H137" s="28"/>
    </row>
    <row r="138" spans="1:8" x14ac:dyDescent="0.2">
      <c r="A138" s="28"/>
      <c r="B138" s="25"/>
      <c r="C138" s="28"/>
      <c r="D138" s="28"/>
      <c r="E138" s="28"/>
      <c r="F138" s="28"/>
      <c r="G138" s="32"/>
      <c r="H138" s="28"/>
    </row>
    <row r="139" spans="1:8" x14ac:dyDescent="0.2">
      <c r="A139" s="28"/>
      <c r="B139" s="25"/>
      <c r="C139" s="28"/>
      <c r="D139" s="28"/>
      <c r="E139" s="28"/>
      <c r="F139" s="28"/>
      <c r="G139" s="32"/>
      <c r="H139" s="28"/>
    </row>
    <row r="140" spans="1:8" x14ac:dyDescent="0.2">
      <c r="A140" s="28"/>
      <c r="B140" s="25"/>
      <c r="C140" s="28"/>
      <c r="D140" s="28"/>
      <c r="E140" s="28"/>
      <c r="F140" s="28"/>
      <c r="G140" s="32"/>
      <c r="H140" s="28"/>
    </row>
    <row r="141" spans="1:8" x14ac:dyDescent="0.2">
      <c r="A141" s="28"/>
      <c r="B141" s="25"/>
      <c r="C141" s="28"/>
      <c r="D141" s="28"/>
      <c r="E141" s="28"/>
      <c r="F141" s="28"/>
      <c r="G141" s="32"/>
      <c r="H141" s="28"/>
    </row>
    <row r="142" spans="1:8" x14ac:dyDescent="0.2">
      <c r="A142" s="28"/>
      <c r="B142" s="25"/>
      <c r="C142" s="28"/>
      <c r="D142" s="28"/>
      <c r="E142" s="28"/>
      <c r="F142" s="28"/>
      <c r="G142" s="32"/>
      <c r="H142" s="28"/>
    </row>
    <row r="143" spans="1:8" x14ac:dyDescent="0.2">
      <c r="A143" s="28"/>
      <c r="B143" s="25"/>
      <c r="C143" s="28"/>
      <c r="D143" s="28"/>
      <c r="E143" s="28"/>
      <c r="F143" s="28"/>
      <c r="G143" s="32"/>
      <c r="H143" s="28"/>
    </row>
    <row r="144" spans="1:8" x14ac:dyDescent="0.2">
      <c r="A144" s="28"/>
      <c r="B144" s="25"/>
      <c r="C144" s="28"/>
      <c r="D144" s="28"/>
      <c r="E144" s="28"/>
      <c r="F144" s="28"/>
      <c r="G144" s="32"/>
      <c r="H144" s="28"/>
    </row>
    <row r="145" spans="1:8" x14ac:dyDescent="0.2">
      <c r="A145" s="28"/>
      <c r="B145" s="25"/>
      <c r="C145" s="28"/>
      <c r="D145" s="28"/>
      <c r="E145" s="28"/>
      <c r="F145" s="28"/>
      <c r="G145" s="32"/>
      <c r="H145" s="28"/>
    </row>
    <row r="146" spans="1:8" x14ac:dyDescent="0.2">
      <c r="A146" s="28"/>
      <c r="B146" s="25"/>
      <c r="C146" s="28"/>
      <c r="D146" s="28"/>
      <c r="E146" s="28"/>
      <c r="F146" s="28"/>
      <c r="G146" s="32"/>
      <c r="H146" s="28"/>
    </row>
    <row r="147" spans="1:8" x14ac:dyDescent="0.2">
      <c r="A147" s="28"/>
      <c r="B147" s="25"/>
      <c r="C147" s="28"/>
      <c r="D147" s="28"/>
      <c r="E147" s="28"/>
      <c r="F147" s="28"/>
      <c r="G147" s="32"/>
      <c r="H147" s="28"/>
    </row>
    <row r="148" spans="1:8" x14ac:dyDescent="0.2">
      <c r="A148" s="28"/>
      <c r="B148" s="25"/>
      <c r="C148" s="28"/>
      <c r="D148" s="28"/>
      <c r="E148" s="28"/>
      <c r="F148" s="28"/>
      <c r="G148" s="32"/>
      <c r="H148" s="28"/>
    </row>
    <row r="149" spans="1:8" x14ac:dyDescent="0.2">
      <c r="A149" s="28"/>
      <c r="B149" s="25"/>
      <c r="C149" s="28"/>
      <c r="D149" s="28"/>
      <c r="E149" s="28"/>
      <c r="F149" s="28"/>
      <c r="G149" s="32"/>
      <c r="H149" s="28"/>
    </row>
    <row r="150" spans="1:8" x14ac:dyDescent="0.2">
      <c r="A150" s="28"/>
      <c r="B150" s="25"/>
      <c r="C150" s="28"/>
      <c r="D150" s="28"/>
      <c r="E150" s="28"/>
      <c r="F150" s="28"/>
      <c r="G150" s="32"/>
      <c r="H150" s="28"/>
    </row>
    <row r="151" spans="1:8" x14ac:dyDescent="0.2">
      <c r="A151" s="28"/>
      <c r="B151" s="25"/>
      <c r="C151" s="28"/>
      <c r="D151" s="28"/>
      <c r="E151" s="28"/>
      <c r="F151" s="28"/>
      <c r="G151" s="32"/>
      <c r="H151" s="28"/>
    </row>
    <row r="152" spans="1:8" x14ac:dyDescent="0.2">
      <c r="A152" s="28"/>
      <c r="B152" s="25"/>
      <c r="C152" s="28"/>
      <c r="D152" s="28"/>
      <c r="E152" s="28"/>
      <c r="F152" s="28"/>
      <c r="G152" s="32"/>
      <c r="H152" s="28"/>
    </row>
    <row r="153" spans="1:8" x14ac:dyDescent="0.2">
      <c r="A153" s="28"/>
      <c r="B153" s="25"/>
      <c r="C153" s="28"/>
      <c r="D153" s="28"/>
      <c r="E153" s="28"/>
      <c r="F153" s="28"/>
      <c r="G153" s="32"/>
      <c r="H153" s="28"/>
    </row>
    <row r="154" spans="1:8" x14ac:dyDescent="0.2">
      <c r="A154" s="28"/>
      <c r="B154" s="25"/>
      <c r="C154" s="28"/>
      <c r="D154" s="28"/>
      <c r="E154" s="28"/>
      <c r="F154" s="28"/>
      <c r="G154" s="32"/>
      <c r="H154" s="28"/>
    </row>
    <row r="155" spans="1:8" x14ac:dyDescent="0.2">
      <c r="A155" s="28"/>
      <c r="B155" s="25"/>
      <c r="C155" s="28"/>
      <c r="D155" s="28"/>
      <c r="E155" s="28"/>
      <c r="F155" s="28"/>
      <c r="G155" s="32"/>
      <c r="H155" s="28"/>
    </row>
    <row r="156" spans="1:8" x14ac:dyDescent="0.2">
      <c r="A156" s="28"/>
      <c r="B156" s="25"/>
      <c r="C156" s="28"/>
      <c r="D156" s="28"/>
      <c r="E156" s="28"/>
      <c r="F156" s="28"/>
      <c r="G156" s="32"/>
      <c r="H156" s="28"/>
    </row>
    <row r="157" spans="1:8" x14ac:dyDescent="0.2">
      <c r="A157" s="28"/>
      <c r="B157" s="25"/>
      <c r="C157" s="28"/>
      <c r="D157" s="28"/>
      <c r="E157" s="28"/>
      <c r="F157" s="28"/>
      <c r="G157" s="32"/>
      <c r="H157" s="28"/>
    </row>
    <row r="158" spans="1:8" x14ac:dyDescent="0.2">
      <c r="A158" s="28"/>
      <c r="B158" s="25"/>
      <c r="C158" s="28"/>
      <c r="D158" s="28"/>
      <c r="E158" s="28"/>
      <c r="F158" s="28"/>
      <c r="G158" s="32"/>
      <c r="H158" s="28"/>
    </row>
    <row r="159" spans="1:8" x14ac:dyDescent="0.2">
      <c r="A159" s="28"/>
      <c r="B159" s="25"/>
      <c r="C159" s="28"/>
      <c r="D159" s="28"/>
      <c r="E159" s="28"/>
      <c r="F159" s="28"/>
      <c r="G159" s="32"/>
      <c r="H159" s="28"/>
    </row>
    <row r="160" spans="1:8" x14ac:dyDescent="0.2">
      <c r="A160" s="28"/>
      <c r="B160" s="25"/>
      <c r="C160" s="28"/>
      <c r="D160" s="28"/>
      <c r="E160" s="28"/>
      <c r="F160" s="28"/>
      <c r="G160" s="32"/>
      <c r="H160" s="28"/>
    </row>
    <row r="161" spans="1:8" x14ac:dyDescent="0.2">
      <c r="A161" s="28"/>
      <c r="B161" s="25"/>
      <c r="C161" s="28"/>
      <c r="D161" s="28"/>
      <c r="E161" s="28"/>
      <c r="F161" s="28"/>
      <c r="G161" s="32"/>
      <c r="H161" s="28"/>
    </row>
    <row r="162" spans="1:8" x14ac:dyDescent="0.2">
      <c r="A162" s="28"/>
      <c r="B162" s="25"/>
      <c r="C162" s="28"/>
      <c r="D162" s="28"/>
      <c r="E162" s="28"/>
      <c r="F162" s="28"/>
      <c r="G162" s="32"/>
      <c r="H162" s="28"/>
    </row>
    <row r="163" spans="1:8" x14ac:dyDescent="0.2">
      <c r="A163" s="28"/>
      <c r="B163" s="25"/>
      <c r="C163" s="28"/>
      <c r="D163" s="28"/>
      <c r="E163" s="28"/>
      <c r="F163" s="28"/>
      <c r="G163" s="32"/>
      <c r="H163" s="28"/>
    </row>
    <row r="164" spans="1:8" x14ac:dyDescent="0.2">
      <c r="A164" s="28"/>
      <c r="B164" s="25"/>
      <c r="C164" s="28"/>
      <c r="D164" s="28"/>
      <c r="E164" s="28"/>
      <c r="F164" s="28"/>
      <c r="G164" s="32"/>
      <c r="H164" s="28"/>
    </row>
    <row r="165" spans="1:8" x14ac:dyDescent="0.2">
      <c r="A165" s="28"/>
      <c r="B165" s="25"/>
      <c r="C165" s="28"/>
      <c r="D165" s="28"/>
      <c r="E165" s="28"/>
      <c r="F165" s="28"/>
      <c r="G165" s="32"/>
      <c r="H165" s="28"/>
    </row>
    <row r="166" spans="1:8" x14ac:dyDescent="0.2">
      <c r="A166" s="28"/>
      <c r="B166" s="25"/>
      <c r="C166" s="28"/>
      <c r="D166" s="28"/>
      <c r="E166" s="28"/>
      <c r="F166" s="28"/>
      <c r="G166" s="32"/>
      <c r="H166" s="28"/>
    </row>
    <row r="167" spans="1:8" x14ac:dyDescent="0.2">
      <c r="A167" s="28"/>
      <c r="B167" s="25"/>
      <c r="C167" s="28"/>
      <c r="D167" s="28"/>
      <c r="E167" s="28"/>
      <c r="F167" s="28"/>
      <c r="G167" s="32"/>
      <c r="H167" s="28"/>
    </row>
    <row r="168" spans="1:8" x14ac:dyDescent="0.2">
      <c r="A168" s="28"/>
      <c r="B168" s="25"/>
      <c r="C168" s="28"/>
      <c r="D168" s="28"/>
      <c r="E168" s="28"/>
      <c r="F168" s="28"/>
      <c r="G168" s="32"/>
      <c r="H168" s="28"/>
    </row>
    <row r="169" spans="1:8" x14ac:dyDescent="0.2">
      <c r="A169" s="28"/>
      <c r="B169" s="25"/>
      <c r="C169" s="28"/>
      <c r="D169" s="28"/>
      <c r="E169" s="28"/>
      <c r="F169" s="28"/>
      <c r="G169" s="32"/>
      <c r="H169" s="28"/>
    </row>
    <row r="170" spans="1:8" x14ac:dyDescent="0.2">
      <c r="A170" s="28"/>
      <c r="B170" s="25"/>
      <c r="C170" s="28"/>
      <c r="D170" s="28"/>
      <c r="E170" s="28"/>
      <c r="F170" s="28"/>
      <c r="G170" s="32"/>
      <c r="H170" s="28"/>
    </row>
    <row r="171" spans="1:8" x14ac:dyDescent="0.2">
      <c r="A171" s="28"/>
      <c r="B171" s="25"/>
      <c r="C171" s="28"/>
      <c r="D171" s="28"/>
      <c r="E171" s="28"/>
      <c r="F171" s="28"/>
      <c r="G171" s="32"/>
      <c r="H171" s="28"/>
    </row>
    <row r="172" spans="1:8" x14ac:dyDescent="0.2">
      <c r="A172" s="28"/>
      <c r="B172" s="25"/>
      <c r="C172" s="28"/>
      <c r="D172" s="28"/>
      <c r="E172" s="28"/>
      <c r="F172" s="28"/>
      <c r="G172" s="32"/>
      <c r="H172" s="28"/>
    </row>
    <row r="173" spans="1:8" x14ac:dyDescent="0.2">
      <c r="A173" s="28"/>
      <c r="B173" s="25"/>
      <c r="C173" s="28"/>
      <c r="D173" s="28"/>
      <c r="E173" s="28"/>
      <c r="F173" s="28"/>
      <c r="G173" s="32"/>
      <c r="H173" s="28"/>
    </row>
    <row r="174" spans="1:8" x14ac:dyDescent="0.2">
      <c r="A174" s="28"/>
      <c r="B174" s="25"/>
      <c r="C174" s="28"/>
      <c r="D174" s="28"/>
      <c r="E174" s="28"/>
      <c r="F174" s="28"/>
      <c r="G174" s="32"/>
      <c r="H174" s="28"/>
    </row>
    <row r="175" spans="1:8" x14ac:dyDescent="0.2">
      <c r="A175" s="28"/>
      <c r="B175" s="25"/>
      <c r="C175" s="28"/>
      <c r="D175" s="28"/>
      <c r="E175" s="28"/>
      <c r="F175" s="28"/>
      <c r="G175" s="32"/>
      <c r="H175" s="28"/>
    </row>
    <row r="176" spans="1:8" x14ac:dyDescent="0.2">
      <c r="A176" s="28"/>
      <c r="B176" s="25"/>
      <c r="C176" s="28"/>
      <c r="D176" s="28"/>
      <c r="E176" s="28"/>
      <c r="F176" s="28"/>
      <c r="G176" s="32"/>
      <c r="H176" s="28"/>
    </row>
    <row r="177" spans="1:8" x14ac:dyDescent="0.2">
      <c r="A177" s="28"/>
      <c r="B177" s="25"/>
      <c r="C177" s="28"/>
      <c r="D177" s="28"/>
      <c r="E177" s="28"/>
      <c r="F177" s="28"/>
      <c r="G177" s="32"/>
      <c r="H177" s="28"/>
    </row>
    <row r="178" spans="1:8" x14ac:dyDescent="0.2">
      <c r="A178" s="28"/>
      <c r="B178" s="25"/>
      <c r="C178" s="28"/>
      <c r="D178" s="28"/>
      <c r="E178" s="28"/>
      <c r="F178" s="28"/>
      <c r="G178" s="32"/>
      <c r="H178" s="28"/>
    </row>
    <row r="179" spans="1:8" x14ac:dyDescent="0.2">
      <c r="A179" s="28"/>
      <c r="B179" s="25"/>
      <c r="C179" s="28"/>
      <c r="D179" s="28"/>
      <c r="E179" s="28"/>
      <c r="F179" s="28"/>
      <c r="G179" s="32"/>
      <c r="H179" s="28"/>
    </row>
    <row r="180" spans="1:8" x14ac:dyDescent="0.2">
      <c r="A180" s="28"/>
      <c r="B180" s="25"/>
      <c r="C180" s="28"/>
      <c r="D180" s="28"/>
      <c r="E180" s="28"/>
      <c r="F180" s="28"/>
      <c r="G180" s="32"/>
      <c r="H180" s="28"/>
    </row>
    <row r="181" spans="1:8" x14ac:dyDescent="0.2">
      <c r="A181" s="28"/>
      <c r="B181" s="25"/>
      <c r="C181" s="28"/>
      <c r="D181" s="28"/>
      <c r="E181" s="28"/>
      <c r="F181" s="28"/>
      <c r="G181" s="32"/>
      <c r="H181" s="28"/>
    </row>
    <row r="182" spans="1:8" x14ac:dyDescent="0.2">
      <c r="A182" s="28"/>
      <c r="B182" s="25"/>
      <c r="C182" s="28"/>
      <c r="D182" s="28"/>
      <c r="E182" s="28"/>
      <c r="F182" s="28"/>
      <c r="G182" s="32"/>
      <c r="H182" s="28"/>
    </row>
    <row r="183" spans="1:8" x14ac:dyDescent="0.2">
      <c r="A183" s="28"/>
      <c r="B183" s="25"/>
      <c r="C183" s="28"/>
      <c r="D183" s="28"/>
      <c r="E183" s="28"/>
      <c r="F183" s="28"/>
      <c r="G183" s="32"/>
      <c r="H183" s="28"/>
    </row>
    <row r="184" spans="1:8" x14ac:dyDescent="0.2">
      <c r="A184" s="28"/>
      <c r="B184" s="25"/>
      <c r="C184" s="28"/>
      <c r="D184" s="28"/>
      <c r="E184" s="28"/>
      <c r="F184" s="28"/>
      <c r="G184" s="32"/>
      <c r="H184" s="28"/>
    </row>
    <row r="185" spans="1:8" x14ac:dyDescent="0.2">
      <c r="A185" s="28"/>
      <c r="B185" s="25"/>
      <c r="C185" s="28"/>
      <c r="D185" s="28"/>
      <c r="E185" s="28"/>
      <c r="F185" s="28"/>
      <c r="G185" s="32"/>
      <c r="H185" s="28"/>
    </row>
    <row r="186" spans="1:8" x14ac:dyDescent="0.2">
      <c r="A186" s="28"/>
      <c r="B186" s="25"/>
      <c r="C186" s="28"/>
      <c r="D186" s="28"/>
      <c r="E186" s="28"/>
      <c r="F186" s="28"/>
      <c r="G186" s="32"/>
      <c r="H186" s="28"/>
    </row>
    <row r="187" spans="1:8" x14ac:dyDescent="0.2">
      <c r="A187" s="28"/>
      <c r="B187" s="25"/>
      <c r="C187" s="28"/>
      <c r="D187" s="28"/>
      <c r="E187" s="28"/>
      <c r="F187" s="28"/>
      <c r="G187" s="32"/>
      <c r="H187" s="28"/>
    </row>
    <row r="188" spans="1:8" x14ac:dyDescent="0.2">
      <c r="A188" s="28"/>
      <c r="B188" s="25"/>
      <c r="C188" s="28"/>
      <c r="D188" s="28"/>
      <c r="E188" s="28"/>
      <c r="F188" s="28"/>
      <c r="G188" s="32"/>
      <c r="H188" s="28"/>
    </row>
    <row r="189" spans="1:8" x14ac:dyDescent="0.2">
      <c r="A189" s="28"/>
      <c r="B189" s="25"/>
      <c r="C189" s="28"/>
      <c r="D189" s="28"/>
      <c r="E189" s="28"/>
      <c r="F189" s="28"/>
      <c r="G189" s="32"/>
      <c r="H189" s="28"/>
    </row>
    <row r="190" spans="1:8" x14ac:dyDescent="0.2">
      <c r="A190" s="28"/>
      <c r="B190" s="25"/>
      <c r="C190" s="28"/>
      <c r="D190" s="28"/>
      <c r="E190" s="28"/>
      <c r="F190" s="28"/>
      <c r="G190" s="32"/>
      <c r="H190" s="28"/>
    </row>
    <row r="191" spans="1:8" x14ac:dyDescent="0.2">
      <c r="A191" s="28"/>
      <c r="B191" s="25"/>
      <c r="C191" s="28"/>
      <c r="D191" s="28"/>
      <c r="E191" s="28"/>
      <c r="F191" s="28"/>
      <c r="G191" s="32"/>
      <c r="H191" s="28"/>
    </row>
    <row r="192" spans="1:8" x14ac:dyDescent="0.2">
      <c r="A192" s="28"/>
      <c r="B192" s="25"/>
      <c r="C192" s="28"/>
      <c r="D192" s="28"/>
      <c r="E192" s="28"/>
      <c r="F192" s="28"/>
      <c r="G192" s="32"/>
      <c r="H192" s="28"/>
    </row>
    <row r="193" spans="1:8" x14ac:dyDescent="0.2">
      <c r="A193" s="28"/>
      <c r="B193" s="25"/>
      <c r="C193" s="28"/>
      <c r="D193" s="28"/>
      <c r="E193" s="28"/>
      <c r="F193" s="28"/>
      <c r="G193" s="32"/>
      <c r="H193" s="28"/>
    </row>
    <row r="194" spans="1:8" x14ac:dyDescent="0.2">
      <c r="A194" s="28"/>
      <c r="B194" s="25"/>
      <c r="C194" s="28"/>
      <c r="D194" s="28"/>
      <c r="E194" s="28"/>
      <c r="F194" s="28"/>
      <c r="G194" s="32"/>
      <c r="H194" s="28"/>
    </row>
    <row r="195" spans="1:8" x14ac:dyDescent="0.2">
      <c r="A195" s="28"/>
      <c r="B195" s="25"/>
      <c r="C195" s="28"/>
      <c r="D195" s="28"/>
      <c r="E195" s="28"/>
      <c r="F195" s="28"/>
      <c r="G195" s="32"/>
      <c r="H195" s="28"/>
    </row>
    <row r="196" spans="1:8" x14ac:dyDescent="0.2">
      <c r="A196" s="28"/>
      <c r="B196" s="25"/>
      <c r="C196" s="28"/>
      <c r="D196" s="28"/>
      <c r="E196" s="28"/>
      <c r="F196" s="28"/>
      <c r="G196" s="32"/>
      <c r="H196" s="28"/>
    </row>
    <row r="197" spans="1:8" x14ac:dyDescent="0.2">
      <c r="A197" s="28"/>
      <c r="B197" s="25"/>
      <c r="C197" s="28"/>
      <c r="D197" s="28"/>
      <c r="E197" s="28"/>
      <c r="F197" s="28"/>
      <c r="G197" s="32"/>
      <c r="H197" s="28"/>
    </row>
    <row r="198" spans="1:8" x14ac:dyDescent="0.2">
      <c r="A198" s="28"/>
      <c r="B198" s="25"/>
      <c r="C198" s="28"/>
      <c r="D198" s="28"/>
      <c r="E198" s="28"/>
      <c r="F198" s="28"/>
      <c r="G198" s="32"/>
      <c r="H198" s="28"/>
    </row>
    <row r="199" spans="1:8" x14ac:dyDescent="0.2">
      <c r="A199" s="28"/>
      <c r="B199" s="25"/>
      <c r="C199" s="28"/>
      <c r="D199" s="28"/>
      <c r="E199" s="28"/>
      <c r="F199" s="28"/>
      <c r="G199" s="32"/>
      <c r="H199" s="28"/>
    </row>
    <row r="200" spans="1:8" x14ac:dyDescent="0.2">
      <c r="A200" s="28"/>
      <c r="B200" s="25"/>
      <c r="C200" s="28"/>
      <c r="D200" s="28"/>
      <c r="E200" s="28"/>
      <c r="F200" s="28"/>
      <c r="G200" s="32"/>
      <c r="H200" s="28"/>
    </row>
  </sheetData>
  <mergeCells count="18">
    <mergeCell ref="A5:C5"/>
    <mergeCell ref="E5:H5"/>
    <mergeCell ref="A2:C2"/>
    <mergeCell ref="E2:H2"/>
    <mergeCell ref="A3:C3"/>
    <mergeCell ref="E3:H3"/>
    <mergeCell ref="A4:C4"/>
    <mergeCell ref="E4:H4"/>
    <mergeCell ref="A6:C6"/>
    <mergeCell ref="E6:H6"/>
    <mergeCell ref="A7:A8"/>
    <mergeCell ref="B7:B8"/>
    <mergeCell ref="C7:C8"/>
    <mergeCell ref="E7:E8"/>
    <mergeCell ref="F7:F8"/>
    <mergeCell ref="G7:G8"/>
    <mergeCell ref="H7:H8"/>
    <mergeCell ref="D7:D8"/>
  </mergeCells>
  <conditionalFormatting sqref="E9:E93">
    <cfRule type="containsText" dxfId="1" priority="1" operator="containsText" text="Yes">
      <formula>NOT(ISERROR(SEARCH("Yes",E9)))</formula>
    </cfRule>
  </conditionalFormatting>
  <conditionalFormatting sqref="H72">
    <cfRule type="containsText" dxfId="0" priority="25" operator="containsText" text="Yes">
      <formula>NOT(ISERROR(SEARCH("Yes",H72)))</formula>
    </cfRule>
  </conditionalFormatting>
  <dataValidations count="1">
    <dataValidation type="list" allowBlank="1" showInputMessage="1" showErrorMessage="1" sqref="E9:E93" xr:uid="{00000000-0002-0000-0000-000000000000}">
      <formula1>"Mandatory,Optional"</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46"/>
  <sheetViews>
    <sheetView zoomScale="60" zoomScaleNormal="60" zoomScalePageLayoutView="60" workbookViewId="0">
      <selection activeCell="D57" sqref="D57"/>
    </sheetView>
  </sheetViews>
  <sheetFormatPr defaultColWidth="52" defaultRowHeight="12.75" x14ac:dyDescent="0.2"/>
  <cols>
    <col min="1" max="1" width="29.28515625" style="10" customWidth="1"/>
    <col min="2" max="2" width="25" style="11" customWidth="1"/>
    <col min="3" max="3" width="11.28515625" style="11" customWidth="1"/>
    <col min="4" max="4" width="85.28515625" style="12" customWidth="1"/>
    <col min="5" max="5" width="20.7109375" customWidth="1"/>
    <col min="6" max="6" width="25.28515625" customWidth="1"/>
    <col min="7" max="7" width="14" customWidth="1"/>
    <col min="8" max="8" width="10" customWidth="1"/>
    <col min="9" max="9" width="34.7109375" bestFit="1" customWidth="1"/>
    <col min="10" max="10" width="31.28515625" bestFit="1" customWidth="1"/>
    <col min="11" max="11" width="20" bestFit="1" customWidth="1"/>
    <col min="12" max="12" width="100" bestFit="1" customWidth="1"/>
  </cols>
  <sheetData>
    <row r="1" spans="1:9" ht="18.75" thickBot="1" x14ac:dyDescent="0.3">
      <c r="A1" s="8" t="s">
        <v>210</v>
      </c>
      <c r="B1" s="3"/>
      <c r="C1" s="3"/>
      <c r="D1" s="9"/>
      <c r="E1" s="3"/>
      <c r="F1" s="3"/>
      <c r="G1" s="3"/>
      <c r="H1" s="3"/>
    </row>
    <row r="2" spans="1:9" x14ac:dyDescent="0.2">
      <c r="A2" s="6" t="s">
        <v>211</v>
      </c>
      <c r="B2" s="238" t="s">
        <v>212</v>
      </c>
      <c r="C2" s="238"/>
      <c r="D2" s="238"/>
      <c r="E2" s="238"/>
      <c r="F2" s="238"/>
      <c r="G2" s="3"/>
      <c r="H2" s="3"/>
    </row>
    <row r="3" spans="1:9" x14ac:dyDescent="0.2">
      <c r="A3" s="7" t="s">
        <v>213</v>
      </c>
      <c r="B3" s="239"/>
      <c r="C3" s="239"/>
      <c r="D3" s="239"/>
      <c r="E3" s="239"/>
      <c r="F3" s="239"/>
      <c r="G3" s="3"/>
      <c r="H3" s="3"/>
    </row>
    <row r="4" spans="1:9" x14ac:dyDescent="0.2">
      <c r="A4" s="7" t="s">
        <v>214</v>
      </c>
      <c r="B4" s="239" t="s">
        <v>3</v>
      </c>
      <c r="C4" s="239"/>
      <c r="D4" s="239"/>
      <c r="E4" s="239"/>
      <c r="F4" s="239"/>
      <c r="G4" s="3"/>
      <c r="H4" s="3"/>
    </row>
    <row r="5" spans="1:9" x14ac:dyDescent="0.2">
      <c r="A5" s="7" t="s">
        <v>215</v>
      </c>
      <c r="B5" s="239"/>
      <c r="C5" s="239"/>
      <c r="D5" s="239"/>
      <c r="E5" s="239"/>
      <c r="F5" s="239"/>
      <c r="G5" s="3"/>
      <c r="H5" s="3"/>
    </row>
    <row r="6" spans="1:9" x14ac:dyDescent="0.2">
      <c r="A6" s="7" t="s">
        <v>216</v>
      </c>
      <c r="B6" s="239"/>
      <c r="C6" s="239"/>
      <c r="D6" s="239"/>
      <c r="E6" s="240"/>
      <c r="F6" s="240"/>
      <c r="G6" s="3"/>
      <c r="H6" s="3"/>
    </row>
    <row r="7" spans="1:9" x14ac:dyDescent="0.2">
      <c r="A7" s="233" t="s">
        <v>217</v>
      </c>
      <c r="B7" s="234"/>
      <c r="C7" s="44"/>
      <c r="D7" s="236" t="s">
        <v>218</v>
      </c>
      <c r="E7" s="235" t="s">
        <v>219</v>
      </c>
      <c r="F7" s="234"/>
      <c r="G7" s="44"/>
      <c r="H7" s="44"/>
    </row>
    <row r="8" spans="1:9" x14ac:dyDescent="0.2">
      <c r="A8" s="34" t="s">
        <v>220</v>
      </c>
      <c r="B8" s="82" t="s">
        <v>9</v>
      </c>
      <c r="C8" s="35"/>
      <c r="D8" s="237"/>
      <c r="E8" s="35" t="s">
        <v>220</v>
      </c>
      <c r="F8" s="35" t="s">
        <v>9</v>
      </c>
      <c r="G8" s="35"/>
      <c r="H8" s="35"/>
    </row>
    <row r="9" spans="1:9" x14ac:dyDescent="0.2">
      <c r="A9" s="1" t="s">
        <v>221</v>
      </c>
      <c r="B9" s="5" t="s">
        <v>222</v>
      </c>
      <c r="C9" s="52" t="s">
        <v>223</v>
      </c>
      <c r="D9" s="17" t="s">
        <v>224</v>
      </c>
      <c r="E9" s="36"/>
      <c r="F9" s="54" t="s">
        <v>15</v>
      </c>
      <c r="G9" s="56"/>
      <c r="H9" s="4" t="str">
        <f>IF(F9="","",VLOOKUP(F9,'IL to HORIZON'!$C$9:$F$93,4,FALSE))</f>
        <v>String(8)</v>
      </c>
    </row>
    <row r="10" spans="1:9" x14ac:dyDescent="0.2">
      <c r="A10" s="1" t="s">
        <v>221</v>
      </c>
      <c r="B10" s="2" t="s">
        <v>129</v>
      </c>
      <c r="C10" s="2" t="s">
        <v>225</v>
      </c>
      <c r="D10" s="17" t="s">
        <v>226</v>
      </c>
      <c r="E10" s="38"/>
      <c r="F10" s="53" t="s">
        <v>27</v>
      </c>
      <c r="G10" s="57" t="s">
        <v>128</v>
      </c>
      <c r="H10" s="4" t="str">
        <f>IF(F10="","",VLOOKUP(F10,'IL to HORIZON'!$C$9:$F$93,4,FALSE))</f>
        <v>String(60)</v>
      </c>
      <c r="I10" t="str">
        <f>IF(G10="","",VLOOKUP(G10,'IL to HORIZON'!$C$9:$F$93,4,FALSE))</f>
        <v>String(60)</v>
      </c>
    </row>
    <row r="11" spans="1:9" x14ac:dyDescent="0.2">
      <c r="A11" s="1" t="s">
        <v>221</v>
      </c>
      <c r="B11" s="2" t="s">
        <v>227</v>
      </c>
      <c r="C11" s="2" t="s">
        <v>228</v>
      </c>
      <c r="D11" s="17"/>
      <c r="E11" s="38"/>
      <c r="F11" s="37"/>
      <c r="G11" s="58"/>
      <c r="H11" s="4" t="str">
        <f>IF(F11="","",VLOOKUP(F11,'IL to HORIZON'!$C$9:$F$93,4,FALSE))</f>
        <v/>
      </c>
    </row>
    <row r="12" spans="1:9" x14ac:dyDescent="0.2">
      <c r="A12" s="1" t="s">
        <v>221</v>
      </c>
      <c r="B12" s="2" t="s">
        <v>229</v>
      </c>
      <c r="C12" s="2" t="s">
        <v>225</v>
      </c>
      <c r="D12" s="17"/>
      <c r="E12" s="38"/>
      <c r="F12" s="37"/>
      <c r="G12" s="58"/>
      <c r="H12" s="4" t="str">
        <f>IF(F12="","",VLOOKUP(F12,'IL to HORIZON'!$C$9:$F$93,4,FALSE))</f>
        <v/>
      </c>
    </row>
    <row r="13" spans="1:9" x14ac:dyDescent="0.2">
      <c r="A13" s="1" t="s">
        <v>221</v>
      </c>
      <c r="B13" s="2" t="s">
        <v>230</v>
      </c>
      <c r="C13" s="2" t="s">
        <v>225</v>
      </c>
      <c r="D13" s="17" t="s">
        <v>224</v>
      </c>
      <c r="E13" s="38"/>
      <c r="F13" s="53" t="s">
        <v>130</v>
      </c>
      <c r="G13" s="58"/>
      <c r="H13" s="4" t="str">
        <f>IF(F13="","",VLOOKUP(F13,'IL to HORIZON'!$C$9:$F$93,4,FALSE))</f>
        <v>String(60)</v>
      </c>
    </row>
    <row r="14" spans="1:9" x14ac:dyDescent="0.2">
      <c r="A14" s="1" t="s">
        <v>221</v>
      </c>
      <c r="B14" s="2" t="s">
        <v>231</v>
      </c>
      <c r="C14" s="51" t="s">
        <v>225</v>
      </c>
      <c r="D14" s="17" t="s">
        <v>224</v>
      </c>
      <c r="E14" s="38"/>
      <c r="F14" s="53" t="s">
        <v>132</v>
      </c>
      <c r="G14" s="58"/>
      <c r="H14" s="4" t="str">
        <f>IF(F14="","",VLOOKUP(F14,'IL to HORIZON'!$C$9:$F$93,4,FALSE))</f>
        <v>String(30)</v>
      </c>
    </row>
    <row r="15" spans="1:9" x14ac:dyDescent="0.2">
      <c r="A15" s="1" t="s">
        <v>221</v>
      </c>
      <c r="B15" s="1" t="s">
        <v>232</v>
      </c>
      <c r="C15" s="1" t="s">
        <v>233</v>
      </c>
      <c r="D15" s="17" t="s">
        <v>224</v>
      </c>
      <c r="E15" s="38"/>
      <c r="F15" s="53" t="s">
        <v>136</v>
      </c>
      <c r="G15" s="58"/>
      <c r="H15" s="4" t="str">
        <f>IF(F15="","",VLOOKUP(F15,'IL to HORIZON'!$C$9:$F$93,4,FALSE))</f>
        <v>String(30)</v>
      </c>
    </row>
    <row r="16" spans="1:9" x14ac:dyDescent="0.2">
      <c r="A16" s="1" t="s">
        <v>221</v>
      </c>
      <c r="B16" s="2" t="s">
        <v>234</v>
      </c>
      <c r="C16" s="2" t="s">
        <v>225</v>
      </c>
      <c r="D16" s="17"/>
      <c r="E16" s="38"/>
      <c r="F16" s="37"/>
      <c r="G16" s="58"/>
      <c r="H16" s="4" t="str">
        <f>IF(F16="","",VLOOKUP(F16,'IL to HORIZON'!$C$9:$F$93,4,FALSE))</f>
        <v/>
      </c>
    </row>
    <row r="17" spans="1:9" x14ac:dyDescent="0.2">
      <c r="A17" s="1" t="s">
        <v>221</v>
      </c>
      <c r="B17" s="2" t="s">
        <v>235</v>
      </c>
      <c r="C17" s="51" t="s">
        <v>233</v>
      </c>
      <c r="D17" s="17" t="s">
        <v>226</v>
      </c>
      <c r="E17" s="38"/>
      <c r="F17" s="53" t="s">
        <v>145</v>
      </c>
      <c r="G17" s="58"/>
      <c r="H17" s="4" t="str">
        <f>IF(F17="","",VLOOKUP(F17,'IL to HORIZON'!$C$9:$F$93,4,FALSE))</f>
        <v>String(20)</v>
      </c>
    </row>
    <row r="18" spans="1:9" x14ac:dyDescent="0.2">
      <c r="A18" s="1" t="s">
        <v>221</v>
      </c>
      <c r="B18" s="2" t="s">
        <v>236</v>
      </c>
      <c r="C18" s="2" t="s">
        <v>237</v>
      </c>
      <c r="D18" s="17"/>
      <c r="E18" s="38"/>
      <c r="F18" s="37"/>
      <c r="G18" s="58"/>
      <c r="H18" s="4" t="str">
        <f>IF(F18="","",VLOOKUP(F18,'IL to HORIZON'!$C$9:$F$93,4,FALSE))</f>
        <v/>
      </c>
    </row>
    <row r="19" spans="1:9" x14ac:dyDescent="0.2">
      <c r="A19" s="1" t="s">
        <v>221</v>
      </c>
      <c r="B19" s="2" t="s">
        <v>238</v>
      </c>
      <c r="C19" s="2" t="s">
        <v>223</v>
      </c>
      <c r="D19" s="17"/>
      <c r="E19" s="38"/>
      <c r="F19" s="37"/>
      <c r="G19" s="58"/>
      <c r="H19" s="4" t="str">
        <f>IF(F19="","",VLOOKUP(F19,'IL to HORIZON'!$C$9:$F$93,4,FALSE))</f>
        <v/>
      </c>
    </row>
    <row r="20" spans="1:9" x14ac:dyDescent="0.2">
      <c r="A20" s="1" t="s">
        <v>221</v>
      </c>
      <c r="B20" s="2" t="s">
        <v>239</v>
      </c>
      <c r="C20" s="2" t="s">
        <v>237</v>
      </c>
      <c r="D20" s="17"/>
      <c r="E20" s="38"/>
      <c r="F20" s="37"/>
      <c r="G20" s="58"/>
      <c r="H20" s="4" t="str">
        <f>IF(F20="","",VLOOKUP(F20,'IL to HORIZON'!$C$9:$F$93,4,FALSE))</f>
        <v/>
      </c>
    </row>
    <row r="21" spans="1:9" x14ac:dyDescent="0.2">
      <c r="A21" s="1" t="s">
        <v>221</v>
      </c>
      <c r="B21" s="2" t="s">
        <v>240</v>
      </c>
      <c r="C21" s="2" t="s">
        <v>241</v>
      </c>
      <c r="D21" s="17"/>
      <c r="E21" s="38"/>
      <c r="F21" s="37"/>
      <c r="G21" s="58"/>
      <c r="H21" s="4" t="str">
        <f>IF(F21="","",VLOOKUP(F21,'IL to HORIZON'!$C$9:$F$93,4,FALSE))</f>
        <v/>
      </c>
    </row>
    <row r="22" spans="1:9" x14ac:dyDescent="0.2">
      <c r="A22" s="1" t="s">
        <v>221</v>
      </c>
      <c r="B22" s="2" t="s">
        <v>242</v>
      </c>
      <c r="C22" s="2" t="s">
        <v>223</v>
      </c>
      <c r="D22" s="17"/>
      <c r="E22" s="38"/>
      <c r="F22" s="37"/>
      <c r="G22" s="58"/>
      <c r="H22" s="4" t="str">
        <f>IF(F22="","",VLOOKUP(F22,'IL to HORIZON'!$C$9:$F$93,4,FALSE))</f>
        <v/>
      </c>
    </row>
    <row r="23" spans="1:9" x14ac:dyDescent="0.2">
      <c r="A23" s="1" t="s">
        <v>221</v>
      </c>
      <c r="B23" s="2" t="s">
        <v>243</v>
      </c>
      <c r="C23" s="2" t="s">
        <v>223</v>
      </c>
      <c r="D23" s="17"/>
      <c r="E23" s="38"/>
      <c r="F23" s="37"/>
      <c r="G23" s="58"/>
      <c r="H23" s="4" t="str">
        <f>IF(F23="","",VLOOKUP(F23,'IL to HORIZON'!$C$9:$F$93,4,FALSE))</f>
        <v/>
      </c>
    </row>
    <row r="24" spans="1:9" x14ac:dyDescent="0.2">
      <c r="A24" s="1" t="s">
        <v>221</v>
      </c>
      <c r="B24" s="2" t="s">
        <v>244</v>
      </c>
      <c r="C24" s="2" t="s">
        <v>241</v>
      </c>
      <c r="D24" s="17"/>
      <c r="E24" s="38"/>
      <c r="F24" s="37"/>
      <c r="G24" s="58"/>
      <c r="H24" s="4" t="str">
        <f>IF(F24="","",VLOOKUP(F24,'IL to HORIZON'!$C$9:$F$93,4,FALSE))</f>
        <v/>
      </c>
    </row>
    <row r="25" spans="1:9" x14ac:dyDescent="0.2">
      <c r="A25" s="1" t="s">
        <v>221</v>
      </c>
      <c r="B25" s="2" t="s">
        <v>245</v>
      </c>
      <c r="C25" s="2" t="s">
        <v>246</v>
      </c>
      <c r="D25" s="17"/>
      <c r="E25" s="38"/>
      <c r="F25" s="37"/>
      <c r="G25" s="58"/>
      <c r="H25" s="4" t="str">
        <f>IF(F25="","",VLOOKUP(F25,'IL to HORIZON'!$C$9:$F$93,4,FALSE))</f>
        <v/>
      </c>
    </row>
    <row r="26" spans="1:9" x14ac:dyDescent="0.2">
      <c r="A26" s="1" t="s">
        <v>221</v>
      </c>
      <c r="B26" s="2" t="s">
        <v>247</v>
      </c>
      <c r="C26" s="2" t="s">
        <v>246</v>
      </c>
      <c r="D26" s="17"/>
      <c r="E26" s="38"/>
      <c r="F26" s="37"/>
      <c r="G26" s="58"/>
      <c r="H26" s="4" t="str">
        <f>IF(F26="","",VLOOKUP(F26,'IL to HORIZON'!$C$9:$F$93,4,FALSE))</f>
        <v/>
      </c>
    </row>
    <row r="27" spans="1:9" x14ac:dyDescent="0.2">
      <c r="A27" s="1" t="s">
        <v>221</v>
      </c>
      <c r="B27" s="2" t="s">
        <v>248</v>
      </c>
      <c r="C27" s="2" t="s">
        <v>241</v>
      </c>
      <c r="D27" s="17" t="s">
        <v>249</v>
      </c>
      <c r="E27" s="38"/>
      <c r="F27" s="53" t="s">
        <v>37</v>
      </c>
      <c r="G27" s="59"/>
      <c r="H27" s="4" t="str">
        <f>IF(F27="","",VLOOKUP(F27,'IL to HORIZON'!$C$9:$F$93,4,FALSE))</f>
        <v>String(3)</v>
      </c>
      <c r="I27" s="64" t="s">
        <v>250</v>
      </c>
    </row>
    <row r="28" spans="1:9" x14ac:dyDescent="0.2">
      <c r="A28" s="1" t="s">
        <v>221</v>
      </c>
      <c r="B28" s="2" t="s">
        <v>45</v>
      </c>
      <c r="C28" s="2" t="s">
        <v>241</v>
      </c>
      <c r="D28" s="17" t="s">
        <v>251</v>
      </c>
      <c r="E28" s="38"/>
      <c r="F28" s="54" t="s">
        <v>44</v>
      </c>
      <c r="G28" s="59"/>
      <c r="H28" s="4" t="str">
        <f>IF(F28="","",VLOOKUP(F28,'IL to HORIZON'!$C$9:$F$93,4,FALSE))</f>
        <v>String(3)</v>
      </c>
    </row>
    <row r="29" spans="1:9" x14ac:dyDescent="0.2">
      <c r="A29" s="1" t="s">
        <v>221</v>
      </c>
      <c r="B29" s="2" t="s">
        <v>252</v>
      </c>
      <c r="C29" s="2" t="s">
        <v>241</v>
      </c>
      <c r="D29" s="17"/>
      <c r="E29" s="38"/>
      <c r="F29" s="37"/>
      <c r="G29" s="58"/>
      <c r="H29" s="4" t="str">
        <f>IF(F29="","",VLOOKUP(F29,'IL to HORIZON'!$C$9:$F$93,4,FALSE))</f>
        <v/>
      </c>
    </row>
    <row r="30" spans="1:9" x14ac:dyDescent="0.2">
      <c r="A30" s="1" t="s">
        <v>221</v>
      </c>
      <c r="B30" s="2" t="s">
        <v>253</v>
      </c>
      <c r="C30" s="2" t="s">
        <v>241</v>
      </c>
      <c r="D30" s="17"/>
      <c r="E30" s="38"/>
      <c r="F30" s="37"/>
      <c r="G30" s="58"/>
      <c r="H30" s="4" t="str">
        <f>IF(F30="","",VLOOKUP(F30,'IL to HORIZON'!$C$9:$F$93,4,FALSE))</f>
        <v/>
      </c>
    </row>
    <row r="31" spans="1:9" x14ac:dyDescent="0.2">
      <c r="A31" s="1" t="s">
        <v>221</v>
      </c>
      <c r="B31" s="2" t="s">
        <v>254</v>
      </c>
      <c r="C31" s="2" t="s">
        <v>255</v>
      </c>
      <c r="D31" s="17"/>
      <c r="E31" s="38"/>
      <c r="F31" s="37"/>
      <c r="G31" s="58"/>
      <c r="H31" s="4" t="str">
        <f>IF(F31="","",VLOOKUP(F31,'IL to HORIZON'!$C$9:$F$93,4,FALSE))</f>
        <v/>
      </c>
    </row>
    <row r="32" spans="1:9" x14ac:dyDescent="0.2">
      <c r="A32" s="1" t="s">
        <v>221</v>
      </c>
      <c r="B32" s="2" t="s">
        <v>256</v>
      </c>
      <c r="C32" s="2" t="s">
        <v>241</v>
      </c>
      <c r="D32" s="17" t="s">
        <v>257</v>
      </c>
      <c r="E32" s="38"/>
      <c r="F32" s="54" t="s">
        <v>82</v>
      </c>
      <c r="G32" s="58"/>
      <c r="H32" s="4" t="str">
        <f>IF(F32="","",VLOOKUP(F32,'IL to HORIZON'!$C$9:$F$93,4,FALSE))</f>
        <v>Number(3)</v>
      </c>
    </row>
    <row r="33" spans="1:9" x14ac:dyDescent="0.2">
      <c r="A33" s="1" t="s">
        <v>221</v>
      </c>
      <c r="B33" s="2" t="s">
        <v>258</v>
      </c>
      <c r="C33" s="2" t="s">
        <v>241</v>
      </c>
      <c r="D33" s="17"/>
      <c r="E33" s="38"/>
      <c r="F33" s="37"/>
      <c r="G33" s="58"/>
      <c r="H33" s="4" t="str">
        <f>IF(F33="","",VLOOKUP(F33,'IL to HORIZON'!$C$9:$F$93,4,FALSE))</f>
        <v/>
      </c>
    </row>
    <row r="34" spans="1:9" x14ac:dyDescent="0.2">
      <c r="A34" s="1" t="s">
        <v>221</v>
      </c>
      <c r="B34" s="2" t="s">
        <v>259</v>
      </c>
      <c r="C34" s="2" t="s">
        <v>241</v>
      </c>
      <c r="D34" s="17"/>
      <c r="E34" s="38"/>
      <c r="F34" s="37"/>
      <c r="G34" s="58"/>
      <c r="H34" s="4" t="str">
        <f>IF(F34="","",VLOOKUP(F34,'IL to HORIZON'!$C$9:$F$93,4,FALSE))</f>
        <v/>
      </c>
    </row>
    <row r="35" spans="1:9" x14ac:dyDescent="0.2">
      <c r="A35" s="1" t="s">
        <v>221</v>
      </c>
      <c r="B35" s="2" t="s">
        <v>260</v>
      </c>
      <c r="C35" s="2" t="s">
        <v>241</v>
      </c>
      <c r="D35" s="17"/>
      <c r="E35" s="38"/>
      <c r="F35" s="37"/>
      <c r="G35" s="58"/>
      <c r="H35" s="4" t="str">
        <f>IF(F35="","",VLOOKUP(F35,'IL to HORIZON'!$C$9:$F$93,4,FALSE))</f>
        <v/>
      </c>
    </row>
    <row r="36" spans="1:9" x14ac:dyDescent="0.2">
      <c r="A36" s="1" t="s">
        <v>221</v>
      </c>
      <c r="B36" s="2" t="s">
        <v>261</v>
      </c>
      <c r="C36" s="2" t="s">
        <v>241</v>
      </c>
      <c r="D36" s="17"/>
      <c r="E36" s="38"/>
      <c r="F36" s="37"/>
      <c r="G36" s="58"/>
      <c r="H36" s="4" t="str">
        <f>IF(F36="","",VLOOKUP(F36,'IL to HORIZON'!$C$9:$F$93,4,FALSE))</f>
        <v/>
      </c>
    </row>
    <row r="37" spans="1:9" x14ac:dyDescent="0.2">
      <c r="A37" s="1" t="s">
        <v>221</v>
      </c>
      <c r="B37" s="2" t="s">
        <v>262</v>
      </c>
      <c r="C37" s="2" t="s">
        <v>223</v>
      </c>
      <c r="D37" s="17"/>
      <c r="E37" s="38"/>
      <c r="F37" s="37"/>
      <c r="G37" s="58"/>
      <c r="H37" s="4" t="str">
        <f>IF(F37="","",VLOOKUP(F37,'IL to HORIZON'!$C$9:$F$93,4,FALSE))</f>
        <v/>
      </c>
    </row>
    <row r="38" spans="1:9" x14ac:dyDescent="0.2">
      <c r="A38" s="1" t="s">
        <v>221</v>
      </c>
      <c r="B38" s="2" t="s">
        <v>263</v>
      </c>
      <c r="C38" s="2" t="s">
        <v>223</v>
      </c>
      <c r="D38" s="17"/>
      <c r="E38" s="38"/>
      <c r="F38" s="37"/>
      <c r="G38" s="58"/>
      <c r="H38" s="4" t="str">
        <f>IF(F38="","",VLOOKUP(F38,'IL to HORIZON'!$C$9:$F$93,4,FALSE))</f>
        <v/>
      </c>
    </row>
    <row r="39" spans="1:9" x14ac:dyDescent="0.2">
      <c r="A39" s="1" t="s">
        <v>221</v>
      </c>
      <c r="B39" s="2" t="s">
        <v>264</v>
      </c>
      <c r="C39" s="2" t="s">
        <v>223</v>
      </c>
      <c r="D39" s="17"/>
      <c r="E39" s="38"/>
      <c r="F39" s="37"/>
      <c r="G39" s="58"/>
      <c r="H39" s="4" t="str">
        <f>IF(F39="","",VLOOKUP(F39,'IL to HORIZON'!$C$9:$F$93,4,FALSE))</f>
        <v/>
      </c>
    </row>
    <row r="40" spans="1:9" x14ac:dyDescent="0.2">
      <c r="A40" s="1" t="s">
        <v>221</v>
      </c>
      <c r="B40" s="2" t="s">
        <v>265</v>
      </c>
      <c r="C40" s="2" t="s">
        <v>241</v>
      </c>
      <c r="D40" s="17" t="s">
        <v>266</v>
      </c>
      <c r="E40" s="38"/>
      <c r="F40" s="53" t="s">
        <v>143</v>
      </c>
      <c r="G40" s="58"/>
      <c r="H40" s="4" t="str">
        <f>IF(F40="","",VLOOKUP(F40,'IL to HORIZON'!$C$9:$F$93,4,FALSE))</f>
        <v>String(30)</v>
      </c>
    </row>
    <row r="41" spans="1:9" x14ac:dyDescent="0.2">
      <c r="A41" s="1" t="s">
        <v>221</v>
      </c>
      <c r="B41" s="2" t="s">
        <v>267</v>
      </c>
      <c r="C41" s="2" t="s">
        <v>223</v>
      </c>
      <c r="D41" s="17"/>
      <c r="E41" s="38"/>
      <c r="F41" s="37"/>
      <c r="G41" s="58"/>
      <c r="H41" s="4" t="str">
        <f>IF(F41="","",VLOOKUP(F41,'IL to HORIZON'!$C$9:$F$93,4,FALSE))</f>
        <v/>
      </c>
    </row>
    <row r="42" spans="1:9" x14ac:dyDescent="0.2">
      <c r="A42" s="1" t="s">
        <v>221</v>
      </c>
      <c r="B42" s="2" t="s">
        <v>268</v>
      </c>
      <c r="C42" s="2" t="s">
        <v>246</v>
      </c>
      <c r="D42" s="29"/>
      <c r="E42" s="38"/>
      <c r="F42" s="37"/>
      <c r="G42" s="58"/>
      <c r="H42" s="4" t="str">
        <f>IF(F42="","",VLOOKUP(F42,'IL to HORIZON'!$C$9:$F$93,4,FALSE))</f>
        <v/>
      </c>
    </row>
    <row r="43" spans="1:9" x14ac:dyDescent="0.2">
      <c r="A43" s="1" t="s">
        <v>221</v>
      </c>
      <c r="B43" s="2" t="s">
        <v>269</v>
      </c>
      <c r="C43" s="2" t="s">
        <v>270</v>
      </c>
      <c r="D43" s="17"/>
      <c r="E43" s="38"/>
      <c r="F43" s="37"/>
      <c r="G43" s="58"/>
      <c r="H43" s="4" t="str">
        <f>IF(F43="","",VLOOKUP(F43,'IL to HORIZON'!$C$9:$F$93,4,FALSE))</f>
        <v/>
      </c>
    </row>
    <row r="44" spans="1:9" x14ac:dyDescent="0.2">
      <c r="A44" s="1" t="s">
        <v>221</v>
      </c>
      <c r="B44" s="2" t="s">
        <v>271</v>
      </c>
      <c r="C44" s="2" t="s">
        <v>272</v>
      </c>
      <c r="D44" s="17" t="s">
        <v>273</v>
      </c>
      <c r="E44" s="38"/>
      <c r="F44" s="37"/>
      <c r="G44" s="58"/>
      <c r="H44" s="4" t="str">
        <f>IF(F44="","",VLOOKUP(F44,'IL to HORIZON'!$C$9:$F$93,4,FALSE))</f>
        <v/>
      </c>
    </row>
    <row r="45" spans="1:9" x14ac:dyDescent="0.2">
      <c r="A45" s="1" t="s">
        <v>221</v>
      </c>
      <c r="B45" s="2" t="s">
        <v>274</v>
      </c>
      <c r="C45" s="2" t="s">
        <v>255</v>
      </c>
      <c r="D45" s="17"/>
      <c r="E45" s="38"/>
      <c r="F45" s="37"/>
      <c r="G45" s="58"/>
      <c r="H45" s="4" t="str">
        <f>IF(F45="","",VLOOKUP(F45,'IL to HORIZON'!$C$9:$F$93,4,FALSE))</f>
        <v/>
      </c>
      <c r="I45" s="64" t="s">
        <v>275</v>
      </c>
    </row>
    <row r="46" spans="1:9" x14ac:dyDescent="0.2">
      <c r="A46" s="1" t="s">
        <v>221</v>
      </c>
      <c r="B46" s="2" t="s">
        <v>276</v>
      </c>
      <c r="C46" s="2" t="s">
        <v>255</v>
      </c>
      <c r="D46" s="17"/>
      <c r="E46" s="38"/>
      <c r="F46" s="37"/>
      <c r="G46" s="58"/>
      <c r="H46" s="4" t="str">
        <f>IF(F46="","",VLOOKUP(F46,'IL to HORIZON'!$C$9:$F$93,4,FALSE))</f>
        <v/>
      </c>
    </row>
    <row r="47" spans="1:9" x14ac:dyDescent="0.2">
      <c r="A47" s="1" t="s">
        <v>221</v>
      </c>
      <c r="B47" s="2" t="s">
        <v>277</v>
      </c>
      <c r="C47" s="2" t="s">
        <v>270</v>
      </c>
      <c r="D47" s="29"/>
      <c r="E47" s="38"/>
      <c r="F47" s="37"/>
      <c r="G47" s="58"/>
      <c r="H47" s="4" t="str">
        <f>IF(F47="","",VLOOKUP(F47,'IL to HORIZON'!$C$9:$F$93,4,FALSE))</f>
        <v/>
      </c>
    </row>
    <row r="48" spans="1:9" x14ac:dyDescent="0.2">
      <c r="A48" s="1" t="s">
        <v>221</v>
      </c>
      <c r="B48" s="2" t="s">
        <v>278</v>
      </c>
      <c r="C48" s="2" t="s">
        <v>223</v>
      </c>
      <c r="D48" s="17"/>
      <c r="E48" s="38"/>
      <c r="F48" s="37"/>
      <c r="G48" s="58"/>
      <c r="H48" s="4" t="str">
        <f>IF(F48="","",VLOOKUP(F48,'IL to HORIZON'!$C$9:$F$93,4,FALSE))</f>
        <v/>
      </c>
    </row>
    <row r="49" spans="1:8" x14ac:dyDescent="0.2">
      <c r="A49" s="1" t="s">
        <v>221</v>
      </c>
      <c r="B49" s="2" t="s">
        <v>279</v>
      </c>
      <c r="C49" s="2" t="s">
        <v>255</v>
      </c>
      <c r="D49" s="17"/>
      <c r="E49" s="38"/>
      <c r="F49" s="37"/>
      <c r="G49" s="58"/>
      <c r="H49" s="4" t="str">
        <f>IF(F49="","",VLOOKUP(F49,'IL to HORIZON'!$C$9:$F$93,4,FALSE))</f>
        <v/>
      </c>
    </row>
    <row r="50" spans="1:8" x14ac:dyDescent="0.2">
      <c r="A50" s="1" t="s">
        <v>221</v>
      </c>
      <c r="B50" s="2" t="s">
        <v>280</v>
      </c>
      <c r="C50" s="2" t="s">
        <v>241</v>
      </c>
      <c r="D50" s="17"/>
      <c r="E50" s="38"/>
      <c r="F50" s="37"/>
      <c r="G50" s="58"/>
      <c r="H50" s="4" t="str">
        <f>IF(F50="","",VLOOKUP(F50,'IL to HORIZON'!$C$9:$F$93,4,FALSE))</f>
        <v/>
      </c>
    </row>
    <row r="51" spans="1:8" x14ac:dyDescent="0.2">
      <c r="A51" s="1" t="s">
        <v>221</v>
      </c>
      <c r="B51" s="2" t="s">
        <v>281</v>
      </c>
      <c r="C51" s="2" t="s">
        <v>104</v>
      </c>
      <c r="D51" s="17"/>
      <c r="E51" s="38"/>
      <c r="F51" s="37"/>
      <c r="G51" s="58"/>
      <c r="H51" s="4" t="str">
        <f>IF(F51="","",VLOOKUP(F51,'IL to HORIZON'!$C$9:$F$93,4,FALSE))</f>
        <v/>
      </c>
    </row>
    <row r="52" spans="1:8" x14ac:dyDescent="0.2">
      <c r="A52" s="1" t="s">
        <v>221</v>
      </c>
      <c r="B52" s="2" t="s">
        <v>282</v>
      </c>
      <c r="C52" s="2" t="s">
        <v>104</v>
      </c>
      <c r="D52" s="17"/>
      <c r="E52" s="38"/>
      <c r="F52" s="37"/>
      <c r="G52" s="58"/>
      <c r="H52" s="4" t="str">
        <f>IF(F52="","",VLOOKUP(F52,'IL to HORIZON'!$C$9:$F$93,4,FALSE))</f>
        <v/>
      </c>
    </row>
    <row r="53" spans="1:8" x14ac:dyDescent="0.2">
      <c r="A53" s="1" t="s">
        <v>221</v>
      </c>
      <c r="B53" s="2" t="s">
        <v>283</v>
      </c>
      <c r="C53" s="2" t="s">
        <v>223</v>
      </c>
      <c r="D53" s="17"/>
      <c r="E53" s="38"/>
      <c r="F53" s="37"/>
      <c r="G53" s="58"/>
      <c r="H53" s="4" t="str">
        <f>IF(F53="","",VLOOKUP(F53,'IL to HORIZON'!$C$9:$F$93,4,FALSE))</f>
        <v/>
      </c>
    </row>
    <row r="54" spans="1:8" x14ac:dyDescent="0.2">
      <c r="A54" s="1" t="s">
        <v>221</v>
      </c>
      <c r="B54" s="2" t="s">
        <v>284</v>
      </c>
      <c r="C54" s="2" t="s">
        <v>223</v>
      </c>
      <c r="D54" s="17"/>
      <c r="E54" s="38"/>
      <c r="F54" s="37"/>
      <c r="G54" s="58"/>
      <c r="H54" s="4" t="str">
        <f>IF(F54="","",VLOOKUP(F54,'IL to HORIZON'!$C$9:$F$93,4,FALSE))</f>
        <v/>
      </c>
    </row>
    <row r="55" spans="1:8" x14ac:dyDescent="0.2">
      <c r="A55" s="1" t="s">
        <v>221</v>
      </c>
      <c r="B55" s="2" t="s">
        <v>285</v>
      </c>
      <c r="C55" s="2" t="s">
        <v>246</v>
      </c>
      <c r="D55" s="17"/>
      <c r="E55" s="38"/>
      <c r="F55" s="37"/>
      <c r="G55" s="58"/>
      <c r="H55" s="4" t="str">
        <f>IF(F55="","",VLOOKUP(F55,'IL to HORIZON'!$C$9:$F$93,4,FALSE))</f>
        <v/>
      </c>
    </row>
    <row r="56" spans="1:8" x14ac:dyDescent="0.2">
      <c r="A56" s="1" t="s">
        <v>221</v>
      </c>
      <c r="B56" s="2" t="s">
        <v>286</v>
      </c>
      <c r="C56" s="2" t="s">
        <v>246</v>
      </c>
      <c r="D56" s="17"/>
      <c r="E56" s="38"/>
      <c r="F56" s="37"/>
      <c r="G56" s="58"/>
      <c r="H56" s="4" t="str">
        <f>IF(F56="","",VLOOKUP(F56,'IL to HORIZON'!$C$9:$F$93,4,FALSE))</f>
        <v/>
      </c>
    </row>
    <row r="57" spans="1:8" x14ac:dyDescent="0.2">
      <c r="A57" s="1" t="s">
        <v>221</v>
      </c>
      <c r="B57" s="2" t="s">
        <v>287</v>
      </c>
      <c r="C57" s="2" t="s">
        <v>246</v>
      </c>
      <c r="D57" s="17"/>
      <c r="E57" s="38"/>
      <c r="F57" s="37"/>
      <c r="G57" s="58"/>
      <c r="H57" s="4" t="str">
        <f>IF(F57="","",VLOOKUP(F57,'IL to HORIZON'!$C$9:$F$93,4,FALSE))</f>
        <v/>
      </c>
    </row>
    <row r="58" spans="1:8" x14ac:dyDescent="0.2">
      <c r="A58" s="1" t="s">
        <v>221</v>
      </c>
      <c r="B58" s="2" t="s">
        <v>288</v>
      </c>
      <c r="C58" s="2" t="s">
        <v>246</v>
      </c>
      <c r="D58" s="17"/>
      <c r="E58" s="38"/>
      <c r="F58" s="37"/>
      <c r="G58" s="58"/>
      <c r="H58" s="4" t="str">
        <f>IF(F58="","",VLOOKUP(F58,'IL to HORIZON'!$C$9:$F$93,4,FALSE))</f>
        <v/>
      </c>
    </row>
    <row r="59" spans="1:8" x14ac:dyDescent="0.2">
      <c r="A59" s="1" t="s">
        <v>221</v>
      </c>
      <c r="B59" s="2" t="s">
        <v>289</v>
      </c>
      <c r="C59" s="2" t="s">
        <v>246</v>
      </c>
      <c r="D59" s="17"/>
      <c r="E59" s="38"/>
      <c r="F59" s="37"/>
      <c r="G59" s="58"/>
      <c r="H59" s="4" t="str">
        <f>IF(F59="","",VLOOKUP(F59,'IL to HORIZON'!$C$9:$F$93,4,FALSE))</f>
        <v/>
      </c>
    </row>
    <row r="60" spans="1:8" x14ac:dyDescent="0.2">
      <c r="A60" s="1" t="s">
        <v>221</v>
      </c>
      <c r="B60" s="2" t="s">
        <v>290</v>
      </c>
      <c r="C60" s="2" t="s">
        <v>246</v>
      </c>
      <c r="D60" s="17"/>
      <c r="E60" s="38"/>
      <c r="F60" s="37"/>
      <c r="G60" s="58"/>
      <c r="H60" s="4" t="str">
        <f>IF(F60="","",VLOOKUP(F60,'IL to HORIZON'!$C$9:$F$93,4,FALSE))</f>
        <v/>
      </c>
    </row>
    <row r="61" spans="1:8" x14ac:dyDescent="0.2">
      <c r="A61" s="1" t="s">
        <v>221</v>
      </c>
      <c r="B61" s="2" t="s">
        <v>291</v>
      </c>
      <c r="C61" s="2" t="s">
        <v>246</v>
      </c>
      <c r="D61" s="17"/>
      <c r="E61" s="38"/>
      <c r="F61" s="37"/>
      <c r="G61" s="58"/>
      <c r="H61" s="4" t="str">
        <f>IF(F61="","",VLOOKUP(F61,'IL to HORIZON'!$C$9:$F$93,4,FALSE))</f>
        <v/>
      </c>
    </row>
    <row r="62" spans="1:8" x14ac:dyDescent="0.2">
      <c r="A62" s="1" t="s">
        <v>221</v>
      </c>
      <c r="B62" s="2" t="s">
        <v>292</v>
      </c>
      <c r="C62" s="2" t="s">
        <v>246</v>
      </c>
      <c r="D62" s="17"/>
      <c r="E62" s="36"/>
      <c r="F62" s="37"/>
      <c r="G62" s="58"/>
      <c r="H62" s="4" t="str">
        <f>IF(F62="","",VLOOKUP(F62,'IL to HORIZON'!$C$9:$F$93,4,FALSE))</f>
        <v/>
      </c>
    </row>
    <row r="63" spans="1:8" x14ac:dyDescent="0.2">
      <c r="A63" s="1" t="s">
        <v>221</v>
      </c>
      <c r="B63" s="2" t="s">
        <v>293</v>
      </c>
      <c r="C63" s="2" t="s">
        <v>246</v>
      </c>
      <c r="D63" s="17"/>
      <c r="E63" s="36"/>
      <c r="F63" s="37"/>
      <c r="G63" s="58"/>
      <c r="H63" s="4" t="str">
        <f>IF(F63="","",VLOOKUP(F63,'IL to HORIZON'!$C$9:$F$93,4,FALSE))</f>
        <v/>
      </c>
    </row>
    <row r="64" spans="1:8" x14ac:dyDescent="0.2">
      <c r="A64" s="1" t="s">
        <v>221</v>
      </c>
      <c r="B64" s="2" t="s">
        <v>294</v>
      </c>
      <c r="C64" s="2" t="s">
        <v>246</v>
      </c>
      <c r="D64" s="17"/>
      <c r="E64" s="36"/>
      <c r="F64" s="37"/>
      <c r="G64" s="58"/>
      <c r="H64" s="4" t="str">
        <f>IF(F64="","",VLOOKUP(F64,'IL to HORIZON'!$C$9:$F$93,4,FALSE))</f>
        <v/>
      </c>
    </row>
    <row r="65" spans="1:8" x14ac:dyDescent="0.2">
      <c r="A65" s="1" t="s">
        <v>221</v>
      </c>
      <c r="B65" s="2" t="s">
        <v>295</v>
      </c>
      <c r="C65" s="2" t="s">
        <v>246</v>
      </c>
      <c r="D65" s="17"/>
      <c r="E65" s="36"/>
      <c r="F65" s="37"/>
      <c r="G65" s="58"/>
      <c r="H65" s="4" t="str">
        <f>IF(F65="","",VLOOKUP(F65,'IL to HORIZON'!$C$9:$F$93,4,FALSE))</f>
        <v/>
      </c>
    </row>
    <row r="66" spans="1:8" x14ac:dyDescent="0.2">
      <c r="A66" s="1" t="s">
        <v>221</v>
      </c>
      <c r="B66" s="2" t="s">
        <v>296</v>
      </c>
      <c r="C66" s="2" t="s">
        <v>246</v>
      </c>
      <c r="D66" s="17"/>
      <c r="E66" s="36"/>
      <c r="F66" s="37"/>
      <c r="G66" s="58"/>
      <c r="H66" s="4" t="str">
        <f>IF(F66="","",VLOOKUP(F66,'IL to HORIZON'!$C$9:$F$93,4,FALSE))</f>
        <v/>
      </c>
    </row>
    <row r="67" spans="1:8" x14ac:dyDescent="0.2">
      <c r="A67" s="1" t="s">
        <v>221</v>
      </c>
      <c r="B67" s="2" t="s">
        <v>297</v>
      </c>
      <c r="C67" s="2" t="s">
        <v>246</v>
      </c>
      <c r="D67" s="17"/>
      <c r="E67" s="36"/>
      <c r="F67" s="37"/>
      <c r="G67" s="58"/>
      <c r="H67" s="4" t="str">
        <f>IF(F67="","",VLOOKUP(F67,'IL to HORIZON'!$C$9:$F$93,4,FALSE))</f>
        <v/>
      </c>
    </row>
    <row r="68" spans="1:8" x14ac:dyDescent="0.2">
      <c r="A68" s="1" t="s">
        <v>221</v>
      </c>
      <c r="B68" s="2" t="s">
        <v>298</v>
      </c>
      <c r="C68" s="2" t="s">
        <v>246</v>
      </c>
      <c r="D68" s="17"/>
      <c r="E68" s="36"/>
      <c r="F68" s="37"/>
      <c r="G68" s="58"/>
      <c r="H68" s="4" t="str">
        <f>IF(F68="","",VLOOKUP(F68,'IL to HORIZON'!$C$9:$F$93,4,FALSE))</f>
        <v/>
      </c>
    </row>
    <row r="69" spans="1:8" x14ac:dyDescent="0.2">
      <c r="A69" s="1" t="s">
        <v>221</v>
      </c>
      <c r="B69" s="2" t="s">
        <v>299</v>
      </c>
      <c r="C69" s="2" t="s">
        <v>246</v>
      </c>
      <c r="D69" s="17"/>
      <c r="E69" s="36"/>
      <c r="F69" s="37"/>
      <c r="G69" s="58"/>
      <c r="H69" s="4" t="str">
        <f>IF(F69="","",VLOOKUP(F69,'IL to HORIZON'!$C$9:$F$93,4,FALSE))</f>
        <v/>
      </c>
    </row>
    <row r="70" spans="1:8" x14ac:dyDescent="0.2">
      <c r="A70" s="1" t="s">
        <v>221</v>
      </c>
      <c r="B70" s="2" t="s">
        <v>300</v>
      </c>
      <c r="C70" s="2" t="s">
        <v>246</v>
      </c>
      <c r="D70" s="17"/>
      <c r="E70" s="36"/>
      <c r="F70" s="37"/>
      <c r="G70" s="58"/>
      <c r="H70" s="4" t="str">
        <f>IF(F70="","",VLOOKUP(F70,'IL to HORIZON'!$C$9:$F$93,4,FALSE))</f>
        <v/>
      </c>
    </row>
    <row r="71" spans="1:8" x14ac:dyDescent="0.2">
      <c r="A71" s="1" t="s">
        <v>221</v>
      </c>
      <c r="B71" s="2" t="s">
        <v>301</v>
      </c>
      <c r="C71" s="2" t="s">
        <v>246</v>
      </c>
      <c r="D71" s="17"/>
      <c r="E71" s="36"/>
      <c r="F71" s="37"/>
      <c r="G71" s="58"/>
      <c r="H71" s="4" t="str">
        <f>IF(F71="","",VLOOKUP(F71,'IL to HORIZON'!$C$9:$F$93,4,FALSE))</f>
        <v/>
      </c>
    </row>
    <row r="72" spans="1:8" x14ac:dyDescent="0.2">
      <c r="A72" s="1" t="s">
        <v>221</v>
      </c>
      <c r="B72" s="2" t="s">
        <v>302</v>
      </c>
      <c r="C72" s="2" t="s">
        <v>246</v>
      </c>
      <c r="D72" s="17"/>
      <c r="E72" s="36"/>
      <c r="F72" s="37"/>
      <c r="G72" s="58"/>
      <c r="H72" s="4" t="str">
        <f>IF(F72="","",VLOOKUP(F72,'IL to HORIZON'!$C$9:$F$93,4,FALSE))</f>
        <v/>
      </c>
    </row>
    <row r="73" spans="1:8" x14ac:dyDescent="0.2">
      <c r="A73" s="1" t="s">
        <v>221</v>
      </c>
      <c r="B73" s="2" t="s">
        <v>303</v>
      </c>
      <c r="C73" s="2" t="s">
        <v>246</v>
      </c>
      <c r="D73" s="17"/>
      <c r="E73" s="36"/>
      <c r="F73" s="37"/>
      <c r="G73" s="58"/>
      <c r="H73" s="4" t="str">
        <f>IF(F73="","",VLOOKUP(F73,'IL to HORIZON'!$C$9:$F$93,4,FALSE))</f>
        <v/>
      </c>
    </row>
    <row r="74" spans="1:8" x14ac:dyDescent="0.2">
      <c r="A74" s="1" t="s">
        <v>221</v>
      </c>
      <c r="B74" s="2" t="s">
        <v>304</v>
      </c>
      <c r="C74" s="2" t="s">
        <v>246</v>
      </c>
      <c r="D74" s="17"/>
      <c r="E74" s="36"/>
      <c r="F74" s="37"/>
      <c r="G74" s="58"/>
      <c r="H74" s="4" t="str">
        <f>IF(F74="","",VLOOKUP(F74,'IL to HORIZON'!$C$9:$F$93,4,FALSE))</f>
        <v/>
      </c>
    </row>
    <row r="75" spans="1:8" x14ac:dyDescent="0.2">
      <c r="A75" s="1" t="s">
        <v>221</v>
      </c>
      <c r="B75" s="2" t="s">
        <v>305</v>
      </c>
      <c r="C75" s="2" t="s">
        <v>272</v>
      </c>
      <c r="D75" s="17"/>
      <c r="E75" s="17"/>
      <c r="F75" s="17"/>
      <c r="G75" s="60"/>
      <c r="H75" s="4" t="str">
        <f>IF(F75="","",VLOOKUP(F75,'IL to HORIZON'!$C$9:$F$93,4,FALSE))</f>
        <v/>
      </c>
    </row>
    <row r="76" spans="1:8" x14ac:dyDescent="0.2">
      <c r="A76" s="1" t="s">
        <v>221</v>
      </c>
      <c r="B76" s="2" t="s">
        <v>306</v>
      </c>
      <c r="C76" s="2" t="s">
        <v>270</v>
      </c>
      <c r="D76" s="17"/>
      <c r="E76" s="17"/>
      <c r="F76" s="17"/>
      <c r="G76" s="60"/>
      <c r="H76" s="4" t="str">
        <f>IF(F76="","",VLOOKUP(F76,'IL to HORIZON'!$C$9:$F$93,4,FALSE))</f>
        <v/>
      </c>
    </row>
    <row r="77" spans="1:8" x14ac:dyDescent="0.2">
      <c r="A77" s="1" t="s">
        <v>221</v>
      </c>
      <c r="B77" s="2" t="s">
        <v>307</v>
      </c>
      <c r="C77" s="2" t="s">
        <v>241</v>
      </c>
      <c r="D77" s="17"/>
      <c r="E77" s="17"/>
      <c r="F77" s="17"/>
      <c r="G77" s="60"/>
      <c r="H77" s="4" t="str">
        <f>IF(F77="","",VLOOKUP(F77,'IL to HORIZON'!$C$9:$F$93,4,FALSE))</f>
        <v/>
      </c>
    </row>
    <row r="78" spans="1:8" s="13" customFormat="1" ht="15" x14ac:dyDescent="0.25">
      <c r="A78" s="1" t="s">
        <v>221</v>
      </c>
      <c r="B78" s="2" t="s">
        <v>308</v>
      </c>
      <c r="C78" s="2" t="s">
        <v>233</v>
      </c>
      <c r="D78" s="17"/>
      <c r="E78" s="17"/>
      <c r="F78" s="17"/>
      <c r="G78" s="60"/>
      <c r="H78" s="4" t="str">
        <f>IF(F78="","",VLOOKUP(F78,'IL to HORIZON'!$C$9:$F$93,4,FALSE))</f>
        <v/>
      </c>
    </row>
    <row r="79" spans="1:8" s="13" customFormat="1" ht="15" x14ac:dyDescent="0.25">
      <c r="A79" s="1" t="s">
        <v>221</v>
      </c>
      <c r="B79" s="2" t="s">
        <v>309</v>
      </c>
      <c r="C79" s="2" t="s">
        <v>237</v>
      </c>
      <c r="D79" s="17"/>
      <c r="E79" s="17"/>
      <c r="F79" s="17"/>
      <c r="G79" s="60"/>
      <c r="H79" s="4" t="str">
        <f>IF(F79="","",VLOOKUP(F79,'IL to HORIZON'!$C$9:$F$93,4,FALSE))</f>
        <v/>
      </c>
    </row>
    <row r="80" spans="1:8" x14ac:dyDescent="0.2">
      <c r="A80" s="1" t="s">
        <v>221</v>
      </c>
      <c r="B80" s="2" t="s">
        <v>310</v>
      </c>
      <c r="C80" s="2" t="s">
        <v>237</v>
      </c>
      <c r="D80" s="17" t="s">
        <v>224</v>
      </c>
      <c r="E80" s="17"/>
      <c r="F80" s="53" t="s">
        <v>155</v>
      </c>
      <c r="G80" s="60"/>
      <c r="H80" s="4" t="str">
        <f>IF(F80="","",VLOOKUP(F80,'IL to HORIZON'!$C$9:$F$93,4,FALSE))</f>
        <v>String(25)</v>
      </c>
    </row>
    <row r="81" spans="1:8" x14ac:dyDescent="0.2">
      <c r="A81" s="1" t="s">
        <v>221</v>
      </c>
      <c r="B81" s="2" t="s">
        <v>311</v>
      </c>
      <c r="C81" s="2" t="s">
        <v>270</v>
      </c>
      <c r="D81" s="17"/>
      <c r="E81" s="17"/>
      <c r="F81" s="17"/>
      <c r="G81" s="60"/>
      <c r="H81" s="4" t="str">
        <f>IF(F81="","",VLOOKUP(F81,'IL to HORIZON'!$C$9:$F$93,4,FALSE))</f>
        <v/>
      </c>
    </row>
    <row r="82" spans="1:8" x14ac:dyDescent="0.2">
      <c r="A82" s="1" t="s">
        <v>221</v>
      </c>
      <c r="B82" s="2" t="s">
        <v>312</v>
      </c>
      <c r="C82" s="2" t="s">
        <v>241</v>
      </c>
      <c r="D82" s="17"/>
      <c r="E82" s="17"/>
      <c r="F82" s="17"/>
      <c r="G82" s="60"/>
      <c r="H82" s="4" t="str">
        <f>IF(F82="","",VLOOKUP(F82,'IL to HORIZON'!$C$9:$F$93,4,FALSE))</f>
        <v/>
      </c>
    </row>
    <row r="83" spans="1:8" s="13" customFormat="1" ht="15" x14ac:dyDescent="0.25">
      <c r="A83" s="1" t="s">
        <v>221</v>
      </c>
      <c r="B83" s="2" t="s">
        <v>313</v>
      </c>
      <c r="C83" s="2" t="s">
        <v>314</v>
      </c>
      <c r="D83" s="17"/>
      <c r="E83" s="17"/>
      <c r="F83" s="17"/>
      <c r="G83" s="60"/>
      <c r="H83" s="4" t="str">
        <f>IF(F83="","",VLOOKUP(F83,'IL to HORIZON'!$C$9:$F$93,4,FALSE))</f>
        <v/>
      </c>
    </row>
    <row r="84" spans="1:8" x14ac:dyDescent="0.2">
      <c r="A84" s="1" t="s">
        <v>221</v>
      </c>
      <c r="B84" s="2" t="s">
        <v>315</v>
      </c>
      <c r="C84" s="2" t="s">
        <v>316</v>
      </c>
      <c r="D84" s="17"/>
      <c r="E84" s="17"/>
      <c r="F84" s="17"/>
      <c r="G84" s="60"/>
      <c r="H84" s="4" t="str">
        <f>IF(F84="","",VLOOKUP(F84,'IL to HORIZON'!$C$9:$F$93,4,FALSE))</f>
        <v/>
      </c>
    </row>
    <row r="85" spans="1:8" x14ac:dyDescent="0.2">
      <c r="A85" s="1" t="s">
        <v>221</v>
      </c>
      <c r="B85" s="2" t="s">
        <v>317</v>
      </c>
      <c r="C85" s="51" t="s">
        <v>223</v>
      </c>
      <c r="D85" s="17" t="s">
        <v>224</v>
      </c>
      <c r="E85" s="17"/>
      <c r="F85" s="53" t="s">
        <v>140</v>
      </c>
      <c r="G85" s="60"/>
      <c r="H85" s="4" t="str">
        <f>IF(F85="","",VLOOKUP(F85,'IL to HORIZON'!$C$9:$F$93,4,FALSE))</f>
        <v>String(12)</v>
      </c>
    </row>
    <row r="86" spans="1:8" x14ac:dyDescent="0.2">
      <c r="A86" s="1" t="s">
        <v>221</v>
      </c>
      <c r="B86" s="2" t="s">
        <v>139</v>
      </c>
      <c r="C86" s="2" t="s">
        <v>233</v>
      </c>
      <c r="D86" s="17" t="s">
        <v>318</v>
      </c>
      <c r="E86" s="17"/>
      <c r="F86" s="53" t="s">
        <v>138</v>
      </c>
      <c r="G86" s="60"/>
      <c r="H86" s="4" t="str">
        <f>IF(F86="","",VLOOKUP(F86,'IL to HORIZON'!$C$9:$F$93,4,FALSE))</f>
        <v>String(30)</v>
      </c>
    </row>
    <row r="87" spans="1:8" x14ac:dyDescent="0.2">
      <c r="A87" s="1" t="s">
        <v>221</v>
      </c>
      <c r="B87" s="2" t="s">
        <v>319</v>
      </c>
      <c r="C87" s="2" t="s">
        <v>246</v>
      </c>
      <c r="D87" s="17"/>
      <c r="E87" s="17"/>
      <c r="F87" s="17"/>
      <c r="G87" s="60"/>
      <c r="H87" s="4" t="str">
        <f>IF(F87="","",VLOOKUP(F87,'IL to HORIZON'!$C$9:$F$93,4,FALSE))</f>
        <v/>
      </c>
    </row>
    <row r="88" spans="1:8" x14ac:dyDescent="0.2">
      <c r="A88" s="1" t="s">
        <v>221</v>
      </c>
      <c r="B88" s="2" t="s">
        <v>320</v>
      </c>
      <c r="C88" s="2" t="s">
        <v>246</v>
      </c>
      <c r="D88" s="17"/>
      <c r="E88" s="17"/>
      <c r="F88" s="17"/>
      <c r="G88" s="60"/>
      <c r="H88" s="4" t="str">
        <f>IF(F88="","",VLOOKUP(F88,'IL to HORIZON'!$C$9:$F$93,4,FALSE))</f>
        <v/>
      </c>
    </row>
    <row r="89" spans="1:8" x14ac:dyDescent="0.2">
      <c r="A89" s="1" t="s">
        <v>221</v>
      </c>
      <c r="B89" s="2" t="s">
        <v>321</v>
      </c>
      <c r="C89" s="2" t="s">
        <v>246</v>
      </c>
      <c r="D89" s="17"/>
      <c r="E89" s="17"/>
      <c r="F89" s="17"/>
      <c r="G89" s="60"/>
      <c r="H89" s="4" t="str">
        <f>IF(F89="","",VLOOKUP(F89,'IL to HORIZON'!$C$9:$F$93,4,FALSE))</f>
        <v/>
      </c>
    </row>
    <row r="90" spans="1:8" x14ac:dyDescent="0.2">
      <c r="A90" s="1" t="s">
        <v>221</v>
      </c>
      <c r="B90" s="2" t="s">
        <v>322</v>
      </c>
      <c r="C90" s="2" t="s">
        <v>246</v>
      </c>
      <c r="D90" s="17"/>
      <c r="E90" s="17"/>
      <c r="F90" s="17"/>
      <c r="G90" s="60"/>
      <c r="H90" s="4" t="str">
        <f>IF(F90="","",VLOOKUP(F90,'IL to HORIZON'!$C$9:$F$93,4,FALSE))</f>
        <v/>
      </c>
    </row>
    <row r="91" spans="1:8" x14ac:dyDescent="0.2">
      <c r="A91" s="1" t="s">
        <v>221</v>
      </c>
      <c r="B91" s="2" t="s">
        <v>323</v>
      </c>
      <c r="C91" s="51" t="s">
        <v>324</v>
      </c>
      <c r="D91" s="17" t="s">
        <v>226</v>
      </c>
      <c r="E91" s="17"/>
      <c r="F91" s="53" t="s">
        <v>148</v>
      </c>
      <c r="G91" s="60"/>
      <c r="H91" s="4" t="str">
        <f>IF(F91="","",VLOOKUP(F91,'IL to HORIZON'!$C$9:$F$93,4,FALSE))</f>
        <v>String(60)</v>
      </c>
    </row>
    <row r="92" spans="1:8" x14ac:dyDescent="0.2">
      <c r="A92" s="1" t="s">
        <v>221</v>
      </c>
      <c r="B92" s="2" t="s">
        <v>325</v>
      </c>
      <c r="C92" s="51" t="s">
        <v>324</v>
      </c>
      <c r="D92" s="17" t="s">
        <v>224</v>
      </c>
      <c r="E92" s="17"/>
      <c r="F92" s="53" t="s">
        <v>152</v>
      </c>
      <c r="G92" s="60"/>
      <c r="H92" s="4" t="str">
        <f>IF(F92="","",VLOOKUP(F92,'IL to HORIZON'!$C$9:$F$93,4,FALSE))</f>
        <v>String(60)</v>
      </c>
    </row>
    <row r="93" spans="1:8" x14ac:dyDescent="0.2">
      <c r="A93" s="1" t="s">
        <v>221</v>
      </c>
      <c r="B93" s="2" t="s">
        <v>326</v>
      </c>
      <c r="C93" s="2" t="s">
        <v>241</v>
      </c>
      <c r="D93" s="17"/>
      <c r="E93" s="17"/>
      <c r="F93" s="17"/>
      <c r="G93" s="60"/>
      <c r="H93" s="4" t="str">
        <f>IF(F93="","",VLOOKUP(F93,'IL to HORIZON'!$C$9:$F$93,4,FALSE))</f>
        <v/>
      </c>
    </row>
    <row r="94" spans="1:8" x14ac:dyDescent="0.2">
      <c r="A94" s="1" t="s">
        <v>221</v>
      </c>
      <c r="B94" s="2" t="s">
        <v>327</v>
      </c>
      <c r="C94" s="2" t="s">
        <v>246</v>
      </c>
      <c r="D94" s="17"/>
      <c r="E94" s="17"/>
      <c r="F94" s="17"/>
      <c r="G94" s="60"/>
      <c r="H94" s="4" t="str">
        <f>IF(F94="","",VLOOKUP(F94,'IL to HORIZON'!$C$9:$F$93,4,FALSE))</f>
        <v/>
      </c>
    </row>
    <row r="95" spans="1:8" x14ac:dyDescent="0.2">
      <c r="A95" s="1" t="s">
        <v>221</v>
      </c>
      <c r="B95" s="2" t="s">
        <v>328</v>
      </c>
      <c r="C95" s="2" t="s">
        <v>246</v>
      </c>
      <c r="D95" s="17"/>
      <c r="E95" s="17"/>
      <c r="F95" s="17"/>
      <c r="G95" s="60"/>
      <c r="H95" s="4" t="str">
        <f>IF(F95="","",VLOOKUP(F95,'IL to HORIZON'!$C$9:$F$93,4,FALSE))</f>
        <v/>
      </c>
    </row>
    <row r="96" spans="1:8" x14ac:dyDescent="0.2">
      <c r="A96" s="1" t="s">
        <v>221</v>
      </c>
      <c r="B96" s="2" t="s">
        <v>329</v>
      </c>
      <c r="C96" s="2" t="s">
        <v>241</v>
      </c>
      <c r="D96" s="17"/>
      <c r="E96" s="17"/>
      <c r="F96" s="17"/>
      <c r="G96" s="60"/>
      <c r="H96" s="4" t="str">
        <f>IF(F96="","",VLOOKUP(F96,'IL to HORIZON'!$C$9:$F$93,4,FALSE))</f>
        <v/>
      </c>
    </row>
    <row r="97" spans="1:8" x14ac:dyDescent="0.2">
      <c r="A97" s="1" t="s">
        <v>221</v>
      </c>
      <c r="B97" s="2" t="s">
        <v>330</v>
      </c>
      <c r="C97" s="2" t="s">
        <v>223</v>
      </c>
      <c r="D97" s="17"/>
      <c r="E97" s="17"/>
      <c r="F97" s="17"/>
      <c r="G97" s="60"/>
      <c r="H97" s="4" t="str">
        <f>IF(F97="","",VLOOKUP(F97,'IL to HORIZON'!$C$9:$F$93,4,FALSE))</f>
        <v/>
      </c>
    </row>
    <row r="98" spans="1:8" x14ac:dyDescent="0.2">
      <c r="A98" s="1" t="s">
        <v>221</v>
      </c>
      <c r="B98" s="2" t="s">
        <v>331</v>
      </c>
      <c r="C98" s="2" t="s">
        <v>270</v>
      </c>
      <c r="D98" s="17"/>
      <c r="E98" s="17"/>
      <c r="F98" s="17"/>
      <c r="G98" s="60"/>
      <c r="H98" s="4" t="str">
        <f>IF(F98="","",VLOOKUP(F98,'IL to HORIZON'!$C$9:$F$93,4,FALSE))</f>
        <v/>
      </c>
    </row>
    <row r="99" spans="1:8" x14ac:dyDescent="0.2">
      <c r="A99" s="1" t="s">
        <v>221</v>
      </c>
      <c r="B99" s="2" t="s">
        <v>332</v>
      </c>
      <c r="C99" s="2" t="s">
        <v>241</v>
      </c>
      <c r="D99" s="17"/>
      <c r="E99" s="17"/>
      <c r="F99" s="17"/>
      <c r="G99" s="60"/>
      <c r="H99" s="4" t="str">
        <f>IF(F99="","",VLOOKUP(F99,'IL to HORIZON'!$C$9:$F$93,4,FALSE))</f>
        <v/>
      </c>
    </row>
    <row r="100" spans="1:8" x14ac:dyDescent="0.2">
      <c r="A100" s="1" t="s">
        <v>221</v>
      </c>
      <c r="B100" s="2" t="s">
        <v>333</v>
      </c>
      <c r="C100" s="2" t="s">
        <v>241</v>
      </c>
      <c r="D100" s="17"/>
      <c r="E100" s="17"/>
      <c r="F100" s="17"/>
      <c r="G100" s="60"/>
      <c r="H100" s="4" t="str">
        <f>IF(F100="","",VLOOKUP(F100,'IL to HORIZON'!$C$9:$F$93,4,FALSE))</f>
        <v/>
      </c>
    </row>
    <row r="101" spans="1:8" x14ac:dyDescent="0.2">
      <c r="A101" s="1" t="s">
        <v>221</v>
      </c>
      <c r="B101" s="2" t="s">
        <v>334</v>
      </c>
      <c r="C101" s="2" t="s">
        <v>246</v>
      </c>
      <c r="D101" s="17"/>
      <c r="E101" s="17"/>
      <c r="F101" s="17"/>
      <c r="G101" s="60"/>
      <c r="H101" s="4" t="str">
        <f>IF(F101="","",VLOOKUP(F101,'IL to HORIZON'!$C$9:$F$93,4,FALSE))</f>
        <v/>
      </c>
    </row>
    <row r="102" spans="1:8" s="14" customFormat="1" ht="15" x14ac:dyDescent="0.25">
      <c r="A102" s="1" t="s">
        <v>221</v>
      </c>
      <c r="B102" s="2" t="s">
        <v>335</v>
      </c>
      <c r="C102" s="2" t="s">
        <v>246</v>
      </c>
      <c r="D102" s="17"/>
      <c r="E102" s="17"/>
      <c r="F102" s="17"/>
      <c r="G102" s="60"/>
      <c r="H102" s="4" t="str">
        <f>IF(F102="","",VLOOKUP(F102,'IL to HORIZON'!$C$9:$F$93,4,FALSE))</f>
        <v/>
      </c>
    </row>
    <row r="103" spans="1:8" x14ac:dyDescent="0.2">
      <c r="A103" s="1" t="s">
        <v>221</v>
      </c>
      <c r="B103" s="2" t="s">
        <v>336</v>
      </c>
      <c r="C103" s="2" t="s">
        <v>272</v>
      </c>
      <c r="D103" s="17"/>
      <c r="E103" s="17"/>
      <c r="F103" s="17"/>
      <c r="G103" s="60"/>
      <c r="H103" s="4" t="str">
        <f>IF(F103="","",VLOOKUP(F103,'IL to HORIZON'!$C$9:$F$93,4,FALSE))</f>
        <v/>
      </c>
    </row>
    <row r="104" spans="1:8" x14ac:dyDescent="0.2">
      <c r="A104" s="1" t="s">
        <v>221</v>
      </c>
      <c r="B104" s="2" t="s">
        <v>337</v>
      </c>
      <c r="C104" s="2" t="s">
        <v>270</v>
      </c>
      <c r="D104" s="17"/>
      <c r="E104" s="17"/>
      <c r="F104" s="17"/>
      <c r="G104" s="60"/>
      <c r="H104" s="4" t="str">
        <f>IF(F104="","",VLOOKUP(F104,'IL to HORIZON'!$C$9:$F$93,4,FALSE))</f>
        <v/>
      </c>
    </row>
    <row r="105" spans="1:8" x14ac:dyDescent="0.2">
      <c r="A105" s="1" t="s">
        <v>221</v>
      </c>
      <c r="B105" s="2" t="s">
        <v>338</v>
      </c>
      <c r="C105" s="2" t="s">
        <v>246</v>
      </c>
      <c r="D105" s="17"/>
      <c r="E105" s="17"/>
      <c r="F105" s="17"/>
      <c r="G105" s="60"/>
      <c r="H105" s="4" t="str">
        <f>IF(F105="","",VLOOKUP(F105,'IL to HORIZON'!$C$9:$F$93,4,FALSE))</f>
        <v/>
      </c>
    </row>
    <row r="106" spans="1:8" x14ac:dyDescent="0.2">
      <c r="A106" s="1" t="s">
        <v>221</v>
      </c>
      <c r="B106" s="2" t="s">
        <v>339</v>
      </c>
      <c r="C106" s="2" t="s">
        <v>246</v>
      </c>
      <c r="D106" s="17"/>
      <c r="E106" s="17"/>
      <c r="F106" s="17"/>
      <c r="G106" s="60"/>
      <c r="H106" s="4" t="str">
        <f>IF(F106="","",VLOOKUP(F106,'IL to HORIZON'!$C$9:$F$93,4,FALSE))</f>
        <v/>
      </c>
    </row>
    <row r="107" spans="1:8" x14ac:dyDescent="0.2">
      <c r="A107" s="1" t="s">
        <v>221</v>
      </c>
      <c r="B107" s="2" t="s">
        <v>340</v>
      </c>
      <c r="C107" s="2" t="s">
        <v>223</v>
      </c>
      <c r="D107" s="17"/>
      <c r="E107" s="17"/>
      <c r="F107" s="17"/>
      <c r="G107" s="60"/>
      <c r="H107" s="4" t="str">
        <f>IF(F107="","",VLOOKUP(F107,'IL to HORIZON'!$C$9:$F$93,4,FALSE))</f>
        <v/>
      </c>
    </row>
    <row r="108" spans="1:8" x14ac:dyDescent="0.2">
      <c r="A108" s="1" t="s">
        <v>221</v>
      </c>
      <c r="B108" s="2" t="s">
        <v>341</v>
      </c>
      <c r="C108" s="2" t="s">
        <v>246</v>
      </c>
      <c r="D108" s="17"/>
      <c r="E108" s="17"/>
      <c r="F108" s="17"/>
      <c r="G108" s="60"/>
      <c r="H108" s="4" t="str">
        <f>IF(F108="","",VLOOKUP(F108,'IL to HORIZON'!$C$9:$F$93,4,FALSE))</f>
        <v/>
      </c>
    </row>
    <row r="109" spans="1:8" s="13" customFormat="1" ht="15" x14ac:dyDescent="0.25">
      <c r="A109" s="1" t="s">
        <v>221</v>
      </c>
      <c r="B109" s="2" t="s">
        <v>342</v>
      </c>
      <c r="C109" s="2" t="s">
        <v>246</v>
      </c>
      <c r="D109" s="17"/>
      <c r="E109" s="17"/>
      <c r="F109" s="17"/>
      <c r="G109" s="60"/>
      <c r="H109" s="4" t="str">
        <f>IF(F109="","",VLOOKUP(F109,'IL to HORIZON'!$C$9:$F$93,4,FALSE))</f>
        <v/>
      </c>
    </row>
    <row r="110" spans="1:8" s="13" customFormat="1" ht="15" x14ac:dyDescent="0.25">
      <c r="A110" s="1" t="s">
        <v>221</v>
      </c>
      <c r="B110" s="2" t="s">
        <v>343</v>
      </c>
      <c r="C110" s="2" t="s">
        <v>246</v>
      </c>
      <c r="D110" s="17"/>
      <c r="E110" s="17"/>
      <c r="F110" s="17"/>
      <c r="G110" s="60"/>
      <c r="H110" s="4" t="str">
        <f>IF(F110="","",VLOOKUP(F110,'IL to HORIZON'!$C$9:$F$93,4,FALSE))</f>
        <v/>
      </c>
    </row>
    <row r="111" spans="1:8" s="13" customFormat="1" ht="15" x14ac:dyDescent="0.25">
      <c r="A111" s="1" t="s">
        <v>221</v>
      </c>
      <c r="B111" s="2" t="s">
        <v>344</v>
      </c>
      <c r="C111" s="2" t="s">
        <v>246</v>
      </c>
      <c r="D111" s="17"/>
      <c r="E111" s="17"/>
      <c r="F111" s="17"/>
      <c r="G111" s="60"/>
      <c r="H111" s="4" t="str">
        <f>IF(F111="","",VLOOKUP(F111,'IL to HORIZON'!$C$9:$F$93,4,FALSE))</f>
        <v/>
      </c>
    </row>
    <row r="112" spans="1:8" s="13" customFormat="1" ht="15" x14ac:dyDescent="0.25">
      <c r="A112" s="1" t="s">
        <v>221</v>
      </c>
      <c r="B112" s="2" t="s">
        <v>345</v>
      </c>
      <c r="C112" s="2" t="s">
        <v>246</v>
      </c>
      <c r="D112" s="17"/>
      <c r="E112" s="17"/>
      <c r="F112" s="17"/>
      <c r="G112" s="60"/>
      <c r="H112" s="4" t="str">
        <f>IF(F112="","",VLOOKUP(F112,'IL to HORIZON'!$C$9:$F$93,4,FALSE))</f>
        <v/>
      </c>
    </row>
    <row r="113" spans="1:8" x14ac:dyDescent="0.2">
      <c r="A113" s="1" t="s">
        <v>221</v>
      </c>
      <c r="B113" s="2" t="s">
        <v>346</v>
      </c>
      <c r="C113" s="2" t="s">
        <v>246</v>
      </c>
      <c r="D113" s="17"/>
      <c r="E113" s="17"/>
      <c r="F113" s="17"/>
      <c r="G113" s="60"/>
      <c r="H113" s="4" t="str">
        <f>IF(F113="","",VLOOKUP(F113,'IL to HORIZON'!$C$9:$F$93,4,FALSE))</f>
        <v/>
      </c>
    </row>
    <row r="114" spans="1:8" x14ac:dyDescent="0.2">
      <c r="A114" s="1" t="s">
        <v>221</v>
      </c>
      <c r="B114" s="2" t="s">
        <v>347</v>
      </c>
      <c r="C114" s="2" t="s">
        <v>246</v>
      </c>
      <c r="D114" s="17"/>
      <c r="E114" s="17"/>
      <c r="F114" s="17"/>
      <c r="G114" s="60"/>
      <c r="H114" s="4" t="str">
        <f>IF(F114="","",VLOOKUP(F114,'IL to HORIZON'!$C$9:$F$93,4,FALSE))</f>
        <v/>
      </c>
    </row>
    <row r="115" spans="1:8" x14ac:dyDescent="0.2">
      <c r="A115" s="1" t="s">
        <v>221</v>
      </c>
      <c r="B115" s="2" t="s">
        <v>348</v>
      </c>
      <c r="C115" s="2" t="s">
        <v>255</v>
      </c>
      <c r="D115" s="17"/>
      <c r="E115" s="17"/>
      <c r="F115" s="17"/>
      <c r="G115" s="60"/>
      <c r="H115" s="4" t="str">
        <f>IF(F115="","",VLOOKUP(F115,'IL to HORIZON'!$C$9:$F$93,4,FALSE))</f>
        <v/>
      </c>
    </row>
    <row r="116" spans="1:8" x14ac:dyDescent="0.2">
      <c r="A116" s="1" t="s">
        <v>221</v>
      </c>
      <c r="B116" s="2" t="s">
        <v>349</v>
      </c>
      <c r="C116" s="2" t="s">
        <v>255</v>
      </c>
      <c r="D116" s="17"/>
      <c r="E116" s="17"/>
      <c r="F116" s="17"/>
      <c r="G116" s="60"/>
      <c r="H116" s="4" t="str">
        <f>IF(F116="","",VLOOKUP(F116,'IL to HORIZON'!$C$9:$F$93,4,FALSE))</f>
        <v/>
      </c>
    </row>
    <row r="117" spans="1:8" x14ac:dyDescent="0.2">
      <c r="A117" s="1" t="s">
        <v>221</v>
      </c>
      <c r="B117" s="2" t="s">
        <v>350</v>
      </c>
      <c r="C117" s="2" t="s">
        <v>272</v>
      </c>
      <c r="D117" s="17"/>
      <c r="E117" s="17"/>
      <c r="F117" s="17"/>
      <c r="G117" s="60"/>
      <c r="H117" s="4" t="str">
        <f>IF(F117="","",VLOOKUP(F117,'IL to HORIZON'!$C$9:$F$93,4,FALSE))</f>
        <v/>
      </c>
    </row>
    <row r="118" spans="1:8" x14ac:dyDescent="0.2">
      <c r="A118" s="1" t="s">
        <v>221</v>
      </c>
      <c r="B118" s="2" t="s">
        <v>351</v>
      </c>
      <c r="C118" s="2" t="s">
        <v>241</v>
      </c>
      <c r="D118" s="17"/>
      <c r="E118" s="17"/>
      <c r="F118" s="17"/>
      <c r="G118" s="60"/>
      <c r="H118" s="4" t="str">
        <f>IF(F118="","",VLOOKUP(F118,'IL to HORIZON'!$C$9:$F$93,4,FALSE))</f>
        <v/>
      </c>
    </row>
    <row r="119" spans="1:8" x14ac:dyDescent="0.2">
      <c r="A119" s="1" t="s">
        <v>221</v>
      </c>
      <c r="B119" s="2" t="s">
        <v>352</v>
      </c>
      <c r="C119" s="2" t="s">
        <v>241</v>
      </c>
      <c r="D119" s="17"/>
      <c r="E119" s="17"/>
      <c r="F119" s="17"/>
      <c r="G119" s="60"/>
      <c r="H119" s="4" t="str">
        <f>IF(F119="","",VLOOKUP(F119,'IL to HORIZON'!$C$9:$F$93,4,FALSE))</f>
        <v/>
      </c>
    </row>
    <row r="120" spans="1:8" x14ac:dyDescent="0.2">
      <c r="A120" s="1" t="s">
        <v>221</v>
      </c>
      <c r="B120" s="2" t="s">
        <v>353</v>
      </c>
      <c r="C120" s="2" t="s">
        <v>223</v>
      </c>
      <c r="D120" s="17"/>
      <c r="E120" s="17"/>
      <c r="F120" s="17"/>
      <c r="G120" s="60"/>
      <c r="H120" s="4" t="str">
        <f>IF(F120="","",VLOOKUP(F120,'IL to HORIZON'!$C$9:$F$93,4,FALSE))</f>
        <v/>
      </c>
    </row>
    <row r="121" spans="1:8" x14ac:dyDescent="0.2">
      <c r="A121" s="1" t="s">
        <v>221</v>
      </c>
      <c r="B121" s="2" t="s">
        <v>354</v>
      </c>
      <c r="C121" s="2" t="s">
        <v>241</v>
      </c>
      <c r="D121" s="17"/>
      <c r="E121" s="17"/>
      <c r="F121" s="17"/>
      <c r="G121" s="60"/>
      <c r="H121" s="4" t="str">
        <f>IF(F121="","",VLOOKUP(F121,'IL to HORIZON'!$C$9:$F$93,4,FALSE))</f>
        <v/>
      </c>
    </row>
    <row r="122" spans="1:8" x14ac:dyDescent="0.2">
      <c r="A122" s="1" t="s">
        <v>221</v>
      </c>
      <c r="B122" s="2" t="s">
        <v>355</v>
      </c>
      <c r="C122" s="2" t="s">
        <v>272</v>
      </c>
      <c r="D122" s="17"/>
      <c r="E122" s="17"/>
      <c r="F122" s="17"/>
      <c r="G122" s="60"/>
      <c r="H122" s="4" t="str">
        <f>IF(F122="","",VLOOKUP(F122,'IL to HORIZON'!$C$9:$F$93,4,FALSE))</f>
        <v/>
      </c>
    </row>
    <row r="123" spans="1:8" x14ac:dyDescent="0.2">
      <c r="A123" s="1" t="s">
        <v>221</v>
      </c>
      <c r="B123" s="2" t="s">
        <v>356</v>
      </c>
      <c r="C123" s="2" t="s">
        <v>357</v>
      </c>
      <c r="D123" s="17"/>
      <c r="E123" s="17"/>
      <c r="F123" s="17"/>
      <c r="G123" s="60"/>
      <c r="H123" s="4" t="str">
        <f>IF(F123="","",VLOOKUP(F123,'IL to HORIZON'!$C$9:$F$93,4,FALSE))</f>
        <v/>
      </c>
    </row>
    <row r="124" spans="1:8" x14ac:dyDescent="0.2">
      <c r="A124" s="1" t="s">
        <v>221</v>
      </c>
      <c r="B124" s="2" t="s">
        <v>358</v>
      </c>
      <c r="C124" s="2" t="s">
        <v>241</v>
      </c>
      <c r="D124" s="17"/>
      <c r="E124" s="17"/>
      <c r="F124" s="17"/>
      <c r="G124" s="60"/>
      <c r="H124" s="4" t="str">
        <f>IF(F124="","",VLOOKUP(F124,'IL to HORIZON'!$C$9:$F$93,4,FALSE))</f>
        <v/>
      </c>
    </row>
    <row r="125" spans="1:8" x14ac:dyDescent="0.2">
      <c r="A125" s="1" t="s">
        <v>221</v>
      </c>
      <c r="B125" s="2" t="s">
        <v>359</v>
      </c>
      <c r="C125" s="2" t="s">
        <v>241</v>
      </c>
      <c r="D125" s="17"/>
      <c r="E125" s="17"/>
      <c r="F125" s="17"/>
      <c r="G125" s="60"/>
      <c r="H125" s="4" t="str">
        <f>IF(F125="","",VLOOKUP(F125,'IL to HORIZON'!$C$9:$F$93,4,FALSE))</f>
        <v/>
      </c>
    </row>
    <row r="126" spans="1:8" x14ac:dyDescent="0.2">
      <c r="A126" s="1" t="s">
        <v>221</v>
      </c>
      <c r="B126" s="2" t="s">
        <v>360</v>
      </c>
      <c r="C126" s="2" t="s">
        <v>246</v>
      </c>
      <c r="D126" s="17"/>
      <c r="E126" s="17"/>
      <c r="F126" s="17"/>
      <c r="G126" s="60"/>
      <c r="H126" s="4" t="str">
        <f>IF(F126="","",VLOOKUP(F126,'IL to HORIZON'!$C$9:$F$93,4,FALSE))</f>
        <v/>
      </c>
    </row>
    <row r="127" spans="1:8" x14ac:dyDescent="0.2">
      <c r="A127" s="1" t="s">
        <v>221</v>
      </c>
      <c r="B127" s="2" t="s">
        <v>361</v>
      </c>
      <c r="C127" s="2" t="s">
        <v>241</v>
      </c>
      <c r="D127" s="17"/>
      <c r="E127" s="17"/>
      <c r="F127" s="17"/>
      <c r="G127" s="60"/>
      <c r="H127" s="4" t="str">
        <f>IF(F127="","",VLOOKUP(F127,'IL to HORIZON'!$C$9:$F$93,4,FALSE))</f>
        <v/>
      </c>
    </row>
    <row r="128" spans="1:8" x14ac:dyDescent="0.2">
      <c r="A128" s="1" t="s">
        <v>221</v>
      </c>
      <c r="B128" s="2" t="s">
        <v>362</v>
      </c>
      <c r="C128" s="2" t="s">
        <v>246</v>
      </c>
      <c r="D128" s="17"/>
      <c r="E128" s="17"/>
      <c r="F128" s="17"/>
      <c r="G128" s="60"/>
      <c r="H128" s="4" t="str">
        <f>IF(F128="","",VLOOKUP(F128,'IL to HORIZON'!$C$9:$F$93,4,FALSE))</f>
        <v/>
      </c>
    </row>
    <row r="129" spans="1:8" x14ac:dyDescent="0.2">
      <c r="A129" s="1" t="s">
        <v>221</v>
      </c>
      <c r="B129" s="2" t="s">
        <v>363</v>
      </c>
      <c r="C129" s="2" t="s">
        <v>246</v>
      </c>
      <c r="D129" s="17"/>
      <c r="E129" s="17"/>
      <c r="F129" s="17"/>
      <c r="G129" s="60"/>
      <c r="H129" s="4" t="str">
        <f>IF(F129="","",VLOOKUP(F129,'IL to HORIZON'!$C$9:$F$93,4,FALSE))</f>
        <v/>
      </c>
    </row>
    <row r="130" spans="1:8" x14ac:dyDescent="0.2">
      <c r="A130" s="1" t="s">
        <v>221</v>
      </c>
      <c r="B130" s="2" t="s">
        <v>364</v>
      </c>
      <c r="C130" s="2" t="s">
        <v>246</v>
      </c>
      <c r="D130" s="17"/>
      <c r="E130" s="17"/>
      <c r="F130" s="17"/>
      <c r="G130" s="60"/>
      <c r="H130" s="4" t="str">
        <f>IF(F130="","",VLOOKUP(F130,'IL to HORIZON'!$C$9:$F$93,4,FALSE))</f>
        <v/>
      </c>
    </row>
    <row r="131" spans="1:8" x14ac:dyDescent="0.2">
      <c r="A131" s="1" t="s">
        <v>221</v>
      </c>
      <c r="B131" s="2" t="s">
        <v>365</v>
      </c>
      <c r="C131" s="2" t="s">
        <v>270</v>
      </c>
      <c r="D131" s="17"/>
      <c r="E131" s="17"/>
      <c r="F131" s="17"/>
      <c r="G131" s="60"/>
      <c r="H131" s="4" t="str">
        <f>IF(F131="","",VLOOKUP(F131,'IL to HORIZON'!$C$9:$F$93,4,FALSE))</f>
        <v/>
      </c>
    </row>
    <row r="132" spans="1:8" x14ac:dyDescent="0.2">
      <c r="A132" s="1" t="s">
        <v>221</v>
      </c>
      <c r="B132" s="2" t="s">
        <v>366</v>
      </c>
      <c r="C132" s="2" t="s">
        <v>255</v>
      </c>
      <c r="D132" s="17"/>
      <c r="E132" s="17"/>
      <c r="F132" s="17"/>
      <c r="G132" s="60"/>
      <c r="H132" s="4" t="str">
        <f>IF(F132="","",VLOOKUP(F132,'IL to HORIZON'!$C$9:$F$93,4,FALSE))</f>
        <v/>
      </c>
    </row>
    <row r="133" spans="1:8" x14ac:dyDescent="0.2">
      <c r="A133" s="1" t="s">
        <v>221</v>
      </c>
      <c r="B133" s="2" t="s">
        <v>367</v>
      </c>
      <c r="C133" s="2" t="s">
        <v>255</v>
      </c>
      <c r="D133" s="17"/>
      <c r="E133" s="17"/>
      <c r="F133" s="17"/>
      <c r="G133" s="60"/>
      <c r="H133" s="4" t="str">
        <f>IF(F133="","",VLOOKUP(F133,'IL to HORIZON'!$C$9:$F$93,4,FALSE))</f>
        <v/>
      </c>
    </row>
    <row r="134" spans="1:8" x14ac:dyDescent="0.2">
      <c r="A134" s="1" t="s">
        <v>221</v>
      </c>
      <c r="B134" s="2" t="s">
        <v>368</v>
      </c>
      <c r="C134" s="2" t="s">
        <v>255</v>
      </c>
      <c r="D134" s="17"/>
      <c r="E134" s="17"/>
      <c r="F134" s="17"/>
      <c r="G134" s="60"/>
      <c r="H134" s="4" t="str">
        <f>IF(F134="","",VLOOKUP(F134,'IL to HORIZON'!$C$9:$F$93,4,FALSE))</f>
        <v/>
      </c>
    </row>
    <row r="135" spans="1:8" x14ac:dyDescent="0.2">
      <c r="A135" s="1" t="s">
        <v>221</v>
      </c>
      <c r="B135" s="2" t="s">
        <v>369</v>
      </c>
      <c r="C135" s="2" t="s">
        <v>255</v>
      </c>
      <c r="D135" s="17"/>
      <c r="E135" s="17"/>
      <c r="F135" s="17"/>
      <c r="G135" s="60"/>
      <c r="H135" s="4" t="str">
        <f>IF(F135="","",VLOOKUP(F135,'IL to HORIZON'!$C$9:$F$93,4,FALSE))</f>
        <v/>
      </c>
    </row>
    <row r="136" spans="1:8" x14ac:dyDescent="0.2">
      <c r="A136" s="1" t="s">
        <v>221</v>
      </c>
      <c r="B136" s="2" t="s">
        <v>370</v>
      </c>
      <c r="C136" s="2" t="s">
        <v>255</v>
      </c>
      <c r="D136" s="17"/>
      <c r="E136" s="17"/>
      <c r="F136" s="17"/>
      <c r="G136" s="60"/>
      <c r="H136" s="4" t="str">
        <f>IF(F136="","",VLOOKUP(F136,'IL to HORIZON'!$C$9:$F$93,4,FALSE))</f>
        <v/>
      </c>
    </row>
    <row r="137" spans="1:8" x14ac:dyDescent="0.2">
      <c r="A137" s="1" t="s">
        <v>221</v>
      </c>
      <c r="B137" s="2" t="s">
        <v>371</v>
      </c>
      <c r="C137" s="2" t="s">
        <v>255</v>
      </c>
      <c r="D137" s="17"/>
      <c r="E137" s="17"/>
      <c r="F137" s="17"/>
      <c r="G137" s="60"/>
      <c r="H137" s="4" t="str">
        <f>IF(F137="","",VLOOKUP(F137,'IL to HORIZON'!$C$9:$F$93,4,FALSE))</f>
        <v/>
      </c>
    </row>
    <row r="138" spans="1:8" x14ac:dyDescent="0.2">
      <c r="A138" s="1" t="s">
        <v>221</v>
      </c>
      <c r="B138" s="2" t="s">
        <v>372</v>
      </c>
      <c r="C138" s="2" t="s">
        <v>255</v>
      </c>
      <c r="D138" s="17"/>
      <c r="E138" s="17"/>
      <c r="F138" s="17"/>
      <c r="G138" s="60"/>
      <c r="H138" s="4" t="str">
        <f>IF(F138="","",VLOOKUP(F138,'IL to HORIZON'!$C$9:$F$93,4,FALSE))</f>
        <v/>
      </c>
    </row>
    <row r="139" spans="1:8" x14ac:dyDescent="0.2">
      <c r="A139" s="1" t="s">
        <v>221</v>
      </c>
      <c r="B139" s="2" t="s">
        <v>373</v>
      </c>
      <c r="C139" s="2" t="s">
        <v>255</v>
      </c>
      <c r="D139" s="17"/>
      <c r="E139" s="17"/>
      <c r="F139" s="17"/>
      <c r="G139" s="60"/>
      <c r="H139" s="4" t="str">
        <f>IF(F139="","",VLOOKUP(F139,'IL to HORIZON'!$C$9:$F$93,4,FALSE))</f>
        <v/>
      </c>
    </row>
    <row r="140" spans="1:8" x14ac:dyDescent="0.2">
      <c r="A140" s="1" t="s">
        <v>221</v>
      </c>
      <c r="B140" s="2" t="s">
        <v>374</v>
      </c>
      <c r="C140" s="2" t="s">
        <v>255</v>
      </c>
      <c r="D140" s="17"/>
      <c r="E140" s="17"/>
      <c r="F140" s="17"/>
      <c r="G140" s="60"/>
      <c r="H140" s="4" t="str">
        <f>IF(F140="","",VLOOKUP(F140,'IL to HORIZON'!$C$9:$F$93,4,FALSE))</f>
        <v/>
      </c>
    </row>
    <row r="141" spans="1:8" x14ac:dyDescent="0.2">
      <c r="A141" s="1" t="s">
        <v>221</v>
      </c>
      <c r="B141" s="2" t="s">
        <v>375</v>
      </c>
      <c r="C141" s="2" t="s">
        <v>255</v>
      </c>
      <c r="D141" s="17"/>
      <c r="E141" s="17"/>
      <c r="F141" s="17"/>
      <c r="G141" s="60"/>
      <c r="H141" s="4" t="str">
        <f>IF(F141="","",VLOOKUP(F141,'IL to HORIZON'!$C$9:$F$93,4,FALSE))</f>
        <v/>
      </c>
    </row>
    <row r="142" spans="1:8" s="13" customFormat="1" ht="15" x14ac:dyDescent="0.25">
      <c r="A142" s="1" t="s">
        <v>221</v>
      </c>
      <c r="B142" s="2" t="s">
        <v>376</v>
      </c>
      <c r="C142" s="2" t="s">
        <v>255</v>
      </c>
      <c r="D142" s="17"/>
      <c r="E142" s="17"/>
      <c r="F142" s="17"/>
      <c r="G142" s="60"/>
      <c r="H142" s="4" t="str">
        <f>IF(F142="","",VLOOKUP(F142,'IL to HORIZON'!$C$9:$F$93,4,FALSE))</f>
        <v/>
      </c>
    </row>
    <row r="143" spans="1:8" s="13" customFormat="1" ht="15" x14ac:dyDescent="0.25">
      <c r="A143" s="1" t="s">
        <v>221</v>
      </c>
      <c r="B143" s="2" t="s">
        <v>377</v>
      </c>
      <c r="C143" s="2" t="s">
        <v>255</v>
      </c>
      <c r="D143" s="17"/>
      <c r="E143" s="17"/>
      <c r="F143" s="17"/>
      <c r="G143" s="60"/>
      <c r="H143" s="4" t="str">
        <f>IF(F143="","",VLOOKUP(F143,'IL to HORIZON'!$C$9:$F$93,4,FALSE))</f>
        <v/>
      </c>
    </row>
    <row r="144" spans="1:8" x14ac:dyDescent="0.2">
      <c r="A144" s="1" t="s">
        <v>221</v>
      </c>
      <c r="B144" s="2" t="s">
        <v>378</v>
      </c>
      <c r="C144" s="2" t="s">
        <v>255</v>
      </c>
      <c r="D144" s="17"/>
      <c r="E144" s="17"/>
      <c r="F144" s="17"/>
      <c r="G144" s="60"/>
      <c r="H144" s="4" t="str">
        <f>IF(F144="","",VLOOKUP(F144,'IL to HORIZON'!$C$9:$F$93,4,FALSE))</f>
        <v/>
      </c>
    </row>
    <row r="145" spans="1:9" s="13" customFormat="1" ht="15" x14ac:dyDescent="0.25">
      <c r="A145" s="1" t="s">
        <v>221</v>
      </c>
      <c r="B145" s="2" t="s">
        <v>379</v>
      </c>
      <c r="C145" s="2" t="s">
        <v>255</v>
      </c>
      <c r="D145" s="17"/>
      <c r="E145" s="17"/>
      <c r="F145" s="17"/>
      <c r="G145" s="60"/>
      <c r="H145" s="4" t="str">
        <f>IF(F145="","",VLOOKUP(F145,'IL to HORIZON'!$C$9:$F$93,4,FALSE))</f>
        <v/>
      </c>
    </row>
    <row r="146" spans="1:9" x14ac:dyDescent="0.2">
      <c r="A146" s="1" t="s">
        <v>221</v>
      </c>
      <c r="B146" s="2" t="s">
        <v>380</v>
      </c>
      <c r="C146" s="2" t="s">
        <v>255</v>
      </c>
      <c r="D146" s="17"/>
      <c r="E146" s="17"/>
      <c r="F146" s="17"/>
      <c r="G146" s="60"/>
      <c r="H146" s="4" t="str">
        <f>IF(F146="","",VLOOKUP(F146,'IL to HORIZON'!$C$9:$F$93,4,FALSE))</f>
        <v/>
      </c>
    </row>
    <row r="147" spans="1:9" x14ac:dyDescent="0.2">
      <c r="A147" s="1" t="s">
        <v>221</v>
      </c>
      <c r="B147" s="2" t="s">
        <v>381</v>
      </c>
      <c r="C147" s="2" t="s">
        <v>255</v>
      </c>
      <c r="D147" s="17"/>
      <c r="E147" s="17"/>
      <c r="F147" s="17"/>
      <c r="G147" s="60"/>
      <c r="H147" s="4" t="str">
        <f>IF(F147="","",VLOOKUP(F147,'IL to HORIZON'!$C$9:$F$93,4,FALSE))</f>
        <v/>
      </c>
    </row>
    <row r="148" spans="1:9" x14ac:dyDescent="0.2">
      <c r="A148" s="1" t="s">
        <v>221</v>
      </c>
      <c r="B148" s="2" t="s">
        <v>382</v>
      </c>
      <c r="C148" s="2" t="s">
        <v>255</v>
      </c>
      <c r="D148" s="17"/>
      <c r="E148" s="17"/>
      <c r="F148" s="17"/>
      <c r="G148" s="60"/>
      <c r="H148" s="4" t="str">
        <f>IF(F148="","",VLOOKUP(F148,'IL to HORIZON'!$C$9:$F$93,4,FALSE))</f>
        <v/>
      </c>
    </row>
    <row r="149" spans="1:9" x14ac:dyDescent="0.2">
      <c r="A149" s="1" t="s">
        <v>221</v>
      </c>
      <c r="B149" s="2" t="s">
        <v>383</v>
      </c>
      <c r="C149" s="2" t="s">
        <v>255</v>
      </c>
      <c r="D149" s="17"/>
      <c r="E149" s="17"/>
      <c r="F149" s="17"/>
      <c r="G149" s="60"/>
      <c r="H149" s="4" t="str">
        <f>IF(F149="","",VLOOKUP(F149,'IL to HORIZON'!$C$9:$F$93,4,FALSE))</f>
        <v/>
      </c>
    </row>
    <row r="150" spans="1:9" x14ac:dyDescent="0.2">
      <c r="A150" s="1" t="s">
        <v>221</v>
      </c>
      <c r="B150" s="2" t="s">
        <v>384</v>
      </c>
      <c r="C150" s="2" t="s">
        <v>255</v>
      </c>
      <c r="D150" s="17"/>
      <c r="E150" s="17"/>
      <c r="F150" s="17"/>
      <c r="G150" s="60"/>
      <c r="H150" s="4" t="str">
        <f>IF(F150="","",VLOOKUP(F150,'IL to HORIZON'!$C$9:$F$93,4,FALSE))</f>
        <v/>
      </c>
    </row>
    <row r="151" spans="1:9" x14ac:dyDescent="0.2">
      <c r="A151" s="1" t="s">
        <v>221</v>
      </c>
      <c r="B151" s="2" t="s">
        <v>385</v>
      </c>
      <c r="C151" s="2" t="s">
        <v>255</v>
      </c>
      <c r="D151" s="17"/>
      <c r="E151" s="17"/>
      <c r="F151" s="17"/>
      <c r="G151" s="60"/>
      <c r="H151" s="4" t="str">
        <f>IF(F151="","",VLOOKUP(F151,'IL to HORIZON'!$C$9:$F$93,4,FALSE))</f>
        <v/>
      </c>
    </row>
    <row r="152" spans="1:9" x14ac:dyDescent="0.2">
      <c r="A152" s="1" t="s">
        <v>221</v>
      </c>
      <c r="B152" s="2" t="s">
        <v>386</v>
      </c>
      <c r="C152" s="2" t="s">
        <v>255</v>
      </c>
      <c r="D152" s="17"/>
      <c r="E152" s="17"/>
      <c r="F152" s="17"/>
      <c r="G152" s="60"/>
      <c r="H152" s="4" t="str">
        <f>IF(F152="","",VLOOKUP(F152,'IL to HORIZON'!$C$9:$F$93,4,FALSE))</f>
        <v/>
      </c>
    </row>
    <row r="153" spans="1:9" x14ac:dyDescent="0.2">
      <c r="A153" s="1" t="s">
        <v>221</v>
      </c>
      <c r="B153" s="2" t="s">
        <v>387</v>
      </c>
      <c r="C153" s="2" t="s">
        <v>241</v>
      </c>
      <c r="D153" s="17"/>
      <c r="E153" s="17"/>
      <c r="F153" s="17"/>
      <c r="G153" s="60"/>
      <c r="H153" s="4" t="str">
        <f>IF(F153="","",VLOOKUP(F153,'IL to HORIZON'!$C$9:$F$93,4,FALSE))</f>
        <v/>
      </c>
    </row>
    <row r="154" spans="1:9" x14ac:dyDescent="0.2">
      <c r="A154" s="1" t="s">
        <v>221</v>
      </c>
      <c r="B154" s="2" t="s">
        <v>388</v>
      </c>
      <c r="C154" s="2" t="s">
        <v>272</v>
      </c>
      <c r="D154" s="17"/>
      <c r="E154" s="17"/>
      <c r="F154" s="17"/>
      <c r="G154" s="60"/>
      <c r="H154" s="4" t="str">
        <f>IF(F154="","",VLOOKUP(F154,'IL to HORIZON'!$C$9:$F$93,4,FALSE))</f>
        <v/>
      </c>
    </row>
    <row r="155" spans="1:9" x14ac:dyDescent="0.2">
      <c r="A155" s="1" t="s">
        <v>221</v>
      </c>
      <c r="B155" s="2" t="s">
        <v>389</v>
      </c>
      <c r="C155" s="2" t="s">
        <v>241</v>
      </c>
      <c r="D155" s="17"/>
      <c r="E155" s="17"/>
      <c r="F155" s="17"/>
      <c r="G155" s="60"/>
      <c r="H155" s="4" t="str">
        <f>IF(F155="","",VLOOKUP(F155,'IL to HORIZON'!$C$9:$F$93,4,FALSE))</f>
        <v/>
      </c>
    </row>
    <row r="156" spans="1:9" x14ac:dyDescent="0.2">
      <c r="A156" s="1" t="s">
        <v>221</v>
      </c>
      <c r="B156" s="2" t="s">
        <v>390</v>
      </c>
      <c r="C156" s="2" t="s">
        <v>223</v>
      </c>
      <c r="D156" s="17"/>
      <c r="E156" s="17"/>
      <c r="F156" s="17"/>
      <c r="G156" s="60"/>
      <c r="H156" s="4" t="str">
        <f>IF(F156="","",VLOOKUP(F156,'IL to HORIZON'!$C$9:$F$93,4,FALSE))</f>
        <v/>
      </c>
    </row>
    <row r="157" spans="1:9" x14ac:dyDescent="0.2">
      <c r="A157" s="1" t="s">
        <v>221</v>
      </c>
      <c r="B157" s="2" t="s">
        <v>391</v>
      </c>
      <c r="C157" s="2" t="s">
        <v>233</v>
      </c>
      <c r="D157" s="17" t="s">
        <v>226</v>
      </c>
      <c r="E157" s="17"/>
      <c r="F157" s="53" t="s">
        <v>134</v>
      </c>
      <c r="G157" s="60"/>
      <c r="H157" s="4" t="str">
        <f>IF(F157="","",VLOOKUP(F157,'IL to HORIZON'!$C$9:$F$93,4,FALSE))</f>
        <v>String(30)</v>
      </c>
    </row>
    <row r="158" spans="1:9" x14ac:dyDescent="0.2">
      <c r="A158" s="1" t="s">
        <v>221</v>
      </c>
      <c r="B158" s="2" t="s">
        <v>392</v>
      </c>
      <c r="C158" s="2" t="s">
        <v>233</v>
      </c>
      <c r="D158" s="17" t="s">
        <v>226</v>
      </c>
      <c r="E158" s="17"/>
      <c r="F158" s="17" t="s">
        <v>393</v>
      </c>
      <c r="G158" s="56"/>
      <c r="H158" s="4" t="e">
        <f>IF(F158="","",VLOOKUP(F158,'IL to HORIZON'!$C$9:$F$93,4,FALSE))</f>
        <v>#N/A</v>
      </c>
      <c r="I158" s="74" t="s">
        <v>394</v>
      </c>
    </row>
    <row r="159" spans="1:9" x14ac:dyDescent="0.2">
      <c r="A159" s="1" t="s">
        <v>221</v>
      </c>
      <c r="B159" s="2" t="s">
        <v>395</v>
      </c>
      <c r="C159" s="2" t="s">
        <v>272</v>
      </c>
      <c r="D159" s="17" t="s">
        <v>396</v>
      </c>
      <c r="E159" s="17"/>
      <c r="F159" s="53" t="s">
        <v>39</v>
      </c>
      <c r="G159" s="59"/>
      <c r="H159" s="4" t="str">
        <f>IF(F159="","",VLOOKUP(F159,'IL to HORIZON'!$C$9:$F$93,4,FALSE))</f>
        <v>String(3)</v>
      </c>
    </row>
    <row r="160" spans="1:9" x14ac:dyDescent="0.2">
      <c r="A160" s="1" t="s">
        <v>221</v>
      </c>
      <c r="B160" s="2" t="s">
        <v>397</v>
      </c>
      <c r="C160" s="2" t="s">
        <v>223</v>
      </c>
      <c r="D160" s="17"/>
      <c r="E160" s="17"/>
      <c r="F160" s="17" t="s">
        <v>398</v>
      </c>
      <c r="G160" s="56"/>
      <c r="H160" s="4" t="e">
        <f>IF(F160="","",VLOOKUP(F160,'IL to HORIZON'!$C$9:$F$93,4,FALSE))</f>
        <v>#N/A</v>
      </c>
      <c r="I160" s="74" t="s">
        <v>399</v>
      </c>
    </row>
    <row r="161" spans="1:9" x14ac:dyDescent="0.2">
      <c r="A161" s="1" t="s">
        <v>221</v>
      </c>
      <c r="B161" s="2" t="s">
        <v>400</v>
      </c>
      <c r="C161" s="2" t="s">
        <v>272</v>
      </c>
      <c r="D161" s="17"/>
      <c r="E161" s="17"/>
      <c r="F161" s="17"/>
      <c r="G161" s="60"/>
      <c r="H161" s="4" t="str">
        <f>IF(F161="","",VLOOKUP(F161,'IL to HORIZON'!$C$9:$F$93,4,FALSE))</f>
        <v/>
      </c>
    </row>
    <row r="162" spans="1:9" x14ac:dyDescent="0.2">
      <c r="A162" s="1" t="s">
        <v>221</v>
      </c>
      <c r="B162" s="2" t="s">
        <v>401</v>
      </c>
      <c r="C162" s="2" t="s">
        <v>223</v>
      </c>
      <c r="D162" s="17" t="s">
        <v>226</v>
      </c>
      <c r="E162" s="17"/>
      <c r="F162" s="53" t="s">
        <v>22</v>
      </c>
      <c r="G162" s="59"/>
      <c r="H162" s="4" t="str">
        <f>IF(F162="","",VLOOKUP(F162,'IL to HORIZON'!$C$9:$F$93,4,FALSE))</f>
        <v>String(8)</v>
      </c>
    </row>
    <row r="163" spans="1:9" x14ac:dyDescent="0.2">
      <c r="A163" s="1" t="s">
        <v>221</v>
      </c>
      <c r="B163" s="2" t="s">
        <v>402</v>
      </c>
      <c r="C163" s="2" t="s">
        <v>270</v>
      </c>
      <c r="D163" s="17"/>
      <c r="E163" s="17"/>
      <c r="F163" s="17"/>
      <c r="G163" s="60"/>
      <c r="H163" s="4" t="str">
        <f>IF(F163="","",VLOOKUP(F163,'IL to HORIZON'!$C$9:$F$93,4,FALSE))</f>
        <v/>
      </c>
    </row>
    <row r="164" spans="1:9" x14ac:dyDescent="0.2">
      <c r="A164" s="1" t="s">
        <v>221</v>
      </c>
      <c r="B164" s="2" t="s">
        <v>403</v>
      </c>
      <c r="C164" s="2" t="s">
        <v>272</v>
      </c>
      <c r="D164" s="17"/>
      <c r="E164" s="17"/>
      <c r="F164" s="17"/>
      <c r="G164" s="60"/>
      <c r="H164" s="4" t="str">
        <f>IF(F164="","",VLOOKUP(F164,'IL to HORIZON'!$C$9:$F$93,4,FALSE))</f>
        <v/>
      </c>
    </row>
    <row r="165" spans="1:9" x14ac:dyDescent="0.2">
      <c r="A165" s="1" t="s">
        <v>221</v>
      </c>
      <c r="B165" s="2" t="s">
        <v>404</v>
      </c>
      <c r="C165" s="2" t="s">
        <v>223</v>
      </c>
      <c r="D165" s="17"/>
      <c r="E165" s="17"/>
      <c r="F165" s="17"/>
      <c r="G165" s="60"/>
      <c r="H165" s="4" t="str">
        <f>IF(F165="","",VLOOKUP(F165,'IL to HORIZON'!$C$9:$F$93,4,FALSE))</f>
        <v/>
      </c>
    </row>
    <row r="166" spans="1:9" x14ac:dyDescent="0.2">
      <c r="A166" s="1"/>
      <c r="B166" s="2"/>
      <c r="C166"/>
      <c r="D166" s="17" t="s">
        <v>226</v>
      </c>
      <c r="E166" s="17"/>
      <c r="F166" s="54" t="s">
        <v>20</v>
      </c>
      <c r="G166" s="56"/>
      <c r="H166" s="4" t="str">
        <f>IF(F166="","",VLOOKUP(F166,'IL to HORIZON'!$C$9:$F$93,4,FALSE))</f>
        <v>String(3)</v>
      </c>
      <c r="I166" s="64" t="s">
        <v>405</v>
      </c>
    </row>
    <row r="167" spans="1:9" x14ac:dyDescent="0.2">
      <c r="A167" s="1" t="s">
        <v>406</v>
      </c>
      <c r="B167" s="2" t="s">
        <v>407</v>
      </c>
      <c r="C167" s="51" t="s">
        <v>223</v>
      </c>
      <c r="D167" s="17" t="s">
        <v>226</v>
      </c>
      <c r="E167" s="17"/>
      <c r="F167" s="54" t="s">
        <v>166</v>
      </c>
      <c r="G167" s="60"/>
      <c r="H167" s="4" t="str">
        <f>IF(F167="","",VLOOKUP(F167,'IL to HORIZON'!$C$9:$F$93,4,FALSE))</f>
        <v>String(8)</v>
      </c>
    </row>
    <row r="168" spans="1:9" x14ac:dyDescent="0.2">
      <c r="A168" s="1" t="s">
        <v>406</v>
      </c>
      <c r="B168" s="2" t="s">
        <v>206</v>
      </c>
      <c r="C168" s="2" t="s">
        <v>223</v>
      </c>
      <c r="D168" s="17"/>
      <c r="E168" s="17"/>
      <c r="H168" s="4" t="str">
        <f>IF(F168="","",VLOOKUP(F168,'IL to HORIZON'!$C$9:$F$93,4,FALSE))</f>
        <v/>
      </c>
    </row>
    <row r="169" spans="1:9" x14ac:dyDescent="0.2">
      <c r="A169" s="1" t="s">
        <v>406</v>
      </c>
      <c r="B169" s="2" t="s">
        <v>129</v>
      </c>
      <c r="C169" s="51" t="s">
        <v>225</v>
      </c>
      <c r="D169" s="17" t="s">
        <v>226</v>
      </c>
      <c r="E169" s="17"/>
      <c r="F169" s="53" t="s">
        <v>177</v>
      </c>
      <c r="G169" s="56"/>
      <c r="H169" s="4" t="str">
        <f>IF(F169="","",VLOOKUP(F169,'IL to HORIZON'!$C$9:$F$93,4,FALSE))</f>
        <v>String(30)</v>
      </c>
    </row>
    <row r="170" spans="1:9" x14ac:dyDescent="0.2">
      <c r="A170" s="1" t="s">
        <v>406</v>
      </c>
      <c r="B170" s="2" t="s">
        <v>229</v>
      </c>
      <c r="C170" s="2" t="s">
        <v>225</v>
      </c>
      <c r="D170" s="17" t="s">
        <v>226</v>
      </c>
      <c r="E170" s="17"/>
      <c r="F170" s="53" t="s">
        <v>185</v>
      </c>
      <c r="G170" s="60"/>
      <c r="H170" s="4" t="str">
        <f>IF(F170="","",VLOOKUP(F170,'IL to HORIZON'!$C$9:$F$93,4,FALSE))</f>
        <v>String(60)</v>
      </c>
    </row>
    <row r="171" spans="1:9" x14ac:dyDescent="0.2">
      <c r="A171" s="1" t="s">
        <v>406</v>
      </c>
      <c r="B171" s="2" t="s">
        <v>230</v>
      </c>
      <c r="C171" s="51" t="s">
        <v>225</v>
      </c>
      <c r="D171" s="17" t="s">
        <v>226</v>
      </c>
      <c r="E171" s="17"/>
      <c r="F171" s="53" t="s">
        <v>187</v>
      </c>
      <c r="G171" s="60"/>
      <c r="H171" s="4" t="str">
        <f>IF(F171="","",VLOOKUP(F171,'IL to HORIZON'!$C$9:$F$93,4,FALSE))</f>
        <v>String(30)</v>
      </c>
    </row>
    <row r="172" spans="1:9" x14ac:dyDescent="0.2">
      <c r="A172" s="1" t="s">
        <v>406</v>
      </c>
      <c r="B172" s="2" t="s">
        <v>231</v>
      </c>
      <c r="C172" s="51" t="s">
        <v>225</v>
      </c>
      <c r="D172" s="17" t="s">
        <v>226</v>
      </c>
      <c r="E172" s="17"/>
      <c r="F172" s="53" t="s">
        <v>189</v>
      </c>
      <c r="G172" s="60"/>
      <c r="H172" s="4" t="str">
        <f>IF(F172="","",VLOOKUP(F172,'IL to HORIZON'!$C$9:$F$93,4,FALSE))</f>
        <v>String(30)</v>
      </c>
    </row>
    <row r="173" spans="1:9" x14ac:dyDescent="0.2">
      <c r="A173" s="1" t="s">
        <v>406</v>
      </c>
      <c r="B173" s="2" t="s">
        <v>232</v>
      </c>
      <c r="C173" s="2" t="s">
        <v>233</v>
      </c>
      <c r="D173" s="17" t="s">
        <v>226</v>
      </c>
      <c r="E173" s="17"/>
      <c r="F173" s="53" t="s">
        <v>191</v>
      </c>
      <c r="G173" s="60"/>
      <c r="H173" s="4" t="str">
        <f>IF(F173="","",VLOOKUP(F173,'IL to HORIZON'!$C$9:$F$93,4,FALSE))</f>
        <v>String(30)</v>
      </c>
    </row>
    <row r="174" spans="1:9" x14ac:dyDescent="0.2">
      <c r="A174" s="1" t="s">
        <v>406</v>
      </c>
      <c r="B174" s="2" t="s">
        <v>317</v>
      </c>
      <c r="C174" s="51" t="s">
        <v>237</v>
      </c>
      <c r="D174" s="17" t="s">
        <v>226</v>
      </c>
      <c r="E174" s="17"/>
      <c r="F174" s="53" t="s">
        <v>195</v>
      </c>
      <c r="G174" s="60"/>
      <c r="H174" s="4" t="str">
        <f>IF(F174="","",VLOOKUP(F174,'IL to HORIZON'!$C$9:$F$93,4,FALSE))</f>
        <v>String(12)</v>
      </c>
    </row>
    <row r="175" spans="1:9" x14ac:dyDescent="0.2">
      <c r="A175" s="1" t="s">
        <v>406</v>
      </c>
      <c r="B175" s="2" t="s">
        <v>234</v>
      </c>
      <c r="C175" s="2" t="s">
        <v>225</v>
      </c>
      <c r="D175" s="17"/>
      <c r="E175" s="17"/>
      <c r="F175" s="17"/>
      <c r="G175" s="60"/>
      <c r="H175" s="4" t="str">
        <f>IF(F175="","",VLOOKUP(F175,'IL to HORIZON'!$C$9:$F$93,4,FALSE))</f>
        <v/>
      </c>
    </row>
    <row r="176" spans="1:9" x14ac:dyDescent="0.2">
      <c r="A176" s="1" t="s">
        <v>406</v>
      </c>
      <c r="B176" s="2" t="s">
        <v>235</v>
      </c>
      <c r="C176" s="2" t="s">
        <v>233</v>
      </c>
      <c r="D176" s="17"/>
      <c r="E176" s="17"/>
      <c r="F176" s="17"/>
      <c r="G176" s="60"/>
      <c r="H176" s="4" t="str">
        <f>IF(F176="","",VLOOKUP(F176,'IL to HORIZON'!$C$9:$F$93,4,FALSE))</f>
        <v/>
      </c>
    </row>
    <row r="177" spans="1:8" x14ac:dyDescent="0.2">
      <c r="A177" s="1" t="s">
        <v>406</v>
      </c>
      <c r="B177" s="2" t="s">
        <v>236</v>
      </c>
      <c r="C177" s="2" t="s">
        <v>237</v>
      </c>
      <c r="D177" s="17"/>
      <c r="E177" s="17"/>
      <c r="F177" s="17"/>
      <c r="G177" s="60"/>
      <c r="H177" s="4" t="str">
        <f>IF(F177="","",VLOOKUP(F177,'IL to HORIZON'!$C$9:$F$93,4,FALSE))</f>
        <v/>
      </c>
    </row>
    <row r="178" spans="1:8" x14ac:dyDescent="0.2">
      <c r="A178" s="1" t="s">
        <v>406</v>
      </c>
      <c r="B178" s="2" t="s">
        <v>408</v>
      </c>
      <c r="C178" s="51" t="s">
        <v>237</v>
      </c>
      <c r="D178" s="17" t="s">
        <v>226</v>
      </c>
      <c r="E178" s="17"/>
      <c r="F178" s="53" t="s">
        <v>179</v>
      </c>
      <c r="G178" s="60"/>
      <c r="H178" s="4" t="str">
        <f>IF(F178="","",VLOOKUP(F178,'IL to HORIZON'!$C$9:$F$93,4,FALSE))</f>
        <v>String(15)</v>
      </c>
    </row>
    <row r="179" spans="1:8" x14ac:dyDescent="0.2">
      <c r="A179" s="1" t="s">
        <v>406</v>
      </c>
      <c r="B179" s="2" t="s">
        <v>409</v>
      </c>
      <c r="C179" s="2" t="s">
        <v>233</v>
      </c>
      <c r="D179" s="17" t="s">
        <v>226</v>
      </c>
      <c r="E179" s="17"/>
      <c r="F179" s="53" t="s">
        <v>174</v>
      </c>
      <c r="G179" s="60"/>
      <c r="H179" s="4" t="str">
        <f>IF(F179="","",VLOOKUP(F179,'IL to HORIZON'!$C$9:$F$93,4,FALSE))</f>
        <v>String(36)</v>
      </c>
    </row>
    <row r="180" spans="1:8" x14ac:dyDescent="0.2">
      <c r="A180" s="1" t="s">
        <v>406</v>
      </c>
      <c r="B180" s="2" t="s">
        <v>410</v>
      </c>
      <c r="C180" s="2" t="s">
        <v>237</v>
      </c>
      <c r="D180" s="17"/>
      <c r="E180" s="17"/>
      <c r="F180" s="17"/>
      <c r="G180" s="60"/>
      <c r="H180" s="4" t="str">
        <f>IF(F180="","",VLOOKUP(F180,'IL to HORIZON'!$C$9:$F$93,4,FALSE))</f>
        <v/>
      </c>
    </row>
    <row r="181" spans="1:8" x14ac:dyDescent="0.2">
      <c r="A181" s="1" t="s">
        <v>406</v>
      </c>
      <c r="B181" s="2" t="s">
        <v>45</v>
      </c>
      <c r="C181" s="2" t="s">
        <v>241</v>
      </c>
      <c r="D181" s="17"/>
      <c r="E181" s="17"/>
      <c r="F181" s="17"/>
      <c r="G181" s="60"/>
      <c r="H181" s="4" t="str">
        <f>IF(F181="","",VLOOKUP(F181,'IL to HORIZON'!$C$9:$F$93,4,FALSE))</f>
        <v/>
      </c>
    </row>
    <row r="182" spans="1:8" x14ac:dyDescent="0.2">
      <c r="A182" s="1" t="s">
        <v>406</v>
      </c>
      <c r="B182" s="2" t="s">
        <v>265</v>
      </c>
      <c r="C182" s="2" t="s">
        <v>241</v>
      </c>
      <c r="D182" s="17" t="s">
        <v>266</v>
      </c>
      <c r="E182" s="17"/>
      <c r="F182" s="53" t="s">
        <v>197</v>
      </c>
      <c r="G182" s="60"/>
      <c r="H182" s="4" t="str">
        <f>IF(F182="","",VLOOKUP(F182,'IL to HORIZON'!$C$9:$F$93,4,FALSE))</f>
        <v>String(30)</v>
      </c>
    </row>
    <row r="183" spans="1:8" x14ac:dyDescent="0.2">
      <c r="A183" s="1" t="s">
        <v>406</v>
      </c>
      <c r="B183" s="2" t="s">
        <v>139</v>
      </c>
      <c r="C183" s="2" t="s">
        <v>233</v>
      </c>
      <c r="D183" s="17" t="s">
        <v>318</v>
      </c>
      <c r="E183" s="17"/>
      <c r="F183" s="53" t="s">
        <v>193</v>
      </c>
      <c r="G183" s="60"/>
      <c r="H183" s="4" t="str">
        <f>IF(F183="","",VLOOKUP(F183,'IL to HORIZON'!$C$9:$F$93,4,FALSE))</f>
        <v>String(30)</v>
      </c>
    </row>
    <row r="184" spans="1:8" x14ac:dyDescent="0.2">
      <c r="A184" s="1" t="s">
        <v>406</v>
      </c>
      <c r="B184" s="2" t="s">
        <v>308</v>
      </c>
      <c r="C184" s="2" t="s">
        <v>233</v>
      </c>
      <c r="D184" s="17"/>
      <c r="E184" s="17"/>
      <c r="F184" s="17"/>
      <c r="G184" s="60"/>
      <c r="H184" s="4" t="str">
        <f>IF(F184="","",VLOOKUP(F184,'IL to HORIZON'!$C$9:$F$93,4,FALSE))</f>
        <v/>
      </c>
    </row>
    <row r="185" spans="1:8" x14ac:dyDescent="0.2">
      <c r="A185" s="1" t="s">
        <v>406</v>
      </c>
      <c r="B185" s="2" t="s">
        <v>309</v>
      </c>
      <c r="C185" s="2" t="s">
        <v>237</v>
      </c>
      <c r="D185" s="17"/>
      <c r="E185" s="17"/>
      <c r="F185" s="17"/>
      <c r="G185" s="60"/>
      <c r="H185" s="4" t="str">
        <f>IF(F185="","",VLOOKUP(F185,'IL to HORIZON'!$C$9:$F$93,4,FALSE))</f>
        <v/>
      </c>
    </row>
    <row r="186" spans="1:8" x14ac:dyDescent="0.2">
      <c r="A186" s="1" t="s">
        <v>406</v>
      </c>
      <c r="B186" s="2" t="s">
        <v>253</v>
      </c>
      <c r="C186" s="2" t="s">
        <v>241</v>
      </c>
      <c r="D186" s="17"/>
      <c r="E186" s="17"/>
      <c r="F186" s="17"/>
      <c r="G186" s="60"/>
      <c r="H186" s="4" t="str">
        <f>IF(F186="","",VLOOKUP(F186,'IL to HORIZON'!$C$9:$F$93,4,FALSE))</f>
        <v/>
      </c>
    </row>
    <row r="187" spans="1:8" x14ac:dyDescent="0.2">
      <c r="A187" s="1" t="s">
        <v>406</v>
      </c>
      <c r="B187" s="2" t="s">
        <v>323</v>
      </c>
      <c r="C187" s="2" t="s">
        <v>324</v>
      </c>
      <c r="D187" s="17"/>
      <c r="E187" s="17"/>
      <c r="F187" s="17"/>
      <c r="G187" s="60"/>
      <c r="H187" s="4" t="str">
        <f>IF(F187="","",VLOOKUP(F187,'IL to HORIZON'!$C$9:$F$93,4,FALSE))</f>
        <v/>
      </c>
    </row>
    <row r="188" spans="1:8" x14ac:dyDescent="0.2">
      <c r="A188" s="1" t="s">
        <v>406</v>
      </c>
      <c r="B188" s="2" t="s">
        <v>325</v>
      </c>
      <c r="C188" s="2" t="s">
        <v>324</v>
      </c>
      <c r="D188" s="17"/>
      <c r="E188" s="17"/>
      <c r="F188" s="17"/>
      <c r="G188" s="60"/>
      <c r="H188" s="4" t="str">
        <f>IF(F188="","",VLOOKUP(F188,'IL to HORIZON'!$C$9:$F$93,4,FALSE))</f>
        <v/>
      </c>
    </row>
    <row r="189" spans="1:8" x14ac:dyDescent="0.2">
      <c r="A189" s="1" t="s">
        <v>406</v>
      </c>
      <c r="B189" s="2" t="s">
        <v>411</v>
      </c>
      <c r="C189" s="51" t="s">
        <v>228</v>
      </c>
      <c r="D189" s="17" t="s">
        <v>226</v>
      </c>
      <c r="E189" s="17"/>
      <c r="F189" s="53" t="s">
        <v>200</v>
      </c>
      <c r="G189" s="60"/>
      <c r="H189" s="4" t="str">
        <f>IF(F189="","",VLOOKUP(F189,'IL to HORIZON'!$C$9:$F$93,4,FALSE))</f>
        <v>String(34)</v>
      </c>
    </row>
    <row r="190" spans="1:8" x14ac:dyDescent="0.2">
      <c r="A190" s="1" t="s">
        <v>406</v>
      </c>
      <c r="B190" s="2" t="s">
        <v>412</v>
      </c>
      <c r="C190" s="2" t="s">
        <v>223</v>
      </c>
      <c r="D190" s="17" t="s">
        <v>226</v>
      </c>
      <c r="E190" s="17"/>
      <c r="F190" s="53" t="s">
        <v>198</v>
      </c>
      <c r="G190" s="60"/>
      <c r="H190" s="4" t="str">
        <f>IF(F190="","",VLOOKUP(F190,'IL to HORIZON'!$C$9:$F$93,4,FALSE))</f>
        <v>String(30)</v>
      </c>
    </row>
    <row r="191" spans="1:8" x14ac:dyDescent="0.2">
      <c r="A191" s="1" t="s">
        <v>406</v>
      </c>
      <c r="B191" s="2" t="s">
        <v>413</v>
      </c>
      <c r="C191" s="2" t="s">
        <v>225</v>
      </c>
      <c r="D191" s="17"/>
      <c r="E191" s="17"/>
      <c r="F191" s="17"/>
      <c r="G191" s="60"/>
      <c r="H191" s="4" t="str">
        <f>IF(F191="","",VLOOKUP(F191,'IL to HORIZON'!$C$9:$F$93,4,FALSE))</f>
        <v/>
      </c>
    </row>
    <row r="192" spans="1:8" x14ac:dyDescent="0.2">
      <c r="A192" s="1" t="s">
        <v>406</v>
      </c>
      <c r="B192" s="2" t="s">
        <v>414</v>
      </c>
      <c r="C192" s="2" t="s">
        <v>225</v>
      </c>
      <c r="D192" s="17"/>
      <c r="E192" s="17"/>
      <c r="F192" s="17"/>
      <c r="G192" s="60"/>
      <c r="H192" s="4" t="str">
        <f>IF(F192="","",VLOOKUP(F192,'IL to HORIZON'!$C$9:$F$93,4,FALSE))</f>
        <v/>
      </c>
    </row>
    <row r="193" spans="1:8" x14ac:dyDescent="0.2">
      <c r="A193" s="1"/>
      <c r="B193" s="2"/>
      <c r="C193" s="2"/>
      <c r="D193" s="17" t="s">
        <v>415</v>
      </c>
      <c r="E193" s="17"/>
      <c r="F193" s="61" t="s">
        <v>170</v>
      </c>
      <c r="G193" s="60"/>
      <c r="H193" s="4" t="str">
        <f>IF(F193="","",VLOOKUP(F193,'IL to HORIZON'!$C$9:$F$93,4,FALSE))</f>
        <v>String(30)</v>
      </c>
    </row>
    <row r="194" spans="1:8" x14ac:dyDescent="0.2">
      <c r="A194" s="1" t="s">
        <v>234</v>
      </c>
      <c r="B194" s="2" t="s">
        <v>222</v>
      </c>
      <c r="C194" s="51" t="s">
        <v>223</v>
      </c>
      <c r="D194" s="17" t="s">
        <v>416</v>
      </c>
      <c r="E194" s="17"/>
      <c r="F194" s="55" t="s">
        <v>209</v>
      </c>
      <c r="G194" s="60"/>
      <c r="H194" s="4" t="str">
        <f>IF(F194="","",VLOOKUP(F194,'IL to HORIZON'!$C$9:$F$93,4,FALSE))</f>
        <v>String(8)</v>
      </c>
    </row>
    <row r="195" spans="1:8" x14ac:dyDescent="0.2">
      <c r="A195" s="1" t="s">
        <v>234</v>
      </c>
      <c r="B195" s="2" t="s">
        <v>129</v>
      </c>
      <c r="C195" s="2" t="s">
        <v>225</v>
      </c>
      <c r="D195" s="17"/>
      <c r="E195" s="17"/>
      <c r="F195" s="54" t="s">
        <v>128</v>
      </c>
      <c r="G195" s="60"/>
      <c r="H195" s="4" t="str">
        <f>IF(F195="","",VLOOKUP(F195,'IL to HORIZON'!$C$9:$F$93,4,FALSE))</f>
        <v>String(60)</v>
      </c>
    </row>
    <row r="196" spans="1:8" x14ac:dyDescent="0.2">
      <c r="A196" s="1" t="s">
        <v>234</v>
      </c>
      <c r="B196" s="2" t="s">
        <v>227</v>
      </c>
      <c r="C196" s="2" t="s">
        <v>228</v>
      </c>
      <c r="D196" s="17"/>
      <c r="E196" s="17"/>
      <c r="F196" s="17"/>
      <c r="G196" s="60"/>
      <c r="H196" s="4" t="str">
        <f>IF(F196="","",VLOOKUP(F196,'IL to HORIZON'!$C$9:$F$93,4,FALSE))</f>
        <v/>
      </c>
    </row>
    <row r="197" spans="1:8" x14ac:dyDescent="0.2">
      <c r="A197" s="1" t="s">
        <v>234</v>
      </c>
      <c r="B197" s="2" t="s">
        <v>229</v>
      </c>
      <c r="C197" s="2" t="s">
        <v>225</v>
      </c>
      <c r="D197" s="17"/>
      <c r="E197" s="17"/>
      <c r="F197" s="17"/>
      <c r="G197" s="60"/>
      <c r="H197" s="4" t="str">
        <f>IF(F197="","",VLOOKUP(F197,'IL to HORIZON'!$C$9:$F$93,4,FALSE))</f>
        <v/>
      </c>
    </row>
    <row r="198" spans="1:8" x14ac:dyDescent="0.2">
      <c r="A198" s="1" t="s">
        <v>234</v>
      </c>
      <c r="B198" s="2" t="s">
        <v>230</v>
      </c>
      <c r="C198" s="2" t="s">
        <v>225</v>
      </c>
      <c r="D198" s="17" t="s">
        <v>226</v>
      </c>
      <c r="E198" s="17"/>
      <c r="F198" s="53" t="s">
        <v>130</v>
      </c>
      <c r="G198" s="60"/>
      <c r="H198" s="4" t="str">
        <f>IF(F198="","",VLOOKUP(F198,'IL to HORIZON'!$C$9:$F$93,4,FALSE))</f>
        <v>String(60)</v>
      </c>
    </row>
    <row r="199" spans="1:8" x14ac:dyDescent="0.2">
      <c r="A199" s="1" t="s">
        <v>234</v>
      </c>
      <c r="B199" s="2" t="s">
        <v>231</v>
      </c>
      <c r="C199" s="51" t="s">
        <v>225</v>
      </c>
      <c r="D199" s="17" t="s">
        <v>226</v>
      </c>
      <c r="E199" s="17"/>
      <c r="F199" s="53" t="s">
        <v>132</v>
      </c>
      <c r="G199" s="60"/>
      <c r="H199" s="4" t="str">
        <f>IF(F199="","",VLOOKUP(F199,'IL to HORIZON'!$C$9:$F$93,4,FALSE))</f>
        <v>String(30)</v>
      </c>
    </row>
    <row r="200" spans="1:8" x14ac:dyDescent="0.2">
      <c r="A200" s="1" t="s">
        <v>234</v>
      </c>
      <c r="B200" s="2" t="s">
        <v>232</v>
      </c>
      <c r="C200" s="2" t="s">
        <v>233</v>
      </c>
      <c r="D200" s="17" t="s">
        <v>226</v>
      </c>
      <c r="E200" s="17"/>
      <c r="F200" s="53" t="s">
        <v>136</v>
      </c>
      <c r="G200" s="60"/>
      <c r="H200" s="4" t="str">
        <f>IF(F200="","",VLOOKUP(F200,'IL to HORIZON'!$C$9:$F$93,4,FALSE))</f>
        <v>String(30)</v>
      </c>
    </row>
    <row r="201" spans="1:8" x14ac:dyDescent="0.2">
      <c r="A201" s="1" t="s">
        <v>234</v>
      </c>
      <c r="B201" s="2" t="s">
        <v>235</v>
      </c>
      <c r="C201" s="51" t="s">
        <v>233</v>
      </c>
      <c r="D201" s="17" t="s">
        <v>226</v>
      </c>
      <c r="E201" s="17"/>
      <c r="F201" s="53" t="s">
        <v>145</v>
      </c>
      <c r="G201" s="60"/>
      <c r="H201" s="4" t="str">
        <f>IF(F201="","",VLOOKUP(F201,'IL to HORIZON'!$C$9:$F$93,4,FALSE))</f>
        <v>String(20)</v>
      </c>
    </row>
    <row r="202" spans="1:8" x14ac:dyDescent="0.2">
      <c r="A202" s="1" t="s">
        <v>234</v>
      </c>
      <c r="B202" s="2" t="s">
        <v>236</v>
      </c>
      <c r="C202" s="2" t="s">
        <v>237</v>
      </c>
      <c r="D202" s="17"/>
      <c r="E202" s="17"/>
      <c r="F202" s="17"/>
      <c r="G202" s="60"/>
      <c r="H202" s="4" t="str">
        <f>IF(F202="","",VLOOKUP(F202,'IL to HORIZON'!$C$9:$F$93,4,FALSE))</f>
        <v/>
      </c>
    </row>
    <row r="203" spans="1:8" x14ac:dyDescent="0.2">
      <c r="A203" s="1" t="s">
        <v>234</v>
      </c>
      <c r="B203" s="2" t="s">
        <v>240</v>
      </c>
      <c r="C203" s="2" t="s">
        <v>241</v>
      </c>
      <c r="D203" s="17"/>
      <c r="E203" s="17"/>
      <c r="F203" s="17"/>
      <c r="G203" s="60"/>
      <c r="H203" s="4" t="str">
        <f>IF(F203="","",VLOOKUP(F203,'IL to HORIZON'!$C$9:$F$93,4,FALSE))</f>
        <v/>
      </c>
    </row>
    <row r="204" spans="1:8" x14ac:dyDescent="0.2">
      <c r="A204" s="1" t="s">
        <v>234</v>
      </c>
      <c r="B204" s="2" t="s">
        <v>45</v>
      </c>
      <c r="C204" s="2" t="s">
        <v>241</v>
      </c>
      <c r="D204" s="17"/>
      <c r="E204" s="17"/>
      <c r="F204" s="17"/>
      <c r="G204" s="60"/>
      <c r="H204" s="4" t="str">
        <f>IF(F204="","",VLOOKUP(F204,'IL to HORIZON'!$C$9:$F$93,4,FALSE))</f>
        <v/>
      </c>
    </row>
    <row r="205" spans="1:8" x14ac:dyDescent="0.2">
      <c r="A205" s="1" t="s">
        <v>234</v>
      </c>
      <c r="B205" s="2" t="s">
        <v>253</v>
      </c>
      <c r="C205" s="2" t="s">
        <v>241</v>
      </c>
      <c r="D205" s="17"/>
      <c r="E205" s="17"/>
      <c r="F205" s="17"/>
      <c r="G205" s="60"/>
      <c r="H205" s="4" t="str">
        <f>IF(F205="","",VLOOKUP(F205,'IL to HORIZON'!$C$9:$F$93,4,FALSE))</f>
        <v/>
      </c>
    </row>
    <row r="206" spans="1:8" x14ac:dyDescent="0.2">
      <c r="A206" s="1" t="s">
        <v>234</v>
      </c>
      <c r="B206" s="2" t="s">
        <v>259</v>
      </c>
      <c r="C206" s="2" t="s">
        <v>241</v>
      </c>
      <c r="D206" s="17"/>
      <c r="E206" s="17"/>
      <c r="F206" s="17"/>
      <c r="G206" s="60"/>
      <c r="H206" s="4" t="str">
        <f>IF(F206="","",VLOOKUP(F206,'IL to HORIZON'!$C$9:$F$93,4,FALSE))</f>
        <v/>
      </c>
    </row>
    <row r="207" spans="1:8" x14ac:dyDescent="0.2">
      <c r="A207" s="1" t="s">
        <v>234</v>
      </c>
      <c r="B207" s="2" t="s">
        <v>265</v>
      </c>
      <c r="C207" s="2" t="s">
        <v>241</v>
      </c>
      <c r="D207" s="17" t="s">
        <v>266</v>
      </c>
      <c r="E207" s="17"/>
      <c r="F207" s="53" t="s">
        <v>143</v>
      </c>
      <c r="G207" s="60"/>
      <c r="H207" s="4" t="str">
        <f>IF(F207="","",VLOOKUP(F207,'IL to HORIZON'!$C$9:$F$93,4,FALSE))</f>
        <v>String(30)</v>
      </c>
    </row>
    <row r="208" spans="1:8" x14ac:dyDescent="0.2">
      <c r="A208" s="1" t="s">
        <v>234</v>
      </c>
      <c r="B208" s="2" t="s">
        <v>281</v>
      </c>
      <c r="C208" s="2" t="s">
        <v>104</v>
      </c>
      <c r="D208" s="17"/>
      <c r="E208" s="17"/>
      <c r="F208" s="17"/>
      <c r="G208" s="60"/>
      <c r="H208" s="4" t="str">
        <f>IF(F208="","",VLOOKUP(F208,'IL to HORIZON'!$C$9:$F$93,4,FALSE))</f>
        <v/>
      </c>
    </row>
    <row r="209" spans="1:8" x14ac:dyDescent="0.2">
      <c r="A209" s="1" t="s">
        <v>234</v>
      </c>
      <c r="B209" s="2" t="s">
        <v>308</v>
      </c>
      <c r="C209" s="2" t="s">
        <v>233</v>
      </c>
      <c r="D209" s="17"/>
      <c r="E209" s="17"/>
      <c r="F209" s="17"/>
      <c r="G209" s="60"/>
      <c r="H209" s="4" t="str">
        <f>IF(F209="","",VLOOKUP(F209,'IL to HORIZON'!$C$9:$F$93,4,FALSE))</f>
        <v/>
      </c>
    </row>
    <row r="210" spans="1:8" x14ac:dyDescent="0.2">
      <c r="A210" s="1" t="s">
        <v>234</v>
      </c>
      <c r="B210" s="2" t="s">
        <v>309</v>
      </c>
      <c r="C210" s="2" t="s">
        <v>237</v>
      </c>
      <c r="D210" s="17"/>
      <c r="E210" s="17"/>
      <c r="F210" s="17"/>
      <c r="G210" s="60"/>
      <c r="H210" s="4" t="str">
        <f>IF(F210="","",VLOOKUP(F210,'IL to HORIZON'!$C$9:$F$93,4,FALSE))</f>
        <v/>
      </c>
    </row>
    <row r="211" spans="1:8" x14ac:dyDescent="0.2">
      <c r="A211" s="1" t="s">
        <v>234</v>
      </c>
      <c r="B211" s="2" t="s">
        <v>310</v>
      </c>
      <c r="C211" s="2" t="s">
        <v>237</v>
      </c>
      <c r="D211" s="17" t="s">
        <v>226</v>
      </c>
      <c r="E211" s="17"/>
      <c r="F211" s="53" t="s">
        <v>155</v>
      </c>
      <c r="G211" s="60"/>
      <c r="H211" s="4" t="str">
        <f>IF(F211="","",VLOOKUP(F211,'IL to HORIZON'!$C$9:$F$93,4,FALSE))</f>
        <v>String(25)</v>
      </c>
    </row>
    <row r="212" spans="1:8" x14ac:dyDescent="0.2">
      <c r="A212" s="1" t="s">
        <v>234</v>
      </c>
      <c r="B212" s="2" t="s">
        <v>317</v>
      </c>
      <c r="C212" s="51" t="s">
        <v>223</v>
      </c>
      <c r="D212" s="17" t="s">
        <v>226</v>
      </c>
      <c r="E212" s="17"/>
      <c r="F212" s="53" t="s">
        <v>140</v>
      </c>
      <c r="G212" s="60"/>
      <c r="H212" s="4" t="str">
        <f>IF(F212="","",VLOOKUP(F212,'IL to HORIZON'!$C$9:$F$93,4,FALSE))</f>
        <v>String(12)</v>
      </c>
    </row>
    <row r="213" spans="1:8" x14ac:dyDescent="0.2">
      <c r="A213" s="1" t="s">
        <v>234</v>
      </c>
      <c r="B213" s="2" t="s">
        <v>139</v>
      </c>
      <c r="C213" s="2" t="s">
        <v>233</v>
      </c>
      <c r="D213" s="17" t="s">
        <v>318</v>
      </c>
      <c r="E213" s="17"/>
      <c r="F213" s="53" t="s">
        <v>138</v>
      </c>
      <c r="G213" s="60"/>
      <c r="H213" s="4" t="str">
        <f>IF(F213="","",VLOOKUP(F213,'IL to HORIZON'!$C$9:$F$93,4,FALSE))</f>
        <v>String(30)</v>
      </c>
    </row>
    <row r="214" spans="1:8" x14ac:dyDescent="0.2">
      <c r="A214" s="1" t="s">
        <v>234</v>
      </c>
      <c r="B214" s="2" t="s">
        <v>323</v>
      </c>
      <c r="C214" s="51" t="s">
        <v>324</v>
      </c>
      <c r="D214" s="17" t="s">
        <v>226</v>
      </c>
      <c r="E214" s="17"/>
      <c r="F214" s="53" t="s">
        <v>148</v>
      </c>
      <c r="G214" s="60"/>
      <c r="H214" s="4" t="str">
        <f>IF(F214="","",VLOOKUP(F214,'IL to HORIZON'!$C$9:$F$93,4,FALSE))</f>
        <v>String(60)</v>
      </c>
    </row>
    <row r="215" spans="1:8" x14ac:dyDescent="0.2">
      <c r="A215" s="1" t="s">
        <v>234</v>
      </c>
      <c r="B215" s="2" t="s">
        <v>325</v>
      </c>
      <c r="C215" s="51" t="s">
        <v>324</v>
      </c>
      <c r="D215" s="17" t="s">
        <v>226</v>
      </c>
      <c r="E215" s="17"/>
      <c r="F215" s="53" t="s">
        <v>152</v>
      </c>
      <c r="G215" s="60"/>
      <c r="H215" s="4" t="str">
        <f>IF(F215="","",VLOOKUP(F215,'IL to HORIZON'!$C$9:$F$93,4,FALSE))</f>
        <v>String(60)</v>
      </c>
    </row>
    <row r="216" spans="1:8" x14ac:dyDescent="0.2">
      <c r="A216" s="1" t="s">
        <v>234</v>
      </c>
      <c r="B216" s="2" t="s">
        <v>329</v>
      </c>
      <c r="C216" s="2" t="s">
        <v>241</v>
      </c>
      <c r="D216" s="17"/>
      <c r="E216" s="17"/>
      <c r="F216" s="17"/>
      <c r="G216" s="60"/>
      <c r="H216" s="4" t="str">
        <f>IF(F216="","",VLOOKUP(F216,'IL to HORIZON'!$C$9:$F$93,4,FALSE))</f>
        <v/>
      </c>
    </row>
    <row r="217" spans="1:8" x14ac:dyDescent="0.2">
      <c r="A217" s="1" t="s">
        <v>234</v>
      </c>
      <c r="B217" s="2" t="s">
        <v>417</v>
      </c>
      <c r="C217" s="2" t="s">
        <v>418</v>
      </c>
      <c r="D217" s="17"/>
      <c r="E217" s="17"/>
      <c r="F217" s="17"/>
      <c r="G217" s="60"/>
      <c r="H217" s="4" t="str">
        <f>IF(F217="","",VLOOKUP(F217,'IL to HORIZON'!$C$9:$F$93,4,FALSE))</f>
        <v/>
      </c>
    </row>
    <row r="218" spans="1:8" x14ac:dyDescent="0.2">
      <c r="A218" s="1" t="s">
        <v>234</v>
      </c>
      <c r="B218" s="2" t="s">
        <v>419</v>
      </c>
      <c r="C218" s="51" t="s">
        <v>223</v>
      </c>
      <c r="D218" s="17"/>
      <c r="E218" s="17"/>
      <c r="F218" s="54" t="s">
        <v>207</v>
      </c>
      <c r="G218" s="60"/>
      <c r="H218" s="4" t="str">
        <f>IF(F218="","",VLOOKUP(F218,'IL to HORIZON'!$C$9:$F$93,4,FALSE))</f>
        <v>String(8)</v>
      </c>
    </row>
    <row r="219" spans="1:8" x14ac:dyDescent="0.2">
      <c r="A219" s="1" t="s">
        <v>234</v>
      </c>
      <c r="B219" s="2" t="s">
        <v>420</v>
      </c>
      <c r="C219" s="2" t="s">
        <v>225</v>
      </c>
      <c r="D219" s="17"/>
      <c r="E219" s="17"/>
      <c r="F219" s="17"/>
      <c r="G219" s="60"/>
      <c r="H219" s="4" t="str">
        <f>IF(F219="","",VLOOKUP(F219,'IL to HORIZON'!$C$9:$F$93,4,FALSE))</f>
        <v/>
      </c>
    </row>
    <row r="220" spans="1:8" x14ac:dyDescent="0.2">
      <c r="A220" s="1" t="s">
        <v>234</v>
      </c>
      <c r="B220" s="2" t="s">
        <v>421</v>
      </c>
      <c r="C220" s="2" t="s">
        <v>223</v>
      </c>
      <c r="D220" s="17"/>
      <c r="E220" s="17"/>
      <c r="F220" s="17"/>
      <c r="G220" s="60"/>
      <c r="H220" s="4" t="str">
        <f>IF(F220="","",VLOOKUP(F220,'IL to HORIZON'!$C$9:$F$93,4,FALSE))</f>
        <v/>
      </c>
    </row>
    <row r="221" spans="1:8" x14ac:dyDescent="0.2">
      <c r="A221" s="1" t="s">
        <v>234</v>
      </c>
      <c r="B221" s="2" t="s">
        <v>422</v>
      </c>
      <c r="C221" s="2" t="s">
        <v>233</v>
      </c>
      <c r="D221" s="17"/>
      <c r="E221" s="17"/>
      <c r="F221" s="17"/>
      <c r="G221" s="60"/>
      <c r="H221" s="4" t="str">
        <f>IF(F221="","",VLOOKUP(F221,'IL to HORIZON'!$C$9:$F$93,4,FALSE))</f>
        <v/>
      </c>
    </row>
    <row r="222" spans="1:8" x14ac:dyDescent="0.2">
      <c r="A222" s="1" t="s">
        <v>234</v>
      </c>
      <c r="B222" s="2" t="s">
        <v>423</v>
      </c>
      <c r="C222" s="2" t="s">
        <v>233</v>
      </c>
      <c r="D222" s="17"/>
      <c r="E222" s="17"/>
      <c r="F222" s="17"/>
      <c r="G222" s="60"/>
      <c r="H222" s="4" t="str">
        <f>IF(F222="","",VLOOKUP(F222,'IL to HORIZON'!$C$9:$F$93,4,FALSE))</f>
        <v/>
      </c>
    </row>
    <row r="223" spans="1:8" x14ac:dyDescent="0.2">
      <c r="A223" s="1" t="s">
        <v>234</v>
      </c>
      <c r="B223" s="2" t="s">
        <v>424</v>
      </c>
      <c r="C223" s="2" t="s">
        <v>233</v>
      </c>
      <c r="D223" s="17"/>
      <c r="E223" s="17"/>
      <c r="F223" s="17"/>
      <c r="G223" s="60"/>
      <c r="H223" s="4" t="str">
        <f>IF(F223="","",VLOOKUP(F223,'IL to HORIZON'!$C$9:$F$93,4,FALSE))</f>
        <v/>
      </c>
    </row>
    <row r="224" spans="1:8" x14ac:dyDescent="0.2">
      <c r="A224" s="1" t="s">
        <v>234</v>
      </c>
      <c r="B224" s="2" t="s">
        <v>425</v>
      </c>
      <c r="C224" s="2" t="s">
        <v>233</v>
      </c>
      <c r="D224" s="17"/>
      <c r="E224" s="17"/>
      <c r="F224" s="17"/>
      <c r="G224" s="60"/>
      <c r="H224" s="4" t="str">
        <f>IF(F224="","",VLOOKUP(F224,'IL to HORIZON'!$C$9:$F$93,4,FALSE))</f>
        <v/>
      </c>
    </row>
    <row r="225" spans="1:9" s="15" customFormat="1" x14ac:dyDescent="0.2">
      <c r="A225" s="1" t="s">
        <v>234</v>
      </c>
      <c r="B225" s="2" t="s">
        <v>426</v>
      </c>
      <c r="C225" s="2" t="s">
        <v>233</v>
      </c>
      <c r="D225" s="17"/>
      <c r="E225" s="17"/>
      <c r="F225" s="17"/>
      <c r="G225" s="60"/>
      <c r="H225" s="4" t="str">
        <f>IF(F225="","",VLOOKUP(F225,'IL to HORIZON'!$C$9:$F$93,4,FALSE))</f>
        <v/>
      </c>
    </row>
    <row r="226" spans="1:9" x14ac:dyDescent="0.2">
      <c r="A226" s="1" t="s">
        <v>234</v>
      </c>
      <c r="B226" s="2" t="s">
        <v>427</v>
      </c>
      <c r="C226" s="2" t="s">
        <v>233</v>
      </c>
      <c r="D226" s="17"/>
      <c r="E226" s="17"/>
      <c r="F226" s="17"/>
      <c r="G226" s="60"/>
      <c r="H226" s="4" t="str">
        <f>IF(F226="","",VLOOKUP(F226,'IL to HORIZON'!$C$9:$F$93,4,FALSE))</f>
        <v/>
      </c>
    </row>
    <row r="227" spans="1:9" x14ac:dyDescent="0.2">
      <c r="A227" s="1" t="s">
        <v>234</v>
      </c>
      <c r="B227" s="2" t="s">
        <v>428</v>
      </c>
      <c r="C227" s="2" t="s">
        <v>233</v>
      </c>
      <c r="D227" s="17"/>
      <c r="E227" s="17"/>
      <c r="F227" s="17"/>
      <c r="G227" s="60"/>
      <c r="H227" s="4" t="str">
        <f>IF(F227="","",VLOOKUP(F227,'IL to HORIZON'!$C$9:$F$93,4,FALSE))</f>
        <v/>
      </c>
    </row>
    <row r="228" spans="1:9" x14ac:dyDescent="0.2">
      <c r="A228" s="1" t="s">
        <v>234</v>
      </c>
      <c r="B228" s="2" t="s">
        <v>429</v>
      </c>
      <c r="C228" s="2" t="s">
        <v>233</v>
      </c>
      <c r="D228" s="17"/>
      <c r="E228" s="17"/>
      <c r="F228" s="17"/>
      <c r="G228" s="60"/>
      <c r="H228" s="4" t="str">
        <f>IF(F228="","",VLOOKUP(F228,'IL to HORIZON'!$C$9:$F$93,4,FALSE))</f>
        <v/>
      </c>
    </row>
    <row r="229" spans="1:9" x14ac:dyDescent="0.2">
      <c r="A229" s="1" t="s">
        <v>234</v>
      </c>
      <c r="B229" s="2" t="s">
        <v>430</v>
      </c>
      <c r="C229" s="2" t="s">
        <v>241</v>
      </c>
      <c r="D229" s="17"/>
      <c r="E229" s="17"/>
      <c r="F229" s="17"/>
      <c r="G229" s="60"/>
      <c r="H229" s="4" t="str">
        <f>IF(F229="","",VLOOKUP(F229,'IL to HORIZON'!$C$9:$F$93,4,FALSE))</f>
        <v/>
      </c>
    </row>
    <row r="230" spans="1:9" x14ac:dyDescent="0.2">
      <c r="A230" s="1" t="s">
        <v>234</v>
      </c>
      <c r="B230" s="2" t="s">
        <v>431</v>
      </c>
      <c r="C230" s="2" t="s">
        <v>270</v>
      </c>
      <c r="D230" s="17"/>
      <c r="E230" s="17"/>
      <c r="F230" s="17"/>
      <c r="G230" s="60"/>
      <c r="H230" s="4" t="str">
        <f>IF(F230="","",VLOOKUP(F230,'IL to HORIZON'!$C$9:$F$93,4,FALSE))</f>
        <v/>
      </c>
    </row>
    <row r="231" spans="1:9" x14ac:dyDescent="0.2">
      <c r="A231" s="1" t="s">
        <v>234</v>
      </c>
      <c r="B231" s="2" t="s">
        <v>432</v>
      </c>
      <c r="C231" s="2" t="s">
        <v>223</v>
      </c>
      <c r="D231" s="17"/>
      <c r="E231" s="17"/>
      <c r="F231" s="17"/>
      <c r="G231" s="60"/>
      <c r="H231" s="4" t="str">
        <f>IF(F231="","",VLOOKUP(F231,'IL to HORIZON'!$C$9:$F$93,4,FALSE))</f>
        <v/>
      </c>
    </row>
    <row r="232" spans="1:9" x14ac:dyDescent="0.2">
      <c r="A232" s="1" t="s">
        <v>234</v>
      </c>
      <c r="B232" s="2" t="s">
        <v>433</v>
      </c>
      <c r="C232" s="2" t="s">
        <v>434</v>
      </c>
      <c r="D232" s="17"/>
      <c r="E232" s="17"/>
      <c r="F232" s="17"/>
      <c r="G232" s="60"/>
      <c r="H232" s="4" t="str">
        <f>IF(F232="","",VLOOKUP(F232,'IL to HORIZON'!$C$9:$F$93,4,FALSE))</f>
        <v/>
      </c>
    </row>
    <row r="233" spans="1:9" x14ac:dyDescent="0.2">
      <c r="A233" s="1" t="s">
        <v>234</v>
      </c>
      <c r="B233" s="2" t="s">
        <v>435</v>
      </c>
      <c r="C233" s="2" t="s">
        <v>241</v>
      </c>
      <c r="D233" s="17"/>
      <c r="E233" s="17"/>
      <c r="F233" s="17"/>
      <c r="G233" s="60"/>
      <c r="H233" s="4" t="str">
        <f>IF(F233="","",VLOOKUP(F233,'IL to HORIZON'!$C$9:$F$93,4,FALSE))</f>
        <v/>
      </c>
    </row>
    <row r="234" spans="1:9" x14ac:dyDescent="0.2">
      <c r="A234" s="1" t="s">
        <v>234</v>
      </c>
      <c r="B234" s="2" t="s">
        <v>436</v>
      </c>
      <c r="C234" s="2" t="s">
        <v>437</v>
      </c>
      <c r="D234" s="17"/>
      <c r="E234" s="17"/>
      <c r="F234" s="17"/>
      <c r="G234" s="60"/>
      <c r="H234" s="4" t="str">
        <f>IF(F234="","",VLOOKUP(F234,'IL to HORIZON'!$C$9:$F$93,4,FALSE))</f>
        <v/>
      </c>
    </row>
    <row r="235" spans="1:9" x14ac:dyDescent="0.2">
      <c r="A235" s="1" t="s">
        <v>234</v>
      </c>
      <c r="B235" s="2" t="s">
        <v>438</v>
      </c>
      <c r="C235" s="2" t="s">
        <v>439</v>
      </c>
      <c r="D235" s="17"/>
      <c r="E235" s="17"/>
      <c r="F235" s="17"/>
      <c r="G235" s="60"/>
      <c r="H235" s="4" t="str">
        <f>IF(F235="","",VLOOKUP(F235,'IL to HORIZON'!$C$9:$F$93,4,FALSE))</f>
        <v/>
      </c>
    </row>
    <row r="236" spans="1:9" s="13" customFormat="1" ht="15" x14ac:dyDescent="0.25">
      <c r="A236" s="1" t="s">
        <v>234</v>
      </c>
      <c r="B236" s="2" t="s">
        <v>440</v>
      </c>
      <c r="C236" s="2" t="s">
        <v>324</v>
      </c>
      <c r="D236" s="17"/>
      <c r="E236" s="17"/>
      <c r="F236" s="17"/>
      <c r="G236" s="60"/>
      <c r="H236" s="4" t="str">
        <f>IF(F236="","",VLOOKUP(F236,'IL to HORIZON'!$C$9:$F$93,4,FALSE))</f>
        <v/>
      </c>
    </row>
    <row r="237" spans="1:9" s="13" customFormat="1" ht="15" x14ac:dyDescent="0.25">
      <c r="A237" s="1" t="s">
        <v>234</v>
      </c>
      <c r="B237" s="2" t="s">
        <v>441</v>
      </c>
      <c r="C237" s="2" t="s">
        <v>272</v>
      </c>
      <c r="D237" s="17" t="s">
        <v>442</v>
      </c>
      <c r="E237" s="17"/>
      <c r="F237" s="54" t="s">
        <v>205</v>
      </c>
      <c r="G237" s="60"/>
      <c r="H237" s="4" t="str">
        <f>IF(F237="","",VLOOKUP(F237,'IL to HORIZON'!$C$9:$F$93,4,FALSE))</f>
        <v>String(3)</v>
      </c>
    </row>
    <row r="238" spans="1:9" s="13" customFormat="1" ht="15" x14ac:dyDescent="0.25">
      <c r="A238" s="17"/>
      <c r="B238" s="17"/>
      <c r="C238" s="17"/>
      <c r="D238" s="17" t="s">
        <v>443</v>
      </c>
      <c r="E238" s="17"/>
      <c r="F238" s="17"/>
      <c r="G238" s="60"/>
      <c r="H238" s="4" t="str">
        <f>IF(F238="","",VLOOKUP(F238,'IL to HORIZON'!$C$9:$F$93,4,FALSE))</f>
        <v/>
      </c>
    </row>
    <row r="239" spans="1:9" s="13" customFormat="1" ht="15" x14ac:dyDescent="0.25">
      <c r="A239" s="17"/>
      <c r="B239" s="17" t="s">
        <v>444</v>
      </c>
      <c r="C239" s="17"/>
      <c r="D239" s="17" t="s">
        <v>445</v>
      </c>
      <c r="E239" s="17"/>
      <c r="F239" s="53" t="s">
        <v>134</v>
      </c>
      <c r="G239" s="60"/>
      <c r="H239" s="4" t="str">
        <f>IF(F239="","",VLOOKUP(F239,'IL to HORIZON'!$C$9:$F$93,4,FALSE))</f>
        <v>String(30)</v>
      </c>
    </row>
    <row r="240" spans="1:9" s="13" customFormat="1" ht="15" x14ac:dyDescent="0.25">
      <c r="A240" s="17"/>
      <c r="B240" s="17" t="s">
        <v>446</v>
      </c>
      <c r="C240" s="17"/>
      <c r="D240" s="17" t="s">
        <v>445</v>
      </c>
      <c r="E240" s="17"/>
      <c r="F240" s="17" t="s">
        <v>447</v>
      </c>
      <c r="G240" s="62"/>
      <c r="H240" s="4" t="e">
        <f>IF(F240="","",VLOOKUP(F240,'IL to HORIZON'!$C$9:$F$93,4,FALSE))</f>
        <v>#N/A</v>
      </c>
      <c r="I240" s="74" t="s">
        <v>394</v>
      </c>
    </row>
    <row r="241" spans="1:8" s="13" customFormat="1" ht="15" x14ac:dyDescent="0.25">
      <c r="A241" s="1" t="s">
        <v>221</v>
      </c>
      <c r="B241" s="5" t="s">
        <v>222</v>
      </c>
      <c r="C241" s="17"/>
      <c r="D241" s="17" t="s">
        <v>448</v>
      </c>
      <c r="E241" s="17"/>
      <c r="F241" s="54" t="s">
        <v>15</v>
      </c>
      <c r="G241" s="60"/>
      <c r="H241" s="4" t="str">
        <f>IF(F241="","",VLOOKUP(F241,'IL to HORIZON'!$C$9:$F$93,4,FALSE))</f>
        <v>String(8)</v>
      </c>
    </row>
    <row r="242" spans="1:8" x14ac:dyDescent="0.2">
      <c r="A242" s="17"/>
      <c r="B242" s="17"/>
      <c r="C242" s="17"/>
      <c r="D242" s="17"/>
      <c r="E242" s="17"/>
      <c r="F242" s="17"/>
      <c r="G242" s="60"/>
      <c r="H242" s="4" t="str">
        <f>IF(F242="","",VLOOKUP(F242,'IL to HORIZON'!$C$9:$F$93,4,FALSE))</f>
        <v/>
      </c>
    </row>
    <row r="243" spans="1:8" x14ac:dyDescent="0.2">
      <c r="A243" s="17"/>
      <c r="B243" s="17"/>
      <c r="C243" s="17"/>
      <c r="D243" s="17"/>
      <c r="E243" s="17"/>
      <c r="F243" s="17"/>
      <c r="G243" s="60"/>
      <c r="H243" s="4" t="str">
        <f>IF(F243="","",VLOOKUP(F243,'IL to HORIZON'!$C$9:$F$93,4,FALSE))</f>
        <v/>
      </c>
    </row>
    <row r="244" spans="1:8" s="13" customFormat="1" ht="15" x14ac:dyDescent="0.25">
      <c r="A244" s="17"/>
      <c r="B244" s="17"/>
      <c r="C244" s="17"/>
      <c r="D244" s="17"/>
      <c r="E244" s="17"/>
      <c r="F244" s="17"/>
      <c r="G244" s="60"/>
      <c r="H244" s="4" t="str">
        <f>IF(F244="","",VLOOKUP(F244,'IL to HORIZON'!$C$9:$F$93,4,FALSE))</f>
        <v/>
      </c>
    </row>
    <row r="245" spans="1:8" s="13" customFormat="1" ht="15" x14ac:dyDescent="0.25">
      <c r="A245" s="17"/>
      <c r="B245" s="17"/>
      <c r="C245" s="17"/>
      <c r="D245" s="17"/>
      <c r="E245" s="17"/>
      <c r="F245" s="17"/>
      <c r="G245" s="60"/>
      <c r="H245" s="4" t="str">
        <f>IF(F245="","",VLOOKUP(F245,'IL to HORIZON'!$C$9:$F$93,4,FALSE))</f>
        <v/>
      </c>
    </row>
    <row r="246" spans="1:8" s="13" customFormat="1" ht="15" x14ac:dyDescent="0.25">
      <c r="A246" s="17"/>
      <c r="B246" s="17"/>
      <c r="C246" s="17"/>
      <c r="D246" s="17"/>
      <c r="E246" s="17"/>
      <c r="F246" s="17"/>
      <c r="G246" s="60"/>
      <c r="H246" s="4" t="str">
        <f>IF(F246="","",VLOOKUP(F246,'IL to HORIZON'!$C$9:$F$93,4,FALSE))</f>
        <v/>
      </c>
    </row>
    <row r="247" spans="1:8" s="13" customFormat="1" ht="15" x14ac:dyDescent="0.25">
      <c r="A247" s="17"/>
      <c r="B247" s="17"/>
      <c r="C247" s="17"/>
      <c r="D247" s="17"/>
      <c r="E247" s="17"/>
      <c r="F247" s="17"/>
      <c r="G247" s="60"/>
      <c r="H247" s="4" t="str">
        <f>IF(F247="","",VLOOKUP(F247,'IL to HORIZON'!$C$9:$F$93,4,FALSE))</f>
        <v/>
      </c>
    </row>
    <row r="248" spans="1:8" s="13" customFormat="1" ht="15" x14ac:dyDescent="0.25">
      <c r="A248" s="17"/>
      <c r="B248" s="17"/>
      <c r="C248" s="17"/>
      <c r="D248" s="17"/>
      <c r="E248" s="17"/>
      <c r="F248" s="17"/>
      <c r="G248" s="60"/>
      <c r="H248" s="4" t="str">
        <f>IF(F248="","",VLOOKUP(F248,'IL to HORIZON'!$C$9:$F$93,4,FALSE))</f>
        <v/>
      </c>
    </row>
    <row r="249" spans="1:8" s="13" customFormat="1" ht="15" x14ac:dyDescent="0.25">
      <c r="A249" s="17"/>
      <c r="B249" s="17"/>
      <c r="C249" s="17"/>
      <c r="D249" s="17"/>
      <c r="E249" s="17"/>
      <c r="F249" s="17"/>
      <c r="G249" s="60"/>
      <c r="H249" s="4" t="str">
        <f>IF(F249="","",VLOOKUP(F249,'IL to HORIZON'!$C$9:$F$93,4,FALSE))</f>
        <v/>
      </c>
    </row>
    <row r="250" spans="1:8" s="13" customFormat="1" ht="15" x14ac:dyDescent="0.25">
      <c r="A250" s="17"/>
      <c r="B250" s="17"/>
      <c r="C250" s="17"/>
      <c r="D250" s="17"/>
      <c r="E250" s="17"/>
      <c r="F250" s="17"/>
      <c r="G250" s="60"/>
      <c r="H250" s="4" t="str">
        <f>IF(F250="","",VLOOKUP(F250,'IL to HORIZON'!$C$9:$F$93,4,FALSE))</f>
        <v/>
      </c>
    </row>
    <row r="251" spans="1:8" s="13" customFormat="1" ht="15" x14ac:dyDescent="0.25">
      <c r="A251" s="17"/>
      <c r="B251" s="17"/>
      <c r="C251" s="17"/>
      <c r="D251" s="17"/>
      <c r="E251" s="17"/>
      <c r="F251" s="17"/>
      <c r="G251" s="60"/>
      <c r="H251" s="4" t="str">
        <f>IF(F251="","",VLOOKUP(F251,'IL to HORIZON'!$C$9:$F$93,4,FALSE))</f>
        <v/>
      </c>
    </row>
    <row r="252" spans="1:8" s="13" customFormat="1" ht="15" x14ac:dyDescent="0.25">
      <c r="A252" s="17"/>
      <c r="B252" s="17"/>
      <c r="C252" s="17"/>
      <c r="D252" s="17"/>
      <c r="E252" s="17"/>
      <c r="F252" s="17"/>
      <c r="G252" s="60"/>
      <c r="H252" s="4" t="str">
        <f>IF(F252="","",VLOOKUP(F252,'IL to HORIZON'!$C$9:$F$93,4,FALSE))</f>
        <v/>
      </c>
    </row>
    <row r="253" spans="1:8" s="13" customFormat="1" ht="15" x14ac:dyDescent="0.25">
      <c r="A253" s="17"/>
      <c r="B253" s="17"/>
      <c r="C253" s="17"/>
      <c r="D253" s="17"/>
      <c r="E253" s="17"/>
      <c r="F253" s="17"/>
      <c r="G253" s="60"/>
      <c r="H253" s="4" t="str">
        <f>IF(F253="","",VLOOKUP(F253,'IL to HORIZON'!$C$9:$F$93,4,FALSE))</f>
        <v/>
      </c>
    </row>
    <row r="254" spans="1:8" s="13" customFormat="1" ht="15" x14ac:dyDescent="0.25">
      <c r="A254" s="17"/>
      <c r="B254" s="17"/>
      <c r="C254" s="17"/>
      <c r="D254" s="17"/>
      <c r="E254" s="17"/>
      <c r="F254" s="17"/>
      <c r="G254" s="60"/>
      <c r="H254" s="4" t="str">
        <f>IF(F254="","",VLOOKUP(F254,'IL to HORIZON'!$C$9:$F$93,4,FALSE))</f>
        <v/>
      </c>
    </row>
    <row r="255" spans="1:8" s="13" customFormat="1" ht="15" x14ac:dyDescent="0.25">
      <c r="A255" s="17"/>
      <c r="B255" s="17"/>
      <c r="C255" s="17"/>
      <c r="D255" s="17"/>
      <c r="E255" s="17"/>
      <c r="F255" s="17"/>
      <c r="G255" s="60"/>
      <c r="H255" s="4" t="str">
        <f>IF(F255="","",VLOOKUP(F255,'IL to HORIZON'!$C$9:$F$93,4,FALSE))</f>
        <v/>
      </c>
    </row>
    <row r="256" spans="1:8" s="13" customFormat="1" ht="15" x14ac:dyDescent="0.25">
      <c r="A256" s="17"/>
      <c r="B256" s="17"/>
      <c r="C256" s="17"/>
      <c r="D256" s="17"/>
      <c r="E256" s="17"/>
      <c r="F256" s="17"/>
      <c r="G256" s="60"/>
      <c r="H256" s="4" t="str">
        <f>IF(F256="","",VLOOKUP(F256,'IL to HORIZON'!$C$9:$F$93,4,FALSE))</f>
        <v/>
      </c>
    </row>
    <row r="257" spans="1:8" s="13" customFormat="1" ht="15" x14ac:dyDescent="0.25">
      <c r="A257" s="17"/>
      <c r="B257" s="17"/>
      <c r="C257" s="17"/>
      <c r="D257" s="17"/>
      <c r="E257" s="17"/>
      <c r="F257" s="17"/>
      <c r="G257" s="60"/>
      <c r="H257" s="4" t="str">
        <f>IF(F257="","",VLOOKUP(F257,'IL to HORIZON'!$C$9:$F$93,4,FALSE))</f>
        <v/>
      </c>
    </row>
    <row r="258" spans="1:8" s="13" customFormat="1" ht="15" x14ac:dyDescent="0.25">
      <c r="A258" s="17"/>
      <c r="B258" s="17"/>
      <c r="C258" s="17"/>
      <c r="D258" s="17"/>
      <c r="E258" s="17"/>
      <c r="F258" s="17"/>
      <c r="G258" s="60"/>
      <c r="H258" s="4" t="str">
        <f>IF(F258="","",VLOOKUP(F258,'IL to HORIZON'!$C$9:$F$93,4,FALSE))</f>
        <v/>
      </c>
    </row>
    <row r="259" spans="1:8" s="13" customFormat="1" ht="15" x14ac:dyDescent="0.25">
      <c r="A259" s="17"/>
      <c r="B259" s="17"/>
      <c r="C259" s="17"/>
      <c r="D259" s="17"/>
      <c r="E259" s="17"/>
      <c r="F259" s="17"/>
      <c r="G259" s="60"/>
      <c r="H259" s="4" t="str">
        <f>IF(F259="","",VLOOKUP(F259,'IL to HORIZON'!$C$9:$F$93,4,FALSE))</f>
        <v/>
      </c>
    </row>
    <row r="260" spans="1:8" s="13" customFormat="1" ht="15" x14ac:dyDescent="0.25">
      <c r="A260" s="17"/>
      <c r="B260" s="17"/>
      <c r="C260" s="17"/>
      <c r="D260" s="17"/>
      <c r="E260" s="17"/>
      <c r="F260" s="17"/>
      <c r="G260" s="60"/>
      <c r="H260" s="4" t="str">
        <f>IF(F260="","",VLOOKUP(F260,'IL to HORIZON'!$C$9:$F$93,4,FALSE))</f>
        <v/>
      </c>
    </row>
    <row r="261" spans="1:8" x14ac:dyDescent="0.2">
      <c r="A261" s="17"/>
      <c r="B261" s="17"/>
      <c r="C261" s="17"/>
      <c r="D261" s="17"/>
      <c r="E261" s="17"/>
      <c r="F261" s="17"/>
      <c r="G261" s="60"/>
      <c r="H261" s="4" t="str">
        <f>IF(F261="","",VLOOKUP(F261,'IL to HORIZON'!$C$9:$F$93,4,FALSE))</f>
        <v/>
      </c>
    </row>
    <row r="262" spans="1:8" x14ac:dyDescent="0.2">
      <c r="A262" s="17"/>
      <c r="B262" s="17"/>
      <c r="C262" s="17"/>
      <c r="D262" s="17"/>
      <c r="E262" s="17"/>
      <c r="F262" s="17"/>
      <c r="G262" s="60"/>
      <c r="H262" s="4" t="str">
        <f>IF(F262="","",VLOOKUP(F262,'IL to HORIZON'!$C$9:$F$93,4,FALSE))</f>
        <v/>
      </c>
    </row>
    <row r="263" spans="1:8" x14ac:dyDescent="0.2">
      <c r="A263" s="17"/>
      <c r="B263" s="17"/>
      <c r="C263" s="17"/>
      <c r="D263" s="17"/>
      <c r="E263" s="17"/>
      <c r="F263" s="17"/>
      <c r="G263" s="60"/>
      <c r="H263" s="4" t="str">
        <f>IF(F263="","",VLOOKUP(F263,'IL to HORIZON'!$C$9:$F$93,4,FALSE))</f>
        <v/>
      </c>
    </row>
    <row r="264" spans="1:8" x14ac:dyDescent="0.2">
      <c r="A264" s="17"/>
      <c r="B264" s="17"/>
      <c r="C264" s="17"/>
      <c r="D264" s="17"/>
      <c r="E264" s="17"/>
      <c r="F264" s="17"/>
      <c r="G264" s="60"/>
      <c r="H264" s="4" t="str">
        <f>IF(F264="","",VLOOKUP(F264,'IL to HORIZON'!$C$9:$F$93,4,FALSE))</f>
        <v/>
      </c>
    </row>
    <row r="265" spans="1:8" x14ac:dyDescent="0.2">
      <c r="A265" s="17"/>
      <c r="B265" s="17"/>
      <c r="C265" s="17"/>
      <c r="D265" s="17"/>
      <c r="E265" s="17"/>
      <c r="F265" s="17"/>
      <c r="G265" s="60"/>
      <c r="H265" s="4" t="str">
        <f>IF(F265="","",VLOOKUP(F265,'IL to HORIZON'!$C$9:$F$93,4,FALSE))</f>
        <v/>
      </c>
    </row>
    <row r="266" spans="1:8" x14ac:dyDescent="0.2">
      <c r="A266" s="17"/>
      <c r="B266" s="17"/>
      <c r="C266" s="17"/>
      <c r="D266" s="17"/>
      <c r="E266" s="17"/>
      <c r="F266" s="17"/>
      <c r="G266" s="60"/>
      <c r="H266" s="4" t="str">
        <f>IF(F266="","",VLOOKUP(F266,'IL to HORIZON'!$C$9:$F$93,4,FALSE))</f>
        <v/>
      </c>
    </row>
    <row r="267" spans="1:8" x14ac:dyDescent="0.2">
      <c r="A267" s="17"/>
      <c r="B267" s="17"/>
      <c r="C267" s="17"/>
      <c r="D267" s="17"/>
      <c r="E267" s="17"/>
      <c r="F267" s="17"/>
      <c r="G267" s="60"/>
      <c r="H267" s="4" t="str">
        <f>IF(F267="","",VLOOKUP(F267,'IL to HORIZON'!$C$9:$F$93,4,FALSE))</f>
        <v/>
      </c>
    </row>
    <row r="268" spans="1:8" x14ac:dyDescent="0.2">
      <c r="A268" s="17"/>
      <c r="B268" s="17"/>
      <c r="C268" s="17"/>
      <c r="D268" s="17"/>
      <c r="E268" s="17"/>
      <c r="F268" s="17"/>
      <c r="G268" s="60"/>
      <c r="H268" s="4" t="str">
        <f>IF(F268="","",VLOOKUP(F268,'IL to HORIZON'!$C$9:$F$93,4,FALSE))</f>
        <v/>
      </c>
    </row>
    <row r="269" spans="1:8" x14ac:dyDescent="0.2">
      <c r="A269" s="17"/>
      <c r="B269" s="17"/>
      <c r="C269" s="17"/>
      <c r="D269" s="17"/>
      <c r="E269" s="17"/>
      <c r="F269" s="17"/>
      <c r="G269" s="60"/>
      <c r="H269" s="4" t="str">
        <f>IF(F269="","",VLOOKUP(F269,'IL to HORIZON'!$C$9:$F$93,4,FALSE))</f>
        <v/>
      </c>
    </row>
    <row r="270" spans="1:8" x14ac:dyDescent="0.2">
      <c r="A270" s="17"/>
      <c r="B270" s="17"/>
      <c r="C270" s="17"/>
      <c r="D270" s="17"/>
      <c r="E270" s="17"/>
      <c r="F270" s="17"/>
      <c r="G270" s="60"/>
      <c r="H270" s="4" t="str">
        <f>IF(F270="","",VLOOKUP(F270,'IL to HORIZON'!$C$9:$F$93,4,FALSE))</f>
        <v/>
      </c>
    </row>
    <row r="271" spans="1:8" x14ac:dyDescent="0.2">
      <c r="A271" s="17"/>
      <c r="B271" s="17"/>
      <c r="C271" s="17"/>
      <c r="D271" s="17"/>
      <c r="E271" s="17"/>
      <c r="F271" s="17"/>
      <c r="G271" s="60"/>
      <c r="H271" s="4" t="str">
        <f>IF(F271="","",VLOOKUP(F271,'IL to HORIZON'!$C$9:$F$93,4,FALSE))</f>
        <v/>
      </c>
    </row>
    <row r="272" spans="1:8" x14ac:dyDescent="0.2">
      <c r="A272" s="17"/>
      <c r="B272" s="17"/>
      <c r="C272" s="17"/>
      <c r="D272" s="17"/>
      <c r="E272" s="17"/>
      <c r="F272" s="17"/>
      <c r="G272" s="60"/>
      <c r="H272" s="4" t="str">
        <f>IF(F272="","",VLOOKUP(F272,'IL to HORIZON'!$C$9:$F$93,4,FALSE))</f>
        <v/>
      </c>
    </row>
    <row r="273" spans="1:8" x14ac:dyDescent="0.2">
      <c r="A273" s="17"/>
      <c r="B273" s="17"/>
      <c r="C273" s="17"/>
      <c r="D273" s="17"/>
      <c r="E273" s="17"/>
      <c r="F273" s="17"/>
      <c r="G273" s="60"/>
      <c r="H273" s="4" t="str">
        <f>IF(F273="","",VLOOKUP(F273,'IL to HORIZON'!$C$9:$F$93,4,FALSE))</f>
        <v/>
      </c>
    </row>
    <row r="274" spans="1:8" x14ac:dyDescent="0.2">
      <c r="A274" s="17"/>
      <c r="B274" s="17"/>
      <c r="C274" s="17"/>
      <c r="D274" s="17"/>
      <c r="E274" s="17"/>
      <c r="F274" s="17"/>
      <c r="G274" s="60"/>
      <c r="H274" s="4" t="str">
        <f>IF(F274="","",VLOOKUP(F274,'IL to HORIZON'!$C$9:$F$93,4,FALSE))</f>
        <v/>
      </c>
    </row>
    <row r="275" spans="1:8" x14ac:dyDescent="0.2">
      <c r="A275" s="17"/>
      <c r="B275" s="17"/>
      <c r="C275" s="17"/>
      <c r="D275" s="17"/>
      <c r="E275" s="17"/>
      <c r="F275" s="17"/>
      <c r="G275" s="60"/>
      <c r="H275" s="4" t="str">
        <f>IF(F275="","",VLOOKUP(F275,'IL to HORIZON'!$C$9:$F$93,4,FALSE))</f>
        <v/>
      </c>
    </row>
    <row r="276" spans="1:8" x14ac:dyDescent="0.2">
      <c r="A276" s="17"/>
      <c r="B276" s="17"/>
      <c r="C276" s="17"/>
      <c r="D276" s="17"/>
      <c r="E276" s="17"/>
      <c r="F276" s="17"/>
      <c r="G276" s="60"/>
      <c r="H276" s="4" t="str">
        <f>IF(F276="","",VLOOKUP(F276,'IL to HORIZON'!$C$9:$F$93,4,FALSE))</f>
        <v/>
      </c>
    </row>
    <row r="277" spans="1:8" x14ac:dyDescent="0.2">
      <c r="A277" s="17"/>
      <c r="B277" s="17"/>
      <c r="C277" s="17"/>
      <c r="D277" s="17"/>
      <c r="E277" s="17"/>
      <c r="F277" s="17"/>
      <c r="G277" s="60"/>
      <c r="H277" s="4" t="str">
        <f>IF(F277="","",VLOOKUP(F277,'IL to HORIZON'!$C$9:$F$93,4,FALSE))</f>
        <v/>
      </c>
    </row>
    <row r="278" spans="1:8" x14ac:dyDescent="0.2">
      <c r="A278" s="17"/>
      <c r="B278" s="17"/>
      <c r="C278" s="17"/>
      <c r="D278" s="17"/>
      <c r="E278" s="17"/>
      <c r="F278" s="17"/>
      <c r="G278" s="60"/>
      <c r="H278" s="4" t="str">
        <f>IF(F278="","",VLOOKUP(F278,'IL to HORIZON'!$C$9:$F$93,4,FALSE))</f>
        <v/>
      </c>
    </row>
    <row r="279" spans="1:8" x14ac:dyDescent="0.2">
      <c r="A279" s="17"/>
      <c r="B279" s="17"/>
      <c r="C279" s="17"/>
      <c r="D279" s="17"/>
      <c r="E279" s="17"/>
      <c r="F279" s="17"/>
      <c r="G279" s="60"/>
      <c r="H279" s="4" t="str">
        <f>IF(F279="","",VLOOKUP(F279,'IL to HORIZON'!$C$9:$F$93,4,FALSE))</f>
        <v/>
      </c>
    </row>
    <row r="280" spans="1:8" x14ac:dyDescent="0.2">
      <c r="A280" s="17"/>
      <c r="B280" s="17"/>
      <c r="C280" s="17"/>
      <c r="D280" s="17"/>
      <c r="E280" s="17"/>
      <c r="F280" s="17"/>
      <c r="G280" s="60"/>
      <c r="H280" s="4" t="str">
        <f>IF(F280="","",VLOOKUP(F280,'IL to HORIZON'!$C$9:$F$93,4,FALSE))</f>
        <v/>
      </c>
    </row>
    <row r="281" spans="1:8" x14ac:dyDescent="0.2">
      <c r="A281" s="17"/>
      <c r="B281" s="17"/>
      <c r="C281" s="17"/>
      <c r="D281" s="17"/>
      <c r="E281" s="17"/>
      <c r="F281" s="17"/>
      <c r="G281" s="60"/>
      <c r="H281" s="4" t="str">
        <f>IF(F281="","",VLOOKUP(F281,'IL to HORIZON'!$C$9:$F$93,4,FALSE))</f>
        <v/>
      </c>
    </row>
    <row r="282" spans="1:8" x14ac:dyDescent="0.2">
      <c r="A282" s="17"/>
      <c r="B282" s="17"/>
      <c r="C282" s="17"/>
      <c r="D282" s="17"/>
      <c r="E282" s="17"/>
      <c r="F282" s="17"/>
      <c r="G282" s="60"/>
      <c r="H282" s="4" t="str">
        <f>IF(F282="","",VLOOKUP(F282,'IL to HORIZON'!$C$9:$F$93,4,FALSE))</f>
        <v/>
      </c>
    </row>
    <row r="283" spans="1:8" x14ac:dyDescent="0.2">
      <c r="A283" s="17"/>
      <c r="B283" s="17"/>
      <c r="C283" s="17"/>
      <c r="D283" s="17"/>
      <c r="E283" s="17"/>
      <c r="F283" s="17"/>
      <c r="G283" s="60"/>
      <c r="H283" s="4" t="str">
        <f>IF(F283="","",VLOOKUP(F283,'IL to HORIZON'!$C$9:$F$93,4,FALSE))</f>
        <v/>
      </c>
    </row>
    <row r="284" spans="1:8" x14ac:dyDescent="0.2">
      <c r="A284" s="17"/>
      <c r="B284" s="17"/>
      <c r="C284" s="17"/>
      <c r="D284" s="17"/>
      <c r="E284" s="17"/>
      <c r="F284" s="17"/>
      <c r="G284" s="60"/>
      <c r="H284" s="4" t="str">
        <f>IF(F284="","",VLOOKUP(F284,'IL to HORIZON'!$C$9:$F$93,4,FALSE))</f>
        <v/>
      </c>
    </row>
    <row r="285" spans="1:8" x14ac:dyDescent="0.2">
      <c r="A285" s="17"/>
      <c r="B285" s="17"/>
      <c r="C285" s="17"/>
      <c r="D285" s="17"/>
      <c r="E285" s="17"/>
      <c r="F285" s="17"/>
      <c r="G285" s="60"/>
      <c r="H285" s="4" t="str">
        <f>IF(F285="","",VLOOKUP(F285,'IL to HORIZON'!$C$9:$F$93,4,FALSE))</f>
        <v/>
      </c>
    </row>
    <row r="286" spans="1:8" x14ac:dyDescent="0.2">
      <c r="A286" s="17"/>
      <c r="B286" s="17"/>
      <c r="C286" s="17"/>
      <c r="D286" s="17"/>
      <c r="E286" s="17"/>
      <c r="F286" s="17"/>
      <c r="G286" s="60"/>
      <c r="H286" s="4" t="str">
        <f>IF(F286="","",VLOOKUP(F286,'IL to HORIZON'!$C$9:$F$93,4,FALSE))</f>
        <v/>
      </c>
    </row>
    <row r="287" spans="1:8" x14ac:dyDescent="0.2">
      <c r="A287" s="17"/>
      <c r="B287" s="17"/>
      <c r="C287" s="17"/>
      <c r="D287" s="17"/>
      <c r="E287" s="17"/>
      <c r="F287" s="17"/>
      <c r="G287" s="60"/>
      <c r="H287" s="4" t="str">
        <f>IF(F287="","",VLOOKUP(F287,'IL to HORIZON'!$C$9:$F$93,4,FALSE))</f>
        <v/>
      </c>
    </row>
    <row r="288" spans="1:8" x14ac:dyDescent="0.2">
      <c r="A288" s="17"/>
      <c r="B288" s="17"/>
      <c r="C288" s="17"/>
      <c r="D288" s="17"/>
      <c r="E288" s="17"/>
      <c r="F288" s="17"/>
      <c r="G288" s="60"/>
      <c r="H288" s="4" t="str">
        <f>IF(F288="","",VLOOKUP(F288,'IL to HORIZON'!$C$9:$F$93,4,FALSE))</f>
        <v/>
      </c>
    </row>
    <row r="289" spans="1:8" x14ac:dyDescent="0.2">
      <c r="A289" s="17"/>
      <c r="B289" s="17"/>
      <c r="C289" s="17"/>
      <c r="D289" s="17"/>
      <c r="E289" s="17"/>
      <c r="F289" s="17"/>
      <c r="G289" s="60"/>
      <c r="H289" s="4" t="str">
        <f>IF(F289="","",VLOOKUP(F289,'IL to HORIZON'!$C$9:$F$93,4,FALSE))</f>
        <v/>
      </c>
    </row>
    <row r="290" spans="1:8" x14ac:dyDescent="0.2">
      <c r="A290" s="17"/>
      <c r="B290" s="17"/>
      <c r="C290" s="17"/>
      <c r="D290" s="17"/>
      <c r="E290" s="17"/>
      <c r="F290" s="17"/>
      <c r="G290" s="60"/>
      <c r="H290" s="4" t="str">
        <f>IF(F290="","",VLOOKUP(F290,'IL to HORIZON'!$C$9:$F$93,4,FALSE))</f>
        <v/>
      </c>
    </row>
    <row r="291" spans="1:8" x14ac:dyDescent="0.2">
      <c r="A291" s="17"/>
      <c r="B291" s="17"/>
      <c r="C291" s="17"/>
      <c r="D291" s="17"/>
      <c r="E291" s="17"/>
      <c r="F291" s="17"/>
      <c r="G291" s="60"/>
      <c r="H291" s="4" t="str">
        <f>IF(F291="","",VLOOKUP(F291,'IL to HORIZON'!$C$9:$F$93,4,FALSE))</f>
        <v/>
      </c>
    </row>
    <row r="292" spans="1:8" x14ac:dyDescent="0.2">
      <c r="A292" s="17"/>
      <c r="B292" s="17"/>
      <c r="C292" s="17"/>
      <c r="D292" s="17"/>
      <c r="E292" s="17"/>
      <c r="F292" s="17"/>
      <c r="G292" s="60"/>
      <c r="H292" s="4" t="str">
        <f>IF(F292="","",VLOOKUP(F292,'IL to HORIZON'!$C$9:$F$93,4,FALSE))</f>
        <v/>
      </c>
    </row>
    <row r="293" spans="1:8" x14ac:dyDescent="0.2">
      <c r="A293" s="17"/>
      <c r="B293" s="17"/>
      <c r="C293" s="17"/>
      <c r="D293" s="17"/>
      <c r="E293" s="17"/>
      <c r="F293" s="17"/>
      <c r="G293" s="60"/>
      <c r="H293" s="4" t="str">
        <f>IF(F293="","",VLOOKUP(F293,'IL to HORIZON'!$C$9:$F$93,4,FALSE))</f>
        <v/>
      </c>
    </row>
    <row r="294" spans="1:8" x14ac:dyDescent="0.2">
      <c r="A294" s="17"/>
      <c r="B294" s="17"/>
      <c r="C294" s="17"/>
      <c r="D294" s="17"/>
      <c r="E294" s="17"/>
      <c r="F294" s="17"/>
      <c r="G294" s="60"/>
      <c r="H294" s="4" t="str">
        <f>IF(F294="","",VLOOKUP(F294,'IL to HORIZON'!$C$9:$F$93,4,FALSE))</f>
        <v/>
      </c>
    </row>
    <row r="295" spans="1:8" x14ac:dyDescent="0.2">
      <c r="A295" s="17"/>
      <c r="B295" s="17"/>
      <c r="C295" s="17"/>
      <c r="D295" s="17"/>
      <c r="E295" s="17"/>
      <c r="F295" s="17"/>
      <c r="G295" s="60"/>
      <c r="H295" s="4" t="str">
        <f>IF(F295="","",VLOOKUP(F295,'IL to HORIZON'!$C$9:$F$93,4,FALSE))</f>
        <v/>
      </c>
    </row>
    <row r="296" spans="1:8" x14ac:dyDescent="0.2">
      <c r="A296" s="17"/>
      <c r="B296" s="17"/>
      <c r="C296" s="17"/>
      <c r="D296" s="17"/>
      <c r="E296" s="17"/>
      <c r="F296" s="17"/>
      <c r="G296" s="60"/>
      <c r="H296" s="4" t="str">
        <f>IF(F296="","",VLOOKUP(F296,'IL to HORIZON'!$C$9:$F$93,4,FALSE))</f>
        <v/>
      </c>
    </row>
    <row r="297" spans="1:8" x14ac:dyDescent="0.2">
      <c r="A297" s="17"/>
      <c r="B297" s="17"/>
      <c r="C297" s="17"/>
      <c r="D297" s="17"/>
      <c r="E297" s="17"/>
      <c r="F297" s="17"/>
      <c r="G297" s="60"/>
      <c r="H297" s="4" t="str">
        <f>IF(F297="","",VLOOKUP(F297,'IL to HORIZON'!$C$9:$F$93,4,FALSE))</f>
        <v/>
      </c>
    </row>
    <row r="298" spans="1:8" x14ac:dyDescent="0.2">
      <c r="A298" s="17"/>
      <c r="B298" s="17"/>
      <c r="C298" s="17"/>
      <c r="D298" s="17"/>
      <c r="E298" s="17"/>
      <c r="F298" s="17"/>
      <c r="G298" s="60"/>
      <c r="H298" s="4" t="str">
        <f>IF(F298="","",VLOOKUP(F298,'IL to HORIZON'!$C$9:$F$93,4,FALSE))</f>
        <v/>
      </c>
    </row>
    <row r="299" spans="1:8" x14ac:dyDescent="0.2">
      <c r="A299" s="17"/>
      <c r="B299" s="17"/>
      <c r="C299" s="17"/>
      <c r="D299" s="17"/>
      <c r="E299" s="17"/>
      <c r="F299" s="17"/>
      <c r="G299" s="60"/>
      <c r="H299" s="4" t="str">
        <f>IF(F299="","",VLOOKUP(F299,'IL to HORIZON'!$C$9:$F$93,4,FALSE))</f>
        <v/>
      </c>
    </row>
    <row r="300" spans="1:8" x14ac:dyDescent="0.2">
      <c r="A300" s="17"/>
      <c r="B300" s="17"/>
      <c r="C300" s="17"/>
      <c r="D300" s="17"/>
      <c r="E300" s="17"/>
      <c r="F300" s="17"/>
      <c r="G300" s="60"/>
      <c r="H300" s="4" t="str">
        <f>IF(F300="","",VLOOKUP(F300,'IL to HORIZON'!$C$9:$F$93,4,FALSE))</f>
        <v/>
      </c>
    </row>
    <row r="301" spans="1:8" x14ac:dyDescent="0.2">
      <c r="A301" s="17"/>
      <c r="B301" s="17"/>
      <c r="C301" s="17"/>
      <c r="D301" s="17"/>
      <c r="E301" s="17"/>
      <c r="F301" s="17"/>
      <c r="G301" s="60"/>
      <c r="H301" s="4" t="str">
        <f>IF(F301="","",VLOOKUP(F301,'IL to HORIZON'!$C$9:$F$93,4,FALSE))</f>
        <v/>
      </c>
    </row>
    <row r="302" spans="1:8" x14ac:dyDescent="0.2">
      <c r="A302" s="17"/>
      <c r="B302" s="17"/>
      <c r="C302" s="17"/>
      <c r="D302" s="17"/>
      <c r="E302" s="17"/>
      <c r="F302" s="17"/>
      <c r="G302" s="60"/>
      <c r="H302" s="4" t="str">
        <f>IF(F302="","",VLOOKUP(F302,'IL to HORIZON'!$C$9:$F$93,4,FALSE))</f>
        <v/>
      </c>
    </row>
    <row r="303" spans="1:8" x14ac:dyDescent="0.2">
      <c r="A303" s="17"/>
      <c r="B303" s="17"/>
      <c r="C303" s="17"/>
      <c r="D303" s="17"/>
      <c r="E303" s="17"/>
      <c r="F303" s="17"/>
      <c r="G303" s="60"/>
      <c r="H303" s="4" t="str">
        <f>IF(F303="","",VLOOKUP(F303,'IL to HORIZON'!$C$9:$F$93,4,FALSE))</f>
        <v/>
      </c>
    </row>
    <row r="304" spans="1:8" x14ac:dyDescent="0.2">
      <c r="A304" s="17"/>
      <c r="B304" s="17"/>
      <c r="C304" s="17"/>
      <c r="D304" s="17"/>
      <c r="E304" s="17"/>
      <c r="F304" s="17"/>
      <c r="G304" s="60"/>
      <c r="H304" s="4" t="str">
        <f>IF(F304="","",VLOOKUP(F304,'IL to HORIZON'!$C$9:$F$93,4,FALSE))</f>
        <v/>
      </c>
    </row>
    <row r="305" spans="1:8" x14ac:dyDescent="0.2">
      <c r="A305" s="17"/>
      <c r="B305" s="17"/>
      <c r="C305" s="17"/>
      <c r="D305" s="17"/>
      <c r="E305" s="17"/>
      <c r="F305" s="17"/>
      <c r="G305" s="60"/>
      <c r="H305" s="4" t="str">
        <f>IF(F305="","",VLOOKUP(F305,'IL to HORIZON'!$C$9:$F$93,4,FALSE))</f>
        <v/>
      </c>
    </row>
    <row r="306" spans="1:8" x14ac:dyDescent="0.2">
      <c r="A306" s="17"/>
      <c r="B306" s="17"/>
      <c r="C306" s="17"/>
      <c r="D306" s="17"/>
      <c r="E306" s="17"/>
      <c r="F306" s="17"/>
      <c r="G306" s="60"/>
      <c r="H306" s="4" t="str">
        <f>IF(F306="","",VLOOKUP(F306,'IL to HORIZON'!$C$9:$F$93,4,FALSE))</f>
        <v/>
      </c>
    </row>
    <row r="307" spans="1:8" x14ac:dyDescent="0.2">
      <c r="A307" s="17"/>
      <c r="B307" s="17"/>
      <c r="C307" s="17"/>
      <c r="D307" s="17"/>
      <c r="E307" s="17"/>
      <c r="F307" s="17"/>
      <c r="G307" s="60"/>
      <c r="H307" s="4" t="str">
        <f>IF(F307="","",VLOOKUP(F307,'IL to HORIZON'!$C$9:$F$93,4,FALSE))</f>
        <v/>
      </c>
    </row>
    <row r="308" spans="1:8" x14ac:dyDescent="0.2">
      <c r="A308" s="17"/>
      <c r="B308" s="17"/>
      <c r="C308" s="17"/>
      <c r="D308" s="17"/>
      <c r="E308" s="17"/>
      <c r="F308" s="17"/>
      <c r="G308" s="60"/>
      <c r="H308" s="4" t="str">
        <f>IF(F308="","",VLOOKUP(F308,'IL to HORIZON'!$C$9:$F$93,4,FALSE))</f>
        <v/>
      </c>
    </row>
    <row r="309" spans="1:8" x14ac:dyDescent="0.2">
      <c r="A309" s="17"/>
      <c r="B309" s="17"/>
      <c r="C309" s="17"/>
      <c r="D309" s="17"/>
      <c r="E309" s="17"/>
      <c r="F309" s="17"/>
      <c r="G309" s="60"/>
      <c r="H309" s="4" t="str">
        <f>IF(F309="","",VLOOKUP(F309,'IL to HORIZON'!$C$9:$F$93,4,FALSE))</f>
        <v/>
      </c>
    </row>
    <row r="310" spans="1:8" x14ac:dyDescent="0.2">
      <c r="A310" s="17"/>
      <c r="B310" s="17"/>
      <c r="C310" s="17"/>
      <c r="D310" s="17"/>
      <c r="E310" s="17"/>
      <c r="F310" s="17"/>
      <c r="G310" s="60"/>
      <c r="H310" s="4" t="str">
        <f>IF(F310="","",VLOOKUP(F310,'IL to HORIZON'!$C$9:$F$93,4,FALSE))</f>
        <v/>
      </c>
    </row>
    <row r="311" spans="1:8" x14ac:dyDescent="0.2">
      <c r="A311" s="17"/>
      <c r="B311" s="17"/>
      <c r="C311" s="17"/>
      <c r="D311" s="17"/>
      <c r="E311" s="17"/>
      <c r="F311" s="17"/>
      <c r="G311" s="60"/>
      <c r="H311" s="4" t="str">
        <f>IF(F311="","",VLOOKUP(F311,'IL to HORIZON'!$C$9:$F$93,4,FALSE))</f>
        <v/>
      </c>
    </row>
    <row r="312" spans="1:8" x14ac:dyDescent="0.2">
      <c r="A312" s="17"/>
      <c r="B312" s="17"/>
      <c r="C312" s="17"/>
      <c r="D312" s="17"/>
      <c r="E312" s="17"/>
      <c r="F312" s="17"/>
      <c r="G312" s="60"/>
      <c r="H312" s="4" t="str">
        <f>IF(F312="","",VLOOKUP(F312,'IL to HORIZON'!$C$9:$F$93,4,FALSE))</f>
        <v/>
      </c>
    </row>
    <row r="313" spans="1:8" x14ac:dyDescent="0.2">
      <c r="A313" s="17"/>
      <c r="B313" s="17"/>
      <c r="C313" s="17"/>
      <c r="D313" s="17"/>
      <c r="E313" s="17"/>
      <c r="F313" s="17"/>
      <c r="G313" s="60"/>
      <c r="H313" s="4" t="str">
        <f>IF(F313="","",VLOOKUP(F313,'IL to HORIZON'!$C$9:$F$93,4,FALSE))</f>
        <v/>
      </c>
    </row>
    <row r="314" spans="1:8" x14ac:dyDescent="0.2">
      <c r="A314" s="17"/>
      <c r="B314" s="17"/>
      <c r="C314" s="17"/>
      <c r="D314" s="17"/>
      <c r="E314" s="17"/>
      <c r="F314" s="17"/>
      <c r="G314" s="60"/>
      <c r="H314" s="4" t="str">
        <f>IF(F314="","",VLOOKUP(F314,'IL to HORIZON'!$C$9:$F$93,4,FALSE))</f>
        <v/>
      </c>
    </row>
    <row r="315" spans="1:8" x14ac:dyDescent="0.2">
      <c r="A315" s="17"/>
      <c r="B315" s="17"/>
      <c r="C315" s="17"/>
      <c r="D315" s="17"/>
      <c r="E315" s="17"/>
      <c r="F315" s="17"/>
      <c r="G315" s="60"/>
      <c r="H315" s="4" t="str">
        <f>IF(F315="","",VLOOKUP(F315,'IL to HORIZON'!$C$9:$F$93,4,FALSE))</f>
        <v/>
      </c>
    </row>
    <row r="316" spans="1:8" x14ac:dyDescent="0.2">
      <c r="A316" s="17"/>
      <c r="B316" s="17"/>
      <c r="C316" s="17"/>
      <c r="D316" s="17"/>
      <c r="E316" s="17"/>
      <c r="F316" s="17"/>
      <c r="G316" s="60"/>
      <c r="H316" s="4" t="str">
        <f>IF(F316="","",VLOOKUP(F316,'IL to HORIZON'!$C$9:$F$93,4,FALSE))</f>
        <v/>
      </c>
    </row>
    <row r="317" spans="1:8" x14ac:dyDescent="0.2">
      <c r="A317" s="17"/>
      <c r="B317" s="17"/>
      <c r="C317" s="17"/>
      <c r="D317" s="17"/>
      <c r="E317" s="17"/>
      <c r="F317" s="17"/>
      <c r="G317" s="60"/>
      <c r="H317" s="4" t="str">
        <f>IF(F317="","",VLOOKUP(F317,'IL to HORIZON'!$C$9:$F$93,4,FALSE))</f>
        <v/>
      </c>
    </row>
    <row r="318" spans="1:8" x14ac:dyDescent="0.2">
      <c r="A318" s="17"/>
      <c r="B318" s="17"/>
      <c r="C318" s="17"/>
      <c r="D318" s="17"/>
      <c r="E318" s="17"/>
      <c r="F318" s="17"/>
      <c r="G318" s="60"/>
      <c r="H318" s="4" t="str">
        <f>IF(F318="","",VLOOKUP(F318,'IL to HORIZON'!$C$9:$F$93,4,FALSE))</f>
        <v/>
      </c>
    </row>
    <row r="319" spans="1:8" x14ac:dyDescent="0.2">
      <c r="A319" s="17"/>
      <c r="B319" s="17"/>
      <c r="C319" s="17"/>
      <c r="D319" s="17"/>
      <c r="E319" s="17"/>
      <c r="F319" s="17"/>
      <c r="G319" s="60"/>
      <c r="H319" s="4" t="str">
        <f>IF(F319="","",VLOOKUP(F319,'IL to HORIZON'!$C$9:$F$93,4,FALSE))</f>
        <v/>
      </c>
    </row>
    <row r="320" spans="1:8" x14ac:dyDescent="0.2">
      <c r="A320" s="17"/>
      <c r="B320" s="17"/>
      <c r="C320" s="17"/>
      <c r="D320" s="17"/>
      <c r="E320" s="17"/>
      <c r="F320" s="17"/>
      <c r="G320" s="60"/>
      <c r="H320" s="4" t="str">
        <f>IF(F320="","",VLOOKUP(F320,'IL to HORIZON'!$C$9:$F$93,4,FALSE))</f>
        <v/>
      </c>
    </row>
    <row r="321" spans="1:8" x14ac:dyDescent="0.2">
      <c r="A321" s="17"/>
      <c r="B321" s="17"/>
      <c r="C321" s="17"/>
      <c r="D321" s="17"/>
      <c r="E321" s="17"/>
      <c r="F321" s="17"/>
      <c r="G321" s="60"/>
      <c r="H321" s="4" t="str">
        <f>IF(F321="","",VLOOKUP(F321,'IL to HORIZON'!$C$9:$F$93,4,FALSE))</f>
        <v/>
      </c>
    </row>
    <row r="322" spans="1:8" x14ac:dyDescent="0.2">
      <c r="A322" s="17"/>
      <c r="B322" s="17"/>
      <c r="C322" s="17"/>
      <c r="D322" s="17"/>
      <c r="E322" s="17"/>
      <c r="F322" s="17"/>
      <c r="G322" s="60"/>
      <c r="H322" s="4" t="str">
        <f>IF(F322="","",VLOOKUP(F322,'IL to HORIZON'!$C$9:$F$93,4,FALSE))</f>
        <v/>
      </c>
    </row>
    <row r="323" spans="1:8" x14ac:dyDescent="0.2">
      <c r="A323" s="17"/>
      <c r="B323" s="17"/>
      <c r="C323" s="17"/>
      <c r="D323" s="17"/>
      <c r="E323" s="17"/>
      <c r="F323" s="17"/>
      <c r="G323" s="60"/>
      <c r="H323" s="4" t="str">
        <f>IF(F323="","",VLOOKUP(F323,'IL to HORIZON'!$C$9:$F$93,4,FALSE))</f>
        <v/>
      </c>
    </row>
    <row r="324" spans="1:8" x14ac:dyDescent="0.2">
      <c r="A324" s="17"/>
      <c r="B324" s="17"/>
      <c r="C324" s="17"/>
      <c r="D324" s="17"/>
      <c r="E324" s="17"/>
      <c r="F324" s="17"/>
      <c r="G324" s="60"/>
      <c r="H324" s="4" t="str">
        <f>IF(F324="","",VLOOKUP(F324,'IL to HORIZON'!$C$9:$F$93,4,FALSE))</f>
        <v/>
      </c>
    </row>
    <row r="325" spans="1:8" x14ac:dyDescent="0.2">
      <c r="A325" s="17"/>
      <c r="B325" s="17"/>
      <c r="C325" s="17"/>
      <c r="D325" s="17"/>
      <c r="E325" s="17"/>
      <c r="F325" s="17"/>
      <c r="G325" s="60"/>
      <c r="H325" s="4" t="str">
        <f>IF(F325="","",VLOOKUP(F325,'IL to HORIZON'!$C$9:$F$93,4,FALSE))</f>
        <v/>
      </c>
    </row>
    <row r="326" spans="1:8" x14ac:dyDescent="0.2">
      <c r="A326" s="17"/>
      <c r="B326" s="17"/>
      <c r="C326" s="17"/>
      <c r="D326" s="17"/>
      <c r="E326" s="17"/>
      <c r="F326" s="17"/>
      <c r="G326" s="60"/>
      <c r="H326" s="4" t="str">
        <f>IF(F326="","",VLOOKUP(F326,'IL to HORIZON'!$C$9:$F$93,4,FALSE))</f>
        <v/>
      </c>
    </row>
    <row r="327" spans="1:8" x14ac:dyDescent="0.2">
      <c r="A327" s="17"/>
      <c r="B327" s="17"/>
      <c r="C327" s="17"/>
      <c r="D327" s="17"/>
      <c r="E327" s="17"/>
      <c r="F327" s="17"/>
      <c r="G327" s="60"/>
      <c r="H327" s="4" t="str">
        <f>IF(F327="","",VLOOKUP(F327,'IL to HORIZON'!$C$9:$F$93,4,FALSE))</f>
        <v/>
      </c>
    </row>
    <row r="328" spans="1:8" x14ac:dyDescent="0.2">
      <c r="A328" s="17"/>
      <c r="B328" s="17"/>
      <c r="C328" s="17"/>
      <c r="D328" s="17"/>
      <c r="E328" s="17"/>
      <c r="F328" s="17"/>
      <c r="G328" s="60"/>
      <c r="H328" s="4" t="str">
        <f>IF(F328="","",VLOOKUP(F328,'IL to HORIZON'!$C$9:$F$93,4,FALSE))</f>
        <v/>
      </c>
    </row>
    <row r="329" spans="1:8" x14ac:dyDescent="0.2">
      <c r="A329" s="17"/>
      <c r="B329" s="17"/>
      <c r="C329" s="17"/>
      <c r="D329" s="17"/>
      <c r="E329" s="17"/>
      <c r="F329" s="17"/>
      <c r="G329" s="60"/>
      <c r="H329" s="4" t="str">
        <f>IF(F329="","",VLOOKUP(F329,'IL to HORIZON'!$C$9:$F$93,4,FALSE))</f>
        <v/>
      </c>
    </row>
    <row r="330" spans="1:8" x14ac:dyDescent="0.2">
      <c r="A330" s="17"/>
      <c r="B330" s="17"/>
      <c r="C330" s="17"/>
      <c r="D330" s="17"/>
      <c r="E330" s="17"/>
      <c r="F330" s="17"/>
      <c r="G330" s="60"/>
      <c r="H330" s="4" t="str">
        <f>IF(F330="","",VLOOKUP(F330,'IL to HORIZON'!$C$9:$F$93,4,FALSE))</f>
        <v/>
      </c>
    </row>
    <row r="331" spans="1:8" x14ac:dyDescent="0.2">
      <c r="A331" s="17"/>
      <c r="B331" s="17"/>
      <c r="C331" s="17"/>
      <c r="D331" s="17"/>
      <c r="E331" s="17"/>
      <c r="F331" s="17"/>
      <c r="G331" s="60"/>
      <c r="H331" s="4" t="str">
        <f>IF(F331="","",VLOOKUP(F331,'IL to HORIZON'!$C$9:$F$93,4,FALSE))</f>
        <v/>
      </c>
    </row>
    <row r="332" spans="1:8" x14ac:dyDescent="0.2">
      <c r="A332" s="17"/>
      <c r="B332" s="17"/>
      <c r="C332" s="17"/>
      <c r="D332" s="17"/>
      <c r="E332" s="17"/>
      <c r="F332" s="17"/>
      <c r="G332" s="60"/>
      <c r="H332" s="4" t="str">
        <f>IF(F332="","",VLOOKUP(F332,'IL to HORIZON'!$C$9:$F$93,4,FALSE))</f>
        <v/>
      </c>
    </row>
    <row r="333" spans="1:8" x14ac:dyDescent="0.2">
      <c r="A333" s="17"/>
      <c r="B333" s="17"/>
      <c r="C333" s="17"/>
      <c r="D333" s="17"/>
      <c r="E333" s="17"/>
      <c r="F333" s="17"/>
      <c r="G333" s="60"/>
      <c r="H333" s="4" t="str">
        <f>IF(F333="","",VLOOKUP(F333,'IL to HORIZON'!$C$9:$F$93,4,FALSE))</f>
        <v/>
      </c>
    </row>
    <row r="334" spans="1:8" x14ac:dyDescent="0.2">
      <c r="A334" s="17"/>
      <c r="B334" s="17"/>
      <c r="C334" s="17"/>
      <c r="D334" s="17"/>
      <c r="E334" s="17"/>
      <c r="F334" s="17"/>
      <c r="G334" s="60"/>
      <c r="H334" s="4" t="str">
        <f>IF(F334="","",VLOOKUP(F334,'IL to HORIZON'!$C$9:$F$93,4,FALSE))</f>
        <v/>
      </c>
    </row>
    <row r="335" spans="1:8" x14ac:dyDescent="0.2">
      <c r="A335" s="17"/>
      <c r="B335" s="17"/>
      <c r="C335" s="17"/>
      <c r="D335" s="17"/>
      <c r="E335" s="17"/>
      <c r="F335" s="17"/>
      <c r="G335" s="60"/>
      <c r="H335" s="4" t="str">
        <f>IF(F335="","",VLOOKUP(F335,'IL to HORIZON'!$C$9:$F$93,4,FALSE))</f>
        <v/>
      </c>
    </row>
    <row r="336" spans="1:8" x14ac:dyDescent="0.2">
      <c r="A336" s="17"/>
      <c r="B336" s="17"/>
      <c r="C336" s="17"/>
      <c r="D336" s="17"/>
      <c r="E336" s="17"/>
      <c r="F336" s="17"/>
      <c r="G336" s="60"/>
      <c r="H336" s="4" t="str">
        <f>IF(F336="","",VLOOKUP(F336,'IL to HORIZON'!$C$9:$F$93,4,FALSE))</f>
        <v/>
      </c>
    </row>
    <row r="337" spans="1:8" x14ac:dyDescent="0.2">
      <c r="A337" s="17"/>
      <c r="B337" s="17"/>
      <c r="C337" s="17"/>
      <c r="D337" s="17"/>
      <c r="E337" s="17"/>
      <c r="F337" s="17"/>
      <c r="G337" s="60"/>
      <c r="H337" s="4" t="str">
        <f>IF(F337="","",VLOOKUP(F337,'IL to HORIZON'!$C$9:$F$93,4,FALSE))</f>
        <v/>
      </c>
    </row>
    <row r="338" spans="1:8" x14ac:dyDescent="0.2">
      <c r="A338" s="17"/>
      <c r="B338" s="17"/>
      <c r="C338" s="17"/>
      <c r="D338" s="17"/>
      <c r="E338" s="17"/>
      <c r="F338" s="17"/>
      <c r="G338" s="60"/>
      <c r="H338" s="4" t="str">
        <f>IF(F338="","",VLOOKUP(F338,'IL to HORIZON'!$C$9:$F$93,4,FALSE))</f>
        <v/>
      </c>
    </row>
    <row r="339" spans="1:8" x14ac:dyDescent="0.2">
      <c r="A339" s="17"/>
      <c r="B339" s="17"/>
      <c r="C339" s="17"/>
      <c r="D339" s="17"/>
      <c r="E339" s="17"/>
      <c r="F339" s="17"/>
      <c r="G339" s="60"/>
      <c r="H339" s="4" t="str">
        <f>IF(F339="","",VLOOKUP(F339,'IL to HORIZON'!$C$9:$F$93,4,FALSE))</f>
        <v/>
      </c>
    </row>
    <row r="340" spans="1:8" x14ac:dyDescent="0.2">
      <c r="A340" s="17"/>
      <c r="B340" s="17"/>
      <c r="C340" s="17"/>
      <c r="D340" s="17"/>
      <c r="E340" s="17"/>
      <c r="F340" s="17"/>
      <c r="G340" s="60"/>
      <c r="H340" s="4" t="str">
        <f>IF(F340="","",VLOOKUP(F340,'IL to HORIZON'!$C$9:$F$93,4,FALSE))</f>
        <v/>
      </c>
    </row>
    <row r="341" spans="1:8" x14ac:dyDescent="0.2">
      <c r="A341" s="17"/>
      <c r="B341" s="17"/>
      <c r="C341" s="17"/>
      <c r="D341" s="17"/>
      <c r="E341" s="17"/>
      <c r="F341" s="17"/>
      <c r="G341" s="60"/>
      <c r="H341" s="4" t="str">
        <f>IF(F341="","",VLOOKUP(F341,'IL to HORIZON'!$C$9:$F$93,4,FALSE))</f>
        <v/>
      </c>
    </row>
    <row r="342" spans="1:8" x14ac:dyDescent="0.2">
      <c r="A342" s="17"/>
      <c r="B342" s="17"/>
      <c r="C342" s="17"/>
      <c r="D342" s="17"/>
      <c r="E342" s="17"/>
      <c r="F342" s="17"/>
      <c r="G342" s="60"/>
      <c r="H342" s="4" t="str">
        <f>IF(F342="","",VLOOKUP(F342,'IL to HORIZON'!$C$9:$F$93,4,FALSE))</f>
        <v/>
      </c>
    </row>
    <row r="343" spans="1:8" x14ac:dyDescent="0.2">
      <c r="A343" s="17"/>
      <c r="B343" s="17"/>
      <c r="C343" s="17"/>
      <c r="D343" s="17"/>
      <c r="E343" s="17"/>
      <c r="F343" s="17"/>
      <c r="G343" s="60"/>
      <c r="H343" s="4" t="str">
        <f>IF(F343="","",VLOOKUP(F343,'IL to HORIZON'!$C$9:$F$93,4,FALSE))</f>
        <v/>
      </c>
    </row>
    <row r="344" spans="1:8" x14ac:dyDescent="0.2">
      <c r="A344" s="17"/>
      <c r="B344" s="17"/>
      <c r="C344" s="17"/>
      <c r="D344" s="17"/>
      <c r="E344" s="17"/>
      <c r="F344" s="17"/>
      <c r="G344" s="60"/>
      <c r="H344" s="4" t="str">
        <f>IF(F344="","",VLOOKUP(F344,'IL to HORIZON'!$C$9:$F$93,4,FALSE))</f>
        <v/>
      </c>
    </row>
    <row r="345" spans="1:8" x14ac:dyDescent="0.2">
      <c r="A345" s="17"/>
      <c r="B345" s="17"/>
      <c r="C345" s="17"/>
      <c r="D345" s="17"/>
      <c r="E345" s="17"/>
      <c r="F345" s="17"/>
      <c r="G345" s="60"/>
      <c r="H345" s="4" t="str">
        <f>IF(F345="","",VLOOKUP(F345,'IL to HORIZON'!$C$9:$F$93,4,FALSE))</f>
        <v/>
      </c>
    </row>
    <row r="346" spans="1:8" x14ac:dyDescent="0.2">
      <c r="A346" s="17"/>
      <c r="B346" s="17"/>
      <c r="C346" s="17"/>
      <c r="D346" s="17"/>
      <c r="E346" s="17"/>
      <c r="F346" s="17"/>
      <c r="G346" s="60"/>
      <c r="H346" s="4" t="str">
        <f>IF(F346="","",VLOOKUP(F346,'IL to HORIZON'!$C$9:$F$93,4,FALSE))</f>
        <v/>
      </c>
    </row>
    <row r="347" spans="1:8" x14ac:dyDescent="0.2">
      <c r="A347" s="17"/>
      <c r="B347" s="17"/>
      <c r="C347" s="17"/>
      <c r="D347" s="17"/>
      <c r="E347" s="17"/>
      <c r="F347" s="17"/>
      <c r="G347" s="60"/>
      <c r="H347" s="4" t="str">
        <f>IF(F347="","",VLOOKUP(F347,'IL to HORIZON'!$C$9:$F$93,4,FALSE))</f>
        <v/>
      </c>
    </row>
    <row r="348" spans="1:8" x14ac:dyDescent="0.2">
      <c r="A348" s="17"/>
      <c r="B348" s="17"/>
      <c r="C348" s="17"/>
      <c r="D348" s="17"/>
      <c r="E348" s="17"/>
      <c r="F348" s="17"/>
      <c r="G348" s="60"/>
      <c r="H348" s="4" t="str">
        <f>IF(F348="","",VLOOKUP(F348,'IL to HORIZON'!$C$9:$F$93,4,FALSE))</f>
        <v/>
      </c>
    </row>
    <row r="349" spans="1:8" x14ac:dyDescent="0.2">
      <c r="A349" s="17"/>
      <c r="B349" s="17"/>
      <c r="C349" s="17"/>
      <c r="D349" s="17"/>
      <c r="E349" s="17"/>
      <c r="F349" s="17"/>
      <c r="G349" s="60"/>
      <c r="H349" s="4" t="str">
        <f>IF(F349="","",VLOOKUP(F349,'IL to HORIZON'!$C$9:$F$93,4,FALSE))</f>
        <v/>
      </c>
    </row>
    <row r="350" spans="1:8" x14ac:dyDescent="0.2">
      <c r="A350" s="17"/>
      <c r="B350" s="17"/>
      <c r="C350" s="17"/>
      <c r="D350" s="17"/>
      <c r="E350" s="17"/>
      <c r="F350" s="17"/>
      <c r="G350" s="60"/>
      <c r="H350" s="4" t="str">
        <f>IF(F350="","",VLOOKUP(F350,'IL to HORIZON'!$C$9:$F$93,4,FALSE))</f>
        <v/>
      </c>
    </row>
    <row r="351" spans="1:8" x14ac:dyDescent="0.2">
      <c r="A351" s="17"/>
      <c r="B351" s="17"/>
      <c r="C351" s="17"/>
      <c r="D351" s="17"/>
      <c r="E351" s="17"/>
      <c r="F351" s="17"/>
      <c r="G351" s="60"/>
      <c r="H351" s="4" t="str">
        <f>IF(F351="","",VLOOKUP(F351,'IL to HORIZON'!$C$9:$F$93,4,FALSE))</f>
        <v/>
      </c>
    </row>
    <row r="352" spans="1:8" x14ac:dyDescent="0.2">
      <c r="A352" s="17"/>
      <c r="B352" s="17"/>
      <c r="C352" s="17"/>
      <c r="D352" s="17"/>
      <c r="E352" s="17"/>
      <c r="F352" s="17"/>
      <c r="G352" s="60"/>
      <c r="H352" s="4" t="str">
        <f>IF(F352="","",VLOOKUP(F352,'IL to HORIZON'!$C$9:$F$93,4,FALSE))</f>
        <v/>
      </c>
    </row>
    <row r="353" spans="1:8" x14ac:dyDescent="0.2">
      <c r="A353" s="17"/>
      <c r="B353" s="17"/>
      <c r="C353" s="17"/>
      <c r="D353" s="17"/>
      <c r="E353" s="17"/>
      <c r="F353" s="17"/>
      <c r="G353" s="60"/>
      <c r="H353" s="4" t="str">
        <f>IF(F353="","",VLOOKUP(F353,'IL to HORIZON'!$C$9:$F$93,4,FALSE))</f>
        <v/>
      </c>
    </row>
    <row r="354" spans="1:8" x14ac:dyDescent="0.2">
      <c r="A354" s="17"/>
      <c r="B354" s="17"/>
      <c r="C354" s="17"/>
      <c r="D354" s="17"/>
      <c r="E354" s="17"/>
      <c r="F354" s="17"/>
      <c r="G354" s="60"/>
      <c r="H354" s="4" t="str">
        <f>IF(F354="","",VLOOKUP(F354,'IL to HORIZON'!$C$9:$F$93,4,FALSE))</f>
        <v/>
      </c>
    </row>
    <row r="355" spans="1:8" x14ac:dyDescent="0.2">
      <c r="A355" s="17"/>
      <c r="B355" s="17"/>
      <c r="C355" s="17"/>
      <c r="D355" s="17"/>
      <c r="E355" s="17"/>
      <c r="F355" s="17"/>
      <c r="G355" s="60"/>
      <c r="H355" s="4" t="str">
        <f>IF(F355="","",VLOOKUP(F355,'IL to HORIZON'!$C$9:$F$93,4,FALSE))</f>
        <v/>
      </c>
    </row>
    <row r="356" spans="1:8" x14ac:dyDescent="0.2">
      <c r="A356" s="17"/>
      <c r="B356" s="17"/>
      <c r="C356" s="17"/>
      <c r="D356" s="17"/>
      <c r="E356" s="17"/>
      <c r="F356" s="17"/>
      <c r="G356" s="60"/>
      <c r="H356" s="4" t="str">
        <f>IF(F356="","",VLOOKUP(F356,'IL to HORIZON'!$C$9:$F$93,4,FALSE))</f>
        <v/>
      </c>
    </row>
    <row r="357" spans="1:8" x14ac:dyDescent="0.2">
      <c r="A357" s="17"/>
      <c r="B357" s="17"/>
      <c r="C357" s="17"/>
      <c r="D357" s="17"/>
      <c r="E357" s="17"/>
      <c r="F357" s="17"/>
      <c r="G357" s="60"/>
      <c r="H357" s="4" t="str">
        <f>IF(F357="","",VLOOKUP(F357,'IL to HORIZON'!$C$9:$F$93,4,FALSE))</f>
        <v/>
      </c>
    </row>
    <row r="358" spans="1:8" x14ac:dyDescent="0.2">
      <c r="A358" s="17"/>
      <c r="B358" s="17"/>
      <c r="C358" s="17"/>
      <c r="D358" s="17"/>
      <c r="E358" s="17"/>
      <c r="F358" s="17"/>
      <c r="G358" s="60"/>
      <c r="H358" s="4" t="str">
        <f>IF(F358="","",VLOOKUP(F358,'IL to HORIZON'!$C$9:$F$93,4,FALSE))</f>
        <v/>
      </c>
    </row>
    <row r="359" spans="1:8" x14ac:dyDescent="0.2">
      <c r="A359" s="17"/>
      <c r="B359" s="17"/>
      <c r="C359" s="17"/>
      <c r="D359" s="17"/>
      <c r="E359" s="17"/>
      <c r="F359" s="17"/>
      <c r="G359" s="60"/>
      <c r="H359" s="4" t="str">
        <f>IF(F359="","",VLOOKUP(F359,'IL to HORIZON'!$C$9:$F$93,4,FALSE))</f>
        <v/>
      </c>
    </row>
    <row r="360" spans="1:8" x14ac:dyDescent="0.2">
      <c r="A360" s="17"/>
      <c r="B360" s="17"/>
      <c r="C360" s="17"/>
      <c r="D360" s="17"/>
      <c r="E360" s="17"/>
      <c r="F360" s="17"/>
      <c r="G360" s="60"/>
      <c r="H360" s="4" t="str">
        <f>IF(F360="","",VLOOKUP(F360,'IL to HORIZON'!$C$9:$F$93,4,FALSE))</f>
        <v/>
      </c>
    </row>
    <row r="361" spans="1:8" x14ac:dyDescent="0.2">
      <c r="A361" s="17"/>
      <c r="B361" s="17"/>
      <c r="C361" s="17"/>
      <c r="D361" s="17"/>
      <c r="E361" s="17"/>
      <c r="F361" s="17"/>
      <c r="G361" s="60"/>
      <c r="H361" s="4" t="str">
        <f>IF(F361="","",VLOOKUP(F361,'IL to HORIZON'!$C$9:$F$93,4,FALSE))</f>
        <v/>
      </c>
    </row>
    <row r="362" spans="1:8" x14ac:dyDescent="0.2">
      <c r="A362" s="17"/>
      <c r="B362" s="17"/>
      <c r="C362" s="17"/>
      <c r="D362" s="17"/>
      <c r="E362" s="17"/>
      <c r="F362" s="17"/>
      <c r="G362" s="60"/>
      <c r="H362" s="4" t="str">
        <f>IF(F362="","",VLOOKUP(F362,'IL to HORIZON'!$C$9:$F$93,4,FALSE))</f>
        <v/>
      </c>
    </row>
    <row r="363" spans="1:8" x14ac:dyDescent="0.2">
      <c r="E363" s="3"/>
      <c r="F363" s="3"/>
      <c r="G363" s="3"/>
      <c r="H363" s="3"/>
    </row>
    <row r="364" spans="1:8" x14ac:dyDescent="0.2">
      <c r="E364" s="3"/>
      <c r="F364" s="3"/>
      <c r="G364" s="3"/>
      <c r="H364" s="3"/>
    </row>
    <row r="365" spans="1:8" x14ac:dyDescent="0.2">
      <c r="E365" s="3"/>
      <c r="F365" s="3"/>
      <c r="G365" s="3"/>
      <c r="H365" s="3"/>
    </row>
    <row r="366" spans="1:8" x14ac:dyDescent="0.2">
      <c r="E366" s="3"/>
      <c r="F366" s="3"/>
      <c r="G366" s="3"/>
      <c r="H366" s="3"/>
    </row>
    <row r="367" spans="1:8" x14ac:dyDescent="0.2">
      <c r="E367" s="3"/>
      <c r="F367" s="3"/>
      <c r="G367" s="3"/>
      <c r="H367" s="3"/>
    </row>
    <row r="368" spans="1:8" x14ac:dyDescent="0.2">
      <c r="E368" s="3"/>
      <c r="F368" s="3"/>
      <c r="G368" s="3"/>
      <c r="H368" s="3"/>
    </row>
    <row r="369" spans="1:8" x14ac:dyDescent="0.2">
      <c r="E369" s="3"/>
      <c r="F369" s="3"/>
      <c r="G369" s="3"/>
      <c r="H369" s="3"/>
    </row>
    <row r="370" spans="1:8" x14ac:dyDescent="0.2">
      <c r="E370" s="3"/>
      <c r="F370" s="3"/>
      <c r="G370" s="3"/>
      <c r="H370" s="3"/>
    </row>
    <row r="371" spans="1:8" x14ac:dyDescent="0.2">
      <c r="E371" s="3"/>
      <c r="F371" s="3"/>
      <c r="G371" s="3"/>
      <c r="H371" s="3"/>
    </row>
    <row r="372" spans="1:8" x14ac:dyDescent="0.2">
      <c r="E372" s="3"/>
      <c r="F372" s="3"/>
      <c r="G372" s="3"/>
      <c r="H372" s="3"/>
    </row>
    <row r="373" spans="1:8" x14ac:dyDescent="0.2">
      <c r="A373"/>
      <c r="B373"/>
      <c r="C373"/>
      <c r="D373" s="16"/>
      <c r="E373" s="3"/>
      <c r="F373" s="3"/>
      <c r="G373" s="3"/>
      <c r="H373" s="3"/>
    </row>
    <row r="374" spans="1:8" x14ac:dyDescent="0.2">
      <c r="A374"/>
      <c r="B374"/>
      <c r="C374"/>
      <c r="D374" s="16"/>
      <c r="E374" s="3"/>
      <c r="F374" s="3"/>
      <c r="G374" s="3"/>
      <c r="H374" s="3"/>
    </row>
    <row r="375" spans="1:8" x14ac:dyDescent="0.2">
      <c r="A375"/>
      <c r="B375"/>
      <c r="C375"/>
      <c r="D375" s="16"/>
      <c r="E375" s="3"/>
      <c r="F375" s="3"/>
      <c r="G375" s="3"/>
      <c r="H375" s="3"/>
    </row>
    <row r="376" spans="1:8" x14ac:dyDescent="0.2">
      <c r="A376"/>
      <c r="B376"/>
      <c r="C376"/>
      <c r="D376" s="16"/>
      <c r="E376" s="3"/>
      <c r="F376" s="3"/>
      <c r="G376" s="3"/>
      <c r="H376" s="3"/>
    </row>
    <row r="377" spans="1:8" x14ac:dyDescent="0.2">
      <c r="A377"/>
      <c r="B377"/>
      <c r="C377"/>
      <c r="D377" s="16"/>
      <c r="E377" s="3"/>
      <c r="F377" s="3"/>
      <c r="G377" s="3"/>
      <c r="H377" s="3"/>
    </row>
    <row r="378" spans="1:8" x14ac:dyDescent="0.2">
      <c r="A378"/>
      <c r="B378"/>
      <c r="C378"/>
      <c r="D378" s="16"/>
      <c r="E378" s="3"/>
      <c r="F378" s="3"/>
      <c r="G378" s="3"/>
      <c r="H378" s="3"/>
    </row>
    <row r="379" spans="1:8" x14ac:dyDescent="0.2">
      <c r="A379"/>
      <c r="B379"/>
      <c r="C379"/>
      <c r="D379" s="16"/>
      <c r="E379" s="3"/>
      <c r="F379" s="3"/>
      <c r="G379" s="3"/>
      <c r="H379" s="3"/>
    </row>
    <row r="380" spans="1:8" x14ac:dyDescent="0.2">
      <c r="A380"/>
      <c r="B380"/>
      <c r="C380"/>
      <c r="D380" s="16"/>
      <c r="E380" s="3"/>
      <c r="F380" s="3"/>
      <c r="G380" s="3"/>
      <c r="H380" s="3"/>
    </row>
    <row r="381" spans="1:8" x14ac:dyDescent="0.2">
      <c r="A381"/>
      <c r="B381"/>
      <c r="C381"/>
      <c r="D381" s="16"/>
      <c r="E381" s="3"/>
      <c r="F381" s="3"/>
      <c r="G381" s="3"/>
      <c r="H381" s="3"/>
    </row>
    <row r="382" spans="1:8" x14ac:dyDescent="0.2">
      <c r="A382"/>
      <c r="B382"/>
      <c r="C382"/>
      <c r="D382" s="16"/>
      <c r="E382" s="3"/>
      <c r="F382" s="3"/>
      <c r="G382" s="3"/>
      <c r="H382" s="3"/>
    </row>
    <row r="383" spans="1:8" x14ac:dyDescent="0.2">
      <c r="A383"/>
      <c r="B383"/>
      <c r="C383"/>
      <c r="D383" s="16"/>
      <c r="E383" s="3"/>
      <c r="F383" s="3"/>
      <c r="G383" s="3"/>
      <c r="H383" s="3"/>
    </row>
    <row r="384" spans="1:8" x14ac:dyDescent="0.2">
      <c r="A384"/>
      <c r="B384"/>
      <c r="C384"/>
      <c r="D384" s="16"/>
      <c r="E384" s="3"/>
      <c r="F384" s="3"/>
      <c r="G384" s="3"/>
      <c r="H384" s="3"/>
    </row>
    <row r="385" spans="4:8" customFormat="1" x14ac:dyDescent="0.2">
      <c r="D385" s="16"/>
      <c r="E385" s="3"/>
      <c r="F385" s="3"/>
      <c r="G385" s="3"/>
      <c r="H385" s="3"/>
    </row>
    <row r="386" spans="4:8" customFormat="1" x14ac:dyDescent="0.2">
      <c r="D386" s="16"/>
      <c r="E386" s="3"/>
      <c r="F386" s="3"/>
      <c r="G386" s="3"/>
      <c r="H386" s="3"/>
    </row>
    <row r="387" spans="4:8" customFormat="1" x14ac:dyDescent="0.2">
      <c r="D387" s="16"/>
      <c r="E387" s="3"/>
      <c r="F387" s="3"/>
      <c r="G387" s="3"/>
      <c r="H387" s="3"/>
    </row>
    <row r="388" spans="4:8" customFormat="1" x14ac:dyDescent="0.2">
      <c r="D388" s="16"/>
      <c r="E388" s="3"/>
      <c r="F388" s="3"/>
      <c r="G388" s="3"/>
      <c r="H388" s="3"/>
    </row>
    <row r="389" spans="4:8" customFormat="1" x14ac:dyDescent="0.2">
      <c r="D389" s="16"/>
      <c r="E389" s="3"/>
      <c r="F389" s="3"/>
      <c r="G389" s="3"/>
      <c r="H389" s="3"/>
    </row>
    <row r="390" spans="4:8" customFormat="1" x14ac:dyDescent="0.2">
      <c r="D390" s="16"/>
      <c r="E390" s="3"/>
      <c r="F390" s="3"/>
      <c r="G390" s="3"/>
      <c r="H390" s="3"/>
    </row>
    <row r="391" spans="4:8" customFormat="1" x14ac:dyDescent="0.2">
      <c r="D391" s="16"/>
      <c r="E391" s="3"/>
      <c r="F391" s="3"/>
      <c r="G391" s="3"/>
      <c r="H391" s="3"/>
    </row>
    <row r="392" spans="4:8" customFormat="1" x14ac:dyDescent="0.2">
      <c r="D392" s="16"/>
      <c r="E392" s="3"/>
      <c r="F392" s="3"/>
      <c r="G392" s="3"/>
      <c r="H392" s="3"/>
    </row>
    <row r="393" spans="4:8" customFormat="1" x14ac:dyDescent="0.2">
      <c r="D393" s="16"/>
      <c r="E393" s="3"/>
      <c r="F393" s="3"/>
      <c r="G393" s="3"/>
      <c r="H393" s="3"/>
    </row>
    <row r="394" spans="4:8" customFormat="1" x14ac:dyDescent="0.2">
      <c r="D394" s="16"/>
      <c r="E394" s="3"/>
      <c r="F394" s="3"/>
      <c r="G394" s="3"/>
      <c r="H394" s="3"/>
    </row>
    <row r="395" spans="4:8" customFormat="1" x14ac:dyDescent="0.2">
      <c r="D395" s="16"/>
      <c r="E395" s="3"/>
      <c r="F395" s="3"/>
      <c r="G395" s="3"/>
      <c r="H395" s="3"/>
    </row>
    <row r="396" spans="4:8" customFormat="1" x14ac:dyDescent="0.2">
      <c r="D396" s="16"/>
      <c r="E396" s="3"/>
      <c r="F396" s="3"/>
      <c r="G396" s="3"/>
      <c r="H396" s="3"/>
    </row>
    <row r="397" spans="4:8" customFormat="1" x14ac:dyDescent="0.2">
      <c r="D397" s="16"/>
      <c r="E397" s="3"/>
      <c r="F397" s="3"/>
      <c r="G397" s="3"/>
      <c r="H397" s="3"/>
    </row>
    <row r="398" spans="4:8" customFormat="1" x14ac:dyDescent="0.2">
      <c r="D398" s="16"/>
      <c r="E398" s="3"/>
      <c r="F398" s="3"/>
      <c r="G398" s="3"/>
      <c r="H398" s="3"/>
    </row>
    <row r="399" spans="4:8" customFormat="1" x14ac:dyDescent="0.2">
      <c r="D399" s="16"/>
      <c r="E399" s="3"/>
      <c r="F399" s="3"/>
      <c r="G399" s="3"/>
      <c r="H399" s="3"/>
    </row>
    <row r="400" spans="4:8" customFormat="1" x14ac:dyDescent="0.2">
      <c r="D400" s="16"/>
      <c r="E400" s="3"/>
      <c r="F400" s="3"/>
      <c r="G400" s="3"/>
      <c r="H400" s="3"/>
    </row>
    <row r="401" spans="4:8" customFormat="1" x14ac:dyDescent="0.2">
      <c r="D401" s="16"/>
      <c r="E401" s="3"/>
      <c r="F401" s="3"/>
      <c r="G401" s="3"/>
      <c r="H401" s="3"/>
    </row>
    <row r="402" spans="4:8" customFormat="1" x14ac:dyDescent="0.2">
      <c r="D402" s="16"/>
      <c r="E402" s="3"/>
      <c r="F402" s="3"/>
      <c r="G402" s="3"/>
      <c r="H402" s="3"/>
    </row>
    <row r="403" spans="4:8" customFormat="1" x14ac:dyDescent="0.2">
      <c r="D403" s="16"/>
      <c r="E403" s="3"/>
      <c r="F403" s="3"/>
      <c r="G403" s="3"/>
      <c r="H403" s="3"/>
    </row>
    <row r="404" spans="4:8" customFormat="1" x14ac:dyDescent="0.2">
      <c r="D404" s="16"/>
      <c r="E404" s="3"/>
      <c r="F404" s="3"/>
      <c r="G404" s="3"/>
      <c r="H404" s="3"/>
    </row>
    <row r="405" spans="4:8" customFormat="1" x14ac:dyDescent="0.2">
      <c r="D405" s="16"/>
      <c r="E405" s="3"/>
      <c r="F405" s="3"/>
      <c r="G405" s="3"/>
      <c r="H405" s="3"/>
    </row>
    <row r="406" spans="4:8" customFormat="1" x14ac:dyDescent="0.2">
      <c r="D406" s="16"/>
      <c r="E406" s="3"/>
      <c r="F406" s="3"/>
      <c r="G406" s="3"/>
      <c r="H406" s="3"/>
    </row>
    <row r="407" spans="4:8" customFormat="1" x14ac:dyDescent="0.2">
      <c r="D407" s="16"/>
      <c r="E407" s="3"/>
      <c r="F407" s="3"/>
      <c r="G407" s="3"/>
      <c r="H407" s="3"/>
    </row>
    <row r="408" spans="4:8" customFormat="1" x14ac:dyDescent="0.2">
      <c r="D408" s="16"/>
      <c r="E408" s="3"/>
      <c r="F408" s="3"/>
      <c r="G408" s="3"/>
      <c r="H408" s="3"/>
    </row>
    <row r="409" spans="4:8" customFormat="1" x14ac:dyDescent="0.2">
      <c r="D409" s="16"/>
      <c r="E409" s="3"/>
      <c r="F409" s="3"/>
      <c r="G409" s="3"/>
      <c r="H409" s="3"/>
    </row>
    <row r="410" spans="4:8" customFormat="1" x14ac:dyDescent="0.2">
      <c r="D410" s="16"/>
      <c r="E410" s="3"/>
      <c r="F410" s="3"/>
      <c r="G410" s="3"/>
      <c r="H410" s="3"/>
    </row>
    <row r="411" spans="4:8" customFormat="1" x14ac:dyDescent="0.2">
      <c r="D411" s="16"/>
      <c r="E411" s="3"/>
      <c r="F411" s="3"/>
      <c r="G411" s="3"/>
      <c r="H411" s="3"/>
    </row>
    <row r="412" spans="4:8" customFormat="1" x14ac:dyDescent="0.2">
      <c r="D412" s="16"/>
      <c r="E412" s="3"/>
      <c r="F412" s="3"/>
      <c r="G412" s="3"/>
      <c r="H412" s="3"/>
    </row>
    <row r="413" spans="4:8" customFormat="1" x14ac:dyDescent="0.2">
      <c r="D413" s="16"/>
      <c r="E413" s="3"/>
      <c r="F413" s="3"/>
      <c r="G413" s="3"/>
      <c r="H413" s="3"/>
    </row>
    <row r="414" spans="4:8" customFormat="1" x14ac:dyDescent="0.2">
      <c r="D414" s="16"/>
      <c r="E414" s="3"/>
      <c r="F414" s="3"/>
      <c r="G414" s="3"/>
      <c r="H414" s="3"/>
    </row>
    <row r="415" spans="4:8" customFormat="1" x14ac:dyDescent="0.2">
      <c r="D415" s="16"/>
      <c r="E415" s="3"/>
      <c r="F415" s="3"/>
      <c r="G415" s="3"/>
      <c r="H415" s="3"/>
    </row>
    <row r="416" spans="4:8" customFormat="1" x14ac:dyDescent="0.2">
      <c r="D416" s="16"/>
      <c r="E416" s="3"/>
      <c r="F416" s="3"/>
      <c r="G416" s="3"/>
      <c r="H416" s="3"/>
    </row>
    <row r="417" spans="1:8" x14ac:dyDescent="0.2">
      <c r="A417"/>
      <c r="B417"/>
      <c r="C417"/>
      <c r="D417" s="16"/>
      <c r="E417" s="3"/>
      <c r="F417" s="3"/>
      <c r="G417" s="3"/>
      <c r="H417" s="3"/>
    </row>
    <row r="418" spans="1:8" x14ac:dyDescent="0.2">
      <c r="A418"/>
      <c r="B418"/>
      <c r="C418"/>
      <c r="D418" s="16"/>
      <c r="E418" s="3"/>
      <c r="F418" s="3"/>
      <c r="G418" s="3"/>
      <c r="H418" s="3"/>
    </row>
    <row r="419" spans="1:8" x14ac:dyDescent="0.2">
      <c r="A419"/>
      <c r="B419"/>
      <c r="C419"/>
      <c r="D419" s="16"/>
      <c r="E419" s="3"/>
      <c r="F419" s="3"/>
      <c r="G419" s="3"/>
      <c r="H419" s="3"/>
    </row>
    <row r="420" spans="1:8" x14ac:dyDescent="0.2">
      <c r="A420"/>
      <c r="B420"/>
      <c r="C420"/>
      <c r="D420" s="16"/>
      <c r="E420" s="3"/>
      <c r="F420" s="3"/>
      <c r="G420" s="3"/>
      <c r="H420" s="3"/>
    </row>
    <row r="421" spans="1:8" x14ac:dyDescent="0.2">
      <c r="A421"/>
      <c r="B421"/>
      <c r="C421"/>
      <c r="D421" s="16"/>
      <c r="E421" s="3"/>
      <c r="F421" s="3"/>
      <c r="G421" s="3"/>
      <c r="H421" s="3"/>
    </row>
    <row r="422" spans="1:8" x14ac:dyDescent="0.2">
      <c r="A422"/>
      <c r="B422"/>
      <c r="C422"/>
      <c r="D422" s="16"/>
      <c r="E422" s="3"/>
      <c r="F422" s="3"/>
      <c r="G422" s="3"/>
      <c r="H422" s="3"/>
    </row>
    <row r="423" spans="1:8" x14ac:dyDescent="0.2">
      <c r="A423"/>
      <c r="B423"/>
      <c r="C423"/>
      <c r="D423" s="16"/>
      <c r="E423" s="3"/>
      <c r="F423" s="3"/>
      <c r="G423" s="3"/>
      <c r="H423" s="3"/>
    </row>
    <row r="424" spans="1:8" x14ac:dyDescent="0.2">
      <c r="A424"/>
      <c r="B424"/>
      <c r="C424"/>
      <c r="D424" s="16"/>
      <c r="E424" s="3"/>
      <c r="F424" s="3"/>
      <c r="G424" s="3"/>
      <c r="H424" s="3"/>
    </row>
    <row r="425" spans="1:8" x14ac:dyDescent="0.2">
      <c r="A425"/>
      <c r="B425"/>
      <c r="C425"/>
      <c r="D425" s="16"/>
      <c r="E425" s="3"/>
      <c r="F425" s="3"/>
      <c r="G425" s="3"/>
      <c r="H425" s="3"/>
    </row>
    <row r="426" spans="1:8" x14ac:dyDescent="0.2">
      <c r="A426"/>
      <c r="B426"/>
      <c r="C426"/>
      <c r="D426" s="16"/>
      <c r="E426" s="3"/>
      <c r="F426" s="3"/>
      <c r="G426" s="3"/>
      <c r="H426" s="3"/>
    </row>
    <row r="427" spans="1:8" x14ac:dyDescent="0.2">
      <c r="A427"/>
      <c r="B427"/>
      <c r="C427"/>
      <c r="D427" s="16"/>
      <c r="E427" s="3"/>
      <c r="F427" s="3"/>
      <c r="G427" s="3"/>
      <c r="H427" s="3"/>
    </row>
    <row r="428" spans="1:8" x14ac:dyDescent="0.2">
      <c r="A428"/>
      <c r="B428"/>
      <c r="C428"/>
      <c r="D428" s="16"/>
      <c r="E428" s="3"/>
      <c r="F428" s="3"/>
      <c r="G428" s="3"/>
      <c r="H428" s="3"/>
    </row>
    <row r="429" spans="1:8" x14ac:dyDescent="0.2">
      <c r="A429"/>
      <c r="B429"/>
      <c r="C429"/>
      <c r="D429" s="16"/>
      <c r="E429" s="3"/>
      <c r="F429" s="3"/>
      <c r="G429" s="3"/>
      <c r="H429" s="3"/>
    </row>
    <row r="430" spans="1:8" x14ac:dyDescent="0.2">
      <c r="A430"/>
      <c r="B430"/>
      <c r="C430"/>
      <c r="D430" s="16"/>
      <c r="E430" s="3"/>
      <c r="F430" s="3"/>
      <c r="G430" s="3"/>
      <c r="H430" s="3"/>
    </row>
    <row r="431" spans="1:8" x14ac:dyDescent="0.2">
      <c r="A431"/>
      <c r="B431"/>
      <c r="C431"/>
      <c r="D431" s="16"/>
      <c r="E431" s="3"/>
      <c r="F431" s="3"/>
      <c r="G431" s="3"/>
      <c r="H431" s="3"/>
    </row>
    <row r="432" spans="1:8" x14ac:dyDescent="0.2">
      <c r="A432"/>
      <c r="B432"/>
      <c r="C432"/>
      <c r="D432" s="16"/>
      <c r="E432" s="3"/>
      <c r="F432" s="3"/>
      <c r="G432" s="3"/>
      <c r="H432" s="3"/>
    </row>
    <row r="433" spans="1:8" x14ac:dyDescent="0.2">
      <c r="A433"/>
      <c r="B433"/>
      <c r="C433"/>
      <c r="D433" s="16"/>
      <c r="E433" s="3"/>
      <c r="F433" s="3"/>
      <c r="G433" s="3"/>
      <c r="H433" s="3"/>
    </row>
    <row r="434" spans="1:8" x14ac:dyDescent="0.2">
      <c r="A434"/>
      <c r="B434"/>
      <c r="C434"/>
      <c r="D434" s="16"/>
      <c r="E434" s="3"/>
      <c r="F434" s="3"/>
      <c r="G434" s="3"/>
      <c r="H434" s="3"/>
    </row>
    <row r="435" spans="1:8" x14ac:dyDescent="0.2">
      <c r="A435"/>
      <c r="B435"/>
      <c r="C435"/>
      <c r="D435" s="16"/>
      <c r="E435" s="3"/>
      <c r="F435" s="3"/>
      <c r="G435" s="3"/>
      <c r="H435" s="3"/>
    </row>
    <row r="436" spans="1:8" x14ac:dyDescent="0.2">
      <c r="A436"/>
      <c r="B436"/>
      <c r="C436"/>
      <c r="D436" s="16"/>
      <c r="E436" s="3"/>
      <c r="F436" s="3"/>
      <c r="G436" s="3"/>
      <c r="H436" s="3"/>
    </row>
    <row r="437" spans="1:8" x14ac:dyDescent="0.2">
      <c r="A437"/>
      <c r="B437"/>
      <c r="C437"/>
      <c r="D437" s="16"/>
      <c r="E437" s="3"/>
      <c r="F437" s="3"/>
      <c r="G437" s="3"/>
      <c r="H437" s="3"/>
    </row>
    <row r="438" spans="1:8" x14ac:dyDescent="0.2">
      <c r="A438"/>
      <c r="B438"/>
      <c r="C438"/>
      <c r="D438" s="16"/>
      <c r="E438" s="3"/>
      <c r="F438" s="3"/>
      <c r="G438" s="3"/>
      <c r="H438" s="3"/>
    </row>
    <row r="439" spans="1:8" x14ac:dyDescent="0.2">
      <c r="A439"/>
      <c r="B439"/>
      <c r="C439"/>
      <c r="D439" s="16"/>
      <c r="E439" s="3"/>
      <c r="F439" s="3"/>
      <c r="G439" s="3"/>
      <c r="H439" s="3"/>
    </row>
    <row r="440" spans="1:8" x14ac:dyDescent="0.2">
      <c r="A440"/>
      <c r="B440"/>
      <c r="C440"/>
      <c r="D440" s="16"/>
      <c r="E440" s="3"/>
      <c r="F440" s="3"/>
      <c r="G440" s="3"/>
      <c r="H440" s="3"/>
    </row>
    <row r="441" spans="1:8" x14ac:dyDescent="0.2">
      <c r="A441"/>
      <c r="B441"/>
      <c r="C441"/>
      <c r="D441" s="16"/>
      <c r="E441" s="3"/>
      <c r="F441" s="3"/>
      <c r="G441" s="3"/>
      <c r="H441" s="3"/>
    </row>
    <row r="442" spans="1:8" x14ac:dyDescent="0.2">
      <c r="A442"/>
      <c r="B442"/>
      <c r="C442"/>
      <c r="D442" s="16"/>
      <c r="E442" s="3"/>
      <c r="F442" s="3"/>
      <c r="G442" s="3"/>
      <c r="H442" s="3"/>
    </row>
    <row r="443" spans="1:8" x14ac:dyDescent="0.2">
      <c r="A443"/>
      <c r="B443"/>
      <c r="C443"/>
      <c r="D443" s="16"/>
      <c r="E443" s="3"/>
      <c r="F443" s="3"/>
      <c r="G443" s="3"/>
      <c r="H443" s="3"/>
    </row>
    <row r="444" spans="1:8" x14ac:dyDescent="0.2">
      <c r="A444"/>
      <c r="B444"/>
      <c r="C444"/>
      <c r="D444" s="16"/>
      <c r="E444" s="3"/>
      <c r="F444" s="3"/>
      <c r="G444" s="3"/>
      <c r="H444" s="3"/>
    </row>
    <row r="445" spans="1:8" x14ac:dyDescent="0.2">
      <c r="A445"/>
      <c r="B445"/>
      <c r="C445"/>
      <c r="D445" s="16"/>
      <c r="E445" s="3"/>
      <c r="F445" s="3"/>
      <c r="G445" s="3"/>
      <c r="H445" s="3"/>
    </row>
    <row r="446" spans="1:8" x14ac:dyDescent="0.2">
      <c r="A446"/>
      <c r="B446"/>
      <c r="C446"/>
      <c r="D446" s="16"/>
      <c r="E446" s="3"/>
      <c r="F446" s="3"/>
      <c r="G446" s="3"/>
      <c r="H446" s="3"/>
    </row>
  </sheetData>
  <mergeCells count="8">
    <mergeCell ref="A7:B7"/>
    <mergeCell ref="E7:F7"/>
    <mergeCell ref="D7:D8"/>
    <mergeCell ref="B2:F2"/>
    <mergeCell ref="B4:F4"/>
    <mergeCell ref="B6:F6"/>
    <mergeCell ref="B3:F3"/>
    <mergeCell ref="B5:F5"/>
  </mergeCells>
  <phoneticPr fontId="0" type="noConversion"/>
  <pageMargins left="0.49" right="0.28000000000000003" top="0.62" bottom="0.7" header="0.5" footer="0.5"/>
  <pageSetup paperSize="9" scale="42"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BAF94-0A18-464A-8BE4-101E03544A2F}">
  <sheetPr>
    <tabColor rgb="FFFF0000"/>
  </sheetPr>
  <dimension ref="A1:C9"/>
  <sheetViews>
    <sheetView workbookViewId="0">
      <selection activeCell="C24" sqref="C24"/>
    </sheetView>
  </sheetViews>
  <sheetFormatPr defaultRowHeight="12.75" x14ac:dyDescent="0.2"/>
  <cols>
    <col min="2" max="2" width="28.42578125" customWidth="1"/>
    <col min="3" max="3" width="137" customWidth="1"/>
  </cols>
  <sheetData>
    <row r="1" spans="1:3" ht="15.75" thickBot="1" x14ac:dyDescent="0.25">
      <c r="A1" s="194" t="s">
        <v>449</v>
      </c>
      <c r="B1" s="195" t="s">
        <v>450</v>
      </c>
      <c r="C1" s="195" t="s">
        <v>269</v>
      </c>
    </row>
    <row r="2" spans="1:3" ht="45.75" thickBot="1" x14ac:dyDescent="0.25">
      <c r="A2" s="196" t="s">
        <v>451</v>
      </c>
      <c r="B2" s="197" t="s">
        <v>452</v>
      </c>
      <c r="C2" s="198" t="s">
        <v>453</v>
      </c>
    </row>
    <row r="3" spans="1:3" ht="15.75" thickBot="1" x14ac:dyDescent="0.25">
      <c r="A3" s="196" t="s">
        <v>454</v>
      </c>
      <c r="B3" s="197" t="s">
        <v>455</v>
      </c>
      <c r="C3" s="198" t="s">
        <v>456</v>
      </c>
    </row>
    <row r="4" spans="1:3" ht="30.75" thickBot="1" x14ac:dyDescent="0.25">
      <c r="A4" s="196" t="s">
        <v>457</v>
      </c>
      <c r="B4" s="197" t="s">
        <v>458</v>
      </c>
      <c r="C4" s="198" t="s">
        <v>459</v>
      </c>
    </row>
    <row r="5" spans="1:3" ht="45.75" thickBot="1" x14ac:dyDescent="0.25">
      <c r="A5" s="196" t="s">
        <v>460</v>
      </c>
      <c r="B5" s="197" t="s">
        <v>461</v>
      </c>
      <c r="C5" s="198" t="s">
        <v>462</v>
      </c>
    </row>
    <row r="6" spans="1:3" ht="15.75" thickBot="1" x14ac:dyDescent="0.25">
      <c r="A6" s="196" t="s">
        <v>463</v>
      </c>
      <c r="B6" s="197" t="s">
        <v>464</v>
      </c>
      <c r="C6" s="198" t="s">
        <v>465</v>
      </c>
    </row>
    <row r="7" spans="1:3" ht="15.75" thickBot="1" x14ac:dyDescent="0.25">
      <c r="A7" s="196" t="s">
        <v>466</v>
      </c>
      <c r="B7" s="197" t="s">
        <v>467</v>
      </c>
      <c r="C7" s="198" t="s">
        <v>468</v>
      </c>
    </row>
    <row r="8" spans="1:3" ht="15.75" thickBot="1" x14ac:dyDescent="0.25">
      <c r="A8" s="196" t="s">
        <v>469</v>
      </c>
      <c r="B8" s="197" t="s">
        <v>470</v>
      </c>
      <c r="C8" s="198" t="s">
        <v>471</v>
      </c>
    </row>
    <row r="9" spans="1:3" ht="15.75" thickBot="1" x14ac:dyDescent="0.25">
      <c r="A9" s="196" t="s">
        <v>472</v>
      </c>
      <c r="B9" s="197" t="s">
        <v>473</v>
      </c>
      <c r="C9" s="198" t="s">
        <v>474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9"/>
  <sheetViews>
    <sheetView topLeftCell="A4" workbookViewId="0">
      <selection activeCell="D24" sqref="D24"/>
    </sheetView>
  </sheetViews>
  <sheetFormatPr defaultColWidth="8.85546875" defaultRowHeight="12.75" x14ac:dyDescent="0.2"/>
  <cols>
    <col min="1" max="1" width="13.140625" style="10" customWidth="1"/>
    <col min="2" max="2" width="7.28515625" style="10" bestFit="1" customWidth="1"/>
    <col min="3" max="3" width="13.7109375" bestFit="1" customWidth="1"/>
    <col min="4" max="4" width="98.28515625" bestFit="1" customWidth="1"/>
  </cols>
  <sheetData>
    <row r="1" spans="1:4" x14ac:dyDescent="0.2">
      <c r="A1" s="129" t="s">
        <v>104</v>
      </c>
      <c r="B1" s="129" t="s">
        <v>475</v>
      </c>
      <c r="C1" s="96" t="s">
        <v>476</v>
      </c>
      <c r="D1" s="96" t="s">
        <v>477</v>
      </c>
    </row>
    <row r="2" spans="1:4" x14ac:dyDescent="0.2">
      <c r="A2" s="145">
        <v>44503</v>
      </c>
      <c r="B2" s="146" t="s">
        <v>478</v>
      </c>
      <c r="C2" s="80" t="s">
        <v>479</v>
      </c>
      <c r="D2" s="99" t="s">
        <v>480</v>
      </c>
    </row>
    <row r="3" spans="1:4" x14ac:dyDescent="0.2">
      <c r="A3" s="145" t="s">
        <v>481</v>
      </c>
      <c r="B3" s="146" t="s">
        <v>478</v>
      </c>
      <c r="C3" s="80" t="s">
        <v>479</v>
      </c>
      <c r="D3" s="99" t="s">
        <v>482</v>
      </c>
    </row>
    <row r="4" spans="1:4" x14ac:dyDescent="0.2">
      <c r="A4" s="128">
        <v>44523</v>
      </c>
      <c r="B4" s="146" t="s">
        <v>483</v>
      </c>
      <c r="C4" s="80" t="s">
        <v>479</v>
      </c>
      <c r="D4" s="99" t="s">
        <v>484</v>
      </c>
    </row>
    <row r="5" spans="1:4" x14ac:dyDescent="0.2">
      <c r="A5" s="128">
        <v>44568</v>
      </c>
      <c r="B5" s="188">
        <v>1.2</v>
      </c>
      <c r="C5" s="97" t="s">
        <v>479</v>
      </c>
      <c r="D5" s="99" t="s">
        <v>485</v>
      </c>
    </row>
    <row r="6" spans="1:4" x14ac:dyDescent="0.2">
      <c r="A6" s="128">
        <v>44580</v>
      </c>
      <c r="B6" s="188">
        <v>1.3</v>
      </c>
      <c r="C6" s="80" t="s">
        <v>479</v>
      </c>
      <c r="D6" s="99" t="s">
        <v>486</v>
      </c>
    </row>
    <row r="7" spans="1:4" x14ac:dyDescent="0.2">
      <c r="A7" s="128"/>
      <c r="B7" s="188">
        <v>1.4</v>
      </c>
      <c r="C7" s="80" t="s">
        <v>479</v>
      </c>
      <c r="D7" s="99" t="s">
        <v>487</v>
      </c>
    </row>
    <row r="8" spans="1:4" x14ac:dyDescent="0.2">
      <c r="A8" s="128"/>
      <c r="B8" s="188">
        <v>1.5</v>
      </c>
      <c r="C8" s="80" t="s">
        <v>479</v>
      </c>
      <c r="D8" s="99" t="s">
        <v>488</v>
      </c>
    </row>
    <row r="9" spans="1:4" s="10" customFormat="1" x14ac:dyDescent="0.2">
      <c r="A9" s="128">
        <v>45042</v>
      </c>
      <c r="B9" s="188">
        <v>1.6</v>
      </c>
      <c r="C9" s="94" t="s">
        <v>479</v>
      </c>
      <c r="D9" s="134" t="s">
        <v>489</v>
      </c>
    </row>
    <row r="10" spans="1:4" s="10" customFormat="1" x14ac:dyDescent="0.2">
      <c r="A10" s="128">
        <v>45204</v>
      </c>
      <c r="B10" s="188">
        <v>1.7</v>
      </c>
      <c r="C10" s="94" t="s">
        <v>479</v>
      </c>
      <c r="D10" s="134" t="s">
        <v>490</v>
      </c>
    </row>
    <row r="11" spans="1:4" s="10" customFormat="1" x14ac:dyDescent="0.2">
      <c r="A11" s="128">
        <v>45070</v>
      </c>
      <c r="B11" s="188">
        <v>1.8</v>
      </c>
      <c r="C11" s="94" t="s">
        <v>479</v>
      </c>
      <c r="D11" s="134" t="s">
        <v>491</v>
      </c>
    </row>
    <row r="12" spans="1:4" s="10" customFormat="1" x14ac:dyDescent="0.2">
      <c r="A12" s="128">
        <v>45082</v>
      </c>
      <c r="B12" s="188">
        <v>1.9</v>
      </c>
      <c r="C12" s="94" t="s">
        <v>479</v>
      </c>
      <c r="D12" s="134" t="s">
        <v>492</v>
      </c>
    </row>
    <row r="13" spans="1:4" s="10" customFormat="1" x14ac:dyDescent="0.2">
      <c r="A13" s="128">
        <v>45092</v>
      </c>
      <c r="B13" s="146" t="s">
        <v>493</v>
      </c>
      <c r="C13" s="94" t="s">
        <v>479</v>
      </c>
      <c r="D13" s="134" t="s">
        <v>494</v>
      </c>
    </row>
    <row r="14" spans="1:4" s="10" customFormat="1" x14ac:dyDescent="0.2">
      <c r="A14" s="128">
        <v>45104</v>
      </c>
      <c r="B14" s="146" t="s">
        <v>495</v>
      </c>
      <c r="C14" s="94" t="s">
        <v>479</v>
      </c>
      <c r="D14" s="134" t="s">
        <v>496</v>
      </c>
    </row>
    <row r="15" spans="1:4" s="10" customFormat="1" x14ac:dyDescent="0.2">
      <c r="A15" s="128">
        <v>45251</v>
      </c>
      <c r="B15" s="146" t="s">
        <v>497</v>
      </c>
      <c r="C15" s="94" t="s">
        <v>479</v>
      </c>
      <c r="D15" s="134" t="s">
        <v>498</v>
      </c>
    </row>
    <row r="16" spans="1:4" s="10" customFormat="1" x14ac:dyDescent="0.2">
      <c r="A16" s="128">
        <v>45253</v>
      </c>
      <c r="B16" s="146" t="s">
        <v>499</v>
      </c>
      <c r="C16" s="94" t="s">
        <v>479</v>
      </c>
      <c r="D16" s="134" t="s">
        <v>500</v>
      </c>
    </row>
    <row r="17" spans="1:4" s="10" customFormat="1" ht="25.5" x14ac:dyDescent="0.2">
      <c r="A17" s="128">
        <v>45261</v>
      </c>
      <c r="B17" s="146" t="s">
        <v>501</v>
      </c>
      <c r="C17" s="94" t="s">
        <v>479</v>
      </c>
      <c r="D17" s="134" t="s">
        <v>502</v>
      </c>
    </row>
    <row r="18" spans="1:4" s="10" customFormat="1" x14ac:dyDescent="0.2">
      <c r="A18" s="128"/>
      <c r="B18" s="188"/>
      <c r="C18" s="94"/>
      <c r="D18" s="134"/>
    </row>
    <row r="19" spans="1:4" s="10" customFormat="1" x14ac:dyDescent="0.2">
      <c r="A19" s="186"/>
      <c r="C19" s="74"/>
      <c r="D19" s="187"/>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F1E93-4F72-42D7-9054-88B627D8F77E}">
  <sheetPr>
    <tabColor rgb="FFFFFF00"/>
  </sheetPr>
  <dimension ref="A1:Q67"/>
  <sheetViews>
    <sheetView zoomScaleNormal="100" zoomScalePageLayoutView="130" workbookViewId="0">
      <pane xSplit="7" ySplit="9" topLeftCell="H18" activePane="bottomRight" state="frozen"/>
      <selection pane="topRight" activeCell="H1" sqref="H1"/>
      <selection pane="bottomLeft" activeCell="A10" sqref="A10"/>
      <selection pane="bottomRight" activeCell="C26" sqref="C26"/>
    </sheetView>
  </sheetViews>
  <sheetFormatPr defaultColWidth="52" defaultRowHeight="12.75" x14ac:dyDescent="0.2"/>
  <cols>
    <col min="1" max="1" width="26.85546875" style="85" customWidth="1"/>
    <col min="2" max="2" width="16.28515625" style="84" customWidth="1"/>
    <col min="3" max="3" width="33" style="84" customWidth="1"/>
    <col min="4" max="4" width="0.140625" style="84" hidden="1" customWidth="1"/>
    <col min="5" max="5" width="11.28515625" style="84" hidden="1" customWidth="1"/>
    <col min="6" max="6" width="13.5703125" style="85" hidden="1" customWidth="1"/>
    <col min="7" max="7" width="12.140625" style="93" hidden="1" customWidth="1"/>
    <col min="8" max="8" width="51.140625" style="78" customWidth="1"/>
    <col min="9" max="9" width="22.85546875" style="84" customWidth="1"/>
    <col min="10" max="10" width="8.85546875" style="84" customWidth="1"/>
    <col min="11" max="11" width="9.42578125" style="84" customWidth="1"/>
    <col min="12" max="12" width="15.42578125" style="84" customWidth="1"/>
    <col min="13" max="13" width="19.85546875" style="84" customWidth="1"/>
    <col min="14" max="14" width="12" style="84" customWidth="1"/>
    <col min="15" max="15" width="9.7109375" style="84" customWidth="1"/>
    <col min="16" max="16" width="8.42578125" style="66" customWidth="1"/>
    <col min="17" max="17" width="30.28515625" style="157" customWidth="1"/>
    <col min="18" max="16384" width="52" style="84"/>
  </cols>
  <sheetData>
    <row r="1" spans="1:17" ht="18" x14ac:dyDescent="0.25">
      <c r="A1" s="105" t="s">
        <v>210</v>
      </c>
      <c r="B1" s="1" t="s">
        <v>503</v>
      </c>
      <c r="C1" s="2"/>
      <c r="D1" s="2"/>
      <c r="E1" s="2"/>
      <c r="F1" s="98"/>
      <c r="G1" s="98"/>
      <c r="H1" s="155"/>
      <c r="I1" s="2"/>
      <c r="J1" s="2"/>
      <c r="K1" s="2"/>
      <c r="L1" s="2"/>
      <c r="M1" s="2"/>
      <c r="N1" s="2"/>
      <c r="O1" s="2"/>
      <c r="P1" s="140"/>
    </row>
    <row r="2" spans="1:17" x14ac:dyDescent="0.2">
      <c r="A2" s="137" t="s">
        <v>211</v>
      </c>
      <c r="B2" s="239" t="s">
        <v>504</v>
      </c>
      <c r="C2" s="239"/>
      <c r="D2" s="239"/>
      <c r="E2" s="239"/>
      <c r="F2" s="239"/>
      <c r="G2" s="239"/>
      <c r="H2" s="239"/>
      <c r="I2" s="239"/>
      <c r="J2" s="239"/>
      <c r="K2" s="2"/>
      <c r="L2" s="2"/>
      <c r="M2" s="2"/>
      <c r="N2" s="2"/>
      <c r="O2" s="2"/>
      <c r="P2" s="140"/>
    </row>
    <row r="3" spans="1:17" x14ac:dyDescent="0.2">
      <c r="A3" s="137" t="s">
        <v>213</v>
      </c>
      <c r="B3" s="239" t="s">
        <v>505</v>
      </c>
      <c r="C3" s="239"/>
      <c r="D3" s="239"/>
      <c r="E3" s="239"/>
      <c r="F3" s="239"/>
      <c r="G3" s="239"/>
      <c r="H3" s="239"/>
      <c r="I3" s="239"/>
      <c r="J3" s="239"/>
      <c r="K3" s="2"/>
      <c r="L3" s="2"/>
      <c r="M3" s="2"/>
      <c r="N3" s="2"/>
      <c r="O3" s="2"/>
      <c r="P3" s="140"/>
    </row>
    <row r="4" spans="1:17" x14ac:dyDescent="0.2">
      <c r="A4" s="137" t="s">
        <v>214</v>
      </c>
      <c r="B4" s="239" t="s">
        <v>506</v>
      </c>
      <c r="C4" s="239"/>
      <c r="D4" s="239"/>
      <c r="E4" s="239"/>
      <c r="F4" s="239"/>
      <c r="G4" s="239"/>
      <c r="H4" s="239"/>
      <c r="I4" s="239"/>
      <c r="J4" s="239"/>
      <c r="K4" s="2"/>
      <c r="L4" s="2"/>
      <c r="M4" s="2"/>
      <c r="N4" s="2"/>
      <c r="O4" s="2"/>
      <c r="P4" s="140"/>
    </row>
    <row r="5" spans="1:17" x14ac:dyDescent="0.2">
      <c r="A5" s="137" t="s">
        <v>215</v>
      </c>
      <c r="B5" s="239" t="s">
        <v>507</v>
      </c>
      <c r="C5" s="239"/>
      <c r="D5" s="239"/>
      <c r="E5" s="239"/>
      <c r="F5" s="239"/>
      <c r="G5" s="239"/>
      <c r="H5" s="239"/>
      <c r="I5" s="239"/>
      <c r="J5" s="239"/>
      <c r="K5" s="2"/>
      <c r="L5" s="2"/>
      <c r="M5" s="2"/>
      <c r="N5" s="2"/>
      <c r="O5" s="2"/>
      <c r="P5" s="140"/>
    </row>
    <row r="6" spans="1:17" x14ac:dyDescent="0.2">
      <c r="A6" s="137" t="s">
        <v>216</v>
      </c>
      <c r="B6" s="239" t="s">
        <v>508</v>
      </c>
      <c r="C6" s="239"/>
      <c r="D6" s="239"/>
      <c r="E6" s="239"/>
      <c r="F6" s="239"/>
      <c r="G6" s="239"/>
      <c r="H6" s="239"/>
      <c r="I6" s="239"/>
      <c r="J6" s="239"/>
      <c r="K6" s="2"/>
      <c r="L6" s="2"/>
      <c r="M6" s="2"/>
      <c r="N6" s="2"/>
      <c r="O6" s="2"/>
      <c r="P6" s="140"/>
    </row>
    <row r="7" spans="1:17" x14ac:dyDescent="0.2">
      <c r="A7" s="137" t="s">
        <v>509</v>
      </c>
      <c r="B7" s="2" t="s">
        <v>510</v>
      </c>
      <c r="C7" s="2"/>
      <c r="D7" s="2"/>
      <c r="E7" s="2"/>
      <c r="F7" s="98"/>
      <c r="G7" s="98"/>
      <c r="H7" s="155"/>
      <c r="I7" s="2"/>
      <c r="J7" s="2"/>
      <c r="K7" s="2"/>
      <c r="L7" s="2"/>
      <c r="M7" s="2"/>
      <c r="N7" s="2"/>
      <c r="O7" s="2"/>
      <c r="P7" s="140"/>
    </row>
    <row r="8" spans="1:17" x14ac:dyDescent="0.2">
      <c r="A8" s="241" t="s">
        <v>511</v>
      </c>
      <c r="B8" s="241"/>
      <c r="C8" s="241" t="s">
        <v>512</v>
      </c>
      <c r="D8" s="242" t="s">
        <v>513</v>
      </c>
      <c r="E8" s="241" t="s">
        <v>514</v>
      </c>
      <c r="F8" s="243" t="s">
        <v>515</v>
      </c>
      <c r="G8" s="138" t="s">
        <v>516</v>
      </c>
      <c r="H8" s="242" t="s">
        <v>218</v>
      </c>
      <c r="I8" s="241" t="s">
        <v>517</v>
      </c>
      <c r="J8" s="241"/>
      <c r="K8" s="137" t="s">
        <v>518</v>
      </c>
      <c r="L8" s="137"/>
      <c r="M8" s="241" t="s">
        <v>519</v>
      </c>
      <c r="N8" s="242" t="s">
        <v>513</v>
      </c>
      <c r="O8" s="242" t="s">
        <v>514</v>
      </c>
      <c r="P8" s="244" t="s">
        <v>515</v>
      </c>
      <c r="Q8" s="242" t="s">
        <v>520</v>
      </c>
    </row>
    <row r="9" spans="1:17" x14ac:dyDescent="0.2">
      <c r="A9" s="137" t="s">
        <v>220</v>
      </c>
      <c r="B9" s="137" t="s">
        <v>9</v>
      </c>
      <c r="C9" s="241"/>
      <c r="D9" s="242"/>
      <c r="E9" s="241"/>
      <c r="F9" s="243"/>
      <c r="G9" s="138"/>
      <c r="H9" s="242"/>
      <c r="I9" s="152" t="s">
        <v>521</v>
      </c>
      <c r="J9" s="137" t="s">
        <v>522</v>
      </c>
      <c r="K9" s="137" t="s">
        <v>220</v>
      </c>
      <c r="L9" s="137" t="s">
        <v>449</v>
      </c>
      <c r="M9" s="241"/>
      <c r="N9" s="242"/>
      <c r="O9" s="242"/>
      <c r="P9" s="244"/>
      <c r="Q9" s="242"/>
    </row>
    <row r="10" spans="1:17" s="88" customFormat="1" ht="35.450000000000003" customHeight="1" x14ac:dyDescent="0.2">
      <c r="D10" s="2" t="s">
        <v>523</v>
      </c>
      <c r="E10" s="93"/>
      <c r="F10" s="93"/>
      <c r="H10" s="190" t="s">
        <v>524</v>
      </c>
      <c r="Q10" s="101"/>
    </row>
    <row r="11" spans="1:17" s="88" customFormat="1" x14ac:dyDescent="0.2">
      <c r="D11" s="2"/>
      <c r="E11" s="93"/>
      <c r="F11" s="93"/>
      <c r="H11" s="101" t="s">
        <v>525</v>
      </c>
      <c r="L11" s="2"/>
      <c r="M11" s="88" t="s">
        <v>526</v>
      </c>
      <c r="O11" s="88" t="s">
        <v>527</v>
      </c>
      <c r="Q11" s="101"/>
    </row>
    <row r="12" spans="1:17" s="88" customFormat="1" x14ac:dyDescent="0.2">
      <c r="D12" s="2"/>
      <c r="E12" s="93"/>
      <c r="F12" s="93"/>
      <c r="H12" s="101" t="s">
        <v>528</v>
      </c>
      <c r="L12" s="2"/>
      <c r="M12" s="88" t="s">
        <v>529</v>
      </c>
      <c r="O12" s="2" t="s">
        <v>527</v>
      </c>
      <c r="P12" s="140"/>
      <c r="Q12" s="101"/>
    </row>
    <row r="13" spans="1:17" s="88" customFormat="1" x14ac:dyDescent="0.2">
      <c r="D13" s="2"/>
      <c r="E13" s="93"/>
      <c r="F13" s="93"/>
      <c r="H13" s="101" t="s">
        <v>528</v>
      </c>
      <c r="L13" s="2"/>
      <c r="M13" s="88" t="s">
        <v>530</v>
      </c>
      <c r="O13" s="2" t="s">
        <v>527</v>
      </c>
      <c r="P13" s="140"/>
      <c r="Q13" s="101"/>
    </row>
    <row r="14" spans="1:17" ht="25.5" x14ac:dyDescent="0.2">
      <c r="A14" s="89" t="s">
        <v>531</v>
      </c>
      <c r="B14" s="68"/>
      <c r="C14" s="83" t="s">
        <v>532</v>
      </c>
      <c r="D14" s="68"/>
      <c r="E14" s="83"/>
      <c r="F14" s="68"/>
      <c r="G14" s="83"/>
      <c r="H14" s="101" t="s">
        <v>533</v>
      </c>
      <c r="I14" s="154" t="s">
        <v>534</v>
      </c>
      <c r="M14" s="88" t="s">
        <v>535</v>
      </c>
      <c r="N14" s="83"/>
      <c r="O14" s="68"/>
      <c r="P14" s="69"/>
    </row>
    <row r="15" spans="1:17" x14ac:dyDescent="0.2">
      <c r="A15" s="89"/>
      <c r="B15" s="68"/>
      <c r="C15" s="83"/>
      <c r="D15" s="68"/>
      <c r="E15" s="83"/>
      <c r="F15" s="68"/>
      <c r="G15" s="83"/>
      <c r="H15" s="160" t="s">
        <v>536</v>
      </c>
      <c r="M15" s="88" t="s">
        <v>537</v>
      </c>
      <c r="N15" s="83"/>
      <c r="O15" s="68"/>
      <c r="P15" s="69"/>
    </row>
    <row r="16" spans="1:17" ht="39" customHeight="1" x14ac:dyDescent="0.2">
      <c r="A16" s="89"/>
      <c r="B16" s="89"/>
      <c r="C16" s="83"/>
      <c r="D16" s="89"/>
      <c r="E16" s="83"/>
      <c r="F16" s="89"/>
      <c r="G16" s="83"/>
      <c r="H16" s="160" t="s">
        <v>536</v>
      </c>
      <c r="M16" s="88" t="s">
        <v>538</v>
      </c>
      <c r="N16" s="83"/>
      <c r="O16" s="89"/>
      <c r="P16" s="75"/>
    </row>
    <row r="17" spans="1:17" ht="26.45" customHeight="1" x14ac:dyDescent="0.2">
      <c r="A17" s="89" t="s">
        <v>531</v>
      </c>
      <c r="B17" s="68"/>
      <c r="C17" s="101" t="s">
        <v>539</v>
      </c>
      <c r="D17" s="68"/>
      <c r="E17" s="83"/>
      <c r="F17" s="68"/>
      <c r="G17" s="83"/>
      <c r="H17" s="101" t="s">
        <v>540</v>
      </c>
      <c r="I17" s="154" t="s">
        <v>541</v>
      </c>
      <c r="K17" s="88" t="s">
        <v>542</v>
      </c>
      <c r="L17" s="83" t="s">
        <v>543</v>
      </c>
      <c r="M17" s="88" t="s">
        <v>544</v>
      </c>
      <c r="N17" s="83"/>
      <c r="O17" s="68"/>
      <c r="P17" s="69"/>
    </row>
    <row r="18" spans="1:17" ht="38.25" x14ac:dyDescent="0.2">
      <c r="A18" s="89" t="s">
        <v>531</v>
      </c>
      <c r="B18" s="68"/>
      <c r="C18" s="149" t="s">
        <v>545</v>
      </c>
      <c r="D18" s="68"/>
      <c r="E18" s="83"/>
      <c r="F18" s="68"/>
      <c r="G18" s="83"/>
      <c r="H18" s="101" t="s">
        <v>540</v>
      </c>
      <c r="I18" s="154" t="s">
        <v>546</v>
      </c>
      <c r="K18" s="88" t="s">
        <v>542</v>
      </c>
      <c r="L18" s="88" t="s">
        <v>547</v>
      </c>
      <c r="M18" s="88" t="s">
        <v>548</v>
      </c>
      <c r="N18" s="83" t="s">
        <v>549</v>
      </c>
      <c r="O18" s="68"/>
      <c r="P18" s="69"/>
    </row>
    <row r="19" spans="1:17" x14ac:dyDescent="0.2">
      <c r="A19" s="88"/>
      <c r="E19" s="88"/>
      <c r="G19" s="85"/>
      <c r="H19" s="160" t="s">
        <v>536</v>
      </c>
      <c r="K19" s="88" t="s">
        <v>542</v>
      </c>
      <c r="L19" s="88" t="s">
        <v>550</v>
      </c>
      <c r="M19" s="88" t="s">
        <v>551</v>
      </c>
      <c r="N19" s="83"/>
      <c r="O19" s="68"/>
      <c r="P19" s="69"/>
      <c r="Q19" s="191" t="s">
        <v>552</v>
      </c>
    </row>
    <row r="20" spans="1:17" x14ac:dyDescent="0.2">
      <c r="A20" s="88"/>
      <c r="E20" s="88"/>
      <c r="G20" s="85"/>
      <c r="H20" s="160" t="s">
        <v>536</v>
      </c>
      <c r="K20" s="88" t="s">
        <v>542</v>
      </c>
      <c r="L20" s="88" t="s">
        <v>553</v>
      </c>
      <c r="M20" s="88" t="s">
        <v>554</v>
      </c>
      <c r="N20" s="83"/>
      <c r="O20" s="68"/>
      <c r="P20" s="69"/>
      <c r="Q20" s="191" t="s">
        <v>552</v>
      </c>
    </row>
    <row r="21" spans="1:17" x14ac:dyDescent="0.2">
      <c r="A21" s="88"/>
      <c r="C21" s="88"/>
      <c r="E21" s="88"/>
      <c r="G21" s="85"/>
      <c r="H21" s="160" t="s">
        <v>536</v>
      </c>
      <c r="K21" s="88" t="s">
        <v>542</v>
      </c>
      <c r="L21" s="88" t="s">
        <v>555</v>
      </c>
      <c r="M21" s="88" t="s">
        <v>556</v>
      </c>
      <c r="N21" s="83"/>
      <c r="O21" s="68"/>
      <c r="P21" s="69"/>
      <c r="Q21" s="191" t="s">
        <v>552</v>
      </c>
    </row>
    <row r="22" spans="1:17" ht="38.25" x14ac:dyDescent="0.2">
      <c r="A22" s="89" t="s">
        <v>531</v>
      </c>
      <c r="B22" s="68"/>
      <c r="C22" s="83" t="s">
        <v>557</v>
      </c>
      <c r="D22" s="68"/>
      <c r="E22" s="83"/>
      <c r="F22" s="68"/>
      <c r="G22" s="83"/>
      <c r="H22" s="101" t="s">
        <v>558</v>
      </c>
      <c r="I22" s="154" t="s">
        <v>559</v>
      </c>
      <c r="K22" s="88" t="s">
        <v>542</v>
      </c>
      <c r="L22" s="88" t="s">
        <v>560</v>
      </c>
      <c r="M22" s="88" t="s">
        <v>560</v>
      </c>
      <c r="N22" s="83"/>
      <c r="O22" s="68"/>
      <c r="P22" s="69"/>
    </row>
    <row r="23" spans="1:17" x14ac:dyDescent="0.2">
      <c r="A23" s="89"/>
      <c r="B23" s="89"/>
      <c r="C23" s="83"/>
      <c r="D23" s="89"/>
      <c r="E23" s="83"/>
      <c r="F23" s="89"/>
      <c r="G23" s="83"/>
      <c r="H23" s="160" t="s">
        <v>536</v>
      </c>
      <c r="K23" s="88" t="s">
        <v>542</v>
      </c>
      <c r="L23" s="88" t="s">
        <v>561</v>
      </c>
      <c r="M23" s="88" t="s">
        <v>562</v>
      </c>
      <c r="N23" s="83"/>
      <c r="O23" s="89"/>
      <c r="P23" s="75"/>
    </row>
    <row r="24" spans="1:17" x14ac:dyDescent="0.2">
      <c r="A24" s="89"/>
      <c r="B24" s="89"/>
      <c r="C24" s="83"/>
      <c r="D24" s="89"/>
      <c r="E24" s="83"/>
      <c r="F24" s="89"/>
      <c r="G24" s="83"/>
      <c r="H24" s="160" t="s">
        <v>536</v>
      </c>
      <c r="K24" s="88" t="s">
        <v>542</v>
      </c>
      <c r="L24" s="88" t="s">
        <v>561</v>
      </c>
      <c r="M24" s="88" t="s">
        <v>563</v>
      </c>
      <c r="N24" s="83"/>
      <c r="O24" s="89"/>
      <c r="P24" s="75"/>
    </row>
    <row r="25" spans="1:17" x14ac:dyDescent="0.2">
      <c r="A25" s="89"/>
      <c r="B25" s="89"/>
      <c r="C25" s="83"/>
      <c r="D25" s="89"/>
      <c r="E25" s="83"/>
      <c r="F25" s="89"/>
      <c r="G25" s="83"/>
      <c r="H25" s="160" t="s">
        <v>536</v>
      </c>
      <c r="K25" s="88" t="s">
        <v>542</v>
      </c>
      <c r="L25" s="88" t="s">
        <v>561</v>
      </c>
      <c r="M25" s="88" t="s">
        <v>564</v>
      </c>
      <c r="N25" s="83"/>
      <c r="O25" s="89"/>
      <c r="P25" s="75"/>
    </row>
    <row r="26" spans="1:17" ht="25.5" x14ac:dyDescent="0.2">
      <c r="A26" s="89"/>
      <c r="B26" s="89"/>
      <c r="C26" s="88" t="s">
        <v>565</v>
      </c>
      <c r="D26" s="89"/>
      <c r="E26" s="83"/>
      <c r="F26" s="89"/>
      <c r="G26" s="83"/>
      <c r="H26" s="101" t="s">
        <v>566</v>
      </c>
      <c r="K26" s="88" t="s">
        <v>542</v>
      </c>
      <c r="L26" s="88" t="s">
        <v>561</v>
      </c>
      <c r="M26" s="88" t="s">
        <v>567</v>
      </c>
      <c r="N26" s="83"/>
      <c r="O26" s="89"/>
      <c r="P26" s="75"/>
      <c r="Q26" s="192" t="s">
        <v>568</v>
      </c>
    </row>
    <row r="27" spans="1:17" x14ac:dyDescent="0.2">
      <c r="A27" s="89"/>
      <c r="B27" s="89"/>
      <c r="C27" s="88" t="s">
        <v>565</v>
      </c>
      <c r="D27" s="89"/>
      <c r="E27" s="83"/>
      <c r="F27" s="89"/>
      <c r="G27" s="83"/>
      <c r="H27" s="101" t="s">
        <v>566</v>
      </c>
      <c r="K27" s="88" t="s">
        <v>542</v>
      </c>
      <c r="L27" s="88" t="s">
        <v>561</v>
      </c>
      <c r="M27" s="88" t="s">
        <v>569</v>
      </c>
      <c r="N27" s="83"/>
      <c r="O27" s="89"/>
      <c r="P27" s="75"/>
      <c r="Q27" s="192"/>
    </row>
    <row r="28" spans="1:17" x14ac:dyDescent="0.2">
      <c r="A28" s="89"/>
      <c r="B28" s="89"/>
      <c r="C28" s="88" t="s">
        <v>565</v>
      </c>
      <c r="D28" s="89"/>
      <c r="E28" s="83"/>
      <c r="F28" s="89"/>
      <c r="G28" s="83"/>
      <c r="H28" s="101" t="s">
        <v>566</v>
      </c>
      <c r="K28" s="88" t="s">
        <v>542</v>
      </c>
      <c r="L28" s="88" t="s">
        <v>561</v>
      </c>
      <c r="M28" s="88" t="s">
        <v>570</v>
      </c>
      <c r="N28" s="83"/>
      <c r="O28" s="89"/>
      <c r="P28" s="75"/>
      <c r="Q28" s="192"/>
    </row>
    <row r="29" spans="1:17" x14ac:dyDescent="0.2">
      <c r="A29" s="89"/>
      <c r="B29" s="89"/>
      <c r="C29" s="83"/>
      <c r="D29" s="89"/>
      <c r="E29" s="83"/>
      <c r="F29" s="89"/>
      <c r="G29" s="83"/>
      <c r="H29" s="101" t="s">
        <v>571</v>
      </c>
      <c r="I29" s="83"/>
      <c r="J29" s="83"/>
      <c r="K29" s="88" t="s">
        <v>542</v>
      </c>
      <c r="L29" s="83" t="s">
        <v>572</v>
      </c>
      <c r="M29" s="88" t="s">
        <v>573</v>
      </c>
      <c r="N29" s="83"/>
      <c r="O29" s="89"/>
      <c r="P29" s="75"/>
    </row>
    <row r="30" spans="1:17" ht="25.5" x14ac:dyDescent="0.2">
      <c r="A30" s="89"/>
      <c r="B30" s="68"/>
      <c r="C30" s="83"/>
      <c r="D30" s="68"/>
      <c r="E30" s="83"/>
      <c r="F30" s="68"/>
      <c r="G30" s="83"/>
      <c r="H30" s="101"/>
      <c r="I30" s="83"/>
      <c r="J30" s="83"/>
      <c r="K30" s="83"/>
      <c r="L30" s="83"/>
      <c r="M30" s="88"/>
      <c r="N30" s="83"/>
      <c r="O30" s="68"/>
      <c r="P30" s="69"/>
      <c r="Q30" s="191" t="s">
        <v>574</v>
      </c>
    </row>
    <row r="31" spans="1:17" x14ac:dyDescent="0.2">
      <c r="A31" s="89"/>
      <c r="B31" s="68"/>
      <c r="C31" s="83"/>
      <c r="D31" s="83"/>
      <c r="E31" s="89"/>
      <c r="F31" s="93"/>
      <c r="H31" s="101"/>
      <c r="I31" s="83"/>
      <c r="J31" s="83"/>
      <c r="K31" s="83"/>
      <c r="L31" s="83"/>
      <c r="M31" s="88"/>
      <c r="N31" s="83"/>
      <c r="O31" s="89"/>
      <c r="P31" s="75"/>
    </row>
    <row r="32" spans="1:17" x14ac:dyDescent="0.2">
      <c r="A32" s="102" t="s">
        <v>575</v>
      </c>
      <c r="E32" s="88"/>
      <c r="G32" s="85"/>
      <c r="H32" s="101"/>
      <c r="M32" s="88"/>
      <c r="N32" s="83"/>
      <c r="O32" s="88"/>
      <c r="P32" s="94"/>
    </row>
    <row r="33" spans="1:17" x14ac:dyDescent="0.2">
      <c r="A33" s="88" t="s">
        <v>576</v>
      </c>
      <c r="C33" s="88"/>
      <c r="E33" s="88"/>
      <c r="G33" s="85"/>
      <c r="H33" s="101"/>
      <c r="L33" s="88"/>
      <c r="M33" s="88"/>
      <c r="N33" s="83"/>
      <c r="O33" s="88"/>
      <c r="P33" s="94"/>
    </row>
    <row r="34" spans="1:17" x14ac:dyDescent="0.2">
      <c r="A34" s="88"/>
      <c r="C34" s="88"/>
      <c r="E34" s="88"/>
      <c r="G34" s="85"/>
      <c r="H34" s="101"/>
      <c r="L34" s="88"/>
      <c r="M34" s="88"/>
      <c r="N34" s="83"/>
      <c r="O34" s="88"/>
      <c r="P34" s="94"/>
    </row>
    <row r="35" spans="1:17" x14ac:dyDescent="0.2">
      <c r="A35" s="88"/>
      <c r="C35" s="88"/>
      <c r="E35" s="88"/>
      <c r="G35" s="85"/>
      <c r="H35" s="101"/>
      <c r="L35" s="88"/>
      <c r="M35" s="88"/>
      <c r="N35" s="83"/>
      <c r="O35" s="88"/>
      <c r="P35" s="94"/>
    </row>
    <row r="36" spans="1:17" x14ac:dyDescent="0.2">
      <c r="A36" s="88"/>
      <c r="E36" s="88"/>
      <c r="G36" s="85"/>
      <c r="H36" s="157"/>
      <c r="M36" s="88" t="s">
        <v>577</v>
      </c>
      <c r="N36" s="83"/>
      <c r="O36" s="88"/>
      <c r="P36" s="94"/>
    </row>
    <row r="37" spans="1:17" x14ac:dyDescent="0.2">
      <c r="A37" s="89"/>
      <c r="B37" s="68"/>
      <c r="C37" s="83"/>
      <c r="D37" s="83"/>
      <c r="E37" s="89"/>
      <c r="F37" s="93"/>
      <c r="H37" s="101"/>
      <c r="I37" s="83"/>
      <c r="J37" s="83"/>
      <c r="K37" s="83"/>
      <c r="L37" s="83"/>
      <c r="M37" s="88"/>
      <c r="N37" s="83"/>
      <c r="O37" s="89"/>
      <c r="P37" s="75"/>
    </row>
    <row r="38" spans="1:17" x14ac:dyDescent="0.2">
      <c r="A38" s="89"/>
      <c r="B38" s="68"/>
      <c r="C38" s="83"/>
      <c r="D38" s="142"/>
      <c r="E38" s="142"/>
      <c r="F38" s="142"/>
      <c r="G38" s="142"/>
      <c r="H38" s="157"/>
      <c r="I38" s="83"/>
      <c r="J38" s="83"/>
      <c r="K38" s="83"/>
      <c r="L38" s="83"/>
      <c r="M38" s="88"/>
      <c r="N38" s="76"/>
      <c r="O38" s="89"/>
      <c r="P38" s="75"/>
    </row>
    <row r="39" spans="1:17" s="10" customFormat="1" ht="13.5" customHeight="1" x14ac:dyDescent="0.2">
      <c r="A39" s="75"/>
      <c r="B39" s="75"/>
      <c r="C39" s="76"/>
      <c r="D39" s="76"/>
      <c r="E39" s="75"/>
      <c r="F39" s="66"/>
      <c r="G39" s="72"/>
      <c r="H39" s="161"/>
      <c r="I39" s="76"/>
      <c r="J39" s="65"/>
      <c r="K39" s="65"/>
      <c r="L39" s="65"/>
      <c r="M39" s="65"/>
      <c r="N39" s="76"/>
      <c r="O39" s="67"/>
      <c r="P39" s="75"/>
      <c r="Q39" s="247"/>
    </row>
    <row r="40" spans="1:17" s="10" customFormat="1" ht="14.25" x14ac:dyDescent="0.2">
      <c r="A40" s="75"/>
      <c r="B40" s="75"/>
      <c r="C40" s="81"/>
      <c r="D40" s="76"/>
      <c r="E40" s="75"/>
      <c r="F40" s="139"/>
      <c r="G40" s="72"/>
      <c r="H40" s="161"/>
      <c r="I40" s="76"/>
      <c r="J40" s="65"/>
      <c r="K40" s="65"/>
      <c r="L40" s="65"/>
      <c r="M40" s="65"/>
      <c r="N40" s="76"/>
      <c r="O40" s="67"/>
      <c r="P40" s="75"/>
      <c r="Q40" s="247"/>
    </row>
    <row r="41" spans="1:17" s="110" customFormat="1" x14ac:dyDescent="0.2">
      <c r="A41" s="68"/>
      <c r="B41" s="68"/>
      <c r="C41" s="108"/>
      <c r="D41" s="86"/>
      <c r="E41" s="68"/>
      <c r="F41" s="71"/>
      <c r="G41" s="109"/>
      <c r="H41" s="143"/>
      <c r="I41" s="113"/>
      <c r="J41" s="114"/>
      <c r="K41" s="114"/>
      <c r="L41" s="114"/>
      <c r="M41" s="106"/>
      <c r="N41" s="76"/>
      <c r="O41" s="115"/>
      <c r="P41" s="69"/>
      <c r="Q41" s="193"/>
    </row>
    <row r="42" spans="1:17" s="110" customFormat="1" x14ac:dyDescent="0.2">
      <c r="A42" s="68"/>
      <c r="B42" s="68"/>
      <c r="C42" s="108"/>
      <c r="D42" s="86"/>
      <c r="E42" s="68"/>
      <c r="F42" s="71"/>
      <c r="G42" s="109"/>
      <c r="H42" s="143"/>
      <c r="I42" s="113"/>
      <c r="J42" s="116"/>
      <c r="K42" s="116"/>
      <c r="L42" s="116"/>
      <c r="M42" s="106"/>
      <c r="N42" s="76"/>
      <c r="O42" s="115"/>
      <c r="P42" s="69"/>
      <c r="Q42" s="193"/>
    </row>
    <row r="43" spans="1:17" s="110" customFormat="1" x14ac:dyDescent="0.2">
      <c r="A43" s="68"/>
      <c r="B43" s="68"/>
      <c r="C43" s="108"/>
      <c r="D43" s="76"/>
      <c r="E43" s="68"/>
      <c r="F43" s="71"/>
      <c r="G43" s="109"/>
      <c r="H43" s="143"/>
      <c r="I43" s="113"/>
      <c r="J43" s="116"/>
      <c r="K43" s="116"/>
      <c r="L43" s="116"/>
      <c r="M43" s="106"/>
      <c r="N43" s="106"/>
      <c r="O43" s="115"/>
      <c r="P43" s="69"/>
      <c r="Q43" s="193"/>
    </row>
    <row r="44" spans="1:17" s="88" customFormat="1" x14ac:dyDescent="0.2">
      <c r="A44" s="2"/>
      <c r="B44" s="79"/>
      <c r="C44" s="101"/>
      <c r="D44" s="101"/>
      <c r="E44" s="79"/>
      <c r="F44" s="93"/>
      <c r="G44" s="93"/>
      <c r="H44" s="101"/>
      <c r="N44" s="76"/>
      <c r="O44" s="2"/>
      <c r="P44" s="140"/>
      <c r="Q44" s="101"/>
    </row>
    <row r="45" spans="1:17" x14ac:dyDescent="0.2">
      <c r="A45" s="89"/>
      <c r="B45" s="89"/>
      <c r="C45" s="83"/>
      <c r="D45" s="83"/>
      <c r="E45" s="89"/>
      <c r="F45" s="70"/>
      <c r="G45" s="70"/>
      <c r="H45" s="92"/>
      <c r="I45" s="83"/>
      <c r="J45" s="83"/>
      <c r="K45" s="83"/>
      <c r="L45" s="83"/>
      <c r="M45" s="88"/>
      <c r="N45" s="76"/>
      <c r="O45" s="89"/>
      <c r="P45" s="75"/>
    </row>
    <row r="46" spans="1:17" s="88" customFormat="1" x14ac:dyDescent="0.2">
      <c r="A46" s="79"/>
      <c r="B46" s="79"/>
      <c r="C46" s="106"/>
      <c r="D46" s="76"/>
      <c r="E46" s="79"/>
      <c r="F46" s="71"/>
      <c r="G46" s="71"/>
      <c r="H46" s="144"/>
      <c r="I46" s="106"/>
      <c r="J46" s="106"/>
      <c r="K46" s="106"/>
      <c r="L46" s="106"/>
      <c r="M46" s="106"/>
      <c r="N46" s="83"/>
      <c r="O46" s="79"/>
      <c r="P46" s="111"/>
      <c r="Q46" s="101"/>
    </row>
    <row r="47" spans="1:17" s="88" customFormat="1" x14ac:dyDescent="0.2">
      <c r="A47" s="79"/>
      <c r="B47" s="79"/>
      <c r="C47" s="106"/>
      <c r="D47" s="76"/>
      <c r="E47" s="79"/>
      <c r="F47" s="71"/>
      <c r="G47" s="71"/>
      <c r="H47" s="144"/>
      <c r="I47" s="106"/>
      <c r="J47" s="106"/>
      <c r="K47" s="106"/>
      <c r="L47" s="106"/>
      <c r="O47" s="79"/>
      <c r="P47" s="111"/>
      <c r="Q47" s="101"/>
    </row>
    <row r="48" spans="1:17" s="88" customFormat="1" x14ac:dyDescent="0.2">
      <c r="A48" s="2"/>
      <c r="B48" s="2"/>
      <c r="D48" s="76"/>
      <c r="E48" s="2"/>
      <c r="F48" s="93"/>
      <c r="G48" s="93"/>
      <c r="H48" s="144"/>
      <c r="M48" s="88" t="s">
        <v>578</v>
      </c>
      <c r="N48" s="88" t="s">
        <v>16</v>
      </c>
      <c r="O48" s="88" t="s">
        <v>579</v>
      </c>
      <c r="P48" s="94" t="s">
        <v>580</v>
      </c>
      <c r="Q48" s="101"/>
    </row>
    <row r="49" spans="1:17" s="88" customFormat="1" x14ac:dyDescent="0.2">
      <c r="A49" s="2"/>
      <c r="B49" s="2"/>
      <c r="D49" s="76"/>
      <c r="E49" s="2"/>
      <c r="F49" s="93"/>
      <c r="G49" s="93"/>
      <c r="H49" s="144"/>
      <c r="M49" s="88" t="s">
        <v>581</v>
      </c>
      <c r="N49" s="88" t="s">
        <v>16</v>
      </c>
      <c r="O49" s="88" t="s">
        <v>579</v>
      </c>
      <c r="P49" s="94" t="s">
        <v>580</v>
      </c>
      <c r="Q49" s="101"/>
    </row>
    <row r="50" spans="1:17" s="88" customFormat="1" x14ac:dyDescent="0.2">
      <c r="A50" s="117"/>
      <c r="B50" s="2"/>
      <c r="D50" s="76"/>
      <c r="E50" s="2"/>
      <c r="F50" s="98"/>
      <c r="G50" s="98"/>
      <c r="H50" s="101"/>
      <c r="M50" s="88" t="s">
        <v>582</v>
      </c>
      <c r="N50" s="76" t="s">
        <v>23</v>
      </c>
      <c r="O50" s="2" t="s">
        <v>523</v>
      </c>
      <c r="P50" s="140">
        <v>1</v>
      </c>
      <c r="Q50" s="144"/>
    </row>
    <row r="51" spans="1:17" s="88" customFormat="1" x14ac:dyDescent="0.2">
      <c r="A51" s="2"/>
      <c r="B51" s="2"/>
      <c r="D51" s="76"/>
      <c r="E51" s="2"/>
      <c r="F51" s="98"/>
      <c r="G51" s="98"/>
      <c r="H51" s="101"/>
      <c r="M51" s="88" t="s">
        <v>583</v>
      </c>
      <c r="N51" s="88" t="s">
        <v>16</v>
      </c>
      <c r="O51" s="88" t="s">
        <v>579</v>
      </c>
      <c r="P51" s="94" t="s">
        <v>580</v>
      </c>
      <c r="Q51" s="101"/>
    </row>
    <row r="52" spans="1:17" s="87" customFormat="1" ht="45" customHeight="1" x14ac:dyDescent="0.2">
      <c r="A52" s="68"/>
      <c r="B52" s="68"/>
      <c r="C52" s="83"/>
      <c r="D52" s="92"/>
      <c r="E52" s="89"/>
      <c r="F52" s="100"/>
      <c r="G52" s="73"/>
      <c r="H52" s="130"/>
      <c r="M52" s="131" t="s">
        <v>584</v>
      </c>
      <c r="N52" s="88" t="s">
        <v>16</v>
      </c>
      <c r="O52" s="79" t="s">
        <v>523</v>
      </c>
      <c r="P52" s="111">
        <v>45</v>
      </c>
      <c r="Q52" s="130"/>
    </row>
    <row r="53" spans="1:17" s="87" customFormat="1" x14ac:dyDescent="0.2">
      <c r="A53" s="68"/>
      <c r="B53" s="68"/>
      <c r="C53" s="83"/>
      <c r="D53" s="92"/>
      <c r="E53" s="89"/>
      <c r="F53" s="100"/>
      <c r="G53" s="73"/>
      <c r="H53" s="107"/>
      <c r="M53" s="131" t="s">
        <v>584</v>
      </c>
      <c r="N53" s="88" t="s">
        <v>16</v>
      </c>
      <c r="O53" s="79" t="s">
        <v>523</v>
      </c>
      <c r="P53" s="111">
        <v>45</v>
      </c>
      <c r="Q53" s="130"/>
    </row>
    <row r="54" spans="1:17" x14ac:dyDescent="0.2">
      <c r="A54" s="88"/>
      <c r="C54" s="88"/>
      <c r="D54" s="92"/>
      <c r="E54" s="89"/>
      <c r="F54" s="100"/>
      <c r="G54" s="95"/>
      <c r="H54" s="101"/>
      <c r="M54" s="132" t="s">
        <v>585</v>
      </c>
      <c r="N54" s="88" t="s">
        <v>16</v>
      </c>
      <c r="O54" s="79" t="s">
        <v>523</v>
      </c>
      <c r="P54" s="111">
        <v>12</v>
      </c>
    </row>
    <row r="55" spans="1:17" x14ac:dyDescent="0.2">
      <c r="A55" s="88"/>
      <c r="C55" s="88"/>
      <c r="D55" s="92"/>
      <c r="E55" s="89"/>
      <c r="F55" s="100"/>
      <c r="G55" s="85"/>
      <c r="H55" s="101"/>
      <c r="M55" s="132" t="s">
        <v>586</v>
      </c>
      <c r="N55" s="88" t="s">
        <v>16</v>
      </c>
      <c r="O55" s="79" t="s">
        <v>523</v>
      </c>
      <c r="P55" s="111">
        <v>12</v>
      </c>
    </row>
    <row r="56" spans="1:17" ht="39" customHeight="1" x14ac:dyDescent="0.2">
      <c r="A56" s="88"/>
      <c r="C56" s="88"/>
      <c r="D56" s="92"/>
      <c r="E56" s="89"/>
      <c r="F56" s="100"/>
      <c r="G56" s="85"/>
      <c r="H56" s="101"/>
      <c r="M56" s="132" t="s">
        <v>587</v>
      </c>
      <c r="N56" s="88" t="s">
        <v>16</v>
      </c>
      <c r="O56" s="79" t="s">
        <v>523</v>
      </c>
      <c r="P56" s="111">
        <v>12</v>
      </c>
    </row>
    <row r="57" spans="1:17" s="94" customFormat="1" ht="20.25" customHeight="1" x14ac:dyDescent="0.2">
      <c r="A57" s="88"/>
      <c r="B57" s="88"/>
      <c r="C57" s="88"/>
      <c r="D57" s="88"/>
      <c r="E57" s="89"/>
      <c r="F57" s="100"/>
      <c r="G57" s="93"/>
      <c r="H57" s="101"/>
      <c r="I57" s="88"/>
      <c r="J57" s="88"/>
      <c r="K57" s="88"/>
      <c r="L57" s="88"/>
      <c r="M57" s="88" t="s">
        <v>588</v>
      </c>
      <c r="N57" s="88" t="s">
        <v>16</v>
      </c>
      <c r="O57" s="79" t="s">
        <v>589</v>
      </c>
      <c r="Q57" s="101"/>
    </row>
    <row r="58" spans="1:17" s="88" customFormat="1" ht="20.25" customHeight="1" x14ac:dyDescent="0.2">
      <c r="E58" s="89"/>
      <c r="F58" s="100"/>
      <c r="G58" s="93"/>
      <c r="H58" s="92"/>
      <c r="M58" s="88" t="s">
        <v>588</v>
      </c>
      <c r="N58" s="88" t="s">
        <v>16</v>
      </c>
      <c r="O58" s="79" t="s">
        <v>589</v>
      </c>
      <c r="P58" s="94"/>
      <c r="Q58" s="101"/>
    </row>
    <row r="59" spans="1:17" s="94" customFormat="1" ht="91.15" customHeight="1" x14ac:dyDescent="0.2">
      <c r="A59" s="90"/>
      <c r="B59" s="90"/>
      <c r="C59" s="118"/>
      <c r="D59" s="88"/>
      <c r="E59" s="88"/>
      <c r="F59" s="93"/>
      <c r="G59" s="93"/>
      <c r="H59" s="101"/>
      <c r="I59" s="90"/>
      <c r="J59" s="88"/>
      <c r="K59" s="88"/>
      <c r="L59" s="88"/>
      <c r="M59" s="88" t="s">
        <v>590</v>
      </c>
      <c r="N59" s="88"/>
      <c r="O59" s="88" t="s">
        <v>527</v>
      </c>
      <c r="Q59" s="101"/>
    </row>
    <row r="60" spans="1:17" s="94" customFormat="1" ht="25.5" customHeight="1" x14ac:dyDescent="0.2">
      <c r="A60" s="119"/>
      <c r="B60" s="119"/>
      <c r="C60" s="120"/>
      <c r="D60" s="121"/>
      <c r="E60" s="121"/>
      <c r="F60" s="122"/>
      <c r="G60" s="122"/>
      <c r="H60" s="141"/>
      <c r="I60" s="90"/>
      <c r="J60" s="88"/>
      <c r="K60" s="88"/>
      <c r="L60" s="88"/>
      <c r="M60" s="88"/>
      <c r="N60" s="88"/>
      <c r="O60" s="88"/>
      <c r="Q60" s="101"/>
    </row>
    <row r="61" spans="1:17" s="94" customFormat="1" ht="39" customHeight="1" x14ac:dyDescent="0.2">
      <c r="A61" s="90"/>
      <c r="B61" s="90"/>
      <c r="C61" s="101"/>
      <c r="D61" s="88"/>
      <c r="E61" s="88"/>
      <c r="F61" s="93"/>
      <c r="G61" s="93"/>
      <c r="H61" s="245"/>
      <c r="I61" s="90"/>
      <c r="J61" s="88"/>
      <c r="K61" s="88"/>
      <c r="L61" s="88"/>
      <c r="M61" s="88"/>
      <c r="N61" s="88"/>
      <c r="O61" s="88"/>
      <c r="Q61" s="101"/>
    </row>
    <row r="62" spans="1:17" s="112" customFormat="1" x14ac:dyDescent="0.2">
      <c r="A62" s="123"/>
      <c r="B62" s="123"/>
      <c r="C62" s="124"/>
      <c r="D62" s="106"/>
      <c r="E62" s="106"/>
      <c r="F62" s="71"/>
      <c r="G62" s="71"/>
      <c r="H62" s="245"/>
      <c r="I62" s="246" t="s">
        <v>591</v>
      </c>
      <c r="J62" s="246"/>
      <c r="K62" s="246"/>
      <c r="L62" s="246"/>
      <c r="M62" s="246"/>
      <c r="N62" s="246"/>
      <c r="O62" s="246"/>
      <c r="P62" s="246"/>
      <c r="Q62" s="246"/>
    </row>
    <row r="63" spans="1:17" s="94" customFormat="1" x14ac:dyDescent="0.2">
      <c r="A63" s="90"/>
      <c r="B63" s="90"/>
      <c r="C63" s="88"/>
      <c r="D63" s="88"/>
      <c r="E63" s="2"/>
      <c r="F63" s="93"/>
      <c r="G63" s="93"/>
      <c r="H63" s="134"/>
      <c r="I63" s="90"/>
      <c r="J63" s="88"/>
      <c r="K63" s="88"/>
      <c r="L63" s="88"/>
      <c r="M63" s="88" t="s">
        <v>592</v>
      </c>
      <c r="N63" s="94" t="s">
        <v>23</v>
      </c>
      <c r="O63" s="88" t="s">
        <v>579</v>
      </c>
      <c r="P63" s="94" t="s">
        <v>580</v>
      </c>
      <c r="Q63" s="101"/>
    </row>
    <row r="64" spans="1:17" s="88" customFormat="1" x14ac:dyDescent="0.2">
      <c r="E64" s="2"/>
      <c r="F64" s="93"/>
      <c r="G64" s="93"/>
      <c r="H64" s="134"/>
      <c r="M64" s="88" t="s">
        <v>593</v>
      </c>
      <c r="N64" s="94" t="s">
        <v>23</v>
      </c>
      <c r="O64" s="88" t="s">
        <v>579</v>
      </c>
      <c r="P64" s="94" t="s">
        <v>580</v>
      </c>
      <c r="Q64" s="101"/>
    </row>
    <row r="65" spans="1:1" x14ac:dyDescent="0.2">
      <c r="A65" s="93"/>
    </row>
    <row r="66" spans="1:1" x14ac:dyDescent="0.2">
      <c r="A66" s="93"/>
    </row>
    <row r="67" spans="1:1" x14ac:dyDescent="0.2">
      <c r="A67" s="93"/>
    </row>
  </sheetData>
  <autoFilter ref="A9:Q30" xr:uid="{E0FF1E93-4F72-42D7-9054-88B627D8F77E}"/>
  <mergeCells count="20">
    <mergeCell ref="P8:P9"/>
    <mergeCell ref="Q8:Q9"/>
    <mergeCell ref="H61:H62"/>
    <mergeCell ref="I62:Q62"/>
    <mergeCell ref="N8:N9"/>
    <mergeCell ref="Q39:Q40"/>
    <mergeCell ref="H8:H9"/>
    <mergeCell ref="I8:J8"/>
    <mergeCell ref="M8:M9"/>
    <mergeCell ref="O8:O9"/>
    <mergeCell ref="A8:B8"/>
    <mergeCell ref="C8:C9"/>
    <mergeCell ref="D8:D9"/>
    <mergeCell ref="B2:J2"/>
    <mergeCell ref="B3:J3"/>
    <mergeCell ref="B4:J4"/>
    <mergeCell ref="B5:J5"/>
    <mergeCell ref="B6:J6"/>
    <mergeCell ref="E8:E9"/>
    <mergeCell ref="F8:F9"/>
  </mergeCells>
  <phoneticPr fontId="11"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A0580-7C8C-4F99-A067-D98723EFC8F4}">
  <sheetPr>
    <tabColor rgb="FFFFFF00"/>
  </sheetPr>
  <dimension ref="A1:Q129"/>
  <sheetViews>
    <sheetView zoomScaleNormal="100" zoomScalePageLayoutView="130" workbookViewId="0">
      <pane xSplit="4" ySplit="9" topLeftCell="F12" activePane="bottomRight" state="frozen"/>
      <selection pane="topRight" activeCell="E1" sqref="E1"/>
      <selection pane="bottomLeft" activeCell="A10" sqref="A10"/>
      <selection pane="bottomRight" activeCell="G132" sqref="G132"/>
    </sheetView>
  </sheetViews>
  <sheetFormatPr defaultColWidth="52" defaultRowHeight="12.75" x14ac:dyDescent="0.2"/>
  <cols>
    <col min="1" max="1" width="26.140625" style="85" customWidth="1"/>
    <col min="2" max="2" width="30.140625" style="84" customWidth="1"/>
    <col min="3" max="3" width="20.140625" style="84" hidden="1" customWidth="1"/>
    <col min="4" max="4" width="19.140625" style="84" hidden="1" customWidth="1"/>
    <col min="5" max="5" width="16.7109375" style="85" hidden="1" customWidth="1"/>
    <col min="6" max="6" width="0.28515625" style="93" customWidth="1"/>
    <col min="7" max="7" width="76.5703125" style="78" customWidth="1"/>
    <col min="8" max="8" width="16.5703125" style="213" customWidth="1"/>
    <col min="9" max="9" width="5.140625" style="84" customWidth="1"/>
    <col min="10" max="10" width="11.28515625" style="84" customWidth="1"/>
    <col min="11" max="11" width="14.5703125" style="84" customWidth="1"/>
    <col min="12" max="12" width="19.42578125" style="84" customWidth="1"/>
    <col min="13" max="13" width="17.28515625" style="84" customWidth="1"/>
    <col min="14" max="14" width="11.28515625" style="84" customWidth="1"/>
    <col min="15" max="15" width="9" style="84" customWidth="1"/>
    <col min="16" max="16" width="11" style="66" customWidth="1"/>
    <col min="17" max="17" width="42.140625" style="84" customWidth="1"/>
    <col min="18" max="16384" width="52" style="84"/>
  </cols>
  <sheetData>
    <row r="1" spans="1:17" ht="18" x14ac:dyDescent="0.25">
      <c r="A1" s="105" t="s">
        <v>210</v>
      </c>
      <c r="B1" s="1" t="s">
        <v>503</v>
      </c>
      <c r="C1" s="2"/>
      <c r="D1" s="2"/>
      <c r="E1" s="98"/>
      <c r="F1" s="98"/>
      <c r="G1" s="155"/>
      <c r="H1" s="209"/>
      <c r="I1" s="2"/>
      <c r="J1" s="2"/>
      <c r="K1" s="2"/>
      <c r="L1" s="2"/>
      <c r="M1" s="2"/>
      <c r="N1" s="2"/>
      <c r="O1" s="2"/>
      <c r="P1" s="140"/>
    </row>
    <row r="2" spans="1:17" x14ac:dyDescent="0.2">
      <c r="A2" s="137" t="s">
        <v>211</v>
      </c>
      <c r="B2" s="239" t="s">
        <v>504</v>
      </c>
      <c r="C2" s="239"/>
      <c r="D2" s="239"/>
      <c r="E2" s="239"/>
      <c r="F2" s="239"/>
      <c r="G2" s="239"/>
      <c r="H2" s="239"/>
      <c r="I2" s="239"/>
      <c r="J2" s="2"/>
      <c r="K2" s="2"/>
      <c r="L2" s="2"/>
      <c r="M2" s="2"/>
      <c r="N2" s="2"/>
      <c r="O2" s="2"/>
      <c r="P2" s="140"/>
    </row>
    <row r="3" spans="1:17" x14ac:dyDescent="0.2">
      <c r="A3" s="137" t="s">
        <v>213</v>
      </c>
      <c r="B3" s="239" t="s">
        <v>505</v>
      </c>
      <c r="C3" s="239"/>
      <c r="D3" s="239"/>
      <c r="E3" s="239"/>
      <c r="F3" s="239"/>
      <c r="G3" s="239"/>
      <c r="H3" s="239"/>
      <c r="I3" s="239"/>
      <c r="J3" s="2"/>
      <c r="K3" s="2"/>
      <c r="L3" s="2"/>
      <c r="M3" s="2"/>
      <c r="N3" s="2"/>
      <c r="O3" s="2"/>
      <c r="P3" s="140"/>
    </row>
    <row r="4" spans="1:17" x14ac:dyDescent="0.2">
      <c r="A4" s="137" t="s">
        <v>214</v>
      </c>
      <c r="B4" s="239" t="s">
        <v>506</v>
      </c>
      <c r="C4" s="239"/>
      <c r="D4" s="239"/>
      <c r="E4" s="239"/>
      <c r="F4" s="239"/>
      <c r="G4" s="239"/>
      <c r="H4" s="239"/>
      <c r="I4" s="239"/>
      <c r="J4" s="2"/>
      <c r="K4" s="2"/>
      <c r="L4" s="2"/>
      <c r="M4" s="2"/>
      <c r="N4" s="2"/>
      <c r="O4" s="2"/>
      <c r="P4" s="140"/>
    </row>
    <row r="5" spans="1:17" x14ac:dyDescent="0.2">
      <c r="A5" s="137" t="s">
        <v>215</v>
      </c>
      <c r="B5" s="239" t="s">
        <v>507</v>
      </c>
      <c r="C5" s="239"/>
      <c r="D5" s="239"/>
      <c r="E5" s="239"/>
      <c r="F5" s="239"/>
      <c r="G5" s="239"/>
      <c r="H5" s="239"/>
      <c r="I5" s="239"/>
      <c r="J5" s="2"/>
      <c r="K5" s="2"/>
      <c r="L5" s="2"/>
      <c r="M5" s="2"/>
      <c r="N5" s="2"/>
      <c r="O5" s="2"/>
      <c r="P5" s="140"/>
    </row>
    <row r="6" spans="1:17" x14ac:dyDescent="0.2">
      <c r="A6" s="137" t="s">
        <v>216</v>
      </c>
      <c r="B6" s="239" t="s">
        <v>508</v>
      </c>
      <c r="C6" s="239"/>
      <c r="D6" s="239"/>
      <c r="E6" s="239"/>
      <c r="F6" s="239"/>
      <c r="G6" s="239"/>
      <c r="H6" s="239"/>
      <c r="I6" s="239"/>
      <c r="J6" s="2"/>
      <c r="K6" s="2"/>
      <c r="L6" s="2"/>
      <c r="M6" s="2"/>
      <c r="N6" s="2"/>
      <c r="O6" s="2"/>
      <c r="P6" s="140"/>
    </row>
    <row r="7" spans="1:17" x14ac:dyDescent="0.2">
      <c r="A7" s="137" t="s">
        <v>509</v>
      </c>
      <c r="B7" s="2" t="s">
        <v>510</v>
      </c>
      <c r="C7" s="2"/>
      <c r="D7" s="2"/>
      <c r="E7" s="98"/>
      <c r="F7" s="98"/>
      <c r="G7" s="155"/>
      <c r="H7" s="209"/>
      <c r="I7" s="2"/>
      <c r="J7" s="2"/>
      <c r="K7" s="2"/>
      <c r="L7" s="2"/>
      <c r="M7" s="2"/>
      <c r="N7" s="2"/>
      <c r="O7" s="2"/>
      <c r="P7" s="140"/>
    </row>
    <row r="8" spans="1:17" x14ac:dyDescent="0.2">
      <c r="A8" s="241" t="s">
        <v>511</v>
      </c>
      <c r="B8" s="241"/>
      <c r="C8" s="242" t="s">
        <v>513</v>
      </c>
      <c r="D8" s="241" t="s">
        <v>514</v>
      </c>
      <c r="E8" s="243" t="s">
        <v>515</v>
      </c>
      <c r="F8" s="138"/>
      <c r="G8" s="242" t="s">
        <v>218</v>
      </c>
      <c r="H8" s="241" t="s">
        <v>517</v>
      </c>
      <c r="I8" s="241"/>
      <c r="J8" s="137" t="s">
        <v>518</v>
      </c>
      <c r="K8" s="137"/>
      <c r="L8" s="158"/>
      <c r="M8" s="248" t="s">
        <v>519</v>
      </c>
      <c r="N8" s="242" t="s">
        <v>513</v>
      </c>
      <c r="O8" s="241" t="s">
        <v>514</v>
      </c>
      <c r="P8" s="244" t="s">
        <v>515</v>
      </c>
      <c r="Q8" s="241" t="s">
        <v>520</v>
      </c>
    </row>
    <row r="9" spans="1:17" x14ac:dyDescent="0.2">
      <c r="A9" s="137" t="s">
        <v>220</v>
      </c>
      <c r="B9" s="137" t="s">
        <v>512</v>
      </c>
      <c r="C9" s="242"/>
      <c r="D9" s="241"/>
      <c r="E9" s="243"/>
      <c r="F9" s="138" t="s">
        <v>516</v>
      </c>
      <c r="G9" s="242"/>
      <c r="H9" s="210" t="s">
        <v>521</v>
      </c>
      <c r="I9" s="137" t="s">
        <v>522</v>
      </c>
      <c r="J9" s="137" t="s">
        <v>220</v>
      </c>
      <c r="K9" s="137" t="s">
        <v>449</v>
      </c>
      <c r="L9" s="159" t="s">
        <v>594</v>
      </c>
      <c r="M9" s="249"/>
      <c r="N9" s="242"/>
      <c r="O9" s="241"/>
      <c r="P9" s="244"/>
      <c r="Q9" s="241"/>
    </row>
    <row r="10" spans="1:17" s="106" customFormat="1" ht="38.25" x14ac:dyDescent="0.2">
      <c r="C10" s="106" t="s">
        <v>16</v>
      </c>
      <c r="D10" s="79"/>
      <c r="E10" s="71"/>
      <c r="F10" s="71"/>
      <c r="G10" s="189" t="s">
        <v>595</v>
      </c>
      <c r="H10" s="153"/>
      <c r="K10" s="79"/>
      <c r="L10" s="79"/>
    </row>
    <row r="11" spans="1:17" s="106" customFormat="1" x14ac:dyDescent="0.2">
      <c r="C11" s="106" t="s">
        <v>16</v>
      </c>
      <c r="D11" s="79"/>
      <c r="E11" s="71"/>
      <c r="F11" s="71"/>
      <c r="G11" s="144" t="s">
        <v>525</v>
      </c>
      <c r="H11" s="153"/>
      <c r="K11" s="79"/>
      <c r="L11" s="79" t="s">
        <v>596</v>
      </c>
      <c r="M11" s="106" t="s">
        <v>526</v>
      </c>
      <c r="O11" s="106" t="s">
        <v>527</v>
      </c>
    </row>
    <row r="12" spans="1:17" s="106" customFormat="1" x14ac:dyDescent="0.2">
      <c r="D12" s="79"/>
      <c r="E12" s="71"/>
      <c r="F12" s="71"/>
      <c r="G12" s="144" t="s">
        <v>528</v>
      </c>
      <c r="H12" s="153"/>
      <c r="K12" s="79"/>
      <c r="L12" s="79" t="s">
        <v>597</v>
      </c>
      <c r="M12" s="106" t="s">
        <v>529</v>
      </c>
      <c r="O12" s="79" t="s">
        <v>527</v>
      </c>
      <c r="P12" s="111"/>
    </row>
    <row r="13" spans="1:17" s="106" customFormat="1" x14ac:dyDescent="0.2">
      <c r="D13" s="79"/>
      <c r="E13" s="71"/>
      <c r="F13" s="71"/>
      <c r="G13" s="144" t="s">
        <v>528</v>
      </c>
      <c r="H13" s="153"/>
      <c r="K13" s="79"/>
      <c r="L13" s="79" t="s">
        <v>597</v>
      </c>
      <c r="M13" s="106" t="s">
        <v>530</v>
      </c>
      <c r="O13" s="79" t="s">
        <v>527</v>
      </c>
      <c r="P13" s="111"/>
    </row>
    <row r="14" spans="1:17" s="200" customFormat="1" x14ac:dyDescent="0.2">
      <c r="B14" s="200" t="s">
        <v>598</v>
      </c>
      <c r="D14" s="201"/>
      <c r="E14" s="202"/>
      <c r="F14" s="202"/>
      <c r="G14" s="203" t="s">
        <v>599</v>
      </c>
      <c r="H14" s="204"/>
      <c r="K14" s="201"/>
      <c r="L14" s="201"/>
      <c r="O14" s="201"/>
      <c r="P14" s="205"/>
    </row>
    <row r="15" spans="1:17" s="88" customFormat="1" x14ac:dyDescent="0.2">
      <c r="A15" s="88" t="s">
        <v>531</v>
      </c>
      <c r="B15" s="88" t="s">
        <v>600</v>
      </c>
      <c r="D15" s="2"/>
      <c r="E15" s="93"/>
      <c r="F15" s="93"/>
      <c r="G15" s="88" t="s">
        <v>533</v>
      </c>
      <c r="H15" s="211" t="s">
        <v>534</v>
      </c>
      <c r="I15" s="164"/>
      <c r="J15" s="164" t="s">
        <v>542</v>
      </c>
      <c r="K15" s="165" t="s">
        <v>601</v>
      </c>
      <c r="L15" s="165" t="s">
        <v>597</v>
      </c>
      <c r="M15" s="164" t="s">
        <v>535</v>
      </c>
      <c r="N15" s="164"/>
      <c r="O15" s="165" t="s">
        <v>523</v>
      </c>
      <c r="P15" s="167">
        <v>12</v>
      </c>
    </row>
    <row r="16" spans="1:17" s="88" customFormat="1" x14ac:dyDescent="0.2">
      <c r="A16" s="88" t="s">
        <v>531</v>
      </c>
      <c r="B16" s="88" t="s">
        <v>532</v>
      </c>
      <c r="C16" s="88" t="s">
        <v>16</v>
      </c>
      <c r="D16" s="2"/>
      <c r="E16" s="93"/>
      <c r="F16" s="93"/>
      <c r="G16" s="101" t="s">
        <v>224</v>
      </c>
      <c r="H16" s="211" t="s">
        <v>602</v>
      </c>
      <c r="I16" s="164"/>
      <c r="J16" s="164" t="s">
        <v>597</v>
      </c>
      <c r="K16" s="165" t="s">
        <v>601</v>
      </c>
      <c r="L16" s="165" t="s">
        <v>597</v>
      </c>
      <c r="M16" s="164" t="s">
        <v>603</v>
      </c>
      <c r="N16" s="164" t="s">
        <v>549</v>
      </c>
      <c r="O16" s="165" t="s">
        <v>523</v>
      </c>
      <c r="P16" s="167" t="s">
        <v>604</v>
      </c>
    </row>
    <row r="17" spans="1:16" s="88" customFormat="1" ht="38.25" x14ac:dyDescent="0.2">
      <c r="D17" s="2"/>
      <c r="E17" s="93"/>
      <c r="F17" s="93"/>
      <c r="G17" s="101" t="s">
        <v>605</v>
      </c>
      <c r="H17" s="163" t="s">
        <v>602</v>
      </c>
      <c r="I17" s="164"/>
      <c r="J17" s="164"/>
      <c r="K17" s="165"/>
      <c r="L17" s="165" t="s">
        <v>597</v>
      </c>
      <c r="M17" s="164" t="s">
        <v>606</v>
      </c>
      <c r="N17" s="164"/>
      <c r="O17" s="165"/>
      <c r="P17" s="167"/>
    </row>
    <row r="18" spans="1:16" s="88" customFormat="1" ht="37.9" customHeight="1" x14ac:dyDescent="0.2">
      <c r="A18" s="88" t="s">
        <v>607</v>
      </c>
      <c r="B18" s="88" t="s">
        <v>129</v>
      </c>
      <c r="C18" s="88" t="s">
        <v>16</v>
      </c>
      <c r="E18" s="93"/>
      <c r="F18" s="93"/>
      <c r="G18" s="101" t="s">
        <v>224</v>
      </c>
      <c r="H18" s="163" t="s">
        <v>608</v>
      </c>
      <c r="I18" s="164"/>
      <c r="J18" s="164" t="s">
        <v>597</v>
      </c>
      <c r="K18" s="164" t="s">
        <v>609</v>
      </c>
      <c r="L18" s="165" t="s">
        <v>597</v>
      </c>
      <c r="M18" s="164" t="s">
        <v>609</v>
      </c>
      <c r="N18" s="164" t="s">
        <v>549</v>
      </c>
      <c r="O18" s="164" t="s">
        <v>523</v>
      </c>
      <c r="P18" s="168">
        <v>45</v>
      </c>
    </row>
    <row r="19" spans="1:16" s="88" customFormat="1" ht="37.9" customHeight="1" x14ac:dyDescent="0.2">
      <c r="A19" s="93"/>
      <c r="C19" s="84"/>
      <c r="D19" s="84"/>
      <c r="E19" s="85"/>
      <c r="F19" s="93"/>
      <c r="G19" s="160" t="s">
        <v>536</v>
      </c>
      <c r="H19" s="163"/>
      <c r="I19" s="164"/>
      <c r="J19" s="164" t="s">
        <v>597</v>
      </c>
      <c r="K19" s="164"/>
      <c r="L19" s="165"/>
      <c r="M19" s="164" t="s">
        <v>610</v>
      </c>
      <c r="N19" s="164"/>
      <c r="O19" s="164"/>
      <c r="P19" s="168"/>
    </row>
    <row r="20" spans="1:16" s="88" customFormat="1" ht="38.25" x14ac:dyDescent="0.2">
      <c r="A20" s="88" t="s">
        <v>611</v>
      </c>
      <c r="B20" s="88" t="s">
        <v>612</v>
      </c>
      <c r="C20" s="88" t="s">
        <v>16</v>
      </c>
      <c r="E20" s="93"/>
      <c r="F20" s="93"/>
      <c r="G20" s="101" t="s">
        <v>613</v>
      </c>
      <c r="H20" s="163" t="s">
        <v>614</v>
      </c>
      <c r="I20" s="164"/>
      <c r="J20" s="164" t="s">
        <v>597</v>
      </c>
      <c r="K20" s="164" t="s">
        <v>615</v>
      </c>
      <c r="L20" s="164" t="s">
        <v>616</v>
      </c>
      <c r="M20" s="164" t="s">
        <v>617</v>
      </c>
      <c r="N20" s="164"/>
      <c r="O20" s="164" t="s">
        <v>523</v>
      </c>
      <c r="P20" s="168">
        <v>45</v>
      </c>
    </row>
    <row r="21" spans="1:16" s="88" customFormat="1" x14ac:dyDescent="0.2">
      <c r="B21" s="102"/>
      <c r="E21" s="93"/>
      <c r="F21" s="93"/>
      <c r="G21" s="160" t="s">
        <v>536</v>
      </c>
      <c r="H21" s="163"/>
      <c r="I21" s="164"/>
      <c r="J21" s="164" t="s">
        <v>597</v>
      </c>
      <c r="K21" s="164" t="s">
        <v>618</v>
      </c>
      <c r="L21" s="164" t="s">
        <v>616</v>
      </c>
      <c r="M21" s="164" t="s">
        <v>619</v>
      </c>
      <c r="N21" s="164"/>
      <c r="O21" s="164" t="s">
        <v>523</v>
      </c>
      <c r="P21" s="168">
        <v>45</v>
      </c>
    </row>
    <row r="22" spans="1:16" s="88" customFormat="1" x14ac:dyDescent="0.2">
      <c r="B22" s="102"/>
      <c r="E22" s="93"/>
      <c r="F22" s="93"/>
      <c r="G22" s="160" t="s">
        <v>536</v>
      </c>
      <c r="H22" s="163"/>
      <c r="I22" s="164"/>
      <c r="J22" s="164" t="s">
        <v>597</v>
      </c>
      <c r="K22" s="164" t="s">
        <v>620</v>
      </c>
      <c r="L22" s="164" t="s">
        <v>616</v>
      </c>
      <c r="M22" s="164" t="s">
        <v>621</v>
      </c>
      <c r="N22" s="164"/>
      <c r="O22" s="164" t="s">
        <v>523</v>
      </c>
      <c r="P22" s="168">
        <v>45</v>
      </c>
    </row>
    <row r="23" spans="1:16" s="88" customFormat="1" x14ac:dyDescent="0.2">
      <c r="B23" s="102"/>
      <c r="E23" s="93"/>
      <c r="F23" s="93"/>
      <c r="G23" s="160" t="s">
        <v>536</v>
      </c>
      <c r="H23" s="163"/>
      <c r="I23" s="164"/>
      <c r="J23" s="164" t="s">
        <v>597</v>
      </c>
      <c r="K23" s="164" t="s">
        <v>622</v>
      </c>
      <c r="L23" s="164" t="s">
        <v>616</v>
      </c>
      <c r="M23" s="164" t="s">
        <v>623</v>
      </c>
      <c r="N23" s="164"/>
      <c r="O23" s="164" t="s">
        <v>523</v>
      </c>
      <c r="P23" s="168">
        <v>45</v>
      </c>
    </row>
    <row r="24" spans="1:16" s="88" customFormat="1" x14ac:dyDescent="0.2">
      <c r="B24" s="102"/>
      <c r="E24" s="93"/>
      <c r="F24" s="93"/>
      <c r="G24" s="160" t="s">
        <v>536</v>
      </c>
      <c r="H24" s="163"/>
      <c r="I24" s="164"/>
      <c r="J24" s="164" t="s">
        <v>597</v>
      </c>
      <c r="K24" s="164" t="s">
        <v>624</v>
      </c>
      <c r="L24" s="164" t="s">
        <v>616</v>
      </c>
      <c r="M24" s="164" t="s">
        <v>625</v>
      </c>
      <c r="N24" s="164"/>
      <c r="O24" s="164" t="s">
        <v>523</v>
      </c>
      <c r="P24" s="168">
        <v>45</v>
      </c>
    </row>
    <row r="25" spans="1:16" s="88" customFormat="1" x14ac:dyDescent="0.2">
      <c r="B25" s="102"/>
      <c r="E25" s="93"/>
      <c r="F25" s="93"/>
      <c r="G25" s="160" t="s">
        <v>536</v>
      </c>
      <c r="H25" s="163"/>
      <c r="I25" s="164"/>
      <c r="J25" s="164" t="s">
        <v>597</v>
      </c>
      <c r="K25" s="164" t="s">
        <v>626</v>
      </c>
      <c r="L25" s="164" t="s">
        <v>616</v>
      </c>
      <c r="M25" s="164" t="s">
        <v>627</v>
      </c>
      <c r="N25" s="164"/>
      <c r="O25" s="164" t="s">
        <v>523</v>
      </c>
      <c r="P25" s="168">
        <v>45</v>
      </c>
    </row>
    <row r="26" spans="1:16" s="88" customFormat="1" ht="38.25" x14ac:dyDescent="0.2">
      <c r="A26" s="88" t="s">
        <v>611</v>
      </c>
      <c r="B26" s="88" t="s">
        <v>628</v>
      </c>
      <c r="E26" s="93"/>
      <c r="F26" s="93"/>
      <c r="G26" s="101" t="s">
        <v>224</v>
      </c>
      <c r="H26" s="163" t="s">
        <v>629</v>
      </c>
      <c r="I26" s="164"/>
      <c r="J26" s="164" t="s">
        <v>597</v>
      </c>
      <c r="K26" s="164" t="s">
        <v>630</v>
      </c>
      <c r="L26" s="164" t="s">
        <v>616</v>
      </c>
      <c r="M26" s="164" t="s">
        <v>630</v>
      </c>
      <c r="N26" s="164"/>
      <c r="O26" s="164" t="s">
        <v>523</v>
      </c>
      <c r="P26" s="168">
        <v>11</v>
      </c>
    </row>
    <row r="27" spans="1:16" s="88" customFormat="1" ht="51" x14ac:dyDescent="0.2">
      <c r="A27" s="88" t="s">
        <v>607</v>
      </c>
      <c r="B27" s="88" t="s">
        <v>147</v>
      </c>
      <c r="E27" s="93"/>
      <c r="F27" s="93"/>
      <c r="G27" s="101" t="s">
        <v>224</v>
      </c>
      <c r="H27" s="163" t="s">
        <v>631</v>
      </c>
      <c r="I27" s="164"/>
      <c r="J27" s="164" t="s">
        <v>597</v>
      </c>
      <c r="K27" s="164" t="s">
        <v>632</v>
      </c>
      <c r="L27" s="164" t="s">
        <v>633</v>
      </c>
      <c r="M27" s="164" t="s">
        <v>634</v>
      </c>
      <c r="N27" s="164"/>
      <c r="O27" s="164" t="s">
        <v>523</v>
      </c>
      <c r="P27" s="168">
        <v>21</v>
      </c>
    </row>
    <row r="28" spans="1:16" s="88" customFormat="1" x14ac:dyDescent="0.2">
      <c r="E28" s="93"/>
      <c r="F28" s="93"/>
      <c r="G28" s="160" t="s">
        <v>536</v>
      </c>
      <c r="H28" s="163"/>
      <c r="I28" s="164"/>
      <c r="J28" s="164" t="s">
        <v>597</v>
      </c>
      <c r="K28" s="164" t="s">
        <v>635</v>
      </c>
      <c r="L28" s="164" t="s">
        <v>633</v>
      </c>
      <c r="M28" s="164" t="s">
        <v>636</v>
      </c>
      <c r="N28" s="164"/>
      <c r="O28" s="164" t="s">
        <v>523</v>
      </c>
      <c r="P28" s="168">
        <v>21</v>
      </c>
    </row>
    <row r="29" spans="1:16" s="88" customFormat="1" ht="51" x14ac:dyDescent="0.2">
      <c r="A29" s="88" t="s">
        <v>607</v>
      </c>
      <c r="B29" s="88" t="s">
        <v>637</v>
      </c>
      <c r="E29" s="93"/>
      <c r="F29" s="93"/>
      <c r="G29" s="101" t="s">
        <v>224</v>
      </c>
      <c r="H29" s="163" t="s">
        <v>638</v>
      </c>
      <c r="I29" s="164"/>
      <c r="J29" s="164" t="s">
        <v>597</v>
      </c>
      <c r="K29" s="164" t="s">
        <v>639</v>
      </c>
      <c r="L29" s="164" t="s">
        <v>633</v>
      </c>
      <c r="M29" s="164" t="s">
        <v>640</v>
      </c>
      <c r="N29" s="164"/>
      <c r="O29" s="164" t="s">
        <v>523</v>
      </c>
      <c r="P29" s="168">
        <v>21</v>
      </c>
    </row>
    <row r="30" spans="1:16" s="88" customFormat="1" x14ac:dyDescent="0.2">
      <c r="B30" s="102"/>
      <c r="E30" s="93"/>
      <c r="F30" s="93"/>
      <c r="G30" s="160" t="s">
        <v>536</v>
      </c>
      <c r="H30" s="163"/>
      <c r="I30" s="164"/>
      <c r="J30" s="164" t="s">
        <v>597</v>
      </c>
      <c r="K30" s="164" t="s">
        <v>641</v>
      </c>
      <c r="L30" s="164" t="s">
        <v>633</v>
      </c>
      <c r="M30" s="164" t="s">
        <v>642</v>
      </c>
      <c r="N30" s="164"/>
      <c r="O30" s="164" t="s">
        <v>523</v>
      </c>
      <c r="P30" s="168">
        <v>21</v>
      </c>
    </row>
    <row r="31" spans="1:16" s="88" customFormat="1" ht="51" x14ac:dyDescent="0.2">
      <c r="A31" s="2" t="s">
        <v>607</v>
      </c>
      <c r="B31" s="88" t="s">
        <v>643</v>
      </c>
      <c r="D31" s="2"/>
      <c r="E31" s="93"/>
      <c r="F31" s="93"/>
      <c r="G31" s="144" t="s">
        <v>224</v>
      </c>
      <c r="H31" s="163" t="s">
        <v>644</v>
      </c>
      <c r="I31" s="164"/>
      <c r="J31" s="164" t="s">
        <v>597</v>
      </c>
      <c r="K31" s="165" t="s">
        <v>645</v>
      </c>
      <c r="L31" s="165" t="s">
        <v>646</v>
      </c>
      <c r="M31" s="165" t="s">
        <v>647</v>
      </c>
      <c r="N31" s="168"/>
      <c r="O31" s="165" t="s">
        <v>523</v>
      </c>
      <c r="P31" s="167">
        <v>71</v>
      </c>
    </row>
    <row r="32" spans="1:16" s="88" customFormat="1" x14ac:dyDescent="0.2">
      <c r="A32" s="2"/>
      <c r="D32" s="2"/>
      <c r="E32" s="93"/>
      <c r="F32" s="93"/>
      <c r="G32" s="160" t="s">
        <v>536</v>
      </c>
      <c r="H32" s="163"/>
      <c r="I32" s="164"/>
      <c r="J32" s="164" t="s">
        <v>597</v>
      </c>
      <c r="K32" s="165" t="s">
        <v>648</v>
      </c>
      <c r="L32" s="165" t="s">
        <v>646</v>
      </c>
      <c r="M32" s="165" t="s">
        <v>649</v>
      </c>
      <c r="N32" s="168"/>
      <c r="O32" s="165" t="s">
        <v>523</v>
      </c>
      <c r="P32" s="167">
        <v>71</v>
      </c>
    </row>
    <row r="33" spans="1:17" s="88" customFormat="1" x14ac:dyDescent="0.2">
      <c r="A33" s="79"/>
      <c r="B33" s="106"/>
      <c r="D33" s="2"/>
      <c r="E33" s="125"/>
      <c r="F33" s="125"/>
      <c r="G33" s="160" t="s">
        <v>536</v>
      </c>
      <c r="H33" s="163"/>
      <c r="I33" s="164"/>
      <c r="J33" s="164" t="s">
        <v>597</v>
      </c>
      <c r="K33" s="165" t="s">
        <v>650</v>
      </c>
      <c r="L33" s="165" t="s">
        <v>646</v>
      </c>
      <c r="M33" s="165" t="s">
        <v>651</v>
      </c>
      <c r="N33" s="164"/>
      <c r="O33" s="165" t="s">
        <v>523</v>
      </c>
      <c r="P33" s="167">
        <v>71</v>
      </c>
    </row>
    <row r="34" spans="1:17" s="88" customFormat="1" ht="25.5" x14ac:dyDescent="0.2">
      <c r="A34" s="2" t="s">
        <v>531</v>
      </c>
      <c r="B34" s="101" t="s">
        <v>652</v>
      </c>
      <c r="C34" s="88" t="s">
        <v>16</v>
      </c>
      <c r="D34" s="2"/>
      <c r="E34" s="125"/>
      <c r="F34" s="125"/>
      <c r="G34" s="144" t="s">
        <v>653</v>
      </c>
      <c r="H34" s="211" t="s">
        <v>541</v>
      </c>
      <c r="I34" s="164"/>
      <c r="J34" s="164" t="s">
        <v>597</v>
      </c>
      <c r="K34" s="165" t="s">
        <v>654</v>
      </c>
      <c r="L34" s="165" t="s">
        <v>597</v>
      </c>
      <c r="M34" s="164" t="s">
        <v>655</v>
      </c>
      <c r="N34" s="164"/>
      <c r="O34" s="165" t="s">
        <v>656</v>
      </c>
      <c r="P34" s="167"/>
      <c r="Q34" s="106"/>
    </row>
    <row r="35" spans="1:17" s="88" customFormat="1" x14ac:dyDescent="0.2">
      <c r="A35" s="2" t="s">
        <v>531</v>
      </c>
      <c r="B35" s="149" t="s">
        <v>657</v>
      </c>
      <c r="D35" s="2"/>
      <c r="E35" s="125"/>
      <c r="F35" s="125"/>
      <c r="G35" s="160" t="s">
        <v>536</v>
      </c>
      <c r="H35" s="211" t="s">
        <v>546</v>
      </c>
      <c r="I35" s="164"/>
      <c r="J35" s="164"/>
      <c r="K35" s="165"/>
      <c r="L35" s="165" t="s">
        <v>597</v>
      </c>
      <c r="M35" s="164" t="s">
        <v>658</v>
      </c>
      <c r="N35" s="164"/>
      <c r="O35" s="165"/>
      <c r="P35" s="167"/>
    </row>
    <row r="36" spans="1:17" s="94" customFormat="1" ht="51" x14ac:dyDescent="0.2">
      <c r="A36" s="140" t="s">
        <v>607</v>
      </c>
      <c r="B36" s="88" t="s">
        <v>129</v>
      </c>
      <c r="C36" s="94" t="s">
        <v>23</v>
      </c>
      <c r="D36" s="140"/>
      <c r="G36" s="118" t="s">
        <v>224</v>
      </c>
      <c r="H36" s="163" t="s">
        <v>608</v>
      </c>
      <c r="I36" s="166"/>
      <c r="J36" s="164" t="s">
        <v>597</v>
      </c>
      <c r="K36" s="167" t="s">
        <v>659</v>
      </c>
      <c r="L36" s="167"/>
      <c r="M36" s="168" t="s">
        <v>659</v>
      </c>
      <c r="N36" s="168"/>
      <c r="O36" s="180" t="s">
        <v>523</v>
      </c>
      <c r="P36" s="167">
        <v>45</v>
      </c>
      <c r="Q36" s="126"/>
    </row>
    <row r="37" spans="1:17" s="106" customFormat="1" x14ac:dyDescent="0.2">
      <c r="A37" s="140"/>
      <c r="B37" s="133"/>
      <c r="C37" s="94" t="s">
        <v>23</v>
      </c>
      <c r="D37" s="79"/>
      <c r="E37" s="71"/>
      <c r="F37" s="109"/>
      <c r="G37" s="144" t="s">
        <v>660</v>
      </c>
      <c r="H37" s="169"/>
      <c r="I37" s="170"/>
      <c r="J37" s="164" t="s">
        <v>597</v>
      </c>
      <c r="K37" s="167" t="s">
        <v>661</v>
      </c>
      <c r="L37" s="165" t="s">
        <v>597</v>
      </c>
      <c r="M37" s="168" t="s">
        <v>661</v>
      </c>
      <c r="N37" s="164"/>
      <c r="O37" s="181" t="s">
        <v>662</v>
      </c>
      <c r="P37" s="167"/>
      <c r="Q37" s="116"/>
    </row>
    <row r="38" spans="1:17" s="88" customFormat="1" x14ac:dyDescent="0.2">
      <c r="A38" s="140"/>
      <c r="B38" s="102"/>
      <c r="C38" s="94"/>
      <c r="D38" s="2"/>
      <c r="E38" s="93"/>
      <c r="F38" s="150"/>
      <c r="G38" s="160" t="s">
        <v>536</v>
      </c>
      <c r="H38" s="169"/>
      <c r="I38" s="170"/>
      <c r="J38" s="164" t="s">
        <v>597</v>
      </c>
      <c r="K38" s="164" t="s">
        <v>663</v>
      </c>
      <c r="L38" s="165" t="s">
        <v>597</v>
      </c>
      <c r="M38" s="167" t="s">
        <v>664</v>
      </c>
      <c r="N38" s="164"/>
      <c r="O38" s="181" t="s">
        <v>523</v>
      </c>
      <c r="P38" s="167">
        <v>45</v>
      </c>
      <c r="Q38" s="80"/>
    </row>
    <row r="39" spans="1:17" s="88" customFormat="1" x14ac:dyDescent="0.2">
      <c r="A39" s="140"/>
      <c r="B39" s="102"/>
      <c r="C39" s="94"/>
      <c r="D39" s="2"/>
      <c r="E39" s="93"/>
      <c r="F39" s="150"/>
      <c r="G39" s="160" t="s">
        <v>536</v>
      </c>
      <c r="H39" s="169"/>
      <c r="I39" s="170"/>
      <c r="J39" s="164" t="s">
        <v>597</v>
      </c>
      <c r="K39" s="164" t="s">
        <v>665</v>
      </c>
      <c r="L39" s="165" t="s">
        <v>597</v>
      </c>
      <c r="M39" s="167" t="s">
        <v>666</v>
      </c>
      <c r="N39" s="164"/>
      <c r="O39" s="181" t="s">
        <v>523</v>
      </c>
      <c r="P39" s="167">
        <v>45</v>
      </c>
      <c r="Q39" s="80"/>
    </row>
    <row r="40" spans="1:17" s="88" customFormat="1" x14ac:dyDescent="0.2">
      <c r="A40" s="140"/>
      <c r="B40" s="102"/>
      <c r="C40" s="94"/>
      <c r="D40" s="2"/>
      <c r="E40" s="93"/>
      <c r="F40" s="150"/>
      <c r="G40" s="160" t="s">
        <v>536</v>
      </c>
      <c r="H40" s="169"/>
      <c r="I40" s="170"/>
      <c r="J40" s="164" t="s">
        <v>597</v>
      </c>
      <c r="K40" s="164" t="s">
        <v>667</v>
      </c>
      <c r="L40" s="165" t="s">
        <v>597</v>
      </c>
      <c r="M40" s="167" t="s">
        <v>668</v>
      </c>
      <c r="N40" s="164"/>
      <c r="O40" s="181" t="s">
        <v>523</v>
      </c>
      <c r="P40" s="167">
        <v>25</v>
      </c>
      <c r="Q40" s="80"/>
    </row>
    <row r="41" spans="1:17" s="88" customFormat="1" x14ac:dyDescent="0.2">
      <c r="A41" s="140"/>
      <c r="B41" s="102"/>
      <c r="C41" s="94"/>
      <c r="D41" s="2"/>
      <c r="E41" s="93"/>
      <c r="F41" s="150"/>
      <c r="G41" s="160" t="s">
        <v>536</v>
      </c>
      <c r="H41" s="169"/>
      <c r="I41" s="170"/>
      <c r="J41" s="164" t="s">
        <v>597</v>
      </c>
      <c r="K41" s="164" t="s">
        <v>669</v>
      </c>
      <c r="L41" s="165" t="s">
        <v>597</v>
      </c>
      <c r="M41" s="167" t="s">
        <v>670</v>
      </c>
      <c r="N41" s="164"/>
      <c r="O41" s="181" t="s">
        <v>523</v>
      </c>
      <c r="P41" s="167">
        <v>25</v>
      </c>
      <c r="Q41" s="80"/>
    </row>
    <row r="42" spans="1:17" s="88" customFormat="1" x14ac:dyDescent="0.2">
      <c r="A42" s="140"/>
      <c r="B42" s="102"/>
      <c r="C42" s="94"/>
      <c r="D42" s="2"/>
      <c r="E42" s="93"/>
      <c r="F42" s="150"/>
      <c r="G42" s="160" t="s">
        <v>536</v>
      </c>
      <c r="H42" s="169"/>
      <c r="I42" s="170"/>
      <c r="J42" s="164" t="s">
        <v>597</v>
      </c>
      <c r="K42" s="164" t="s">
        <v>671</v>
      </c>
      <c r="L42" s="165" t="s">
        <v>597</v>
      </c>
      <c r="M42" s="167" t="s">
        <v>672</v>
      </c>
      <c r="N42" s="164"/>
      <c r="O42" s="181" t="s">
        <v>523</v>
      </c>
      <c r="P42" s="167">
        <v>25</v>
      </c>
      <c r="Q42" s="80"/>
    </row>
    <row r="43" spans="1:17" s="88" customFormat="1" x14ac:dyDescent="0.2">
      <c r="A43" s="140"/>
      <c r="B43" s="102"/>
      <c r="C43" s="94"/>
      <c r="D43" s="2"/>
      <c r="E43" s="93"/>
      <c r="F43" s="150"/>
      <c r="G43" s="160" t="s">
        <v>536</v>
      </c>
      <c r="H43" s="169"/>
      <c r="I43" s="170"/>
      <c r="J43" s="164" t="s">
        <v>597</v>
      </c>
      <c r="K43" s="164" t="s">
        <v>673</v>
      </c>
      <c r="L43" s="165" t="s">
        <v>597</v>
      </c>
      <c r="M43" s="167" t="s">
        <v>674</v>
      </c>
      <c r="N43" s="164"/>
      <c r="O43" s="181" t="s">
        <v>523</v>
      </c>
      <c r="P43" s="167">
        <v>25</v>
      </c>
      <c r="Q43" s="80"/>
    </row>
    <row r="44" spans="1:17" s="88" customFormat="1" x14ac:dyDescent="0.2">
      <c r="A44" s="140"/>
      <c r="B44" s="102"/>
      <c r="C44" s="94"/>
      <c r="D44" s="2"/>
      <c r="E44" s="93"/>
      <c r="F44" s="150"/>
      <c r="G44" s="160" t="s">
        <v>536</v>
      </c>
      <c r="H44" s="169"/>
      <c r="I44" s="170"/>
      <c r="J44" s="164" t="s">
        <v>597</v>
      </c>
      <c r="K44" s="164" t="s">
        <v>675</v>
      </c>
      <c r="L44" s="165" t="s">
        <v>597</v>
      </c>
      <c r="M44" s="167" t="s">
        <v>676</v>
      </c>
      <c r="N44" s="164"/>
      <c r="O44" s="181" t="s">
        <v>523</v>
      </c>
      <c r="P44" s="167">
        <v>25</v>
      </c>
      <c r="Q44" s="80"/>
    </row>
    <row r="45" spans="1:17" s="88" customFormat="1" x14ac:dyDescent="0.2">
      <c r="A45" s="140"/>
      <c r="B45" s="102"/>
      <c r="C45" s="94"/>
      <c r="D45" s="2"/>
      <c r="E45" s="93"/>
      <c r="F45" s="150"/>
      <c r="G45" s="160" t="s">
        <v>536</v>
      </c>
      <c r="H45" s="169"/>
      <c r="I45" s="170"/>
      <c r="J45" s="164" t="s">
        <v>597</v>
      </c>
      <c r="K45" s="164" t="s">
        <v>677</v>
      </c>
      <c r="L45" s="165" t="s">
        <v>597</v>
      </c>
      <c r="M45" s="167" t="s">
        <v>678</v>
      </c>
      <c r="N45" s="164"/>
      <c r="O45" s="181" t="s">
        <v>523</v>
      </c>
      <c r="P45" s="167">
        <v>25</v>
      </c>
      <c r="Q45" s="80"/>
    </row>
    <row r="46" spans="1:17" s="88" customFormat="1" x14ac:dyDescent="0.2">
      <c r="A46" s="140"/>
      <c r="B46" s="102"/>
      <c r="C46" s="94"/>
      <c r="D46" s="2"/>
      <c r="E46" s="93"/>
      <c r="F46" s="150"/>
      <c r="G46" s="101" t="s">
        <v>679</v>
      </c>
      <c r="H46" s="169"/>
      <c r="I46" s="170"/>
      <c r="J46" s="164" t="s">
        <v>597</v>
      </c>
      <c r="K46" s="164" t="s">
        <v>680</v>
      </c>
      <c r="L46" s="165" t="s">
        <v>597</v>
      </c>
      <c r="M46" s="167" t="s">
        <v>680</v>
      </c>
      <c r="N46" s="164"/>
      <c r="O46" s="181" t="s">
        <v>523</v>
      </c>
      <c r="P46" s="167">
        <v>3</v>
      </c>
      <c r="Q46" s="80"/>
    </row>
    <row r="47" spans="1:17" s="88" customFormat="1" x14ac:dyDescent="0.2">
      <c r="A47" s="140"/>
      <c r="B47" s="102"/>
      <c r="C47" s="94"/>
      <c r="D47" s="2"/>
      <c r="E47" s="93"/>
      <c r="F47" s="150"/>
      <c r="G47" s="101" t="s">
        <v>681</v>
      </c>
      <c r="H47" s="169"/>
      <c r="I47" s="170"/>
      <c r="J47" s="164" t="s">
        <v>597</v>
      </c>
      <c r="K47" s="164" t="s">
        <v>682</v>
      </c>
      <c r="L47" s="165" t="s">
        <v>597</v>
      </c>
      <c r="M47" s="167" t="s">
        <v>682</v>
      </c>
      <c r="N47" s="164"/>
      <c r="O47" s="181" t="s">
        <v>523</v>
      </c>
      <c r="P47" s="167">
        <v>3</v>
      </c>
      <c r="Q47" s="80"/>
    </row>
    <row r="48" spans="1:17" s="88" customFormat="1" x14ac:dyDescent="0.2">
      <c r="A48" s="140"/>
      <c r="B48" s="102"/>
      <c r="C48" s="94"/>
      <c r="D48" s="2"/>
      <c r="E48" s="93"/>
      <c r="F48" s="150"/>
      <c r="G48" s="160" t="s">
        <v>536</v>
      </c>
      <c r="H48" s="169"/>
      <c r="I48" s="170"/>
      <c r="J48" s="164" t="s">
        <v>597</v>
      </c>
      <c r="K48" s="164" t="s">
        <v>683</v>
      </c>
      <c r="L48" s="165" t="s">
        <v>597</v>
      </c>
      <c r="M48" s="167" t="s">
        <v>684</v>
      </c>
      <c r="N48" s="164"/>
      <c r="O48" s="181" t="s">
        <v>527</v>
      </c>
      <c r="P48" s="167"/>
      <c r="Q48" s="80"/>
    </row>
    <row r="49" spans="1:17" s="88" customFormat="1" x14ac:dyDescent="0.2">
      <c r="A49" s="140"/>
      <c r="B49" s="102"/>
      <c r="C49" s="94"/>
      <c r="D49" s="2"/>
      <c r="E49" s="93"/>
      <c r="F49" s="150"/>
      <c r="G49" s="160" t="s">
        <v>536</v>
      </c>
      <c r="H49" s="169"/>
      <c r="I49" s="170"/>
      <c r="J49" s="164" t="s">
        <v>597</v>
      </c>
      <c r="K49" s="164" t="s">
        <v>685</v>
      </c>
      <c r="L49" s="165" t="s">
        <v>597</v>
      </c>
      <c r="M49" s="167" t="s">
        <v>686</v>
      </c>
      <c r="N49" s="164"/>
      <c r="O49" s="181" t="s">
        <v>656</v>
      </c>
      <c r="P49" s="167"/>
      <c r="Q49" s="80"/>
    </row>
    <row r="50" spans="1:17" s="88" customFormat="1" x14ac:dyDescent="0.2">
      <c r="A50" s="140"/>
      <c r="B50" s="102"/>
      <c r="C50" s="94"/>
      <c r="D50" s="2"/>
      <c r="E50" s="93"/>
      <c r="F50" s="150"/>
      <c r="G50" s="160" t="s">
        <v>536</v>
      </c>
      <c r="H50" s="169"/>
      <c r="I50" s="170"/>
      <c r="J50" s="164" t="s">
        <v>597</v>
      </c>
      <c r="K50" s="164" t="s">
        <v>687</v>
      </c>
      <c r="L50" s="165" t="s">
        <v>597</v>
      </c>
      <c r="M50" s="167" t="s">
        <v>688</v>
      </c>
      <c r="N50" s="164"/>
      <c r="O50" s="181" t="s">
        <v>656</v>
      </c>
      <c r="P50" s="167"/>
      <c r="Q50" s="80"/>
    </row>
    <row r="51" spans="1:17" s="88" customFormat="1" x14ac:dyDescent="0.2">
      <c r="A51" s="140"/>
      <c r="B51" s="102"/>
      <c r="C51" s="94"/>
      <c r="D51" s="2"/>
      <c r="E51" s="93"/>
      <c r="F51" s="150"/>
      <c r="G51" s="160" t="s">
        <v>536</v>
      </c>
      <c r="H51" s="169"/>
      <c r="I51" s="170"/>
      <c r="J51" s="164" t="s">
        <v>597</v>
      </c>
      <c r="K51" s="164" t="s">
        <v>689</v>
      </c>
      <c r="L51" s="165" t="s">
        <v>597</v>
      </c>
      <c r="M51" s="167" t="s">
        <v>690</v>
      </c>
      <c r="N51" s="164"/>
      <c r="O51" s="181" t="s">
        <v>523</v>
      </c>
      <c r="P51" s="167">
        <v>11</v>
      </c>
      <c r="Q51" s="80"/>
    </row>
    <row r="52" spans="1:17" s="88" customFormat="1" x14ac:dyDescent="0.2">
      <c r="A52" s="2"/>
      <c r="C52" s="94" t="s">
        <v>23</v>
      </c>
      <c r="D52" s="2"/>
      <c r="E52" s="98"/>
      <c r="F52" s="98"/>
      <c r="G52" s="101" t="s">
        <v>691</v>
      </c>
      <c r="H52" s="163"/>
      <c r="I52" s="164"/>
      <c r="J52" s="164" t="s">
        <v>597</v>
      </c>
      <c r="K52" s="165" t="s">
        <v>692</v>
      </c>
      <c r="L52" s="165" t="s">
        <v>597</v>
      </c>
      <c r="M52" s="168" t="s">
        <v>693</v>
      </c>
      <c r="N52" s="164"/>
      <c r="O52" s="164" t="s">
        <v>694</v>
      </c>
      <c r="P52" s="168">
        <v>12</v>
      </c>
    </row>
    <row r="53" spans="1:17" s="88" customFormat="1" x14ac:dyDescent="0.2">
      <c r="A53" s="2"/>
      <c r="B53" s="102"/>
      <c r="C53" s="101" t="s">
        <v>16</v>
      </c>
      <c r="D53" s="79"/>
      <c r="E53" s="93"/>
      <c r="F53" s="93"/>
      <c r="G53" s="101" t="s">
        <v>695</v>
      </c>
      <c r="H53" s="163"/>
      <c r="I53" s="164"/>
      <c r="J53" s="164" t="s">
        <v>597</v>
      </c>
      <c r="K53" s="165" t="s">
        <v>696</v>
      </c>
      <c r="L53" s="165" t="s">
        <v>597</v>
      </c>
      <c r="M53" s="168" t="s">
        <v>697</v>
      </c>
      <c r="N53" s="168"/>
      <c r="O53" s="165" t="s">
        <v>694</v>
      </c>
      <c r="P53" s="167" t="s">
        <v>698</v>
      </c>
    </row>
    <row r="54" spans="1:17" s="88" customFormat="1" x14ac:dyDescent="0.2">
      <c r="A54" s="2"/>
      <c r="C54" s="88" t="s">
        <v>16</v>
      </c>
      <c r="D54" s="2"/>
      <c r="E54" s="93"/>
      <c r="F54" s="93"/>
      <c r="G54" s="144" t="s">
        <v>699</v>
      </c>
      <c r="H54" s="163"/>
      <c r="I54" s="164"/>
      <c r="J54" s="164" t="s">
        <v>597</v>
      </c>
      <c r="K54" s="165" t="s">
        <v>700</v>
      </c>
      <c r="L54" s="165" t="s">
        <v>597</v>
      </c>
      <c r="M54" s="168" t="s">
        <v>700</v>
      </c>
      <c r="N54" s="168"/>
      <c r="O54" s="165" t="s">
        <v>527</v>
      </c>
      <c r="P54" s="167"/>
    </row>
    <row r="55" spans="1:17" s="88" customFormat="1" x14ac:dyDescent="0.2">
      <c r="A55" s="2"/>
      <c r="C55" s="94" t="s">
        <v>23</v>
      </c>
      <c r="D55" s="2"/>
      <c r="E55" s="93"/>
      <c r="F55" s="93"/>
      <c r="G55" s="144" t="s">
        <v>701</v>
      </c>
      <c r="H55" s="163"/>
      <c r="I55" s="164"/>
      <c r="J55" s="164" t="s">
        <v>597</v>
      </c>
      <c r="K55" s="165" t="s">
        <v>702</v>
      </c>
      <c r="L55" s="165" t="s">
        <v>597</v>
      </c>
      <c r="M55" s="168" t="s">
        <v>703</v>
      </c>
      <c r="N55" s="164"/>
      <c r="O55" s="165" t="s">
        <v>527</v>
      </c>
      <c r="P55" s="168"/>
    </row>
    <row r="56" spans="1:17" s="88" customFormat="1" x14ac:dyDescent="0.2">
      <c r="C56" s="94" t="s">
        <v>23</v>
      </c>
      <c r="D56" s="2"/>
      <c r="E56" s="98"/>
      <c r="F56" s="98"/>
      <c r="G56" s="101" t="s">
        <v>704</v>
      </c>
      <c r="H56" s="163"/>
      <c r="I56" s="164"/>
      <c r="J56" s="164" t="s">
        <v>597</v>
      </c>
      <c r="K56" s="165" t="s">
        <v>705</v>
      </c>
      <c r="L56" s="165" t="s">
        <v>597</v>
      </c>
      <c r="M56" s="168" t="s">
        <v>706</v>
      </c>
      <c r="N56" s="168"/>
      <c r="O56" s="164" t="s">
        <v>523</v>
      </c>
      <c r="P56" s="167">
        <v>25</v>
      </c>
      <c r="Q56" s="106"/>
    </row>
    <row r="57" spans="1:17" s="88" customFormat="1" x14ac:dyDescent="0.2">
      <c r="A57" s="2"/>
      <c r="D57" s="2"/>
      <c r="E57" s="93"/>
      <c r="F57" s="93"/>
      <c r="G57" s="101" t="s">
        <v>707</v>
      </c>
      <c r="H57" s="163"/>
      <c r="I57" s="164"/>
      <c r="J57" s="164" t="s">
        <v>597</v>
      </c>
      <c r="K57" s="165"/>
      <c r="L57" s="165" t="s">
        <v>597</v>
      </c>
      <c r="M57" s="165" t="s">
        <v>708</v>
      </c>
      <c r="N57" s="164"/>
      <c r="O57" s="165" t="s">
        <v>523</v>
      </c>
      <c r="P57" s="167">
        <v>6</v>
      </c>
    </row>
    <row r="58" spans="1:17" s="88" customFormat="1" x14ac:dyDescent="0.2">
      <c r="A58" s="2"/>
      <c r="D58" s="2"/>
      <c r="E58" s="93"/>
      <c r="F58" s="93"/>
      <c r="G58" s="101" t="s">
        <v>709</v>
      </c>
      <c r="H58" s="163"/>
      <c r="I58" s="164"/>
      <c r="J58" s="164" t="s">
        <v>597</v>
      </c>
      <c r="K58" s="165"/>
      <c r="L58" s="165" t="s">
        <v>597</v>
      </c>
      <c r="M58" s="165" t="s">
        <v>710</v>
      </c>
      <c r="N58" s="164"/>
      <c r="O58" s="165" t="s">
        <v>523</v>
      </c>
      <c r="P58" s="167">
        <v>10</v>
      </c>
    </row>
    <row r="59" spans="1:17" s="88" customFormat="1" x14ac:dyDescent="0.2">
      <c r="A59" s="2"/>
      <c r="D59" s="2"/>
      <c r="E59" s="93"/>
      <c r="F59" s="93"/>
      <c r="G59" s="160" t="s">
        <v>536</v>
      </c>
      <c r="H59" s="163"/>
      <c r="I59" s="164"/>
      <c r="J59" s="164" t="s">
        <v>597</v>
      </c>
      <c r="K59" s="165" t="s">
        <v>711</v>
      </c>
      <c r="L59" s="165" t="s">
        <v>597</v>
      </c>
      <c r="M59" s="165" t="s">
        <v>712</v>
      </c>
      <c r="N59" s="164"/>
      <c r="O59" s="165" t="s">
        <v>527</v>
      </c>
      <c r="P59" s="167"/>
    </row>
    <row r="60" spans="1:17" s="88" customFormat="1" x14ac:dyDescent="0.2">
      <c r="A60" s="2"/>
      <c r="D60" s="2"/>
      <c r="E60" s="93"/>
      <c r="F60" s="93"/>
      <c r="G60" s="160" t="s">
        <v>536</v>
      </c>
      <c r="H60" s="163"/>
      <c r="I60" s="164"/>
      <c r="J60" s="164" t="s">
        <v>597</v>
      </c>
      <c r="K60" s="165" t="s">
        <v>713</v>
      </c>
      <c r="L60" s="165" t="s">
        <v>597</v>
      </c>
      <c r="M60" s="165" t="s">
        <v>713</v>
      </c>
      <c r="N60" s="164"/>
      <c r="O60" s="165" t="s">
        <v>523</v>
      </c>
      <c r="P60" s="167">
        <v>45</v>
      </c>
    </row>
    <row r="61" spans="1:17" s="88" customFormat="1" x14ac:dyDescent="0.2">
      <c r="A61" s="2"/>
      <c r="D61" s="2"/>
      <c r="E61" s="93"/>
      <c r="F61" s="93"/>
      <c r="G61" s="160" t="s">
        <v>536</v>
      </c>
      <c r="H61" s="163"/>
      <c r="I61" s="164"/>
      <c r="J61" s="164" t="s">
        <v>597</v>
      </c>
      <c r="K61" s="165" t="s">
        <v>714</v>
      </c>
      <c r="L61" s="165" t="s">
        <v>597</v>
      </c>
      <c r="M61" s="165" t="s">
        <v>715</v>
      </c>
      <c r="N61" s="164"/>
      <c r="O61" s="165" t="s">
        <v>523</v>
      </c>
      <c r="P61" s="167">
        <v>20</v>
      </c>
    </row>
    <row r="62" spans="1:17" s="88" customFormat="1" x14ac:dyDescent="0.2">
      <c r="A62" s="2"/>
      <c r="D62" s="2"/>
      <c r="E62" s="93"/>
      <c r="F62" s="93"/>
      <c r="G62" s="160" t="s">
        <v>536</v>
      </c>
      <c r="H62" s="163"/>
      <c r="I62" s="164"/>
      <c r="J62" s="164" t="s">
        <v>597</v>
      </c>
      <c r="K62" s="165" t="s">
        <v>716</v>
      </c>
      <c r="L62" s="165" t="s">
        <v>597</v>
      </c>
      <c r="M62" s="165" t="s">
        <v>717</v>
      </c>
      <c r="N62" s="164"/>
      <c r="O62" s="165" t="s">
        <v>527</v>
      </c>
      <c r="P62" s="167"/>
    </row>
    <row r="63" spans="1:17" s="88" customFormat="1" x14ac:dyDescent="0.2">
      <c r="A63" s="2"/>
      <c r="D63" s="2"/>
      <c r="E63" s="93"/>
      <c r="F63" s="93"/>
      <c r="G63" s="160" t="s">
        <v>536</v>
      </c>
      <c r="H63" s="163"/>
      <c r="I63" s="164"/>
      <c r="J63" s="164" t="s">
        <v>597</v>
      </c>
      <c r="K63" s="165" t="s">
        <v>718</v>
      </c>
      <c r="L63" s="165" t="s">
        <v>597</v>
      </c>
      <c r="M63" s="165" t="s">
        <v>719</v>
      </c>
      <c r="N63" s="164"/>
      <c r="O63" s="165" t="s">
        <v>523</v>
      </c>
      <c r="P63" s="167">
        <v>45</v>
      </c>
    </row>
    <row r="64" spans="1:17" s="88" customFormat="1" x14ac:dyDescent="0.2">
      <c r="A64" s="2"/>
      <c r="D64" s="2"/>
      <c r="E64" s="93"/>
      <c r="F64" s="93"/>
      <c r="G64" s="101" t="s">
        <v>720</v>
      </c>
      <c r="H64" s="163"/>
      <c r="I64" s="164"/>
      <c r="J64" s="164" t="s">
        <v>597</v>
      </c>
      <c r="K64" s="165" t="s">
        <v>721</v>
      </c>
      <c r="L64" s="165" t="s">
        <v>597</v>
      </c>
      <c r="M64" s="165" t="s">
        <v>722</v>
      </c>
      <c r="N64" s="164"/>
      <c r="O64" s="165" t="s">
        <v>523</v>
      </c>
      <c r="P64" s="167">
        <v>1</v>
      </c>
    </row>
    <row r="65" spans="1:16" s="88" customFormat="1" ht="38.25" x14ac:dyDescent="0.2">
      <c r="A65" s="2"/>
      <c r="B65" s="102"/>
      <c r="C65" s="88" t="s">
        <v>16</v>
      </c>
      <c r="D65" s="2" t="s">
        <v>723</v>
      </c>
      <c r="E65" s="93"/>
      <c r="F65" s="93"/>
      <c r="G65" s="101" t="s">
        <v>724</v>
      </c>
      <c r="H65" s="163"/>
      <c r="I65" s="164"/>
      <c r="J65" s="164" t="s">
        <v>597</v>
      </c>
      <c r="K65" s="165" t="s">
        <v>725</v>
      </c>
      <c r="L65" s="165" t="s">
        <v>597</v>
      </c>
      <c r="M65" s="164" t="s">
        <v>573</v>
      </c>
      <c r="N65" s="164"/>
      <c r="O65" s="165" t="s">
        <v>662</v>
      </c>
      <c r="P65" s="167"/>
    </row>
    <row r="66" spans="1:16" s="88" customFormat="1" x14ac:dyDescent="0.2">
      <c r="A66" s="2"/>
      <c r="B66" s="102"/>
      <c r="D66" s="2"/>
      <c r="E66" s="93"/>
      <c r="F66" s="93"/>
      <c r="G66" s="101" t="s">
        <v>726</v>
      </c>
      <c r="H66" s="163"/>
      <c r="I66" s="164"/>
      <c r="J66" s="164" t="s">
        <v>597</v>
      </c>
      <c r="K66" s="164" t="s">
        <v>727</v>
      </c>
      <c r="L66" s="165" t="s">
        <v>597</v>
      </c>
      <c r="M66" s="165" t="s">
        <v>728</v>
      </c>
      <c r="N66" s="164"/>
      <c r="O66" s="165" t="s">
        <v>523</v>
      </c>
      <c r="P66" s="167">
        <v>25</v>
      </c>
    </row>
    <row r="67" spans="1:16" s="88" customFormat="1" x14ac:dyDescent="0.2">
      <c r="A67" s="79"/>
      <c r="C67" s="94" t="s">
        <v>23</v>
      </c>
      <c r="D67" s="79" t="s">
        <v>523</v>
      </c>
      <c r="E67" s="71"/>
      <c r="F67" s="71"/>
      <c r="G67" s="144" t="s">
        <v>701</v>
      </c>
      <c r="H67" s="163"/>
      <c r="I67" s="164"/>
      <c r="J67" s="164" t="s">
        <v>597</v>
      </c>
      <c r="K67" s="165" t="s">
        <v>729</v>
      </c>
      <c r="L67" s="165"/>
      <c r="M67" s="168"/>
      <c r="N67" s="164"/>
      <c r="O67" s="165" t="s">
        <v>662</v>
      </c>
      <c r="P67" s="167" t="s">
        <v>730</v>
      </c>
    </row>
    <row r="68" spans="1:16" s="88" customFormat="1" x14ac:dyDescent="0.2">
      <c r="A68" s="2"/>
      <c r="C68" s="94" t="s">
        <v>23</v>
      </c>
      <c r="D68" s="2" t="s">
        <v>731</v>
      </c>
      <c r="E68" s="93"/>
      <c r="F68" s="93"/>
      <c r="G68" s="160" t="s">
        <v>536</v>
      </c>
      <c r="H68" s="163"/>
      <c r="I68" s="164"/>
      <c r="J68" s="164" t="s">
        <v>597</v>
      </c>
      <c r="K68" s="165" t="s">
        <v>732</v>
      </c>
      <c r="L68" s="165"/>
      <c r="M68" s="168"/>
      <c r="N68" s="164"/>
      <c r="O68" s="165" t="s">
        <v>662</v>
      </c>
      <c r="P68" s="168" t="s">
        <v>733</v>
      </c>
    </row>
    <row r="69" spans="1:16" s="106" customFormat="1" x14ac:dyDescent="0.2">
      <c r="A69" s="79"/>
      <c r="B69" s="79"/>
      <c r="C69" s="101" t="s">
        <v>16</v>
      </c>
      <c r="D69" s="2" t="s">
        <v>523</v>
      </c>
      <c r="E69" s="100"/>
      <c r="F69" s="127"/>
      <c r="G69" s="144"/>
      <c r="H69" s="153"/>
      <c r="M69" s="94"/>
      <c r="N69" s="88"/>
      <c r="O69" s="79"/>
      <c r="P69" s="111"/>
    </row>
    <row r="70" spans="1:16" s="171" customFormat="1" x14ac:dyDescent="0.2">
      <c r="A70" s="173"/>
      <c r="B70" s="173" t="s">
        <v>598</v>
      </c>
      <c r="C70" s="206"/>
      <c r="D70" s="173"/>
      <c r="E70" s="207"/>
      <c r="F70" s="208"/>
      <c r="G70" s="199" t="s">
        <v>734</v>
      </c>
      <c r="H70" s="172"/>
      <c r="K70" s="173"/>
      <c r="L70" s="173"/>
      <c r="O70" s="173"/>
      <c r="P70" s="174"/>
    </row>
    <row r="71" spans="1:16" x14ac:dyDescent="0.2">
      <c r="A71" s="88" t="s">
        <v>531</v>
      </c>
      <c r="B71" s="88" t="s">
        <v>600</v>
      </c>
      <c r="C71" s="88"/>
      <c r="D71" s="2"/>
      <c r="E71" s="93"/>
      <c r="G71" s="88" t="s">
        <v>533</v>
      </c>
      <c r="H71" s="212" t="s">
        <v>534</v>
      </c>
      <c r="I71" s="171"/>
      <c r="J71" s="171" t="s">
        <v>542</v>
      </c>
      <c r="K71" s="173" t="s">
        <v>601</v>
      </c>
      <c r="L71" s="173" t="s">
        <v>597</v>
      </c>
      <c r="M71" s="171" t="s">
        <v>535</v>
      </c>
      <c r="N71" s="171"/>
      <c r="O71" s="173" t="s">
        <v>523</v>
      </c>
      <c r="P71" s="174">
        <v>12</v>
      </c>
    </row>
    <row r="72" spans="1:16" ht="76.5" x14ac:dyDescent="0.2">
      <c r="A72" s="88" t="s">
        <v>234</v>
      </c>
      <c r="B72" s="88" t="s">
        <v>532</v>
      </c>
      <c r="C72" s="88" t="s">
        <v>16</v>
      </c>
      <c r="D72" s="2"/>
      <c r="E72" s="93"/>
      <c r="G72" s="147" t="s">
        <v>735</v>
      </c>
      <c r="H72" s="172" t="s">
        <v>736</v>
      </c>
      <c r="I72" s="171"/>
      <c r="J72" s="171" t="s">
        <v>597</v>
      </c>
      <c r="K72" s="173" t="s">
        <v>601</v>
      </c>
      <c r="L72" s="173" t="s">
        <v>597</v>
      </c>
      <c r="M72" s="171" t="s">
        <v>603</v>
      </c>
      <c r="N72" s="171" t="s">
        <v>549</v>
      </c>
      <c r="O72" s="173" t="s">
        <v>523</v>
      </c>
      <c r="P72" s="174" t="s">
        <v>604</v>
      </c>
    </row>
    <row r="73" spans="1:16" ht="38.25" x14ac:dyDescent="0.2">
      <c r="A73" s="88"/>
      <c r="B73" s="88"/>
      <c r="C73" s="88"/>
      <c r="D73" s="2"/>
      <c r="E73" s="93"/>
      <c r="G73" s="101" t="s">
        <v>737</v>
      </c>
      <c r="H73" s="172" t="s">
        <v>738</v>
      </c>
      <c r="I73" s="171"/>
      <c r="J73" s="171"/>
      <c r="K73" s="173"/>
      <c r="L73" s="173" t="s">
        <v>597</v>
      </c>
      <c r="M73" s="171" t="s">
        <v>606</v>
      </c>
      <c r="N73" s="171"/>
      <c r="O73" s="173"/>
      <c r="P73" s="174"/>
    </row>
    <row r="74" spans="1:16" ht="63.75" x14ac:dyDescent="0.2">
      <c r="A74" s="93" t="s">
        <v>234</v>
      </c>
      <c r="B74" s="88" t="s">
        <v>129</v>
      </c>
      <c r="F74" s="85"/>
      <c r="G74" s="147" t="s">
        <v>224</v>
      </c>
      <c r="H74" s="172" t="s">
        <v>739</v>
      </c>
      <c r="I74" s="171"/>
      <c r="J74" s="171" t="s">
        <v>597</v>
      </c>
      <c r="K74" s="171" t="s">
        <v>609</v>
      </c>
      <c r="L74" s="173" t="s">
        <v>597</v>
      </c>
      <c r="M74" s="171" t="s">
        <v>609</v>
      </c>
      <c r="N74" s="171" t="s">
        <v>549</v>
      </c>
      <c r="O74" s="171" t="s">
        <v>523</v>
      </c>
      <c r="P74" s="151">
        <v>45</v>
      </c>
    </row>
    <row r="75" spans="1:16" ht="63.75" x14ac:dyDescent="0.2">
      <c r="A75" s="93" t="s">
        <v>740</v>
      </c>
      <c r="B75" s="88" t="s">
        <v>741</v>
      </c>
      <c r="F75" s="85"/>
      <c r="G75" s="147" t="s">
        <v>742</v>
      </c>
      <c r="H75" s="172" t="s">
        <v>743</v>
      </c>
      <c r="I75" s="171"/>
      <c r="J75" s="171" t="s">
        <v>597</v>
      </c>
      <c r="K75" s="171"/>
      <c r="L75" s="173" t="s">
        <v>597</v>
      </c>
      <c r="M75" s="171" t="s">
        <v>610</v>
      </c>
      <c r="N75" s="171"/>
      <c r="O75" s="171" t="s">
        <v>246</v>
      </c>
      <c r="P75" s="151"/>
    </row>
    <row r="76" spans="1:16" ht="38.25" x14ac:dyDescent="0.2">
      <c r="A76" s="88" t="s">
        <v>611</v>
      </c>
      <c r="B76" s="88" t="s">
        <v>612</v>
      </c>
      <c r="C76" s="88" t="s">
        <v>16</v>
      </c>
      <c r="D76" s="88"/>
      <c r="E76" s="93"/>
      <c r="G76" s="101" t="s">
        <v>613</v>
      </c>
      <c r="H76" s="172" t="s">
        <v>614</v>
      </c>
      <c r="I76" s="171"/>
      <c r="J76" s="171" t="s">
        <v>597</v>
      </c>
      <c r="K76" s="171" t="s">
        <v>615</v>
      </c>
      <c r="L76" s="171" t="s">
        <v>616</v>
      </c>
      <c r="M76" s="171" t="s">
        <v>617</v>
      </c>
      <c r="N76" s="171"/>
      <c r="O76" s="171" t="s">
        <v>523</v>
      </c>
      <c r="P76" s="151">
        <v>45</v>
      </c>
    </row>
    <row r="77" spans="1:16" x14ac:dyDescent="0.2">
      <c r="A77" s="88"/>
      <c r="B77" s="102"/>
      <c r="C77" s="88"/>
      <c r="D77" s="88"/>
      <c r="E77" s="93"/>
      <c r="G77" s="160" t="s">
        <v>536</v>
      </c>
      <c r="H77" s="172"/>
      <c r="I77" s="171"/>
      <c r="J77" s="171" t="s">
        <v>597</v>
      </c>
      <c r="K77" s="171" t="s">
        <v>618</v>
      </c>
      <c r="L77" s="171" t="s">
        <v>616</v>
      </c>
      <c r="M77" s="171" t="s">
        <v>619</v>
      </c>
      <c r="N77" s="171"/>
      <c r="O77" s="171" t="s">
        <v>523</v>
      </c>
      <c r="P77" s="151">
        <v>45</v>
      </c>
    </row>
    <row r="78" spans="1:16" x14ac:dyDescent="0.2">
      <c r="A78" s="88"/>
      <c r="B78" s="102"/>
      <c r="C78" s="88"/>
      <c r="D78" s="88"/>
      <c r="E78" s="93"/>
      <c r="G78" s="160" t="s">
        <v>536</v>
      </c>
      <c r="H78" s="172"/>
      <c r="I78" s="171"/>
      <c r="J78" s="171" t="s">
        <v>597</v>
      </c>
      <c r="K78" s="171" t="s">
        <v>620</v>
      </c>
      <c r="L78" s="171" t="s">
        <v>616</v>
      </c>
      <c r="M78" s="171" t="s">
        <v>621</v>
      </c>
      <c r="N78" s="171"/>
      <c r="O78" s="171" t="s">
        <v>523</v>
      </c>
      <c r="P78" s="151">
        <v>45</v>
      </c>
    </row>
    <row r="79" spans="1:16" x14ac:dyDescent="0.2">
      <c r="A79" s="88"/>
      <c r="B79" s="102"/>
      <c r="C79" s="88"/>
      <c r="D79" s="88"/>
      <c r="E79" s="93"/>
      <c r="G79" s="160" t="s">
        <v>536</v>
      </c>
      <c r="H79" s="172"/>
      <c r="I79" s="171"/>
      <c r="J79" s="171" t="s">
        <v>597</v>
      </c>
      <c r="K79" s="171" t="s">
        <v>622</v>
      </c>
      <c r="L79" s="171" t="s">
        <v>616</v>
      </c>
      <c r="M79" s="171" t="s">
        <v>623</v>
      </c>
      <c r="N79" s="171"/>
      <c r="O79" s="171" t="s">
        <v>523</v>
      </c>
      <c r="P79" s="151">
        <v>45</v>
      </c>
    </row>
    <row r="80" spans="1:16" x14ac:dyDescent="0.2">
      <c r="A80" s="88"/>
      <c r="B80" s="102"/>
      <c r="C80" s="88"/>
      <c r="D80" s="88"/>
      <c r="E80" s="93"/>
      <c r="G80" s="160" t="s">
        <v>536</v>
      </c>
      <c r="H80" s="172"/>
      <c r="I80" s="171"/>
      <c r="J80" s="171" t="s">
        <v>597</v>
      </c>
      <c r="K80" s="171" t="s">
        <v>624</v>
      </c>
      <c r="L80" s="171" t="s">
        <v>616</v>
      </c>
      <c r="M80" s="171" t="s">
        <v>625</v>
      </c>
      <c r="N80" s="171"/>
      <c r="O80" s="171" t="s">
        <v>523</v>
      </c>
      <c r="P80" s="151">
        <v>45</v>
      </c>
    </row>
    <row r="81" spans="1:16" x14ac:dyDescent="0.2">
      <c r="A81" s="88"/>
      <c r="B81" s="102"/>
      <c r="C81" s="88"/>
      <c r="D81" s="88"/>
      <c r="E81" s="93"/>
      <c r="G81" s="160" t="s">
        <v>536</v>
      </c>
      <c r="H81" s="172"/>
      <c r="I81" s="171"/>
      <c r="J81" s="171" t="s">
        <v>597</v>
      </c>
      <c r="K81" s="171" t="s">
        <v>626</v>
      </c>
      <c r="L81" s="171" t="s">
        <v>616</v>
      </c>
      <c r="M81" s="171" t="s">
        <v>627</v>
      </c>
      <c r="N81" s="171"/>
      <c r="O81" s="171" t="s">
        <v>523</v>
      </c>
      <c r="P81" s="151">
        <v>45</v>
      </c>
    </row>
    <row r="82" spans="1:16" ht="38.25" x14ac:dyDescent="0.2">
      <c r="A82" s="88" t="s">
        <v>611</v>
      </c>
      <c r="B82" s="88" t="s">
        <v>628</v>
      </c>
      <c r="C82" s="88"/>
      <c r="D82" s="88"/>
      <c r="E82" s="93"/>
      <c r="G82" s="101" t="s">
        <v>224</v>
      </c>
      <c r="H82" s="172" t="s">
        <v>629</v>
      </c>
      <c r="I82" s="171"/>
      <c r="J82" s="171" t="s">
        <v>597</v>
      </c>
      <c r="K82" s="171" t="s">
        <v>630</v>
      </c>
      <c r="L82" s="171" t="s">
        <v>616</v>
      </c>
      <c r="M82" s="171" t="s">
        <v>630</v>
      </c>
      <c r="N82" s="171"/>
      <c r="O82" s="171" t="s">
        <v>523</v>
      </c>
      <c r="P82" s="151">
        <v>11</v>
      </c>
    </row>
    <row r="83" spans="1:16" ht="63.75" x14ac:dyDescent="0.2">
      <c r="A83" s="93" t="s">
        <v>234</v>
      </c>
      <c r="B83" s="88" t="s">
        <v>147</v>
      </c>
      <c r="G83" s="147" t="s">
        <v>224</v>
      </c>
      <c r="H83" s="172" t="s">
        <v>744</v>
      </c>
      <c r="I83" s="171"/>
      <c r="J83" s="171" t="s">
        <v>597</v>
      </c>
      <c r="K83" s="171" t="s">
        <v>632</v>
      </c>
      <c r="L83" s="171" t="s">
        <v>633</v>
      </c>
      <c r="M83" s="171" t="s">
        <v>634</v>
      </c>
      <c r="N83" s="171"/>
      <c r="O83" s="171" t="s">
        <v>523</v>
      </c>
      <c r="P83" s="151">
        <v>21</v>
      </c>
    </row>
    <row r="84" spans="1:16" ht="63.75" x14ac:dyDescent="0.2">
      <c r="A84" s="93" t="s">
        <v>234</v>
      </c>
      <c r="B84" s="88" t="s">
        <v>637</v>
      </c>
      <c r="G84" s="147" t="s">
        <v>224</v>
      </c>
      <c r="H84" s="172" t="s">
        <v>745</v>
      </c>
      <c r="I84" s="171"/>
      <c r="J84" s="171" t="s">
        <v>597</v>
      </c>
      <c r="K84" s="171" t="s">
        <v>635</v>
      </c>
      <c r="L84" s="171" t="s">
        <v>633</v>
      </c>
      <c r="M84" s="171" t="s">
        <v>636</v>
      </c>
      <c r="N84" s="171"/>
      <c r="O84" s="171" t="s">
        <v>523</v>
      </c>
      <c r="P84" s="151">
        <v>21</v>
      </c>
    </row>
    <row r="85" spans="1:16" x14ac:dyDescent="0.2">
      <c r="A85" s="88"/>
      <c r="B85" s="102"/>
      <c r="C85" s="88"/>
      <c r="D85" s="88"/>
      <c r="E85" s="93"/>
      <c r="G85" s="160" t="s">
        <v>536</v>
      </c>
      <c r="H85" s="172"/>
      <c r="I85" s="171"/>
      <c r="J85" s="171" t="s">
        <v>597</v>
      </c>
      <c r="K85" s="171" t="s">
        <v>639</v>
      </c>
      <c r="L85" s="171" t="s">
        <v>633</v>
      </c>
      <c r="M85" s="171" t="s">
        <v>640</v>
      </c>
      <c r="N85" s="171"/>
      <c r="O85" s="171" t="s">
        <v>523</v>
      </c>
      <c r="P85" s="151">
        <v>21</v>
      </c>
    </row>
    <row r="86" spans="1:16" x14ac:dyDescent="0.2">
      <c r="A86" s="88"/>
      <c r="B86" s="102"/>
      <c r="C86" s="88"/>
      <c r="D86" s="88"/>
      <c r="E86" s="93"/>
      <c r="G86" s="160" t="s">
        <v>536</v>
      </c>
      <c r="H86" s="172"/>
      <c r="I86" s="171"/>
      <c r="J86" s="171" t="s">
        <v>597</v>
      </c>
      <c r="K86" s="171" t="s">
        <v>641</v>
      </c>
      <c r="L86" s="171" t="s">
        <v>633</v>
      </c>
      <c r="M86" s="171" t="s">
        <v>642</v>
      </c>
      <c r="N86" s="171"/>
      <c r="O86" s="171" t="s">
        <v>523</v>
      </c>
      <c r="P86" s="151">
        <v>21</v>
      </c>
    </row>
    <row r="87" spans="1:16" ht="63.75" x14ac:dyDescent="0.2">
      <c r="A87" s="93" t="s">
        <v>234</v>
      </c>
      <c r="B87" s="88" t="s">
        <v>643</v>
      </c>
      <c r="G87" s="147" t="s">
        <v>224</v>
      </c>
      <c r="H87" s="172" t="s">
        <v>746</v>
      </c>
      <c r="I87" s="171"/>
      <c r="J87" s="171" t="s">
        <v>597</v>
      </c>
      <c r="K87" s="173" t="s">
        <v>645</v>
      </c>
      <c r="L87" s="173" t="s">
        <v>646</v>
      </c>
      <c r="M87" s="173" t="s">
        <v>647</v>
      </c>
      <c r="N87" s="151"/>
      <c r="O87" s="173" t="s">
        <v>523</v>
      </c>
      <c r="P87" s="174">
        <v>71</v>
      </c>
    </row>
    <row r="88" spans="1:16" x14ac:dyDescent="0.2">
      <c r="A88" s="2"/>
      <c r="B88" s="88"/>
      <c r="C88" s="88"/>
      <c r="D88" s="2"/>
      <c r="E88" s="93"/>
      <c r="G88" s="160" t="s">
        <v>536</v>
      </c>
      <c r="H88" s="172"/>
      <c r="I88" s="171"/>
      <c r="J88" s="171" t="s">
        <v>597</v>
      </c>
      <c r="K88" s="173" t="s">
        <v>648</v>
      </c>
      <c r="L88" s="173" t="s">
        <v>646</v>
      </c>
      <c r="M88" s="173" t="s">
        <v>649</v>
      </c>
      <c r="N88" s="151"/>
      <c r="O88" s="173" t="s">
        <v>523</v>
      </c>
      <c r="P88" s="174">
        <v>71</v>
      </c>
    </row>
    <row r="89" spans="1:16" x14ac:dyDescent="0.2">
      <c r="A89" s="79"/>
      <c r="B89" s="106"/>
      <c r="C89" s="88"/>
      <c r="D89" s="2"/>
      <c r="E89" s="125"/>
      <c r="F89" s="125"/>
      <c r="G89" s="160" t="s">
        <v>536</v>
      </c>
      <c r="H89" s="172"/>
      <c r="I89" s="171"/>
      <c r="J89" s="171" t="s">
        <v>597</v>
      </c>
      <c r="K89" s="173" t="s">
        <v>650</v>
      </c>
      <c r="L89" s="173" t="s">
        <v>646</v>
      </c>
      <c r="M89" s="173" t="s">
        <v>651</v>
      </c>
      <c r="N89" s="171"/>
      <c r="O89" s="173" t="s">
        <v>523</v>
      </c>
      <c r="P89" s="174">
        <v>71</v>
      </c>
    </row>
    <row r="90" spans="1:16" x14ac:dyDescent="0.2">
      <c r="A90" s="2" t="s">
        <v>531</v>
      </c>
      <c r="B90" s="101" t="s">
        <v>747</v>
      </c>
      <c r="C90" s="88" t="s">
        <v>16</v>
      </c>
      <c r="D90" s="2"/>
      <c r="E90" s="125"/>
      <c r="F90" s="125"/>
      <c r="G90" s="144" t="s">
        <v>653</v>
      </c>
      <c r="H90" s="212" t="s">
        <v>541</v>
      </c>
      <c r="I90" s="171"/>
      <c r="J90" s="171" t="s">
        <v>597</v>
      </c>
      <c r="K90" s="173" t="s">
        <v>654</v>
      </c>
      <c r="L90" s="173" t="s">
        <v>597</v>
      </c>
      <c r="M90" s="171" t="s">
        <v>655</v>
      </c>
      <c r="N90" s="171"/>
      <c r="O90" s="173" t="s">
        <v>656</v>
      </c>
      <c r="P90" s="174"/>
    </row>
    <row r="91" spans="1:16" x14ac:dyDescent="0.2">
      <c r="A91" s="2"/>
      <c r="B91" s="149"/>
      <c r="C91" s="88"/>
      <c r="D91" s="2"/>
      <c r="E91" s="125"/>
      <c r="F91" s="125"/>
      <c r="G91" s="160" t="s">
        <v>536</v>
      </c>
      <c r="H91" s="172"/>
      <c r="I91" s="171"/>
      <c r="J91" s="171"/>
      <c r="K91" s="173"/>
      <c r="L91" s="173" t="s">
        <v>597</v>
      </c>
      <c r="M91" s="171" t="s">
        <v>658</v>
      </c>
      <c r="N91" s="171"/>
      <c r="O91" s="173"/>
      <c r="P91" s="174"/>
    </row>
    <row r="92" spans="1:16" ht="63.75" x14ac:dyDescent="0.2">
      <c r="A92" s="93" t="s">
        <v>234</v>
      </c>
      <c r="B92" s="88" t="s">
        <v>129</v>
      </c>
      <c r="F92" s="85"/>
      <c r="G92" s="147" t="s">
        <v>224</v>
      </c>
      <c r="H92" s="172" t="s">
        <v>739</v>
      </c>
      <c r="I92" s="175"/>
      <c r="J92" s="171" t="s">
        <v>597</v>
      </c>
      <c r="K92" s="174" t="s">
        <v>659</v>
      </c>
      <c r="L92" s="174"/>
      <c r="M92" s="151" t="s">
        <v>659</v>
      </c>
      <c r="N92" s="151"/>
      <c r="O92" s="176" t="s">
        <v>523</v>
      </c>
      <c r="P92" s="174">
        <v>45</v>
      </c>
    </row>
    <row r="93" spans="1:16" x14ac:dyDescent="0.2">
      <c r="A93" s="140"/>
      <c r="B93" s="133"/>
      <c r="C93" s="94" t="s">
        <v>23</v>
      </c>
      <c r="D93" s="79"/>
      <c r="E93" s="71"/>
      <c r="F93" s="109"/>
      <c r="G93" s="144" t="s">
        <v>660</v>
      </c>
      <c r="H93" s="177"/>
      <c r="I93" s="178"/>
      <c r="J93" s="171" t="s">
        <v>597</v>
      </c>
      <c r="K93" s="174" t="s">
        <v>661</v>
      </c>
      <c r="L93" s="173" t="s">
        <v>597</v>
      </c>
      <c r="M93" s="151" t="s">
        <v>661</v>
      </c>
      <c r="N93" s="171"/>
      <c r="O93" s="179" t="s">
        <v>662</v>
      </c>
      <c r="P93" s="174"/>
    </row>
    <row r="94" spans="1:16" x14ac:dyDescent="0.2">
      <c r="A94" s="140"/>
      <c r="B94" s="102"/>
      <c r="C94" s="94"/>
      <c r="D94" s="2"/>
      <c r="E94" s="93"/>
      <c r="F94" s="150"/>
      <c r="G94" s="160" t="s">
        <v>536</v>
      </c>
      <c r="H94" s="177"/>
      <c r="I94" s="178"/>
      <c r="J94" s="171" t="s">
        <v>597</v>
      </c>
      <c r="K94" s="171" t="s">
        <v>663</v>
      </c>
      <c r="L94" s="173" t="s">
        <v>597</v>
      </c>
      <c r="M94" s="174" t="s">
        <v>664</v>
      </c>
      <c r="N94" s="171"/>
      <c r="O94" s="179" t="s">
        <v>523</v>
      </c>
      <c r="P94" s="174">
        <v>45</v>
      </c>
    </row>
    <row r="95" spans="1:16" x14ac:dyDescent="0.2">
      <c r="A95" s="140"/>
      <c r="B95" s="102"/>
      <c r="C95" s="94"/>
      <c r="D95" s="2"/>
      <c r="E95" s="93"/>
      <c r="F95" s="150"/>
      <c r="G95" s="160" t="s">
        <v>536</v>
      </c>
      <c r="H95" s="177"/>
      <c r="I95" s="178"/>
      <c r="J95" s="171" t="s">
        <v>597</v>
      </c>
      <c r="K95" s="171" t="s">
        <v>665</v>
      </c>
      <c r="L95" s="173" t="s">
        <v>597</v>
      </c>
      <c r="M95" s="174" t="s">
        <v>666</v>
      </c>
      <c r="N95" s="171"/>
      <c r="O95" s="179" t="s">
        <v>523</v>
      </c>
      <c r="P95" s="174">
        <v>45</v>
      </c>
    </row>
    <row r="96" spans="1:16" x14ac:dyDescent="0.2">
      <c r="A96" s="140"/>
      <c r="B96" s="102"/>
      <c r="C96" s="94"/>
      <c r="D96" s="2"/>
      <c r="E96" s="93"/>
      <c r="F96" s="150"/>
      <c r="G96" s="160" t="s">
        <v>536</v>
      </c>
      <c r="H96" s="177"/>
      <c r="I96" s="178"/>
      <c r="J96" s="171" t="s">
        <v>597</v>
      </c>
      <c r="K96" s="171" t="s">
        <v>667</v>
      </c>
      <c r="L96" s="173" t="s">
        <v>597</v>
      </c>
      <c r="M96" s="174" t="s">
        <v>668</v>
      </c>
      <c r="N96" s="171"/>
      <c r="O96" s="179" t="s">
        <v>523</v>
      </c>
      <c r="P96" s="174">
        <v>25</v>
      </c>
    </row>
    <row r="97" spans="1:17" x14ac:dyDescent="0.2">
      <c r="A97" s="140"/>
      <c r="B97" s="102"/>
      <c r="C97" s="94"/>
      <c r="D97" s="2"/>
      <c r="E97" s="93"/>
      <c r="F97" s="150"/>
      <c r="G97" s="160" t="s">
        <v>536</v>
      </c>
      <c r="H97" s="177"/>
      <c r="I97" s="178"/>
      <c r="J97" s="171" t="s">
        <v>597</v>
      </c>
      <c r="K97" s="171" t="s">
        <v>669</v>
      </c>
      <c r="L97" s="173" t="s">
        <v>597</v>
      </c>
      <c r="M97" s="174" t="s">
        <v>670</v>
      </c>
      <c r="N97" s="171"/>
      <c r="O97" s="179" t="s">
        <v>523</v>
      </c>
      <c r="P97" s="174">
        <v>25</v>
      </c>
    </row>
    <row r="98" spans="1:17" x14ac:dyDescent="0.2">
      <c r="A98" s="140"/>
      <c r="B98" s="102"/>
      <c r="C98" s="94"/>
      <c r="D98" s="2"/>
      <c r="E98" s="93"/>
      <c r="F98" s="150"/>
      <c r="G98" s="160" t="s">
        <v>536</v>
      </c>
      <c r="H98" s="177"/>
      <c r="I98" s="178"/>
      <c r="J98" s="171" t="s">
        <v>597</v>
      </c>
      <c r="K98" s="171" t="s">
        <v>671</v>
      </c>
      <c r="L98" s="173" t="s">
        <v>597</v>
      </c>
      <c r="M98" s="174" t="s">
        <v>672</v>
      </c>
      <c r="N98" s="171"/>
      <c r="O98" s="179" t="s">
        <v>523</v>
      </c>
      <c r="P98" s="174">
        <v>25</v>
      </c>
    </row>
    <row r="99" spans="1:17" x14ac:dyDescent="0.2">
      <c r="A99" s="140"/>
      <c r="B99" s="102"/>
      <c r="C99" s="94"/>
      <c r="D99" s="2"/>
      <c r="E99" s="93"/>
      <c r="F99" s="150"/>
      <c r="G99" s="160" t="s">
        <v>536</v>
      </c>
      <c r="H99" s="177"/>
      <c r="I99" s="178"/>
      <c r="J99" s="171" t="s">
        <v>597</v>
      </c>
      <c r="K99" s="171" t="s">
        <v>673</v>
      </c>
      <c r="L99" s="173" t="s">
        <v>597</v>
      </c>
      <c r="M99" s="174" t="s">
        <v>674</v>
      </c>
      <c r="N99" s="171"/>
      <c r="O99" s="179" t="s">
        <v>523</v>
      </c>
      <c r="P99" s="174">
        <v>25</v>
      </c>
    </row>
    <row r="100" spans="1:17" x14ac:dyDescent="0.2">
      <c r="A100" s="140"/>
      <c r="B100" s="102"/>
      <c r="C100" s="94"/>
      <c r="D100" s="2"/>
      <c r="E100" s="93"/>
      <c r="F100" s="150"/>
      <c r="G100" s="160" t="s">
        <v>536</v>
      </c>
      <c r="H100" s="177"/>
      <c r="I100" s="178"/>
      <c r="J100" s="171" t="s">
        <v>597</v>
      </c>
      <c r="K100" s="171" t="s">
        <v>675</v>
      </c>
      <c r="L100" s="173" t="s">
        <v>597</v>
      </c>
      <c r="M100" s="174" t="s">
        <v>676</v>
      </c>
      <c r="N100" s="171"/>
      <c r="O100" s="179" t="s">
        <v>523</v>
      </c>
      <c r="P100" s="174">
        <v>25</v>
      </c>
    </row>
    <row r="101" spans="1:17" ht="76.5" x14ac:dyDescent="0.2">
      <c r="A101" s="93" t="s">
        <v>234</v>
      </c>
      <c r="B101" s="88" t="s">
        <v>532</v>
      </c>
      <c r="C101" s="94"/>
      <c r="D101" s="2"/>
      <c r="E101" s="93"/>
      <c r="F101" s="150"/>
      <c r="G101" s="101" t="s">
        <v>748</v>
      </c>
      <c r="H101" s="172" t="s">
        <v>749</v>
      </c>
      <c r="I101" s="178"/>
      <c r="J101" s="171" t="s">
        <v>597</v>
      </c>
      <c r="K101" s="171" t="s">
        <v>677</v>
      </c>
      <c r="L101" s="173" t="s">
        <v>597</v>
      </c>
      <c r="M101" s="174" t="s">
        <v>678</v>
      </c>
      <c r="N101" s="171"/>
      <c r="O101" s="179" t="s">
        <v>523</v>
      </c>
      <c r="P101" s="174">
        <v>25</v>
      </c>
    </row>
    <row r="102" spans="1:17" x14ac:dyDescent="0.2">
      <c r="A102" s="140"/>
      <c r="B102" s="102"/>
      <c r="C102" s="94"/>
      <c r="D102" s="2"/>
      <c r="E102" s="93"/>
      <c r="F102" s="150"/>
      <c r="G102" s="101" t="s">
        <v>679</v>
      </c>
      <c r="H102" s="177"/>
      <c r="I102" s="178"/>
      <c r="J102" s="171" t="s">
        <v>597</v>
      </c>
      <c r="K102" s="171" t="s">
        <v>680</v>
      </c>
      <c r="L102" s="173" t="s">
        <v>597</v>
      </c>
      <c r="M102" s="174" t="s">
        <v>680</v>
      </c>
      <c r="N102" s="171"/>
      <c r="O102" s="179" t="s">
        <v>523</v>
      </c>
      <c r="P102" s="174">
        <v>3</v>
      </c>
    </row>
    <row r="103" spans="1:17" x14ac:dyDescent="0.2">
      <c r="A103" s="140"/>
      <c r="B103" s="102"/>
      <c r="C103" s="94"/>
      <c r="D103" s="2"/>
      <c r="E103" s="93"/>
      <c r="F103" s="150"/>
      <c r="G103" s="101" t="s">
        <v>681</v>
      </c>
      <c r="H103" s="177"/>
      <c r="I103" s="178"/>
      <c r="J103" s="171" t="s">
        <v>597</v>
      </c>
      <c r="K103" s="171" t="s">
        <v>682</v>
      </c>
      <c r="L103" s="173" t="s">
        <v>597</v>
      </c>
      <c r="M103" s="174" t="s">
        <v>682</v>
      </c>
      <c r="N103" s="171"/>
      <c r="O103" s="179" t="s">
        <v>523</v>
      </c>
      <c r="P103" s="174">
        <v>3</v>
      </c>
    </row>
    <row r="104" spans="1:17" x14ac:dyDescent="0.2">
      <c r="A104" s="140"/>
      <c r="B104" s="102"/>
      <c r="C104" s="94"/>
      <c r="D104" s="2"/>
      <c r="E104" s="93"/>
      <c r="F104" s="150"/>
      <c r="G104" s="160" t="s">
        <v>536</v>
      </c>
      <c r="H104" s="177"/>
      <c r="I104" s="178"/>
      <c r="J104" s="171" t="s">
        <v>597</v>
      </c>
      <c r="K104" s="171" t="s">
        <v>683</v>
      </c>
      <c r="L104" s="173" t="s">
        <v>597</v>
      </c>
      <c r="M104" s="174" t="s">
        <v>684</v>
      </c>
      <c r="N104" s="171"/>
      <c r="O104" s="179" t="s">
        <v>527</v>
      </c>
      <c r="P104" s="174"/>
    </row>
    <row r="105" spans="1:17" x14ac:dyDescent="0.2">
      <c r="A105" s="140"/>
      <c r="B105" s="102"/>
      <c r="C105" s="94"/>
      <c r="D105" s="2"/>
      <c r="E105" s="93"/>
      <c r="F105" s="150"/>
      <c r="G105" s="160" t="s">
        <v>536</v>
      </c>
      <c r="H105" s="177"/>
      <c r="I105" s="178"/>
      <c r="J105" s="171" t="s">
        <v>597</v>
      </c>
      <c r="K105" s="171" t="s">
        <v>685</v>
      </c>
      <c r="L105" s="173" t="s">
        <v>597</v>
      </c>
      <c r="M105" s="174" t="s">
        <v>686</v>
      </c>
      <c r="N105" s="171"/>
      <c r="O105" s="179" t="s">
        <v>656</v>
      </c>
      <c r="P105" s="174"/>
    </row>
    <row r="106" spans="1:17" x14ac:dyDescent="0.2">
      <c r="A106" s="140"/>
      <c r="B106" s="102"/>
      <c r="C106" s="94"/>
      <c r="D106" s="2"/>
      <c r="E106" s="93"/>
      <c r="F106" s="150"/>
      <c r="G106" s="160" t="s">
        <v>536</v>
      </c>
      <c r="H106" s="177"/>
      <c r="I106" s="178"/>
      <c r="J106" s="171" t="s">
        <v>597</v>
      </c>
      <c r="K106" s="171" t="s">
        <v>687</v>
      </c>
      <c r="L106" s="173" t="s">
        <v>597</v>
      </c>
      <c r="M106" s="174" t="s">
        <v>688</v>
      </c>
      <c r="N106" s="171"/>
      <c r="O106" s="179" t="s">
        <v>656</v>
      </c>
      <c r="P106" s="174"/>
    </row>
    <row r="107" spans="1:17" x14ac:dyDescent="0.2">
      <c r="A107" s="140"/>
      <c r="B107" s="102"/>
      <c r="C107" s="94"/>
      <c r="D107" s="2"/>
      <c r="E107" s="93"/>
      <c r="F107" s="150"/>
      <c r="G107" s="160" t="s">
        <v>536</v>
      </c>
      <c r="H107" s="177"/>
      <c r="I107" s="178"/>
      <c r="J107" s="171" t="s">
        <v>597</v>
      </c>
      <c r="K107" s="171" t="s">
        <v>689</v>
      </c>
      <c r="L107" s="173" t="s">
        <v>597</v>
      </c>
      <c r="M107" s="174" t="s">
        <v>690</v>
      </c>
      <c r="N107" s="171"/>
      <c r="O107" s="179" t="s">
        <v>523</v>
      </c>
      <c r="P107" s="174">
        <v>11</v>
      </c>
    </row>
    <row r="108" spans="1:17" x14ac:dyDescent="0.2">
      <c r="A108" s="2"/>
      <c r="B108" s="102"/>
      <c r="C108" s="94" t="s">
        <v>23</v>
      </c>
      <c r="D108" s="2"/>
      <c r="E108" s="98"/>
      <c r="F108" s="98"/>
      <c r="G108" s="101" t="s">
        <v>691</v>
      </c>
      <c r="H108" s="172"/>
      <c r="I108" s="171"/>
      <c r="J108" s="171" t="s">
        <v>597</v>
      </c>
      <c r="K108" s="173" t="s">
        <v>692</v>
      </c>
      <c r="L108" s="173" t="s">
        <v>597</v>
      </c>
      <c r="M108" s="151" t="s">
        <v>693</v>
      </c>
      <c r="N108" s="171"/>
      <c r="O108" s="171" t="s">
        <v>694</v>
      </c>
      <c r="P108" s="151">
        <v>12</v>
      </c>
      <c r="Q108" s="132" t="s">
        <v>561</v>
      </c>
    </row>
    <row r="109" spans="1:17" x14ac:dyDescent="0.2">
      <c r="A109" s="2"/>
      <c r="B109" s="102"/>
      <c r="C109" s="101" t="s">
        <v>16</v>
      </c>
      <c r="D109" s="79"/>
      <c r="E109" s="93"/>
      <c r="G109" s="101" t="s">
        <v>695</v>
      </c>
      <c r="H109" s="172"/>
      <c r="I109" s="171"/>
      <c r="J109" s="171" t="s">
        <v>597</v>
      </c>
      <c r="K109" s="173" t="s">
        <v>696</v>
      </c>
      <c r="L109" s="173" t="s">
        <v>597</v>
      </c>
      <c r="M109" s="151" t="s">
        <v>697</v>
      </c>
      <c r="N109" s="151"/>
      <c r="O109" s="173" t="s">
        <v>694</v>
      </c>
      <c r="P109" s="174" t="s">
        <v>698</v>
      </c>
      <c r="Q109" s="132" t="s">
        <v>561</v>
      </c>
    </row>
    <row r="110" spans="1:17" x14ac:dyDescent="0.2">
      <c r="A110" s="2"/>
      <c r="B110" s="102"/>
      <c r="C110" s="88" t="s">
        <v>16</v>
      </c>
      <c r="D110" s="2"/>
      <c r="E110" s="93"/>
      <c r="G110" s="144" t="s">
        <v>699</v>
      </c>
      <c r="H110" s="172"/>
      <c r="I110" s="171"/>
      <c r="J110" s="171" t="s">
        <v>597</v>
      </c>
      <c r="K110" s="173" t="s">
        <v>700</v>
      </c>
      <c r="L110" s="173" t="s">
        <v>597</v>
      </c>
      <c r="M110" s="151" t="s">
        <v>700</v>
      </c>
      <c r="N110" s="151"/>
      <c r="O110" s="173" t="s">
        <v>527</v>
      </c>
      <c r="P110" s="174"/>
      <c r="Q110" s="132" t="s">
        <v>561</v>
      </c>
    </row>
    <row r="111" spans="1:17" x14ac:dyDescent="0.2">
      <c r="A111" s="2"/>
      <c r="B111" s="102"/>
      <c r="C111" s="94" t="s">
        <v>23</v>
      </c>
      <c r="D111" s="2"/>
      <c r="E111" s="93"/>
      <c r="G111" s="144" t="s">
        <v>701</v>
      </c>
      <c r="H111" s="172"/>
      <c r="I111" s="171"/>
      <c r="J111" s="171" t="s">
        <v>597</v>
      </c>
      <c r="K111" s="173" t="s">
        <v>702</v>
      </c>
      <c r="L111" s="173" t="s">
        <v>597</v>
      </c>
      <c r="M111" s="151" t="s">
        <v>703</v>
      </c>
      <c r="N111" s="171"/>
      <c r="O111" s="173" t="s">
        <v>527</v>
      </c>
      <c r="P111" s="151"/>
      <c r="Q111" s="132" t="s">
        <v>561</v>
      </c>
    </row>
    <row r="112" spans="1:17" x14ac:dyDescent="0.2">
      <c r="A112" s="88"/>
      <c r="B112" s="88"/>
      <c r="C112" s="94" t="s">
        <v>23</v>
      </c>
      <c r="D112" s="2"/>
      <c r="E112" s="98"/>
      <c r="F112" s="98"/>
      <c r="G112" s="101" t="s">
        <v>704</v>
      </c>
      <c r="H112" s="172"/>
      <c r="I112" s="171"/>
      <c r="J112" s="171" t="s">
        <v>597</v>
      </c>
      <c r="K112" s="173" t="s">
        <v>705</v>
      </c>
      <c r="L112" s="173" t="s">
        <v>597</v>
      </c>
      <c r="M112" s="151" t="s">
        <v>706</v>
      </c>
      <c r="N112" s="151"/>
      <c r="O112" s="171" t="s">
        <v>523</v>
      </c>
      <c r="P112" s="174">
        <v>25</v>
      </c>
    </row>
    <row r="113" spans="1:16" x14ac:dyDescent="0.2">
      <c r="A113" s="2"/>
      <c r="B113" s="88"/>
      <c r="C113" s="88"/>
      <c r="D113" s="2"/>
      <c r="E113" s="93"/>
      <c r="G113" s="101" t="s">
        <v>707</v>
      </c>
      <c r="H113" s="172"/>
      <c r="I113" s="171"/>
      <c r="J113" s="171" t="s">
        <v>597</v>
      </c>
      <c r="K113" s="173"/>
      <c r="L113" s="173" t="s">
        <v>597</v>
      </c>
      <c r="M113" s="173" t="s">
        <v>708</v>
      </c>
      <c r="N113" s="171"/>
      <c r="O113" s="173" t="s">
        <v>523</v>
      </c>
      <c r="P113" s="174">
        <v>6</v>
      </c>
    </row>
    <row r="114" spans="1:16" x14ac:dyDescent="0.2">
      <c r="A114" s="2"/>
      <c r="B114" s="88"/>
      <c r="C114" s="88"/>
      <c r="D114" s="2"/>
      <c r="E114" s="93"/>
      <c r="G114" s="101" t="s">
        <v>750</v>
      </c>
      <c r="H114" s="172"/>
      <c r="I114" s="171"/>
      <c r="J114" s="171" t="s">
        <v>597</v>
      </c>
      <c r="K114" s="173"/>
      <c r="L114" s="173" t="s">
        <v>597</v>
      </c>
      <c r="M114" s="173" t="s">
        <v>710</v>
      </c>
      <c r="N114" s="171"/>
      <c r="O114" s="173" t="s">
        <v>523</v>
      </c>
      <c r="P114" s="174">
        <v>10</v>
      </c>
    </row>
    <row r="115" spans="1:16" x14ac:dyDescent="0.2">
      <c r="A115" s="2"/>
      <c r="B115" s="88"/>
      <c r="C115" s="88"/>
      <c r="D115" s="2"/>
      <c r="E115" s="93"/>
      <c r="G115" s="160" t="s">
        <v>536</v>
      </c>
      <c r="H115" s="172"/>
      <c r="I115" s="171"/>
      <c r="J115" s="171" t="s">
        <v>597</v>
      </c>
      <c r="K115" s="173" t="s">
        <v>711</v>
      </c>
      <c r="L115" s="173" t="s">
        <v>597</v>
      </c>
      <c r="M115" s="173" t="s">
        <v>712</v>
      </c>
      <c r="N115" s="171"/>
      <c r="O115" s="173" t="s">
        <v>527</v>
      </c>
      <c r="P115" s="174"/>
    </row>
    <row r="116" spans="1:16" x14ac:dyDescent="0.2">
      <c r="A116" s="2"/>
      <c r="B116" s="88"/>
      <c r="C116" s="88"/>
      <c r="D116" s="2"/>
      <c r="E116" s="93"/>
      <c r="G116" s="160" t="s">
        <v>536</v>
      </c>
      <c r="H116" s="172"/>
      <c r="I116" s="171"/>
      <c r="J116" s="171" t="s">
        <v>597</v>
      </c>
      <c r="K116" s="173" t="s">
        <v>713</v>
      </c>
      <c r="L116" s="173" t="s">
        <v>597</v>
      </c>
      <c r="M116" s="173" t="s">
        <v>713</v>
      </c>
      <c r="N116" s="171"/>
      <c r="O116" s="173" t="s">
        <v>523</v>
      </c>
      <c r="P116" s="174">
        <v>45</v>
      </c>
    </row>
    <row r="117" spans="1:16" x14ac:dyDescent="0.2">
      <c r="A117" s="2"/>
      <c r="B117" s="88"/>
      <c r="C117" s="88"/>
      <c r="D117" s="2"/>
      <c r="E117" s="93"/>
      <c r="G117" s="160" t="s">
        <v>536</v>
      </c>
      <c r="H117" s="172"/>
      <c r="I117" s="171"/>
      <c r="J117" s="171" t="s">
        <v>597</v>
      </c>
      <c r="K117" s="173" t="s">
        <v>714</v>
      </c>
      <c r="L117" s="173" t="s">
        <v>597</v>
      </c>
      <c r="M117" s="173" t="s">
        <v>715</v>
      </c>
      <c r="N117" s="171"/>
      <c r="O117" s="173" t="s">
        <v>523</v>
      </c>
      <c r="P117" s="174">
        <v>20</v>
      </c>
    </row>
    <row r="118" spans="1:16" x14ac:dyDescent="0.2">
      <c r="A118" s="2"/>
      <c r="B118" s="88"/>
      <c r="C118" s="88"/>
      <c r="D118" s="2"/>
      <c r="E118" s="93"/>
      <c r="G118" s="160" t="s">
        <v>536</v>
      </c>
      <c r="H118" s="172"/>
      <c r="I118" s="171"/>
      <c r="J118" s="171" t="s">
        <v>597</v>
      </c>
      <c r="K118" s="173" t="s">
        <v>716</v>
      </c>
      <c r="L118" s="173" t="s">
        <v>597</v>
      </c>
      <c r="M118" s="173" t="s">
        <v>717</v>
      </c>
      <c r="N118" s="171"/>
      <c r="O118" s="173" t="s">
        <v>527</v>
      </c>
      <c r="P118" s="174"/>
    </row>
    <row r="119" spans="1:16" x14ac:dyDescent="0.2">
      <c r="A119" s="2"/>
      <c r="B119" s="88"/>
      <c r="C119" s="88"/>
      <c r="D119" s="2"/>
      <c r="E119" s="93"/>
      <c r="G119" s="160" t="s">
        <v>536</v>
      </c>
      <c r="H119" s="172"/>
      <c r="I119" s="171"/>
      <c r="J119" s="171" t="s">
        <v>597</v>
      </c>
      <c r="K119" s="173" t="s">
        <v>718</v>
      </c>
      <c r="L119" s="173" t="s">
        <v>597</v>
      </c>
      <c r="M119" s="173" t="s">
        <v>719</v>
      </c>
      <c r="N119" s="171"/>
      <c r="O119" s="173" t="s">
        <v>523</v>
      </c>
      <c r="P119" s="174">
        <v>45</v>
      </c>
    </row>
    <row r="120" spans="1:16" x14ac:dyDescent="0.2">
      <c r="A120" s="2"/>
      <c r="B120" s="88"/>
      <c r="C120" s="88"/>
      <c r="D120" s="2"/>
      <c r="E120" s="93"/>
      <c r="G120" s="101" t="s">
        <v>751</v>
      </c>
      <c r="H120" s="172"/>
      <c r="I120" s="171"/>
      <c r="J120" s="171" t="s">
        <v>597</v>
      </c>
      <c r="K120" s="173" t="s">
        <v>721</v>
      </c>
      <c r="L120" s="173" t="s">
        <v>597</v>
      </c>
      <c r="M120" s="173" t="s">
        <v>722</v>
      </c>
      <c r="N120" s="171"/>
      <c r="O120" s="173" t="s">
        <v>523</v>
      </c>
      <c r="P120" s="174">
        <v>1</v>
      </c>
    </row>
    <row r="121" spans="1:16" ht="38.25" x14ac:dyDescent="0.2">
      <c r="A121" s="2"/>
      <c r="B121" s="88"/>
      <c r="C121" s="88" t="s">
        <v>16</v>
      </c>
      <c r="D121" s="2" t="s">
        <v>723</v>
      </c>
      <c r="E121" s="93"/>
      <c r="G121" s="101" t="s">
        <v>724</v>
      </c>
      <c r="H121" s="172"/>
      <c r="I121" s="171"/>
      <c r="J121" s="171" t="s">
        <v>597</v>
      </c>
      <c r="K121" s="173" t="s">
        <v>725</v>
      </c>
      <c r="L121" s="173" t="s">
        <v>597</v>
      </c>
      <c r="M121" s="171" t="s">
        <v>573</v>
      </c>
      <c r="N121" s="171"/>
      <c r="O121" s="173" t="s">
        <v>662</v>
      </c>
      <c r="P121" s="174"/>
    </row>
    <row r="122" spans="1:16" x14ac:dyDescent="0.2">
      <c r="A122" s="2"/>
      <c r="B122" s="102"/>
      <c r="C122" s="88"/>
      <c r="D122" s="2"/>
      <c r="E122" s="93"/>
      <c r="G122" s="101" t="s">
        <v>726</v>
      </c>
      <c r="H122" s="172"/>
      <c r="I122" s="171"/>
      <c r="J122" s="171" t="s">
        <v>597</v>
      </c>
      <c r="K122" s="171" t="s">
        <v>727</v>
      </c>
      <c r="L122" s="173" t="s">
        <v>597</v>
      </c>
      <c r="M122" s="173" t="s">
        <v>728</v>
      </c>
      <c r="N122" s="171"/>
      <c r="O122" s="173" t="s">
        <v>523</v>
      </c>
      <c r="P122" s="174">
        <v>25</v>
      </c>
    </row>
    <row r="123" spans="1:16" x14ac:dyDescent="0.2">
      <c r="A123" s="79"/>
      <c r="B123" s="88"/>
      <c r="C123" s="94" t="s">
        <v>23</v>
      </c>
      <c r="D123" s="79" t="s">
        <v>523</v>
      </c>
      <c r="E123" s="71"/>
      <c r="F123" s="71"/>
      <c r="G123" s="144" t="s">
        <v>701</v>
      </c>
      <c r="H123" s="172"/>
      <c r="I123" s="171"/>
      <c r="J123" s="171" t="s">
        <v>597</v>
      </c>
      <c r="K123" s="173" t="s">
        <v>729</v>
      </c>
      <c r="L123" s="173"/>
      <c r="M123" s="151"/>
      <c r="N123" s="171"/>
      <c r="O123" s="173" t="s">
        <v>662</v>
      </c>
      <c r="P123" s="174" t="s">
        <v>730</v>
      </c>
    </row>
    <row r="124" spans="1:16" x14ac:dyDescent="0.2">
      <c r="A124" s="2"/>
      <c r="B124" s="88"/>
      <c r="C124" s="94" t="s">
        <v>23</v>
      </c>
      <c r="D124" s="2" t="s">
        <v>731</v>
      </c>
      <c r="E124" s="93"/>
      <c r="G124" s="160" t="s">
        <v>536</v>
      </c>
      <c r="H124" s="172"/>
      <c r="I124" s="171"/>
      <c r="J124" s="171" t="s">
        <v>597</v>
      </c>
      <c r="K124" s="173" t="s">
        <v>732</v>
      </c>
      <c r="L124" s="173"/>
      <c r="M124" s="151"/>
      <c r="N124" s="171"/>
      <c r="O124" s="173" t="s">
        <v>662</v>
      </c>
      <c r="P124" s="151" t="s">
        <v>733</v>
      </c>
    </row>
    <row r="126" spans="1:16" x14ac:dyDescent="0.2">
      <c r="A126" s="102" t="s">
        <v>752</v>
      </c>
    </row>
    <row r="127" spans="1:16" x14ac:dyDescent="0.2">
      <c r="A127" s="88" t="s">
        <v>753</v>
      </c>
    </row>
    <row r="128" spans="1:16" x14ac:dyDescent="0.2">
      <c r="A128" s="88" t="s">
        <v>754</v>
      </c>
    </row>
    <row r="129" spans="1:1" x14ac:dyDescent="0.2">
      <c r="A129" s="93" t="s">
        <v>755</v>
      </c>
    </row>
  </sheetData>
  <autoFilter ref="A9:Q124" xr:uid="{4EDA0580-7C8C-4F99-A067-D98723EFC8F4}"/>
  <mergeCells count="16">
    <mergeCell ref="A8:B8"/>
    <mergeCell ref="C8:C9"/>
    <mergeCell ref="D8:D9"/>
    <mergeCell ref="E8:E9"/>
    <mergeCell ref="B2:I2"/>
    <mergeCell ref="B3:I3"/>
    <mergeCell ref="B4:I4"/>
    <mergeCell ref="B5:I5"/>
    <mergeCell ref="B6:I6"/>
    <mergeCell ref="Q8:Q9"/>
    <mergeCell ref="G8:G9"/>
    <mergeCell ref="H8:I8"/>
    <mergeCell ref="M8:M9"/>
    <mergeCell ref="N8:N9"/>
    <mergeCell ref="O8:O9"/>
    <mergeCell ref="P8:P9"/>
  </mergeCells>
  <phoneticPr fontId="1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936C6-594F-4E6D-8BA7-6CBD5062F3E7}">
  <dimension ref="A1:Q61"/>
  <sheetViews>
    <sheetView workbookViewId="0">
      <pane xSplit="6" ySplit="9" topLeftCell="G10" activePane="bottomRight" state="frozen"/>
      <selection pane="topRight" activeCell="G1" sqref="G1"/>
      <selection pane="bottomLeft" activeCell="A10" sqref="A10"/>
      <selection pane="bottomRight" activeCell="H22" sqref="H22"/>
    </sheetView>
  </sheetViews>
  <sheetFormatPr defaultColWidth="52" defaultRowHeight="12.75" x14ac:dyDescent="0.2"/>
  <cols>
    <col min="1" max="1" width="29.140625" style="85" customWidth="1"/>
    <col min="2" max="2" width="15.7109375" style="84" customWidth="1"/>
    <col min="3" max="3" width="20.140625" style="84" hidden="1" customWidth="1"/>
    <col min="4" max="4" width="19.140625" style="84" hidden="1" customWidth="1"/>
    <col min="5" max="5" width="16.7109375" style="85" hidden="1" customWidth="1"/>
    <col min="6" max="6" width="0.28515625" style="93" customWidth="1"/>
    <col min="7" max="7" width="36.28515625" style="78" customWidth="1"/>
    <col min="8" max="8" width="35.28515625" style="157" customWidth="1"/>
    <col min="9" max="9" width="11.5703125" style="84" hidden="1" customWidth="1"/>
    <col min="10" max="10" width="11" style="84" customWidth="1"/>
    <col min="11" max="11" width="7.7109375" style="84" customWidth="1"/>
    <col min="12" max="12" width="15.5703125" style="84" customWidth="1"/>
    <col min="13" max="13" width="21.85546875" style="84" customWidth="1"/>
    <col min="14" max="14" width="11.85546875" style="84" customWidth="1"/>
    <col min="15" max="15" width="10" style="84" customWidth="1"/>
    <col min="16" max="16" width="10" style="66" customWidth="1"/>
    <col min="17" max="17" width="10" style="84" customWidth="1"/>
    <col min="18" max="16384" width="52" style="84"/>
  </cols>
  <sheetData>
    <row r="1" spans="1:17" ht="18" x14ac:dyDescent="0.25">
      <c r="A1" s="105" t="s">
        <v>210</v>
      </c>
      <c r="B1" s="1" t="s">
        <v>503</v>
      </c>
      <c r="C1" s="2"/>
      <c r="D1" s="2"/>
      <c r="E1" s="98"/>
      <c r="F1" s="98"/>
      <c r="G1" s="2"/>
      <c r="H1" s="155"/>
      <c r="I1" s="2"/>
      <c r="J1" s="2"/>
      <c r="K1" s="2"/>
      <c r="L1" s="2"/>
      <c r="M1" s="2"/>
      <c r="N1" s="2"/>
      <c r="O1" s="2"/>
      <c r="P1" s="140"/>
    </row>
    <row r="2" spans="1:17" x14ac:dyDescent="0.2">
      <c r="A2" s="137" t="s">
        <v>211</v>
      </c>
      <c r="B2" s="239" t="s">
        <v>504</v>
      </c>
      <c r="C2" s="239"/>
      <c r="D2" s="239"/>
      <c r="E2" s="239"/>
      <c r="F2" s="239"/>
      <c r="G2" s="239"/>
      <c r="H2" s="239"/>
      <c r="I2" s="239"/>
      <c r="J2" s="2"/>
      <c r="K2" s="2"/>
      <c r="L2" s="2"/>
      <c r="M2" s="2"/>
      <c r="N2" s="2"/>
      <c r="O2" s="2"/>
      <c r="P2" s="140"/>
    </row>
    <row r="3" spans="1:17" x14ac:dyDescent="0.2">
      <c r="A3" s="137" t="s">
        <v>213</v>
      </c>
      <c r="B3" s="239" t="s">
        <v>505</v>
      </c>
      <c r="C3" s="239"/>
      <c r="D3" s="239"/>
      <c r="E3" s="239"/>
      <c r="F3" s="239"/>
      <c r="G3" s="239"/>
      <c r="H3" s="239"/>
      <c r="I3" s="239"/>
      <c r="J3" s="2"/>
      <c r="K3" s="2"/>
      <c r="L3" s="2"/>
      <c r="M3" s="2"/>
      <c r="N3" s="2"/>
      <c r="O3" s="2"/>
      <c r="P3" s="140"/>
    </row>
    <row r="4" spans="1:17" x14ac:dyDescent="0.2">
      <c r="A4" s="137" t="s">
        <v>214</v>
      </c>
      <c r="B4" s="239" t="s">
        <v>506</v>
      </c>
      <c r="C4" s="239"/>
      <c r="D4" s="239"/>
      <c r="E4" s="239"/>
      <c r="F4" s="239"/>
      <c r="G4" s="239"/>
      <c r="H4" s="239"/>
      <c r="I4" s="239"/>
      <c r="J4" s="2"/>
      <c r="K4" s="2"/>
      <c r="L4" s="2"/>
      <c r="M4" s="2"/>
      <c r="N4" s="2"/>
      <c r="O4" s="2"/>
      <c r="P4" s="140"/>
    </row>
    <row r="5" spans="1:17" x14ac:dyDescent="0.2">
      <c r="A5" s="137" t="s">
        <v>215</v>
      </c>
      <c r="B5" s="239" t="s">
        <v>507</v>
      </c>
      <c r="C5" s="239"/>
      <c r="D5" s="239"/>
      <c r="E5" s="239"/>
      <c r="F5" s="239"/>
      <c r="G5" s="239"/>
      <c r="H5" s="239"/>
      <c r="I5" s="239"/>
      <c r="J5" s="2"/>
      <c r="K5" s="2"/>
      <c r="L5" s="2"/>
      <c r="M5" s="2"/>
      <c r="N5" s="2"/>
      <c r="O5" s="2"/>
      <c r="P5" s="140"/>
    </row>
    <row r="6" spans="1:17" x14ac:dyDescent="0.2">
      <c r="A6" s="137" t="s">
        <v>216</v>
      </c>
      <c r="B6" s="239" t="s">
        <v>508</v>
      </c>
      <c r="C6" s="239"/>
      <c r="D6" s="239"/>
      <c r="E6" s="239"/>
      <c r="F6" s="239"/>
      <c r="G6" s="239"/>
      <c r="H6" s="239"/>
      <c r="I6" s="239"/>
      <c r="J6" s="2"/>
      <c r="K6" s="2"/>
      <c r="L6" s="2"/>
      <c r="M6" s="2"/>
      <c r="N6" s="2"/>
      <c r="O6" s="2"/>
      <c r="P6" s="140"/>
    </row>
    <row r="7" spans="1:17" x14ac:dyDescent="0.2">
      <c r="A7" s="137" t="s">
        <v>509</v>
      </c>
      <c r="B7" s="2" t="s">
        <v>510</v>
      </c>
      <c r="C7" s="2"/>
      <c r="D7" s="2"/>
      <c r="E7" s="98"/>
      <c r="F7" s="98"/>
      <c r="G7" s="2"/>
      <c r="H7" s="155"/>
      <c r="I7" s="2"/>
      <c r="J7" s="2"/>
      <c r="K7" s="2"/>
      <c r="L7" s="2"/>
      <c r="M7" s="2"/>
      <c r="N7" s="2"/>
      <c r="O7" s="2"/>
      <c r="P7" s="140"/>
    </row>
    <row r="8" spans="1:17" x14ac:dyDescent="0.2">
      <c r="A8" s="241" t="s">
        <v>511</v>
      </c>
      <c r="B8" s="241"/>
      <c r="C8" s="242" t="s">
        <v>513</v>
      </c>
      <c r="D8" s="241" t="s">
        <v>514</v>
      </c>
      <c r="E8" s="243" t="s">
        <v>515</v>
      </c>
      <c r="F8" s="138"/>
      <c r="G8" s="242" t="s">
        <v>218</v>
      </c>
      <c r="H8" s="241" t="s">
        <v>517</v>
      </c>
      <c r="I8" s="241"/>
      <c r="J8" s="137" t="s">
        <v>518</v>
      </c>
      <c r="K8" s="137"/>
      <c r="L8" s="158"/>
      <c r="M8" s="248" t="s">
        <v>519</v>
      </c>
      <c r="N8" s="242" t="s">
        <v>513</v>
      </c>
      <c r="O8" s="241" t="s">
        <v>514</v>
      </c>
      <c r="P8" s="244" t="s">
        <v>515</v>
      </c>
      <c r="Q8" s="241" t="s">
        <v>520</v>
      </c>
    </row>
    <row r="9" spans="1:17" x14ac:dyDescent="0.2">
      <c r="A9" s="137" t="s">
        <v>220</v>
      </c>
      <c r="B9" s="137" t="s">
        <v>512</v>
      </c>
      <c r="C9" s="242"/>
      <c r="D9" s="241"/>
      <c r="E9" s="243"/>
      <c r="F9" s="138" t="s">
        <v>516</v>
      </c>
      <c r="G9" s="242"/>
      <c r="H9" s="152" t="s">
        <v>521</v>
      </c>
      <c r="I9" s="137" t="s">
        <v>522</v>
      </c>
      <c r="J9" s="137" t="s">
        <v>220</v>
      </c>
      <c r="K9" s="137" t="s">
        <v>449</v>
      </c>
      <c r="L9" s="159" t="s">
        <v>756</v>
      </c>
      <c r="M9" s="249"/>
      <c r="N9" s="242"/>
      <c r="O9" s="241"/>
      <c r="P9" s="244"/>
      <c r="Q9" s="241"/>
    </row>
    <row r="10" spans="1:17" s="106" customFormat="1" ht="51" x14ac:dyDescent="0.2">
      <c r="C10" s="106" t="s">
        <v>16</v>
      </c>
      <c r="D10" s="79"/>
      <c r="E10" s="71"/>
      <c r="F10" s="71"/>
      <c r="G10" s="189" t="s">
        <v>595</v>
      </c>
      <c r="H10" s="153"/>
      <c r="K10" s="79"/>
      <c r="L10" s="79"/>
    </row>
    <row r="11" spans="1:17" s="106" customFormat="1" x14ac:dyDescent="0.2">
      <c r="C11" s="106" t="s">
        <v>16</v>
      </c>
      <c r="D11" s="79"/>
      <c r="E11" s="71"/>
      <c r="F11" s="71"/>
      <c r="G11" s="106" t="s">
        <v>525</v>
      </c>
      <c r="H11" s="144"/>
      <c r="K11" s="79"/>
      <c r="L11" s="79" t="s">
        <v>596</v>
      </c>
      <c r="M11" s="106" t="s">
        <v>526</v>
      </c>
      <c r="O11" s="106" t="s">
        <v>527</v>
      </c>
    </row>
    <row r="12" spans="1:17" s="106" customFormat="1" x14ac:dyDescent="0.2">
      <c r="D12" s="79"/>
      <c r="E12" s="71"/>
      <c r="F12" s="71"/>
      <c r="G12" s="106" t="s">
        <v>528</v>
      </c>
      <c r="H12" s="144"/>
      <c r="K12" s="79"/>
      <c r="L12" s="79" t="s">
        <v>757</v>
      </c>
      <c r="M12" s="106" t="s">
        <v>529</v>
      </c>
      <c r="O12" s="79" t="s">
        <v>527</v>
      </c>
      <c r="P12" s="111"/>
    </row>
    <row r="13" spans="1:17" s="106" customFormat="1" x14ac:dyDescent="0.2">
      <c r="D13" s="79"/>
      <c r="E13" s="71"/>
      <c r="F13" s="71"/>
      <c r="G13" s="106" t="s">
        <v>528</v>
      </c>
      <c r="H13" s="144"/>
      <c r="K13" s="79"/>
      <c r="L13" s="79" t="s">
        <v>757</v>
      </c>
      <c r="M13" s="106" t="s">
        <v>530</v>
      </c>
      <c r="O13" s="79" t="s">
        <v>527</v>
      </c>
      <c r="P13" s="111"/>
    </row>
    <row r="14" spans="1:17" s="88" customFormat="1" x14ac:dyDescent="0.2">
      <c r="C14" s="88" t="s">
        <v>16</v>
      </c>
      <c r="D14" s="2"/>
      <c r="E14" s="100"/>
      <c r="F14" s="93"/>
      <c r="G14" s="101"/>
      <c r="H14" s="101"/>
      <c r="J14" s="2"/>
      <c r="L14" s="2" t="s">
        <v>757</v>
      </c>
      <c r="M14" s="88" t="s">
        <v>603</v>
      </c>
      <c r="O14" s="2" t="s">
        <v>523</v>
      </c>
      <c r="P14" s="140" t="s">
        <v>604</v>
      </c>
      <c r="Q14" s="106"/>
    </row>
    <row r="15" spans="1:17" s="88" customFormat="1" ht="25.5" x14ac:dyDescent="0.2">
      <c r="A15" s="88" t="s">
        <v>234</v>
      </c>
      <c r="B15" s="88" t="s">
        <v>129</v>
      </c>
      <c r="D15" s="2"/>
      <c r="E15" s="100"/>
      <c r="F15" s="93"/>
      <c r="G15" s="101"/>
      <c r="H15" s="101" t="s">
        <v>739</v>
      </c>
      <c r="J15" s="2"/>
      <c r="L15" s="79" t="s">
        <v>757</v>
      </c>
      <c r="M15" s="88" t="s">
        <v>609</v>
      </c>
      <c r="O15" s="88" t="s">
        <v>523</v>
      </c>
      <c r="P15" s="94">
        <v>45</v>
      </c>
      <c r="Q15" s="106"/>
    </row>
    <row r="16" spans="1:17" s="77" customFormat="1" x14ac:dyDescent="0.2">
      <c r="A16" s="88"/>
      <c r="B16" s="103"/>
      <c r="C16" s="93"/>
      <c r="G16" s="160" t="s">
        <v>536</v>
      </c>
      <c r="H16" s="156"/>
      <c r="I16" s="103"/>
      <c r="J16" s="2"/>
      <c r="K16" s="94"/>
      <c r="L16" s="79" t="s">
        <v>757</v>
      </c>
      <c r="M16" s="88" t="s">
        <v>758</v>
      </c>
      <c r="N16" s="88"/>
      <c r="O16" s="88" t="s">
        <v>523</v>
      </c>
      <c r="P16" s="94">
        <v>45</v>
      </c>
      <c r="Q16" s="103"/>
    </row>
    <row r="17" spans="1:17" s="77" customFormat="1" ht="38.25" x14ac:dyDescent="0.2">
      <c r="A17" s="93" t="s">
        <v>234</v>
      </c>
      <c r="B17" s="88" t="s">
        <v>759</v>
      </c>
      <c r="C17" s="103"/>
      <c r="D17" s="2"/>
      <c r="E17" s="91"/>
      <c r="F17" s="91"/>
      <c r="G17" s="88" t="s">
        <v>224</v>
      </c>
      <c r="H17" s="162" t="s">
        <v>760</v>
      </c>
      <c r="I17" s="103"/>
      <c r="J17" s="2"/>
      <c r="K17" s="90"/>
      <c r="L17" s="79" t="s">
        <v>757</v>
      </c>
      <c r="M17" s="88" t="s">
        <v>761</v>
      </c>
      <c r="N17" s="88"/>
      <c r="O17" s="88" t="s">
        <v>523</v>
      </c>
      <c r="P17" s="94">
        <v>20</v>
      </c>
      <c r="Q17" s="103"/>
    </row>
    <row r="18" spans="1:17" s="77" customFormat="1" x14ac:dyDescent="0.2">
      <c r="A18" s="104"/>
      <c r="B18" s="83"/>
      <c r="C18" s="103"/>
      <c r="D18" s="2"/>
      <c r="E18" s="91"/>
      <c r="F18" s="91"/>
      <c r="G18" s="160" t="s">
        <v>536</v>
      </c>
      <c r="H18" s="156"/>
      <c r="I18" s="103"/>
      <c r="J18" s="2"/>
      <c r="K18" s="90"/>
      <c r="L18" s="79" t="s">
        <v>757</v>
      </c>
      <c r="M18" s="88" t="s">
        <v>762</v>
      </c>
      <c r="N18" s="88"/>
      <c r="O18" s="88" t="s">
        <v>523</v>
      </c>
      <c r="P18" s="94">
        <v>19</v>
      </c>
      <c r="Q18" s="103"/>
    </row>
    <row r="19" spans="1:17" ht="38.25" x14ac:dyDescent="0.2">
      <c r="A19" s="93" t="s">
        <v>234</v>
      </c>
      <c r="B19" s="88" t="s">
        <v>763</v>
      </c>
      <c r="G19" s="147" t="s">
        <v>224</v>
      </c>
      <c r="H19" s="101" t="s">
        <v>764</v>
      </c>
      <c r="L19" s="79" t="s">
        <v>757</v>
      </c>
      <c r="M19" s="88" t="s">
        <v>765</v>
      </c>
      <c r="N19" s="88"/>
      <c r="O19" s="88" t="s">
        <v>523</v>
      </c>
      <c r="P19" s="94">
        <v>20</v>
      </c>
    </row>
    <row r="20" spans="1:17" ht="38.25" x14ac:dyDescent="0.2">
      <c r="A20" s="93" t="s">
        <v>740</v>
      </c>
      <c r="B20" s="88" t="s">
        <v>741</v>
      </c>
      <c r="G20" s="147" t="s">
        <v>766</v>
      </c>
      <c r="H20" s="101" t="s">
        <v>743</v>
      </c>
      <c r="L20" s="79" t="s">
        <v>757</v>
      </c>
      <c r="M20" s="88" t="s">
        <v>767</v>
      </c>
      <c r="N20" s="88"/>
      <c r="O20" s="88" t="s">
        <v>523</v>
      </c>
      <c r="P20" s="94">
        <v>45</v>
      </c>
    </row>
    <row r="21" spans="1:17" x14ac:dyDescent="0.2">
      <c r="G21" s="160" t="s">
        <v>536</v>
      </c>
      <c r="L21" s="79" t="s">
        <v>757</v>
      </c>
      <c r="M21" s="88" t="s">
        <v>768</v>
      </c>
      <c r="N21" s="88"/>
      <c r="O21" s="88" t="s">
        <v>523</v>
      </c>
      <c r="P21" s="94">
        <v>45</v>
      </c>
    </row>
    <row r="22" spans="1:17" x14ac:dyDescent="0.2">
      <c r="A22" s="93" t="s">
        <v>234</v>
      </c>
      <c r="B22" s="88" t="s">
        <v>769</v>
      </c>
      <c r="G22" s="147" t="s">
        <v>224</v>
      </c>
      <c r="L22" s="79" t="s">
        <v>757</v>
      </c>
      <c r="M22" s="88" t="s">
        <v>770</v>
      </c>
      <c r="N22" s="88"/>
      <c r="O22" s="88" t="s">
        <v>656</v>
      </c>
      <c r="P22" s="94"/>
    </row>
    <row r="23" spans="1:17" x14ac:dyDescent="0.2">
      <c r="A23" s="84"/>
      <c r="G23" s="160" t="s">
        <v>536</v>
      </c>
      <c r="L23" s="79" t="s">
        <v>757</v>
      </c>
      <c r="M23" s="88" t="s">
        <v>771</v>
      </c>
      <c r="N23" s="88"/>
      <c r="O23" s="88" t="s">
        <v>656</v>
      </c>
      <c r="P23" s="94"/>
    </row>
    <row r="24" spans="1:17" x14ac:dyDescent="0.2">
      <c r="A24" s="84"/>
      <c r="G24" s="160" t="s">
        <v>536</v>
      </c>
      <c r="L24" s="79" t="s">
        <v>757</v>
      </c>
      <c r="M24" s="84" t="s">
        <v>772</v>
      </c>
    </row>
    <row r="25" spans="1:17" x14ac:dyDescent="0.2">
      <c r="A25" s="93"/>
      <c r="G25" s="160" t="s">
        <v>536</v>
      </c>
      <c r="L25" s="79" t="s">
        <v>757</v>
      </c>
      <c r="M25" s="84" t="s">
        <v>773</v>
      </c>
    </row>
    <row r="26" spans="1:17" x14ac:dyDescent="0.2">
      <c r="G26" s="160" t="s">
        <v>536</v>
      </c>
      <c r="L26" s="79" t="s">
        <v>757</v>
      </c>
      <c r="M26" s="84" t="s">
        <v>774</v>
      </c>
    </row>
    <row r="27" spans="1:17" x14ac:dyDescent="0.2">
      <c r="G27" s="160" t="s">
        <v>536</v>
      </c>
      <c r="L27" s="79" t="s">
        <v>757</v>
      </c>
      <c r="M27" s="84" t="s">
        <v>775</v>
      </c>
    </row>
    <row r="28" spans="1:17" x14ac:dyDescent="0.2">
      <c r="G28" s="160" t="s">
        <v>536</v>
      </c>
      <c r="L28" s="79" t="s">
        <v>757</v>
      </c>
      <c r="M28" s="84" t="s">
        <v>776</v>
      </c>
    </row>
    <row r="29" spans="1:17" x14ac:dyDescent="0.2">
      <c r="G29" s="160" t="s">
        <v>536</v>
      </c>
      <c r="L29" s="79" t="s">
        <v>757</v>
      </c>
      <c r="M29" s="84" t="s">
        <v>777</v>
      </c>
    </row>
    <row r="30" spans="1:17" x14ac:dyDescent="0.2">
      <c r="G30" s="160" t="s">
        <v>536</v>
      </c>
      <c r="L30" s="79" t="s">
        <v>757</v>
      </c>
      <c r="M30" s="84" t="s">
        <v>778</v>
      </c>
    </row>
    <row r="31" spans="1:17" x14ac:dyDescent="0.2">
      <c r="G31" s="160" t="s">
        <v>536</v>
      </c>
      <c r="L31" s="79" t="s">
        <v>757</v>
      </c>
      <c r="M31" s="84" t="s">
        <v>779</v>
      </c>
    </row>
    <row r="32" spans="1:17" x14ac:dyDescent="0.2">
      <c r="G32" s="160" t="s">
        <v>536</v>
      </c>
      <c r="L32" s="79" t="s">
        <v>757</v>
      </c>
      <c r="M32" s="84" t="s">
        <v>780</v>
      </c>
    </row>
    <row r="33" spans="1:13" x14ac:dyDescent="0.2">
      <c r="G33" s="160" t="s">
        <v>536</v>
      </c>
      <c r="L33" s="79" t="s">
        <v>757</v>
      </c>
      <c r="M33" s="84" t="s">
        <v>781</v>
      </c>
    </row>
    <row r="40" spans="1:13" x14ac:dyDescent="0.2">
      <c r="A40" s="102" t="s">
        <v>752</v>
      </c>
    </row>
    <row r="41" spans="1:13" x14ac:dyDescent="0.2">
      <c r="A41" s="93" t="s">
        <v>754</v>
      </c>
    </row>
    <row r="42" spans="1:13" x14ac:dyDescent="0.2">
      <c r="A42" s="93" t="s">
        <v>782</v>
      </c>
    </row>
    <row r="49" spans="1:2" x14ac:dyDescent="0.2">
      <c r="A49" s="94"/>
      <c r="B49" s="88"/>
    </row>
    <row r="50" spans="1:2" x14ac:dyDescent="0.2">
      <c r="A50" s="88"/>
      <c r="B50" s="83"/>
    </row>
    <row r="51" spans="1:2" x14ac:dyDescent="0.2">
      <c r="A51" s="93"/>
      <c r="B51" s="88"/>
    </row>
    <row r="52" spans="1:2" x14ac:dyDescent="0.2">
      <c r="A52" s="93"/>
    </row>
    <row r="53" spans="1:2" x14ac:dyDescent="0.2">
      <c r="A53" s="93"/>
      <c r="B53" s="88"/>
    </row>
    <row r="54" spans="1:2" x14ac:dyDescent="0.2">
      <c r="A54" s="93"/>
      <c r="B54" s="88"/>
    </row>
    <row r="55" spans="1:2" x14ac:dyDescent="0.2">
      <c r="A55" s="93"/>
      <c r="B55" s="88"/>
    </row>
    <row r="56" spans="1:2" x14ac:dyDescent="0.2">
      <c r="A56" s="93"/>
      <c r="B56" s="88"/>
    </row>
    <row r="57" spans="1:2" x14ac:dyDescent="0.2">
      <c r="A57" s="93"/>
      <c r="B57" s="88"/>
    </row>
    <row r="58" spans="1:2" x14ac:dyDescent="0.2">
      <c r="A58" s="93"/>
    </row>
    <row r="59" spans="1:2" x14ac:dyDescent="0.2">
      <c r="A59" s="93"/>
    </row>
    <row r="60" spans="1:2" x14ac:dyDescent="0.2">
      <c r="A60" s="93"/>
      <c r="B60" s="88"/>
    </row>
    <row r="61" spans="1:2" x14ac:dyDescent="0.2">
      <c r="A61" s="93"/>
      <c r="B61" s="88"/>
    </row>
  </sheetData>
  <autoFilter ref="A9:Q33" xr:uid="{A55936C6-594F-4E6D-8BA7-6CBD5062F3E7}"/>
  <mergeCells count="16">
    <mergeCell ref="Q8:Q9"/>
    <mergeCell ref="B2:I2"/>
    <mergeCell ref="B3:I3"/>
    <mergeCell ref="B4:I4"/>
    <mergeCell ref="B5:I5"/>
    <mergeCell ref="B6:I6"/>
    <mergeCell ref="A8:B8"/>
    <mergeCell ref="C8:C9"/>
    <mergeCell ref="D8:D9"/>
    <mergeCell ref="E8:E9"/>
    <mergeCell ref="G8:G9"/>
    <mergeCell ref="H8:I8"/>
    <mergeCell ref="M8:M9"/>
    <mergeCell ref="N8:N9"/>
    <mergeCell ref="O8:O9"/>
    <mergeCell ref="P8:P9"/>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4CDB8-E3D1-410B-A066-41F5BC3F7141}">
  <dimension ref="A1:A10"/>
  <sheetViews>
    <sheetView workbookViewId="0">
      <selection activeCell="A23" sqref="A23"/>
    </sheetView>
  </sheetViews>
  <sheetFormatPr defaultRowHeight="12.75" x14ac:dyDescent="0.2"/>
  <cols>
    <col min="1" max="1" width="127.42578125" customWidth="1"/>
  </cols>
  <sheetData>
    <row r="1" spans="1:1" x14ac:dyDescent="0.2">
      <c r="A1" s="148" t="s">
        <v>783</v>
      </c>
    </row>
    <row r="3" spans="1:1" x14ac:dyDescent="0.2">
      <c r="A3" s="64" t="s">
        <v>784</v>
      </c>
    </row>
    <row r="4" spans="1:1" x14ac:dyDescent="0.2">
      <c r="A4" s="64" t="s">
        <v>785</v>
      </c>
    </row>
    <row r="5" spans="1:1" x14ac:dyDescent="0.2">
      <c r="A5" s="64" t="s">
        <v>786</v>
      </c>
    </row>
    <row r="6" spans="1:1" x14ac:dyDescent="0.2">
      <c r="A6" s="64" t="s">
        <v>787</v>
      </c>
    </row>
    <row r="7" spans="1:1" x14ac:dyDescent="0.2">
      <c r="A7" s="64" t="s">
        <v>788</v>
      </c>
    </row>
    <row r="8" spans="1:1" x14ac:dyDescent="0.2">
      <c r="A8" s="64" t="s">
        <v>789</v>
      </c>
    </row>
    <row r="10" spans="1:1" x14ac:dyDescent="0.2">
      <c r="A10" s="148" t="s">
        <v>790</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43D4A-F09C-4AC5-AB08-A757F1F4DC2D}">
  <dimension ref="A1:E16"/>
  <sheetViews>
    <sheetView workbookViewId="0">
      <selection activeCell="C12" sqref="A12:C15"/>
    </sheetView>
  </sheetViews>
  <sheetFormatPr defaultRowHeight="12.75" x14ac:dyDescent="0.2"/>
  <cols>
    <col min="1" max="1" width="44.42578125" bestFit="1" customWidth="1"/>
    <col min="2" max="2" width="56.85546875" customWidth="1"/>
    <col min="3" max="3" width="29.85546875" customWidth="1"/>
    <col min="4" max="4" width="16.85546875" customWidth="1"/>
    <col min="5" max="5" width="17.28515625" customWidth="1"/>
  </cols>
  <sheetData>
    <row r="1" spans="1:5" x14ac:dyDescent="0.2">
      <c r="A1" s="148" t="s">
        <v>791</v>
      </c>
      <c r="B1" s="148" t="s">
        <v>792</v>
      </c>
      <c r="C1" s="148" t="s">
        <v>793</v>
      </c>
      <c r="D1" s="148" t="s">
        <v>794</v>
      </c>
      <c r="E1" s="148" t="s">
        <v>795</v>
      </c>
    </row>
    <row r="2" spans="1:5" ht="15" x14ac:dyDescent="0.2">
      <c r="A2" s="182" t="s">
        <v>796</v>
      </c>
      <c r="B2" s="64" t="s">
        <v>797</v>
      </c>
      <c r="C2" s="64" t="s">
        <v>798</v>
      </c>
      <c r="D2" s="64">
        <v>2</v>
      </c>
      <c r="E2" s="64" t="s">
        <v>799</v>
      </c>
    </row>
    <row r="3" spans="1:5" ht="15" x14ac:dyDescent="0.2">
      <c r="A3" s="182" t="s">
        <v>800</v>
      </c>
      <c r="B3" s="64" t="s">
        <v>801</v>
      </c>
      <c r="C3" s="64" t="s">
        <v>802</v>
      </c>
      <c r="D3">
        <v>2</v>
      </c>
      <c r="E3" s="64" t="s">
        <v>799</v>
      </c>
    </row>
    <row r="4" spans="1:5" ht="15" x14ac:dyDescent="0.2">
      <c r="A4" s="182" t="s">
        <v>803</v>
      </c>
      <c r="B4" s="64" t="s">
        <v>804</v>
      </c>
      <c r="C4" s="64" t="s">
        <v>805</v>
      </c>
      <c r="D4">
        <v>2</v>
      </c>
      <c r="E4" s="64" t="s">
        <v>799</v>
      </c>
    </row>
    <row r="5" spans="1:5" ht="15" x14ac:dyDescent="0.2">
      <c r="A5" s="182" t="s">
        <v>806</v>
      </c>
      <c r="B5" s="64" t="s">
        <v>807</v>
      </c>
      <c r="C5" s="64" t="s">
        <v>808</v>
      </c>
      <c r="D5">
        <v>2</v>
      </c>
      <c r="E5" s="64" t="s">
        <v>799</v>
      </c>
    </row>
    <row r="6" spans="1:5" ht="15" x14ac:dyDescent="0.2">
      <c r="A6" s="182" t="s">
        <v>809</v>
      </c>
      <c r="B6" s="64" t="s">
        <v>810</v>
      </c>
      <c r="C6" s="64" t="s">
        <v>811</v>
      </c>
      <c r="D6">
        <v>2</v>
      </c>
      <c r="E6" s="64" t="s">
        <v>799</v>
      </c>
    </row>
    <row r="7" spans="1:5" ht="15" x14ac:dyDescent="0.2">
      <c r="A7" s="182" t="s">
        <v>812</v>
      </c>
      <c r="B7" s="64" t="s">
        <v>813</v>
      </c>
      <c r="C7" s="64" t="s">
        <v>808</v>
      </c>
      <c r="D7">
        <v>2</v>
      </c>
      <c r="E7" s="64" t="s">
        <v>799</v>
      </c>
    </row>
    <row r="8" spans="1:5" ht="15" x14ac:dyDescent="0.2">
      <c r="A8" s="182" t="s">
        <v>814</v>
      </c>
      <c r="B8" s="64" t="s">
        <v>815</v>
      </c>
      <c r="C8" s="64" t="s">
        <v>816</v>
      </c>
      <c r="D8">
        <v>2</v>
      </c>
      <c r="E8" s="64" t="s">
        <v>799</v>
      </c>
    </row>
    <row r="9" spans="1:5" ht="15" x14ac:dyDescent="0.2">
      <c r="A9" s="182" t="s">
        <v>817</v>
      </c>
      <c r="B9" s="64" t="s">
        <v>818</v>
      </c>
      <c r="C9" s="64" t="s">
        <v>799</v>
      </c>
      <c r="D9" s="64" t="s">
        <v>799</v>
      </c>
      <c r="E9" s="64" t="s">
        <v>799</v>
      </c>
    </row>
    <row r="10" spans="1:5" ht="15" x14ac:dyDescent="0.2">
      <c r="A10" s="182" t="s">
        <v>819</v>
      </c>
      <c r="B10" s="64" t="s">
        <v>561</v>
      </c>
      <c r="C10" s="64" t="s">
        <v>799</v>
      </c>
      <c r="D10" s="64" t="s">
        <v>799</v>
      </c>
      <c r="E10" s="64" t="s">
        <v>799</v>
      </c>
    </row>
    <row r="11" spans="1:5" ht="15" x14ac:dyDescent="0.2">
      <c r="A11" s="182" t="s">
        <v>820</v>
      </c>
      <c r="B11" s="184" t="s">
        <v>821</v>
      </c>
      <c r="C11" s="64" t="s">
        <v>799</v>
      </c>
      <c r="D11" s="64" t="s">
        <v>799</v>
      </c>
      <c r="E11" s="64" t="s">
        <v>799</v>
      </c>
    </row>
    <row r="12" spans="1:5" ht="15" x14ac:dyDescent="0.2">
      <c r="A12" s="182" t="s">
        <v>822</v>
      </c>
      <c r="B12" s="184" t="s">
        <v>823</v>
      </c>
      <c r="C12" s="185" t="s">
        <v>799</v>
      </c>
      <c r="D12" s="185" t="s">
        <v>799</v>
      </c>
      <c r="E12" s="64" t="s">
        <v>799</v>
      </c>
    </row>
    <row r="13" spans="1:5" ht="15" x14ac:dyDescent="0.2">
      <c r="A13" s="182" t="s">
        <v>824</v>
      </c>
      <c r="B13" s="184" t="s">
        <v>825</v>
      </c>
      <c r="C13" s="185" t="s">
        <v>799</v>
      </c>
      <c r="D13" s="185" t="s">
        <v>799</v>
      </c>
      <c r="E13" s="64" t="s">
        <v>799</v>
      </c>
    </row>
    <row r="14" spans="1:5" ht="15" x14ac:dyDescent="0.2">
      <c r="A14" s="182" t="s">
        <v>826</v>
      </c>
      <c r="B14" s="184" t="s">
        <v>823</v>
      </c>
      <c r="C14" s="185" t="s">
        <v>799</v>
      </c>
      <c r="D14" s="185" t="s">
        <v>799</v>
      </c>
      <c r="E14" s="64" t="s">
        <v>799</v>
      </c>
    </row>
    <row r="15" spans="1:5" ht="15" x14ac:dyDescent="0.2">
      <c r="A15" s="182" t="s">
        <v>827</v>
      </c>
      <c r="B15" s="184" t="s">
        <v>825</v>
      </c>
      <c r="C15" s="185" t="s">
        <v>799</v>
      </c>
      <c r="D15" s="185" t="s">
        <v>799</v>
      </c>
      <c r="E15" s="64" t="s">
        <v>799</v>
      </c>
    </row>
    <row r="16" spans="1:5" ht="15" x14ac:dyDescent="0.2">
      <c r="A16" s="183"/>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6CD39-EDE7-420D-A5BF-42FB33004495}">
  <dimension ref="A1:C6"/>
  <sheetViews>
    <sheetView workbookViewId="0">
      <selection activeCell="F21" sqref="F21"/>
    </sheetView>
  </sheetViews>
  <sheetFormatPr defaultRowHeight="12.75" x14ac:dyDescent="0.2"/>
  <cols>
    <col min="1" max="1" width="33.7109375" bestFit="1" customWidth="1"/>
    <col min="2" max="2" width="33.7109375" customWidth="1"/>
    <col min="3" max="3" width="35.5703125" customWidth="1"/>
  </cols>
  <sheetData>
    <row r="1" spans="1:3" x14ac:dyDescent="0.2">
      <c r="A1" s="148" t="s">
        <v>828</v>
      </c>
      <c r="B1" s="148" t="s">
        <v>829</v>
      </c>
      <c r="C1" s="148" t="s">
        <v>830</v>
      </c>
    </row>
    <row r="2" spans="1:3" x14ac:dyDescent="0.2">
      <c r="A2" s="64" t="s">
        <v>831</v>
      </c>
      <c r="B2" s="64" t="s">
        <v>831</v>
      </c>
      <c r="C2" t="s">
        <v>831</v>
      </c>
    </row>
    <row r="3" spans="1:3" x14ac:dyDescent="0.2">
      <c r="A3" t="s">
        <v>832</v>
      </c>
      <c r="B3" s="64" t="s">
        <v>833</v>
      </c>
      <c r="C3" s="64" t="s">
        <v>832</v>
      </c>
    </row>
    <row r="4" spans="1:3" x14ac:dyDescent="0.2">
      <c r="A4" s="64" t="s">
        <v>834</v>
      </c>
      <c r="B4" s="64" t="s">
        <v>834</v>
      </c>
      <c r="C4" s="64" t="s">
        <v>835</v>
      </c>
    </row>
    <row r="5" spans="1:3" x14ac:dyDescent="0.2">
      <c r="A5" s="64" t="s">
        <v>455</v>
      </c>
      <c r="B5" s="64" t="s">
        <v>455</v>
      </c>
      <c r="C5" s="64" t="s">
        <v>455</v>
      </c>
    </row>
    <row r="6" spans="1:3" x14ac:dyDescent="0.2">
      <c r="A6" s="64" t="s">
        <v>836</v>
      </c>
      <c r="B6" s="64" t="s">
        <v>836</v>
      </c>
      <c r="C6" s="64" t="s">
        <v>837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49126-2D22-4078-8F33-36DC0C272301}">
  <dimension ref="A1:C9"/>
  <sheetViews>
    <sheetView tabSelected="1" workbookViewId="0">
      <selection activeCell="U33" sqref="U33"/>
    </sheetView>
  </sheetViews>
  <sheetFormatPr defaultRowHeight="12.75" x14ac:dyDescent="0.2"/>
  <cols>
    <col min="1" max="1" width="30.28515625" customWidth="1"/>
    <col min="2" max="2" width="16.7109375" customWidth="1"/>
    <col min="3" max="3" width="18" customWidth="1"/>
  </cols>
  <sheetData>
    <row r="1" spans="1:3" x14ac:dyDescent="0.2">
      <c r="A1" s="148" t="s">
        <v>838</v>
      </c>
      <c r="B1" s="148" t="s">
        <v>829</v>
      </c>
      <c r="C1" s="148" t="s">
        <v>506</v>
      </c>
    </row>
    <row r="2" spans="1:3" x14ac:dyDescent="0.2">
      <c r="A2" s="64" t="s">
        <v>839</v>
      </c>
      <c r="B2" s="64" t="s">
        <v>839</v>
      </c>
      <c r="C2" s="64" t="s">
        <v>839</v>
      </c>
    </row>
    <row r="3" spans="1:3" x14ac:dyDescent="0.2">
      <c r="A3" s="64" t="s">
        <v>840</v>
      </c>
      <c r="B3" s="64" t="s">
        <v>841</v>
      </c>
      <c r="C3" s="64" t="s">
        <v>842</v>
      </c>
    </row>
    <row r="4" spans="1:3" x14ac:dyDescent="0.2">
      <c r="A4" s="64" t="s">
        <v>843</v>
      </c>
      <c r="B4" s="64" t="s">
        <v>844</v>
      </c>
      <c r="C4" s="64" t="s">
        <v>843</v>
      </c>
    </row>
    <row r="5" spans="1:3" x14ac:dyDescent="0.2">
      <c r="A5" s="64" t="s">
        <v>845</v>
      </c>
      <c r="B5" s="64" t="s">
        <v>846</v>
      </c>
      <c r="C5" s="64" t="s">
        <v>847</v>
      </c>
    </row>
    <row r="6" spans="1:3" x14ac:dyDescent="0.2">
      <c r="A6" s="64" t="s">
        <v>848</v>
      </c>
      <c r="B6" s="64" t="s">
        <v>846</v>
      </c>
      <c r="C6" s="64" t="s">
        <v>847</v>
      </c>
    </row>
    <row r="7" spans="1:3" x14ac:dyDescent="0.2">
      <c r="A7" s="64" t="s">
        <v>849</v>
      </c>
      <c r="B7" s="64" t="s">
        <v>846</v>
      </c>
      <c r="C7" s="64" t="s">
        <v>847</v>
      </c>
    </row>
    <row r="8" spans="1:3" x14ac:dyDescent="0.2">
      <c r="A8" s="64"/>
      <c r="B8" s="64"/>
      <c r="C8" s="64"/>
    </row>
    <row r="9" spans="1:3" x14ac:dyDescent="0.2">
      <c r="A9" s="64"/>
      <c r="B9" s="64"/>
      <c r="C9" s="6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Enterprise Solutions</TermName>
          <TermId xmlns="http://schemas.microsoft.com/office/infopath/2007/PartnerControls">08c57b01-67e8-4a4f-abc6-ffb3392ace7f</TermId>
        </TermInfo>
      </Terms>
    </nae5750f31d8428b9a1182bd8e59d390>
    <k6ebf865df8440b3a55c1aa81c9bae7c xmlns="1ffbd5dc-7a64-4097-8396-87f6c90b212f">
      <Terms xmlns="http://schemas.microsoft.com/office/infopath/2007/PartnerControls">
        <TermInfo xmlns="http://schemas.microsoft.com/office/infopath/2007/PartnerControls">
          <TermName xmlns="http://schemas.microsoft.com/office/infopath/2007/PartnerControls">Generic Project Document</TermName>
          <TermId xmlns="http://schemas.microsoft.com/office/infopath/2007/PartnerControls">258c2ed6-b93b-4ffe-8901-a23f2dc98ec9</TermId>
        </TermInfo>
      </Terms>
    </k6ebf865df8440b3a55c1aa81c9bae7c>
    <f0dc22cb723843c1bfbb2e8bcc9db6e4 xmlns="1ffbd5dc-7a64-4097-8396-87f6c90b212f">
      <Terms xmlns="http://schemas.microsoft.com/office/infopath/2007/PartnerControls"/>
    </f0dc22cb723843c1bfbb2e8bcc9db6e4>
    <TaxCatchAll xmlns="1ffbd5dc-7a64-4097-8396-87f6c90b212f">
      <Value>6</Value>
      <Value>5</Value>
      <Value>4</Value>
    </TaxCatchAll>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2.xml><?xml version="1.0" encoding="utf-8"?>
<?mso-contentType ?>
<SharedContentType xmlns="Microsoft.SharePoint.Taxonomy.ContentTypeSync" SourceId="5676dd91-060c-4b71-810a-dbdca5582071" ContentTypeId="0x010100B16301FA1C2D5E4DB9305F31D037531D020703"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Client Project Document" ma:contentTypeID="0x010100B16301FA1C2D5E4DB9305F31D037531D02070300B4E123A7400DE24C83BA9D1BFCD12C10" ma:contentTypeVersion="3" ma:contentTypeDescription="A document associated with a project for a client." ma:contentTypeScope="" ma:versionID="9d6581bc5c99e8ea3938d4fa8ba888f5">
  <xsd:schema xmlns:xsd="http://www.w3.org/2001/XMLSchema" xmlns:xs="http://www.w3.org/2001/XMLSchema" xmlns:p="http://schemas.microsoft.com/office/2006/metadata/properties" xmlns:ns2="1ffbd5dc-7a64-4097-8396-87f6c90b212f" targetNamespace="http://schemas.microsoft.com/office/2006/metadata/properties" ma:root="true" ma:fieldsID="a0c1b2c62e26289b034b466cfffa7cd3"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f0dc22cb723843c1bfbb2e8bcc9db6e4" minOccurs="0"/>
                <xsd:element ref="ns2:k6ebf865df8440b3a55c1aa81c9bae7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f0dc22cb723843c1bfbb2e8bcc9db6e4" ma:index="14" nillable="true" ma:taxonomy="true" ma:internalName="f0dc22cb723843c1bfbb2e8bcc9db6e4" ma:taxonomyFieldName="Client_x0020_Project" ma:displayName="Client Application" ma:default="" ma:fieldId="{f0dc22cb-7238-43c1-bfbb-2e8bcc9db6e4}" ma:sspId="5676dd91-060c-4b71-810a-dbdca5582071" ma:termSetId="503923a6-a4d2-4c0f-8ec0-fee4966b50a0" ma:anchorId="00000000-0000-0000-0000-000000000000" ma:open="false" ma:isKeyword="false">
      <xsd:complexType>
        <xsd:sequence>
          <xsd:element ref="pc:Terms" minOccurs="0" maxOccurs="1"/>
        </xsd:sequence>
      </xsd:complexType>
    </xsd:element>
    <xsd:element name="k6ebf865df8440b3a55c1aa81c9bae7c" ma:index="16" nillable="true" ma:taxonomy="true" ma:internalName="k6ebf865df8440b3a55c1aa81c9bae7c" ma:taxonomyFieldName="Project_x0020_Document_x0020_Type" ma:displayName="Project Document Type" ma:default="4;#Generic Project Document|258c2ed6-b93b-4ffe-8901-a23f2dc98ec9" ma:fieldId="{46ebf865-df84-40b3-a55c-1aa81c9bae7c}" ma:sspId="5676dd91-060c-4b71-810a-dbdca5582071" ma:termSetId="79e5d870-6e8b-4a88-8554-c2a1e06e1585"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3D6427E-803B-49B0-BCAA-6DAE5C488EA5}">
  <ds:schemaRefs>
    <ds:schemaRef ds:uri="http://purl.org/dc/dcmitype/"/>
    <ds:schemaRef ds:uri="http://schemas.openxmlformats.org/package/2006/metadata/core-properties"/>
    <ds:schemaRef ds:uri="http://purl.org/dc/terms/"/>
    <ds:schemaRef ds:uri="http://schemas.microsoft.com/office/infopath/2007/PartnerControls"/>
    <ds:schemaRef ds:uri="http://schemas.microsoft.com/office/2006/documentManagement/types"/>
    <ds:schemaRef ds:uri="1ffbd5dc-7a64-4097-8396-87f6c90b212f"/>
    <ds:schemaRef ds:uri="http://purl.org/dc/elements/1.1/"/>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E2D26094-2068-406B-8E82-249F3EF1DA5E}">
  <ds:schemaRefs>
    <ds:schemaRef ds:uri="Microsoft.SharePoint.Taxonomy.ContentTypeSync"/>
  </ds:schemaRefs>
</ds:datastoreItem>
</file>

<file path=customXml/itemProps3.xml><?xml version="1.0" encoding="utf-8"?>
<ds:datastoreItem xmlns:ds="http://schemas.openxmlformats.org/officeDocument/2006/customXml" ds:itemID="{445449BB-B2AD-4715-86B6-3DB8DCFDE6FC}">
  <ds:schemaRefs>
    <ds:schemaRef ds:uri="http://schemas.microsoft.com/sharepoint/v3/contenttype/forms"/>
  </ds:schemaRefs>
</ds:datastoreItem>
</file>

<file path=customXml/itemProps4.xml><?xml version="1.0" encoding="utf-8"?>
<ds:datastoreItem xmlns:ds="http://schemas.openxmlformats.org/officeDocument/2006/customXml" ds:itemID="{4D225A60-5291-4CF0-BA6C-04EB5731CB7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fbd5dc-7a64-4097-8396-87f6c90b21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IL to HORIZON</vt:lpstr>
      <vt:lpstr>IL Data Mapping #WORKING#</vt:lpstr>
      <vt:lpstr>Sheet1</vt:lpstr>
      <vt:lpstr>Version History</vt:lpstr>
      <vt:lpstr>Salesforce to Qube  - Units</vt:lpstr>
      <vt:lpstr>Salesforce to Qube  - Tenancy</vt:lpstr>
      <vt:lpstr>Salesforce to Qube  - Clients</vt:lpstr>
      <vt:lpstr>Opportunity Filtering Logic</vt:lpstr>
      <vt:lpstr>Break Clause Rules</vt:lpstr>
      <vt:lpstr>Client Role Mappings</vt:lpstr>
      <vt:lpstr>Agreement Type Mappings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CP-P2P-07 Mappings</dc:title>
  <dc:subject/>
  <dc:creator/>
  <cp:keywords/>
  <dc:description/>
  <cp:lastModifiedBy/>
  <cp:revision/>
  <dcterms:created xsi:type="dcterms:W3CDTF">2019-02-26T12:17:16Z</dcterms:created>
  <dcterms:modified xsi:type="dcterms:W3CDTF">2025-05-13T11:30:28Z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0x010100B16301FA1C2D5E4DB9305F31D037531D02070300B4E123A7400DE24C83BA9D1BFCD12C10</vt:lpwstr>
  </property>
  <property fmtid="{D5CDD505-2E9C-101B-9397-08002B2CF9AE}" pid="3" name="Project Document Type">
    <vt:lpwstr>4;#Generic Project Document|258c2ed6-b93b-4ffe-8901-a23f2dc98ec9</vt:lpwstr>
  </property>
  <property fmtid="{D5CDD505-2E9C-101B-9397-08002B2CF9AE}" pid="4" name="MediaServiceImageTags">
    <vt:lpwstr/>
  </property>
  <property fmtid="{D5CDD505-2E9C-101B-9397-08002B2CF9AE}" pid="5" name="lcf76f155ced4ddcb4097134ff3c332f">
    <vt:lpwstr/>
  </property>
  <property fmtid="{D5CDD505-2E9C-101B-9397-08002B2CF9AE}" pid="6" name="Project_x0020_Document_x0020_Type">
    <vt:lpwstr>4;#Generic Project Document|258c2ed6-b93b-4ffe-8901-a23f2dc98ec9</vt:lpwstr>
  </property>
  <property fmtid="{D5CDD505-2E9C-101B-9397-08002B2CF9AE}" pid="7" name="Division">
    <vt:lpwstr>5;#Enterprise Solutions|08c57b01-67e8-4a4f-abc6-ffb3392ace7f</vt:lpwstr>
  </property>
  <property fmtid="{D5CDD505-2E9C-101B-9397-08002B2CF9AE}" pid="8" name="Client">
    <vt:lpwstr>6;#Grainger PLC|a74f1cb5-e995-4f9e-8521-6d52e2c6bf08</vt:lpwstr>
  </property>
  <property fmtid="{D5CDD505-2E9C-101B-9397-08002B2CF9AE}" pid="9" name="Client Project">
    <vt:lpwstr/>
  </property>
  <property fmtid="{D5CDD505-2E9C-101B-9397-08002B2CF9AE}" pid="10" name="Client_x0020_Project">
    <vt:lpwstr/>
  </property>
</Properties>
</file>