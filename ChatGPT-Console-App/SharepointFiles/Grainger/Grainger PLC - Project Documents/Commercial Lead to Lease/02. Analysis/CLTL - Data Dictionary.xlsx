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2.xml" ContentType="application/vnd.openxmlformats-officedocument.drawing+xml"/>
  <Override PartName="/xl/diagrams/data5.xml" ContentType="application/vnd.openxmlformats-officedocument.drawingml.diagramData+xml"/>
  <Override PartName="/xl/diagrams/layout5.xml" ContentType="application/vnd.openxmlformats-officedocument.drawingml.diagramLayout+xml"/>
  <Override PartName="/xl/diagrams/quickStyle5.xml" ContentType="application/vnd.openxmlformats-officedocument.drawingml.diagramStyle+xml"/>
  <Override PartName="/xl/diagrams/colors5.xml" ContentType="application/vnd.openxmlformats-officedocument.drawingml.diagramColors+xml"/>
  <Override PartName="/xl/diagrams/drawing5.xml" ContentType="application/vnd.ms-office.drawingml.diagramDrawing+xml"/>
  <Override PartName="/xl/diagrams/data6.xml" ContentType="application/vnd.openxmlformats-officedocument.drawingml.diagramData+xml"/>
  <Override PartName="/xl/diagrams/layout6.xml" ContentType="application/vnd.openxmlformats-officedocument.drawingml.diagramLayout+xml"/>
  <Override PartName="/xl/diagrams/quickStyle6.xml" ContentType="application/vnd.openxmlformats-officedocument.drawingml.diagramStyle+xml"/>
  <Override PartName="/xl/diagrams/colors6.xml" ContentType="application/vnd.openxmlformats-officedocument.drawingml.diagramColors+xml"/>
  <Override PartName="/xl/diagrams/drawing6.xml" ContentType="application/vnd.ms-office.drawingml.diagramDrawing+xml"/>
  <Override PartName="/xl/diagrams/data7.xml" ContentType="application/vnd.openxmlformats-officedocument.drawingml.diagramData+xml"/>
  <Override PartName="/xl/diagrams/layout7.xml" ContentType="application/vnd.openxmlformats-officedocument.drawingml.diagramLayout+xml"/>
  <Override PartName="/xl/diagrams/quickStyle7.xml" ContentType="application/vnd.openxmlformats-officedocument.drawingml.diagramStyle+xml"/>
  <Override PartName="/xl/diagrams/colors7.xml" ContentType="application/vnd.openxmlformats-officedocument.drawingml.diagramColors+xml"/>
  <Override PartName="/xl/diagrams/drawing7.xml" ContentType="application/vnd.ms-office.drawingml.diagramDrawing+xml"/>
  <Override PartName="/xl/diagrams/data8.xml" ContentType="application/vnd.openxmlformats-officedocument.drawingml.diagramData+xml"/>
  <Override PartName="/xl/diagrams/layout8.xml" ContentType="application/vnd.openxmlformats-officedocument.drawingml.diagramLayout+xml"/>
  <Override PartName="/xl/diagrams/quickStyle8.xml" ContentType="application/vnd.openxmlformats-officedocument.drawingml.diagramStyle+xml"/>
  <Override PartName="/xl/diagrams/colors8.xml" ContentType="application/vnd.openxmlformats-officedocument.drawingml.diagramColors+xml"/>
  <Override PartName="/xl/diagrams/drawing8.xml" ContentType="application/vnd.ms-office.drawingml.diagram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openboxsoftwareweb.sharepoint.com/sites/GraingerPLC/Project Documents/Commercial Lead to Lease/02. Analysis/"/>
    </mc:Choice>
  </mc:AlternateContent>
  <xr:revisionPtr revIDLastSave="8084" documentId="8_{5E3E472F-D73E-411C-9F3F-2D4DEDC1A97C}" xr6:coauthVersionLast="47" xr6:coauthVersionMax="47" xr10:uidLastSave="{5D07D4D4-D377-41CB-B0C5-98C9F14D6619}"/>
  <bookViews>
    <workbookView xWindow="-120" yWindow="-120" windowWidth="29040" windowHeight="15720" tabRatio="709" firstSheet="2" activeTab="4" xr2:uid="{BDDE91C2-D736-4419-948F-F936ABE57761}"/>
  </bookViews>
  <sheets>
    <sheet name="Stages (2)" sheetId="9" state="hidden" r:id="rId1"/>
    <sheet name="Stages" sheetId="6" state="hidden" r:id="rId2"/>
    <sheet name="Dashboard" sheetId="13" r:id="rId3"/>
    <sheet name="Tenancy" sheetId="10" r:id="rId4"/>
    <sheet name="Opportunity" sheetId="4" r:id="rId5"/>
    <sheet name="Sheet1" sheetId="14" r:id="rId6"/>
    <sheet name="Offer" sheetId="5" r:id="rId7"/>
    <sheet name="Commercial Live Offer Tracker" sheetId="12" r:id="rId8"/>
    <sheet name="Feedback &amp; Enquiries" sheetId="7" r:id="rId9"/>
    <sheet name="Stage Detail" sheetId="8" r:id="rId10"/>
    <sheet name="Building" sheetId="2" r:id="rId11"/>
    <sheet name="Comments" sheetId="11" r:id="rId12"/>
    <sheet name="Account" sheetId="3" r:id="rId13"/>
    <sheet name="Unit " sheetId="1" r:id="rId14"/>
  </sheets>
  <definedNames>
    <definedName name="_xlnm._FilterDatabase" localSheetId="4" hidden="1">Opportunity!$A$1:$O$135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13" l="1"/>
  <c r="I117" i="4"/>
  <c r="I39" i="4"/>
  <c r="I33" i="4"/>
  <c r="F7" i="13"/>
  <c r="K36" i="13"/>
  <c r="K27" i="13"/>
  <c r="C39" i="4"/>
  <c r="C44" i="4" s="1"/>
  <c r="C33" i="4"/>
  <c r="C45" i="4" s="1"/>
  <c r="C46" i="4" s="1"/>
  <c r="C31" i="4"/>
  <c r="AL7" i="12"/>
  <c r="Z7" i="12"/>
  <c r="Y7" i="12"/>
  <c r="AC7" i="12"/>
  <c r="AB7" i="12"/>
  <c r="AA7" i="12"/>
  <c r="X7" i="12"/>
  <c r="W7" i="12"/>
  <c r="U7" i="12"/>
  <c r="V7" i="12"/>
  <c r="T7" i="12"/>
  <c r="S7" i="12"/>
  <c r="R7" i="12"/>
  <c r="Q7" i="12"/>
  <c r="F7" i="12"/>
  <c r="L13" i="13"/>
  <c r="K13" i="13"/>
  <c r="E7" i="13"/>
  <c r="H19" i="13"/>
  <c r="F19" i="13"/>
  <c r="H15" i="13"/>
  <c r="F15" i="13"/>
  <c r="E19" i="13"/>
  <c r="E15" i="13"/>
  <c r="D34" i="13"/>
  <c r="H27" i="13"/>
  <c r="D5" i="13"/>
  <c r="D6" i="13"/>
  <c r="D4" i="13"/>
  <c r="C7" i="13"/>
  <c r="C117" i="4"/>
  <c r="C47" i="4" l="1"/>
  <c r="H20" i="13"/>
  <c r="E20" i="13"/>
  <c r="F20" i="13"/>
  <c r="D7" i="13"/>
  <c r="G6" i="13" s="1"/>
  <c r="G4" i="13" l="1"/>
  <c r="G5" i="13"/>
  <c r="G7"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tc={9DAF4AA9-1547-450E-9D3C-2D4F811EE71A}</author>
    <author>tc={A6A9AAD5-D558-43E7-8AB4-EB9139D84877}</author>
    <author>tc={8038F7A4-CA63-4357-95EC-FE8AA2E2C7D9}</author>
  </authors>
  <commentList>
    <comment ref="F57" authorId="0" shapeId="0" xr:uid="{9DAF4AA9-1547-450E-9D3C-2D4F811EE71A}">
      <text>
        <t>[Threaded comment]
Your version of Excel allows you to read this threaded comment; however, any edits to it will get removed if the file is opened in a newer version of Excel. Learn more: https://go.microsoft.com/fwlink/?linkid=870924
Comment:
    9?</t>
      </text>
    </comment>
    <comment ref="E68" authorId="1" shapeId="0" xr:uid="{A6A9AAD5-D558-43E7-8AB4-EB9139D84877}">
      <text>
        <t>[Threaded comment]
Your version of Excel allows you to read this threaded comment; however, any edits to it will get removed if the file is opened in a newer version of Excel. Learn more: https://go.microsoft.com/fwlink/?linkid=870924
Comment:
    Options in Qube:
Bank of England, Barclays, LIBOR, Lloyds, Midlands, NatWest, RPI Figures, Sales System RPI Figures, Standard Bank Rates</t>
      </text>
    </comment>
    <comment ref="B103" authorId="2" shapeId="0" xr:uid="{8038F7A4-CA63-4357-95EC-FE8AA2E2C7D9}">
      <text>
        <t>[Threaded comment]
Your version of Excel allows you to read this threaded comment; however, any edits to it will get removed if the file is opened in a newer version of Excel. Learn more: https://go.microsoft.com/fwlink/?linkid=870924
Comment:
     (Meter Point Administration Number)</t>
      </text>
    </comment>
  </commentList>
</comments>
</file>

<file path=xl/sharedStrings.xml><?xml version="1.0" encoding="utf-8"?>
<sst xmlns="http://schemas.openxmlformats.org/spreadsheetml/2006/main" count="1711" uniqueCount="566">
  <si>
    <t>Occupancy</t>
  </si>
  <si>
    <t>Offers in Progress</t>
  </si>
  <si>
    <t>Unit Status</t>
  </si>
  <si>
    <t># Units</t>
  </si>
  <si>
    <t>Total Sq.Ft.</t>
  </si>
  <si>
    <t>Total Void Days</t>
  </si>
  <si>
    <t>Average Void Days</t>
  </si>
  <si>
    <t>% Area</t>
  </si>
  <si>
    <t>Offer Stage</t>
  </si>
  <si>
    <t>Number Offers</t>
  </si>
  <si>
    <t xml:space="preserve">In Development </t>
  </si>
  <si>
    <t>Offer Negotiation</t>
  </si>
  <si>
    <t>Vacant</t>
  </si>
  <si>
    <t>&gt; void days per unit &gt; unit details</t>
  </si>
  <si>
    <t>AM Approval</t>
  </si>
  <si>
    <t>Tenanted</t>
  </si>
  <si>
    <t>IC Approval</t>
  </si>
  <si>
    <t>Total</t>
  </si>
  <si>
    <t>Heads of Terms</t>
  </si>
  <si>
    <t xml:space="preserve">Legals </t>
  </si>
  <si>
    <t>AFL</t>
  </si>
  <si>
    <t>Units on the Market</t>
  </si>
  <si>
    <t>Lease Completion</t>
  </si>
  <si>
    <t>Under Offer</t>
  </si>
  <si>
    <t>Property</t>
  </si>
  <si>
    <t>Unit No.</t>
  </si>
  <si>
    <t>Sq.Ft.</t>
  </si>
  <si>
    <t># Days on Market</t>
  </si>
  <si>
    <t>Void Days</t>
  </si>
  <si>
    <t>Audit</t>
  </si>
  <si>
    <t>Yes</t>
  </si>
  <si>
    <t>Fit Out</t>
  </si>
  <si>
    <t>calc units under offer?</t>
  </si>
  <si>
    <t>Millet Place</t>
  </si>
  <si>
    <t>Unit 1</t>
  </si>
  <si>
    <t>Unit 2</t>
  </si>
  <si>
    <t>&gt; Open Commercial Live Offer Tracker</t>
  </si>
  <si>
    <t>No</t>
  </si>
  <si>
    <t>Stage Turnaround Times - Signings in Last 12 Months</t>
  </si>
  <si>
    <t>Unit 3</t>
  </si>
  <si>
    <t>Average Days</t>
  </si>
  <si>
    <t>Unit 4</t>
  </si>
  <si>
    <t>Signings in Last 6 Months [Closed Won]</t>
  </si>
  <si>
    <t>Building</t>
  </si>
  <si>
    <t>Tenant</t>
  </si>
  <si>
    <t>Completion Date</t>
  </si>
  <si>
    <t>Lease Term</t>
  </si>
  <si>
    <t>Headline Rent</t>
  </si>
  <si>
    <t>Tamba Day Nursery</t>
  </si>
  <si>
    <t>15 Years</t>
  </si>
  <si>
    <t>10 Years</t>
  </si>
  <si>
    <t>2 Opportunities</t>
  </si>
  <si>
    <t>Average Total Days</t>
  </si>
  <si>
    <t>&gt; Commercial Offers Signed in Last 6 Months [based on live offer tracker]</t>
  </si>
  <si>
    <t>split into current &amp; prior month?</t>
  </si>
  <si>
    <t>Stage Turnaround Times - Unsuccessful Offers in Last 12 Months</t>
  </si>
  <si>
    <t>Unsuccessful Offers in Last 6 Months [Closed Lost]</t>
  </si>
  <si>
    <t>Close Lost Date</t>
  </si>
  <si>
    <t>Sub Stage</t>
  </si>
  <si>
    <t>Reason</t>
  </si>
  <si>
    <t>Rejected by  Leasing</t>
  </si>
  <si>
    <t>Required additional cap con</t>
  </si>
  <si>
    <t>Tesco</t>
  </si>
  <si>
    <t>Rejected by  AM</t>
  </si>
  <si>
    <t>Unsuitable use type</t>
  </si>
  <si>
    <t>&gt; Commercial Offers Lost in Last 6 Months [based on live offer tracker]</t>
  </si>
  <si>
    <t>group by building, then unit</t>
  </si>
  <si>
    <t>Field Name</t>
  </si>
  <si>
    <t>New / Existing Field</t>
  </si>
  <si>
    <t>Field Type &amp; Content</t>
  </si>
  <si>
    <t>Default Value on Creation from Opportunity</t>
  </si>
  <si>
    <t>Edit-able?</t>
  </si>
  <si>
    <t>Requ-ired?</t>
  </si>
  <si>
    <t>Conditional Display</t>
  </si>
  <si>
    <t>Help Text</t>
  </si>
  <si>
    <t>Tenancy Owner</t>
  </si>
  <si>
    <t>Existing</t>
  </si>
  <si>
    <t>Opportunity Owner</t>
  </si>
  <si>
    <t>N</t>
  </si>
  <si>
    <t>Y</t>
  </si>
  <si>
    <t>Tenancy Number</t>
  </si>
  <si>
    <t>Auto-generated</t>
  </si>
  <si>
    <t>Opportunity</t>
  </si>
  <si>
    <t xml:space="preserve">Opportunity </t>
  </si>
  <si>
    <t>Account Name</t>
  </si>
  <si>
    <t>Unit</t>
  </si>
  <si>
    <t>Commercial Leases: This is the primary unit if there are multiple units.</t>
  </si>
  <si>
    <t>Tenancy Status</t>
  </si>
  <si>
    <t>"Activated"</t>
  </si>
  <si>
    <t>Tenancy Type</t>
  </si>
  <si>
    <t>Agreement Type</t>
  </si>
  <si>
    <t>Picklist: New option: Commercial Lease.</t>
  </si>
  <si>
    <t>Tenancy Term (months)</t>
  </si>
  <si>
    <t>Integer</t>
  </si>
  <si>
    <r>
      <t xml:space="preserve">Calculated from </t>
    </r>
    <r>
      <rPr>
        <i/>
        <sz val="11"/>
        <color theme="1"/>
        <rFont val="Calibri"/>
        <family val="2"/>
      </rPr>
      <t>Agreed Terms</t>
    </r>
    <r>
      <rPr>
        <sz val="11"/>
        <color theme="1"/>
        <rFont val="Calibri"/>
        <family val="2"/>
      </rPr>
      <t>; e.g."3 Years" = 36</t>
    </r>
  </si>
  <si>
    <t>Tenancy Term (years)</t>
  </si>
  <si>
    <t>New</t>
  </si>
  <si>
    <t>Numeric field; calculated = [Tenancy Term (months)] / 12</t>
  </si>
  <si>
    <t>Tenancy Start Date</t>
  </si>
  <si>
    <t xml:space="preserve">Move-In Date </t>
  </si>
  <si>
    <t>Rent Start Date</t>
  </si>
  <si>
    <t>Tenancy End Date</t>
  </si>
  <si>
    <t>Actual Move Out Date</t>
  </si>
  <si>
    <t>Null</t>
  </si>
  <si>
    <r>
      <rPr>
        <strike/>
        <sz val="11"/>
        <color theme="1"/>
        <rFont val="Calibri"/>
        <family val="2"/>
      </rPr>
      <t>Monthly</t>
    </r>
    <r>
      <rPr>
        <sz val="11"/>
        <color theme="1"/>
        <rFont val="Calibri"/>
        <family val="2"/>
      </rPr>
      <t xml:space="preserve"> Rent</t>
    </r>
  </si>
  <si>
    <t>Formula = Opportunity's Monthly_Price__c</t>
  </si>
  <si>
    <t xml:space="preserve">Annual headline rent for commercial leases. Monthly rent for residential leases.  </t>
  </si>
  <si>
    <t>Security Deposit</t>
  </si>
  <si>
    <t>Formula = Opportunity's Security_Deposit__c</t>
  </si>
  <si>
    <t>Deposit to be Paid Back</t>
  </si>
  <si>
    <t>Picklist: After 1 Year, After 2 Years, After 3 Years, After 4 Years, After 5 Years, End of Term</t>
  </si>
  <si>
    <t>Break Clause</t>
  </si>
  <si>
    <t>Picklist; New options: TT Break, LL Break, Mutual Break, Rolling Break</t>
  </si>
  <si>
    <t>First Break Clause Date</t>
  </si>
  <si>
    <t>Date</t>
  </si>
  <si>
    <t>Only displays where Break Clause is 'TT Break', 'LL Break', 'Mutual Break', 'Rolling Break'</t>
  </si>
  <si>
    <t>Break Clause Notice (Months)</t>
  </si>
  <si>
    <t>Rent Review Information</t>
  </si>
  <si>
    <t>Rent Review Frequency (Years)</t>
  </si>
  <si>
    <t>First Rent Review Date</t>
  </si>
  <si>
    <t xml:space="preserve">Date </t>
  </si>
  <si>
    <t>First Rent Review Type</t>
  </si>
  <si>
    <t>Picklist: CPI, Market Rent Review, RPI, UORR</t>
  </si>
  <si>
    <t>Rent Increase Cap</t>
  </si>
  <si>
    <t>Percentage</t>
  </si>
  <si>
    <t>Only displays where First Rent Review Type is 'CPI' or 'RPI'</t>
  </si>
  <si>
    <t>Rent Increase Collar</t>
  </si>
  <si>
    <t>Additional Information</t>
  </si>
  <si>
    <t>Use Type</t>
  </si>
  <si>
    <t>Short Text</t>
  </si>
  <si>
    <t>Subject to 1954 Act</t>
  </si>
  <si>
    <t>Picklist: Inside, Outside</t>
  </si>
  <si>
    <t>Required Notice (Months)</t>
  </si>
  <si>
    <t>Estate Charge (£/ft²)</t>
  </si>
  <si>
    <t>Currency</t>
  </si>
  <si>
    <t>Repair Covenant</t>
  </si>
  <si>
    <t>Picklist: Effective FRI, FRI, Internal Repairing Insuring, Internal Repairing Only</t>
  </si>
  <si>
    <t xml:space="preserve">Service Charge </t>
  </si>
  <si>
    <t>Picklist: Inclusive, Exclusive</t>
  </si>
  <si>
    <t>Service Charge Contribution</t>
  </si>
  <si>
    <t>Picklist: Fair &amp; Reasonable, Percentage</t>
  </si>
  <si>
    <t>Service Charge %</t>
  </si>
  <si>
    <t>Insurance</t>
  </si>
  <si>
    <t>Description</t>
  </si>
  <si>
    <t>[Other Notes] &amp; [All Units]</t>
  </si>
  <si>
    <t>System Information</t>
  </si>
  <si>
    <t>Created By</t>
  </si>
  <si>
    <t>Last Modified By</t>
  </si>
  <si>
    <t>Record Type</t>
  </si>
  <si>
    <t>Options: Residential, Commercial</t>
  </si>
  <si>
    <t>"Commercial"</t>
  </si>
  <si>
    <t>Status</t>
  </si>
  <si>
    <t>Tena-ncy?</t>
  </si>
  <si>
    <t>Sample Data</t>
  </si>
  <si>
    <t>Default Value on Creation</t>
  </si>
  <si>
    <t>Update from Trigger / Business Rules</t>
  </si>
  <si>
    <t>Questions</t>
  </si>
  <si>
    <t>Send to Qube</t>
  </si>
  <si>
    <t>Dummy Opportunity</t>
  </si>
  <si>
    <t>Sync from Parent?</t>
  </si>
  <si>
    <t>General Details</t>
  </si>
  <si>
    <t>Opportunity Name</t>
  </si>
  <si>
    <t>Phenix-UK Realty Ltd - Unit 1, The Condor,1 Springwell Square</t>
  </si>
  <si>
    <t>Text</t>
  </si>
  <si>
    <t>Additional Unit: [Unit Name/Plot] for [parent Opportunity Name]</t>
  </si>
  <si>
    <t>Bradley Wallace</t>
  </si>
  <si>
    <t>User Lookup</t>
  </si>
  <si>
    <t>User who creates opportunity</t>
  </si>
  <si>
    <t xml:space="preserve">Same </t>
  </si>
  <si>
    <t>Phenix-UK Realty Ltd</t>
  </si>
  <si>
    <t>Account Lookup</t>
  </si>
  <si>
    <t xml:space="preserve">Leaseholder </t>
  </si>
  <si>
    <t>Stage</t>
  </si>
  <si>
    <t>Closed Lost</t>
  </si>
  <si>
    <t>In Order: Offer Negotiation, AM Approval, IC Approval, Heads of Terms, Legals, AFL, Lease Completion, Audit, Fit Out, Closed Won, Closed Lost</t>
  </si>
  <si>
    <t>"Offer Negotiation"</t>
  </si>
  <si>
    <t>Rejected by Leasing</t>
  </si>
  <si>
    <r>
      <t xml:space="preserve">Picklist; options where </t>
    </r>
    <r>
      <rPr>
        <i/>
        <sz val="11"/>
        <rFont val="Calibri"/>
        <family val="2"/>
      </rPr>
      <t>Stage</t>
    </r>
    <r>
      <rPr>
        <sz val="11"/>
        <rFont val="Calibri"/>
        <family val="2"/>
      </rPr>
      <t xml:space="preserve"> is 'Closed Lost': Rejected by Leasing, Rejected by AM, Rejected by IC</t>
    </r>
  </si>
  <si>
    <t>Picklist: New, Renewal</t>
  </si>
  <si>
    <t>"New"</t>
  </si>
  <si>
    <t>Commercial Lease</t>
  </si>
  <si>
    <t>Multi-select Picklist: New options: Commercial Lease, Commercial Let, Commercial Licence. Dependent on Record Type</t>
  </si>
  <si>
    <t>Same</t>
  </si>
  <si>
    <t>Class E Health and Beauty</t>
  </si>
  <si>
    <t>Related Parties</t>
  </si>
  <si>
    <t>Tenant Contact</t>
  </si>
  <si>
    <t>John Smith</t>
  </si>
  <si>
    <t>Contact Lookup</t>
  </si>
  <si>
    <t>Guarantor</t>
  </si>
  <si>
    <t>Local Agent</t>
  </si>
  <si>
    <t>Alder King</t>
  </si>
  <si>
    <t>Local Agent Contact</t>
  </si>
  <si>
    <t>National Agent</t>
  </si>
  <si>
    <t>BGP</t>
  </si>
  <si>
    <t>National Agent Contact</t>
  </si>
  <si>
    <t>Jane Smith</t>
  </si>
  <si>
    <t>Landlord Solicitor</t>
  </si>
  <si>
    <t>Russell-Cooke</t>
  </si>
  <si>
    <t>Solicitor Contact</t>
  </si>
  <si>
    <t>Liz Evans</t>
  </si>
  <si>
    <t>Primary Offer Information</t>
  </si>
  <si>
    <t xml:space="preserve">Primary Offer </t>
  </si>
  <si>
    <t>Offer Lookup</t>
  </si>
  <si>
    <t>Populated when the 'Primary Offer' checkbox on any linked offer is updated &amp; there is only one checked as primary.</t>
  </si>
  <si>
    <r>
      <rPr>
        <strike/>
        <sz val="11"/>
        <rFont val="Calibri"/>
        <family val="2"/>
      </rPr>
      <t>Primary Offer Live</t>
    </r>
    <r>
      <rPr>
        <sz val="11"/>
        <rFont val="Calibri"/>
        <family val="2"/>
      </rPr>
      <t xml:space="preserve"> Unit </t>
    </r>
  </si>
  <si>
    <t>Unit 1, The Condor,1 Springwell Square</t>
  </si>
  <si>
    <t>Unit Lookup</t>
  </si>
  <si>
    <t>Commercial Leases: This is the primary unit if there are multiple units.
Residential Leases: Formerly labelled 'Primary Offer Live Unit '</t>
  </si>
  <si>
    <t>Automatically updates when the linked primay offer changes or the unit of the linked primary offer is edited.</t>
  </si>
  <si>
    <t>From offer line item</t>
  </si>
  <si>
    <t>All Units</t>
  </si>
  <si>
    <t>Unit 2, The Condor,1 Springwell Square; Unit 3, The Condor,1 Springwell Square</t>
  </si>
  <si>
    <t>Text Field</t>
  </si>
  <si>
    <t>Automatically updates when the linked primay offer changes or when offer line items are added/removed. Update to a concatenated list of Product names for all offer line items.</t>
  </si>
  <si>
    <t>The Condor - Commercial</t>
  </si>
  <si>
    <t>Area (ft²)</t>
  </si>
  <si>
    <t>Automatically updates when the linked primay offer changes or when offer line items are added/removed.
 = sum of [Unit] [Internal Space GIA ft²] for all the units</t>
  </si>
  <si>
    <t>Agreed Terms</t>
  </si>
  <si>
    <r>
      <rPr>
        <sz val="11"/>
        <color rgb="FF000000"/>
        <rFont val="Calibri"/>
        <family val="2"/>
      </rPr>
      <t xml:space="preserve">Text Field; existing formula = </t>
    </r>
    <r>
      <rPr>
        <i/>
        <sz val="11"/>
        <color rgb="FF000000"/>
        <rFont val="Calibri"/>
        <family val="2"/>
      </rPr>
      <t>Term</t>
    </r>
    <r>
      <rPr>
        <sz val="11"/>
        <color rgb="FF000000"/>
        <rFont val="Calibri"/>
        <family val="2"/>
      </rPr>
      <t xml:space="preserve"> on the primary offer</t>
    </r>
  </si>
  <si>
    <t>Lease Start Date. May be an estimated date.</t>
  </si>
  <si>
    <t xml:space="preserve">Existing logic. WHEN the opportunity’s Move-In Date is added or edited OR WHEN the opportunity’s Agreed Terms change (either due to the linked Primary Offer changing OR due to the Term on the linked Primary Offer being edited) THEN the opportunity's Tenancy End Date will be updated to = Move-In Date + Agreed Terms </t>
  </si>
  <si>
    <t>Marketing Rent</t>
  </si>
  <si>
    <t xml:space="preserve">Currency </t>
  </si>
  <si>
    <t>Annual Rent</t>
  </si>
  <si>
    <r>
      <t xml:space="preserve">Automatically updates when the linked primay offer changes or when offer line items are added/removed.
 = sum of offer line item's </t>
    </r>
    <r>
      <rPr>
        <i/>
        <sz val="11"/>
        <rFont val="Calibri"/>
        <family val="2"/>
      </rPr>
      <t>Rent (Default)</t>
    </r>
  </si>
  <si>
    <r>
      <rPr>
        <strike/>
        <sz val="11"/>
        <color theme="1"/>
        <rFont val="Calibri"/>
        <family val="2"/>
      </rPr>
      <t>Monthly Price</t>
    </r>
    <r>
      <rPr>
        <sz val="11"/>
        <color theme="1"/>
        <rFont val="Calibri"/>
        <family val="2"/>
      </rPr>
      <t xml:space="preserve"> Rent </t>
    </r>
  </si>
  <si>
    <t xml:space="preserve">= Primary_Offer__r.TotalPrice (aka Rent) </t>
  </si>
  <si>
    <t>Headline Rent (£/ft²)</t>
  </si>
  <si>
    <r>
      <t xml:space="preserve">Calculated currency field = 
Headline Rent </t>
    </r>
    <r>
      <rPr>
        <b/>
        <sz val="11"/>
        <color theme="1"/>
        <rFont val="Calibri"/>
        <family val="2"/>
      </rPr>
      <t xml:space="preserve"> ÷ </t>
    </r>
    <r>
      <rPr>
        <sz val="11"/>
        <color theme="1"/>
        <rFont val="Calibri"/>
        <family val="2"/>
      </rPr>
      <t xml:space="preserve"> Area</t>
    </r>
  </si>
  <si>
    <t>Rent Free Months</t>
  </si>
  <si>
    <t>View of primary offer field</t>
  </si>
  <si>
    <t>Rent Free Value</t>
  </si>
  <si>
    <r>
      <t>Calculated currency field = 
[Headline Rent] ÷ 12 x [</t>
    </r>
    <r>
      <rPr>
        <i/>
        <sz val="11"/>
        <color theme="1"/>
        <rFont val="Calibri"/>
        <family val="2"/>
      </rPr>
      <t xml:space="preserve">Rent Free Months </t>
    </r>
    <r>
      <rPr>
        <sz val="11"/>
        <color theme="1"/>
        <rFont val="Calibri"/>
        <family val="2"/>
      </rPr>
      <t>on the primary offer]</t>
    </r>
  </si>
  <si>
    <t>Initial Rent</t>
  </si>
  <si>
    <t>Annual Rent. Capture stepped rent on the ‘Stepped Rent’ tab.</t>
  </si>
  <si>
    <t xml:space="preserve">WHEN the opportunity’s Move-In Date is added or edited 
OR WHEN the opportunity’s Rent Free Months change (either due to the linked Primary Offer changing OR due to the Rent Free Months on the linked Primary Offer being edited) THEN the opportunity's Rent Start Date will be updated to = Move-In Date + Rent Free Months </t>
  </si>
  <si>
    <t>Payment Periodicity</t>
  </si>
  <si>
    <t>Legal Quarters in Advance</t>
  </si>
  <si>
    <t>Picklist; Add new options: Legal Quarters in Advance, Monthly in Advance</t>
  </si>
  <si>
    <t>Automatically updates when the linked primay offer changes or the payment periodicity of the linked primary offer is edited.</t>
  </si>
  <si>
    <t>Tenant Incentives</t>
  </si>
  <si>
    <t>Capital Contributions</t>
  </si>
  <si>
    <t>From the primary offer.</t>
  </si>
  <si>
    <t>Capital Contributions (Months)</t>
  </si>
  <si>
    <r>
      <t>Calculated numeric field = [</t>
    </r>
    <r>
      <rPr>
        <i/>
        <sz val="11"/>
        <color theme="1"/>
        <rFont val="Calibri"/>
        <family val="2"/>
      </rPr>
      <t xml:space="preserve">Capital Contributions </t>
    </r>
    <r>
      <rPr>
        <sz val="11"/>
        <color theme="1"/>
        <rFont val="Calibri"/>
        <family val="2"/>
      </rPr>
      <t>on the primary offer] ÷ [Rent] x 12</t>
    </r>
  </si>
  <si>
    <t>Capital Contributions  expressed as months of Headline Rent</t>
  </si>
  <si>
    <t>TT Break</t>
  </si>
  <si>
    <r>
      <t xml:space="preserve">Text; existing formula = </t>
    </r>
    <r>
      <rPr>
        <i/>
        <sz val="11"/>
        <color rgb="FF000000"/>
        <rFont val="Calibri"/>
        <family val="2"/>
      </rPr>
      <t xml:space="preserve">Break Clause </t>
    </r>
    <r>
      <rPr>
        <sz val="11"/>
        <color rgb="FF000000"/>
        <rFont val="Calibri"/>
        <family val="2"/>
      </rPr>
      <t>on the linked Primary Offer record</t>
    </r>
  </si>
  <si>
    <t>Years to First Break</t>
  </si>
  <si>
    <r>
      <t xml:space="preserve">Calculated numeric field = Years from </t>
    </r>
    <r>
      <rPr>
        <i/>
        <sz val="11"/>
        <color theme="1"/>
        <rFont val="Calibri"/>
        <family val="2"/>
      </rPr>
      <t>Move-In Date</t>
    </r>
    <r>
      <rPr>
        <sz val="11"/>
        <color theme="1"/>
        <rFont val="Calibri"/>
        <family val="2"/>
      </rPr>
      <t xml:space="preserve"> to [</t>
    </r>
    <r>
      <rPr>
        <i/>
        <sz val="11"/>
        <color theme="1"/>
        <rFont val="Calibri"/>
        <family val="2"/>
      </rPr>
      <t xml:space="preserve">First Break Clause Date </t>
    </r>
    <r>
      <rPr>
        <sz val="11"/>
        <color theme="1"/>
        <rFont val="Calibri"/>
        <family val="2"/>
      </rPr>
      <t>on the primary offer]</t>
    </r>
  </si>
  <si>
    <t>Years from Move-In Date to First Break Clause Date</t>
  </si>
  <si>
    <t>Years to Next</t>
  </si>
  <si>
    <t>?</t>
  </si>
  <si>
    <t>TI (Months)</t>
  </si>
  <si>
    <r>
      <t>Calculated numeric field = [Capital Contributions Months] + [</t>
    </r>
    <r>
      <rPr>
        <i/>
        <sz val="11"/>
        <color theme="1"/>
        <rFont val="Calibri"/>
        <family val="2"/>
      </rPr>
      <t xml:space="preserve">Rent Free Months </t>
    </r>
    <r>
      <rPr>
        <sz val="11"/>
        <color theme="1"/>
        <rFont val="Calibri"/>
        <family val="2"/>
      </rPr>
      <t>on the primary offer]</t>
    </r>
  </si>
  <si>
    <t>Tenant Incentives expressed in months of Headline Rent</t>
  </si>
  <si>
    <t>TI Value</t>
  </si>
  <si>
    <r>
      <t>Calculated currency field = [</t>
    </r>
    <r>
      <rPr>
        <i/>
        <sz val="11"/>
        <color theme="1"/>
        <rFont val="Calibri"/>
        <family val="2"/>
      </rPr>
      <t xml:space="preserve">Capital Contributions </t>
    </r>
    <r>
      <rPr>
        <sz val="11"/>
        <color theme="1"/>
        <rFont val="Calibri"/>
        <family val="2"/>
      </rPr>
      <t>on the primary offer] + [Rent Free Value]</t>
    </r>
  </si>
  <si>
    <t>Tenant Incentives: Capital Contributions + Rent Free Value</t>
  </si>
  <si>
    <t>TI (£/ft²)</t>
  </si>
  <si>
    <t>Calculated currency field = [TI Value] ÷ [Area]</t>
  </si>
  <si>
    <t>N.E.R.</t>
  </si>
  <si>
    <r>
      <t xml:space="preserve">Calculated currency field;
If [N.E.R. Override] &gt; 0
=  [N.E.R. Override]
Otherwise, if [Break Clause] is 'TT Break', 'Mutual Break' or 'Rolling Break'
 = ([Years to First Break] x [Rent] - [TI Value]) ÷ [Years to First Break]
Otherwise
</t>
    </r>
    <r>
      <rPr>
        <b/>
        <sz val="11"/>
        <rFont val="Calibri"/>
        <family val="2"/>
      </rPr>
      <t>=</t>
    </r>
    <r>
      <rPr>
        <sz val="11"/>
        <rFont val="Calibri"/>
        <family val="2"/>
      </rPr>
      <t xml:space="preserve"> ([Agreed Term Years] x [Rent] - [TI Value]) ÷ [Agreed Term Years]</t>
    </r>
  </si>
  <si>
    <t>N.E.R. Override</t>
  </si>
  <si>
    <t xml:space="preserve">New </t>
  </si>
  <si>
    <t>Used to override the system-calculated N.E.R. when there are rent steps.</t>
  </si>
  <si>
    <t xml:space="preserve">Rent Review </t>
  </si>
  <si>
    <r>
      <t>WHEN the opportunity’s Move-In Date is added or edited 
OR WHEN the opportunity’s Rent Review Frequency (Years) are added or edited THEN the opportunity's First Rent Review Date will be updated to =</t>
    </r>
    <r>
      <rPr>
        <b/>
        <sz val="11"/>
        <rFont val="Calibri"/>
        <family val="2"/>
      </rPr>
      <t xml:space="preserve"> Move-In Date + Rent Review Frequency (Years) </t>
    </r>
  </si>
  <si>
    <t>CPI</t>
  </si>
  <si>
    <t>Additional Offer Details</t>
  </si>
  <si>
    <t>Outside</t>
  </si>
  <si>
    <t>Security Deposit (Override)</t>
  </si>
  <si>
    <t>Commericial Leases: Deposit amount. Residential Leases: Used to override the default Security Deposit</t>
  </si>
  <si>
    <t>After 3 years</t>
  </si>
  <si>
    <t>VAT</t>
  </si>
  <si>
    <t>Exclusive</t>
  </si>
  <si>
    <t>Effective FRI</t>
  </si>
  <si>
    <t>Fair &amp; Reasonable</t>
  </si>
  <si>
    <t>Only displays if SC Contribution is 'Percentage'</t>
  </si>
  <si>
    <t>Interest on Arrears</t>
  </si>
  <si>
    <t>Percentage over base rate</t>
  </si>
  <si>
    <t>Bank (Base Rate)</t>
  </si>
  <si>
    <t>Bank of England</t>
  </si>
  <si>
    <t>Picklist: Bank of England, Barclays, Lloyds</t>
  </si>
  <si>
    <t>Arrears Period</t>
  </si>
  <si>
    <t>10 Working Days</t>
  </si>
  <si>
    <t>Picklist: 10 Working Days, 14 Working Days, 21 Working Days</t>
  </si>
  <si>
    <t>Other Notes</t>
  </si>
  <si>
    <t xml:space="preserve">Long Text </t>
  </si>
  <si>
    <t>Indicate if parking space or licensed area.</t>
  </si>
  <si>
    <t>Agent Fee</t>
  </si>
  <si>
    <t>Fee Percentage</t>
  </si>
  <si>
    <t>Minimum Fee</t>
  </si>
  <si>
    <r>
      <t xml:space="preserve">Calculated currency field = Sum of the </t>
    </r>
    <r>
      <rPr>
        <i/>
        <sz val="11"/>
        <color theme="1"/>
        <rFont val="Calibri"/>
        <family val="2"/>
      </rPr>
      <t>Minimum Fee</t>
    </r>
    <r>
      <rPr>
        <sz val="11"/>
        <color theme="1"/>
        <rFont val="Calibri"/>
        <family val="2"/>
      </rPr>
      <t xml:space="preserve"> for all agents linked to the opportunity.</t>
    </r>
  </si>
  <si>
    <t>Sum of the minimum fee for the local &amp; national agents.</t>
  </si>
  <si>
    <r>
      <t>Calculated currency field; Commericial opportunities 
= Greater of [</t>
    </r>
    <r>
      <rPr>
        <i/>
        <sz val="11"/>
        <color theme="1"/>
        <rFont val="Calibri"/>
        <family val="2"/>
      </rPr>
      <t xml:space="preserve">Fee Percentage </t>
    </r>
    <r>
      <rPr>
        <sz val="11"/>
        <color theme="1"/>
        <rFont val="Calibri"/>
        <family val="2"/>
      </rPr>
      <t xml:space="preserve">on the primary offer x </t>
    </r>
    <r>
      <rPr>
        <i/>
        <sz val="11"/>
        <color theme="1"/>
        <rFont val="Calibri"/>
        <family val="2"/>
      </rPr>
      <t>Rent</t>
    </r>
    <r>
      <rPr>
        <sz val="11"/>
        <color theme="1"/>
        <rFont val="Calibri"/>
        <family val="2"/>
      </rPr>
      <t>] OR [Minimum Fee]; 
Residential / Current Formula = Primary_Offer__r.Agent_Fee__c</t>
    </r>
  </si>
  <si>
    <r>
      <t>Residential Leases: Agent fee from the primary offer. Commercial Leas</t>
    </r>
    <r>
      <rPr>
        <sz val="12"/>
        <color theme="1"/>
        <rFont val="Calibri"/>
        <family val="2"/>
      </rPr>
      <t>es: Total agent fee which is the greater of the fee % applied to headline rent, or the minimum fee.</t>
    </r>
  </si>
  <si>
    <t xml:space="preserve">Referencing </t>
  </si>
  <si>
    <t>References Provided</t>
  </si>
  <si>
    <t>Bank Account References</t>
  </si>
  <si>
    <t>Uploaded</t>
  </si>
  <si>
    <t>Picklist: Uploaded, Not Applicable</t>
  </si>
  <si>
    <t>Landlord References</t>
  </si>
  <si>
    <t>Credit Report</t>
  </si>
  <si>
    <t>Company Accounts</t>
  </si>
  <si>
    <t>Not Applicable</t>
  </si>
  <si>
    <t>Approval</t>
  </si>
  <si>
    <t>AM Comment</t>
  </si>
  <si>
    <t>Long reason why this deal is unsuitable.</t>
  </si>
  <si>
    <t>Long Text</t>
  </si>
  <si>
    <t>Asset Management Comment</t>
  </si>
  <si>
    <t>Populated on latest AM approval or rejection</t>
  </si>
  <si>
    <t>AM Sign Off Date</t>
  </si>
  <si>
    <t>31/07/2024</t>
  </si>
  <si>
    <t>Populated on AM approval</t>
  </si>
  <si>
    <t xml:space="preserve">IC Sign Off Date </t>
  </si>
  <si>
    <t>Date of Investment Committee Sign Off / Heads of Terms</t>
  </si>
  <si>
    <t>Populated with date the opportunity is moved to 'Heads of Terms' stage.</t>
  </si>
  <si>
    <t xml:space="preserve">Lost Reason </t>
  </si>
  <si>
    <t>Unsuitable Usage</t>
  </si>
  <si>
    <t>Picklist: Unsuitable Usage, Required Additional Cap Con
Options dependent on 'Stage'; add record type or agreement type dependency as well</t>
  </si>
  <si>
    <t>List to be provided</t>
  </si>
  <si>
    <t>Closed Lost Date</t>
  </si>
  <si>
    <t>Only displays where Stage is 'Closed Lost'</t>
  </si>
  <si>
    <t>Date the stage changed to Closed Lost.</t>
  </si>
  <si>
    <t>Populated with the date that the Stage changes to 'Closed Lost' per current functionality</t>
  </si>
  <si>
    <t xml:space="preserve">Technical Information </t>
  </si>
  <si>
    <t>Lease Plan Status</t>
  </si>
  <si>
    <t>Picklist: Yes, No, Requested</t>
  </si>
  <si>
    <t xml:space="preserve">Tenant Planning </t>
  </si>
  <si>
    <t>Checkbox</t>
  </si>
  <si>
    <t>Planning Application Made</t>
  </si>
  <si>
    <t>Only displays if 'Tenant Planning' is checked</t>
  </si>
  <si>
    <t>Estimated Planning Approval Date</t>
  </si>
  <si>
    <t>Licensing</t>
  </si>
  <si>
    <t>Licensing Application Made</t>
  </si>
  <si>
    <t>Only displays if 'Licensing' is checked</t>
  </si>
  <si>
    <t>Estimated License Receipt Date</t>
  </si>
  <si>
    <t>Tenant Pack - Required</t>
  </si>
  <si>
    <t>Tenant Pack - Provided</t>
  </si>
  <si>
    <t>Only display if 'Tenant Pack / Drawings - Required' is checked</t>
  </si>
  <si>
    <t>Consumption - Required</t>
  </si>
  <si>
    <t>Consumption - Provided</t>
  </si>
  <si>
    <t>Only display if 'Consumption - Required' is checked</t>
  </si>
  <si>
    <t>Building Safety Act Sign Off Certificate - Required</t>
  </si>
  <si>
    <t>Building Safety Act Sign Off Certificate - Provided</t>
  </si>
  <si>
    <t>Only display if 'Building Safety Act Sign Off Certificate - Required' is checked</t>
  </si>
  <si>
    <t>EPC - Required</t>
  </si>
  <si>
    <t>EPC - Provided</t>
  </si>
  <si>
    <t>Only display if 'EPC - Required' is checked</t>
  </si>
  <si>
    <t>MPAN - Required</t>
  </si>
  <si>
    <t>MPAN - Provided</t>
  </si>
  <si>
    <t>Only display if 'MPAN - Required' is checked</t>
  </si>
  <si>
    <t>Agreement for Lease</t>
  </si>
  <si>
    <t>Agreement for Lease Required?</t>
  </si>
  <si>
    <t>Long Stop Date</t>
  </si>
  <si>
    <t>Legals</t>
  </si>
  <si>
    <t>Legals Instructed Date</t>
  </si>
  <si>
    <t>Populated with date the opportunity is moved to 'Legals' stage.</t>
  </si>
  <si>
    <t>Draft Lease Received</t>
  </si>
  <si>
    <t>Estimated Completion Date</t>
  </si>
  <si>
    <t>Completed Lease Received</t>
  </si>
  <si>
    <t>Completion Statement Provided</t>
  </si>
  <si>
    <t>Deposit Paid/Create Future Tenancy</t>
  </si>
  <si>
    <t>Ticking this box will create a future tenancy in Qube.</t>
  </si>
  <si>
    <t>Tenancy Signing Date Grainger</t>
  </si>
  <si>
    <t>Tenancy Signing Date Tenant(s)</t>
  </si>
  <si>
    <t>Lease Completion Date</t>
  </si>
  <si>
    <r>
      <t xml:space="preserve">Calculated date field = If </t>
    </r>
    <r>
      <rPr>
        <i/>
        <sz val="11"/>
        <color theme="1"/>
        <rFont val="Calibri"/>
        <family val="2"/>
      </rPr>
      <t>Tenancy Signing Date Grainger</t>
    </r>
    <r>
      <rPr>
        <sz val="11"/>
        <color theme="1"/>
        <rFont val="Calibri"/>
        <family val="2"/>
      </rPr>
      <t xml:space="preserve"> &amp; </t>
    </r>
    <r>
      <rPr>
        <i/>
        <sz val="11"/>
        <color theme="1"/>
        <rFont val="Calibri"/>
        <family val="2"/>
      </rPr>
      <t xml:space="preserve">Tenancy Signing Date Tenant(s) </t>
    </r>
    <r>
      <rPr>
        <sz val="11"/>
        <color theme="1"/>
        <rFont val="Calibri"/>
        <family val="2"/>
      </rPr>
      <t>are both populated: Max of [Tenancy Signing Date Grainger] or [Tenancy Signing Date Tenant(s)]; otherwise null</t>
    </r>
  </si>
  <si>
    <t>Legal Duration (Months)</t>
  </si>
  <si>
    <t>Calculated numeric field = Months from 
[Legals Instructed] to [Lease Completion]</t>
  </si>
  <si>
    <t>Project Manager Status</t>
  </si>
  <si>
    <t>Project Manager Sign Off</t>
  </si>
  <si>
    <t>date</t>
  </si>
  <si>
    <t xml:space="preserve">System Information </t>
  </si>
  <si>
    <t>Processed by GREP</t>
  </si>
  <si>
    <t>Not Processed</t>
  </si>
  <si>
    <t>Picklist; Add a new option “Advance Payment Processed”</t>
  </si>
  <si>
    <t>Populated by GREP integration</t>
  </si>
  <si>
    <t>PMS Reference</t>
  </si>
  <si>
    <t>222683008003</t>
  </si>
  <si>
    <t>Commercial</t>
  </si>
  <si>
    <t>Close Date</t>
  </si>
  <si>
    <t>Commercial Leases only = Current date + 1 month</t>
  </si>
  <si>
    <t>Bob Smith, 26/02/2022, 09:27</t>
  </si>
  <si>
    <t>Hidden Fields</t>
  </si>
  <si>
    <t>Latest Comment</t>
  </si>
  <si>
    <t>25/10/2024 - Legals instructed</t>
  </si>
  <si>
    <t>Populated when a new comment is captured. Format: DD/MM/YYYY - [Comment text]</t>
  </si>
  <si>
    <t>Hide</t>
  </si>
  <si>
    <t>Is there an Inventory Clerk</t>
  </si>
  <si>
    <t>Pick List: Yes/No</t>
  </si>
  <si>
    <t>Currently defaults to No</t>
  </si>
  <si>
    <t>Agreed Unit</t>
  </si>
  <si>
    <t>Text; Existing formula: Unit from the primary offer</t>
  </si>
  <si>
    <t xml:space="preserve">Parent_Opportunity__c </t>
  </si>
  <si>
    <t>Parent Opportunity ID</t>
  </si>
  <si>
    <t>Probability %</t>
  </si>
  <si>
    <t>Forecast Category</t>
  </si>
  <si>
    <t>Notes</t>
  </si>
  <si>
    <t>Section</t>
  </si>
  <si>
    <t>Field API Name</t>
  </si>
  <si>
    <t>Field Type</t>
  </si>
  <si>
    <t>Default Value</t>
  </si>
  <si>
    <t>Business Rules</t>
  </si>
  <si>
    <t>Hint Text</t>
  </si>
  <si>
    <t>Field Audit History Tracking?</t>
  </si>
  <si>
    <t>Offer Name</t>
  </si>
  <si>
    <t>Current Date MM/DD/YYYY format</t>
  </si>
  <si>
    <t>Opportunity from which offer is created</t>
  </si>
  <si>
    <t>Picklist: In Negotiation, Accepted, Rejected</t>
  </si>
  <si>
    <t>In Negotiation</t>
  </si>
  <si>
    <t xml:space="preserve">Dependent on record type or agreement type. </t>
  </si>
  <si>
    <t>Opportunity's Account</t>
  </si>
  <si>
    <t>Primary Offer</t>
  </si>
  <si>
    <t>Unit Look up</t>
  </si>
  <si>
    <r>
      <t xml:space="preserve">Unit selected as </t>
    </r>
    <r>
      <rPr>
        <i/>
        <sz val="10"/>
        <color theme="1"/>
        <rFont val="Calibri"/>
        <family val="2"/>
      </rPr>
      <t xml:space="preserve">Primary Unit </t>
    </r>
    <r>
      <rPr>
        <sz val="10"/>
        <color theme="1"/>
        <rFont val="Calibri"/>
        <family val="2"/>
      </rPr>
      <t>on the Create Offer screen.</t>
    </r>
  </si>
  <si>
    <t>Commercial leases: This is the primary unit where there are multiple</t>
  </si>
  <si>
    <t>Available Date</t>
  </si>
  <si>
    <t xml:space="preserve"> Unit's available date</t>
  </si>
  <si>
    <t>NB to have history</t>
  </si>
  <si>
    <t>Term</t>
  </si>
  <si>
    <t>Picklist: 1 Year, 2 Years, 3 Years, ... 25 Years</t>
  </si>
  <si>
    <t>Options currently dependent on agreement type</t>
  </si>
  <si>
    <r>
      <rPr>
        <strike/>
        <sz val="10"/>
        <color theme="1"/>
        <rFont val="Calibri"/>
        <family val="2"/>
      </rPr>
      <t>Monthly</t>
    </r>
    <r>
      <rPr>
        <sz val="10"/>
        <color theme="1"/>
        <rFont val="Calibri"/>
        <family val="2"/>
      </rPr>
      <t xml:space="preserve"> Rent</t>
    </r>
  </si>
  <si>
    <t>TotalPrice</t>
  </si>
  <si>
    <r>
      <t xml:space="preserve">Roll-Up Summary (SUM Offer Line Item: </t>
    </r>
    <r>
      <rPr>
        <i/>
        <sz val="10"/>
        <color theme="1"/>
        <rFont val="Calibri"/>
        <family val="2"/>
      </rPr>
      <t>Total Price</t>
    </r>
    <r>
      <rPr>
        <sz val="10"/>
        <color theme="1"/>
        <rFont val="Calibri"/>
        <family val="2"/>
      </rPr>
      <t>)</t>
    </r>
  </si>
  <si>
    <t>Monthly rent for residential leases; annual headline rent for commercial leases.</t>
  </si>
  <si>
    <t>Y?</t>
  </si>
  <si>
    <t>Numeric</t>
  </si>
  <si>
    <t>Picklist: Legal Quarters in Advance, Monthly in Advance</t>
  </si>
  <si>
    <t>Options currently dependent on agreement type &amp; term</t>
  </si>
  <si>
    <t xml:space="preserve">Picklist: TT Break, LL Break, Mutual Break, Rolling Break, No Break </t>
  </si>
  <si>
    <t>No Break</t>
  </si>
  <si>
    <t>Per current is dependent on agreement type &amp; term</t>
  </si>
  <si>
    <r>
      <t xml:space="preserve">Only displays where </t>
    </r>
    <r>
      <rPr>
        <i/>
        <sz val="10"/>
        <color theme="1"/>
        <rFont val="Calibri"/>
        <family val="2"/>
      </rPr>
      <t xml:space="preserve">Break Clause </t>
    </r>
    <r>
      <rPr>
        <sz val="10"/>
        <color theme="1"/>
        <rFont val="Calibri"/>
        <family val="2"/>
      </rPr>
      <t>is: TT Break, LL Break, Mutual Break, Rolling Break</t>
    </r>
  </si>
  <si>
    <t xml:space="preserve">Agent Fee Information </t>
  </si>
  <si>
    <t>Calculated as tenancy type of of the opportunity per current functionality</t>
  </si>
  <si>
    <t>Agreement type of the opportunity</t>
  </si>
  <si>
    <t xml:space="preserve">Move In (Start) </t>
  </si>
  <si>
    <t xml:space="preserve">Move In (End) </t>
  </si>
  <si>
    <t>Agent Fee Applicable</t>
  </si>
  <si>
    <t>Fee Type</t>
  </si>
  <si>
    <t>%</t>
  </si>
  <si>
    <t>Monthly Rent (Live Unit)</t>
  </si>
  <si>
    <t>Monthly_Rent_Live_Unit__c</t>
  </si>
  <si>
    <r>
      <t xml:space="preserve">= Roll-Up Summary of </t>
    </r>
    <r>
      <rPr>
        <i/>
        <sz val="10"/>
        <color theme="1"/>
        <rFont val="Calibri"/>
        <family val="2"/>
      </rPr>
      <t>Quote Line Item</t>
    </r>
    <r>
      <rPr>
        <sz val="10"/>
        <color theme="1"/>
        <rFont val="Calibri"/>
        <family val="2"/>
      </rPr>
      <t xml:space="preserve">: Sales Price where </t>
    </r>
    <r>
      <rPr>
        <i/>
        <sz val="10"/>
        <color theme="1"/>
        <rFont val="Calibri"/>
        <family val="2"/>
      </rPr>
      <t>Unit Record Type</t>
    </r>
    <r>
      <rPr>
        <sz val="10"/>
        <color theme="1"/>
        <rFont val="Calibri"/>
        <family val="2"/>
      </rPr>
      <t xml:space="preserve"> = Live Unit</t>
    </r>
  </si>
  <si>
    <t>Monthly Rent (Parking/ Garage)</t>
  </si>
  <si>
    <t>Monthly Rent (Shed)</t>
  </si>
  <si>
    <t>Agent_Fee__c</t>
  </si>
  <si>
    <t>Keep existing formula for resi leases only.
Formula Field; If Fee Type = %: (Monthly_Rent_Live_Unit__c *12) * (Fee %)
Otherwise: Fee_Value__c</t>
  </si>
  <si>
    <t>Offer Line Item</t>
  </si>
  <si>
    <r>
      <rPr>
        <strike/>
        <sz val="10"/>
        <color theme="1"/>
        <rFont val="Calibri"/>
        <family val="2"/>
      </rPr>
      <t>Monthly Price</t>
    </r>
    <r>
      <rPr>
        <sz val="10"/>
        <color theme="1"/>
        <rFont val="Calibri"/>
        <family val="2"/>
      </rPr>
      <t xml:space="preserve"> Rent (Default)</t>
    </r>
  </si>
  <si>
    <t>ListPrice</t>
  </si>
  <si>
    <t>Price Book Entry: Rent (Default)</t>
  </si>
  <si>
    <t>Monthly price book rent for residential leases; annual marketing rent for commercial leases.</t>
  </si>
  <si>
    <r>
      <rPr>
        <strike/>
        <sz val="10"/>
        <color theme="1"/>
        <rFont val="Calibri"/>
        <family val="2"/>
      </rPr>
      <t>Monthly Price</t>
    </r>
    <r>
      <rPr>
        <sz val="10"/>
        <color theme="1"/>
        <rFont val="Calibri"/>
        <family val="2"/>
      </rPr>
      <t xml:space="preserve"> Rent (Offered)</t>
    </r>
  </si>
  <si>
    <t>UnitPrice</t>
  </si>
  <si>
    <t>Monthly rent for residential leases; annual rent for commercial leases.</t>
  </si>
  <si>
    <r>
      <t xml:space="preserve">Total </t>
    </r>
    <r>
      <rPr>
        <strike/>
        <sz val="10"/>
        <color theme="1"/>
        <rFont val="Calibri"/>
        <family val="2"/>
      </rPr>
      <t>Monthly Price</t>
    </r>
    <r>
      <rPr>
        <sz val="10"/>
        <color theme="1"/>
        <rFont val="Calibri"/>
        <family val="2"/>
      </rPr>
      <t xml:space="preserve"> Rent</t>
    </r>
  </si>
  <si>
    <t>Total Price</t>
  </si>
  <si>
    <t xml:space="preserve"> = Monthly Price (Offered) x Quantity</t>
  </si>
  <si>
    <t>Quantity</t>
  </si>
  <si>
    <t>Rent Periodicity</t>
  </si>
  <si>
    <t>Picklist: Monthly, Annual</t>
  </si>
  <si>
    <t>Price Book Entry: Rent Periodicity</t>
  </si>
  <si>
    <t>Primary Unit</t>
  </si>
  <si>
    <t>Unit Record Type</t>
  </si>
  <si>
    <t xml:space="preserve">Picklist: Live Unit, Parking/Garage, Shed, Add: Commercial_Unit 
Add: Commercial_Unit </t>
  </si>
  <si>
    <t>Commercial Live Offer Tracker</t>
  </si>
  <si>
    <t>City</t>
  </si>
  <si>
    <t>Tenant Account Name</t>
  </si>
  <si>
    <t>Terms (Years)</t>
  </si>
  <si>
    <t>Deposit</t>
  </si>
  <si>
    <t>Total TIs (Months)</t>
  </si>
  <si>
    <t>TIs (£/ft²)</t>
  </si>
  <si>
    <t>AM Sign Off</t>
  </si>
  <si>
    <t>IC Sign Off</t>
  </si>
  <si>
    <t>Legals Instructed</t>
  </si>
  <si>
    <t>Legal Contact</t>
  </si>
  <si>
    <t>Weavers Yard - Commercial (3)</t>
  </si>
  <si>
    <t>London</t>
  </si>
  <si>
    <t>Unit A Bamboo House, Weavers Yard, Newbury</t>
  </si>
  <si>
    <t>Parker Hampton Food Group Ltd - Unit A Bamboo House, Weavers Yard</t>
  </si>
  <si>
    <t>Parker Hampton Food Group Ltd</t>
  </si>
  <si>
    <t>Supermarket</t>
  </si>
  <si>
    <t>31/07/2025</t>
  </si>
  <si>
    <t>Joe Bloggs</t>
  </si>
  <si>
    <t>4 Station Approach, Weavers Yard, Newbury</t>
  </si>
  <si>
    <t>ASDA Stores Limited - 4 Station Approach, Weavers Yard</t>
  </si>
  <si>
    <t>ASDA Stores Limited</t>
  </si>
  <si>
    <t>Inside</t>
  </si>
  <si>
    <t>Unit A Purl House, Weavers Yard, Newbury</t>
  </si>
  <si>
    <t>A&amp;I Locals Ltd - Unit A Purl House, Weavers Yard</t>
  </si>
  <si>
    <t>A&amp;I Locals Ltd</t>
  </si>
  <si>
    <t>Requested</t>
  </si>
  <si>
    <t>The Condor - Commercial (1)</t>
  </si>
  <si>
    <t>Commercial Unit 2, The Condor,1 Springwell Square</t>
  </si>
  <si>
    <t>Parker Hampton Food Group Ltd - Unit 2, The Condor</t>
  </si>
  <si>
    <t>ABC Ltd</t>
  </si>
  <si>
    <t>Total (4)</t>
  </si>
  <si>
    <t>Editable?</t>
  </si>
  <si>
    <t>Required?</t>
  </si>
  <si>
    <t>Validations</t>
  </si>
  <si>
    <t>Date/Month</t>
  </si>
  <si>
    <t>Agent</t>
  </si>
  <si>
    <t>Account look up?</t>
  </si>
  <si>
    <t>Unit look up</t>
  </si>
  <si>
    <t>Applicant Name</t>
  </si>
  <si>
    <t>Ideally an upload that would deactivate prior record if a new record for the same unit  &amp; appicant is received.</t>
  </si>
  <si>
    <t xml:space="preserve">Enquiry Status </t>
  </si>
  <si>
    <t>Text?
Under Offer, 
New Enquiries, 
Existing Enquiries</t>
  </si>
  <si>
    <t>Comments</t>
  </si>
  <si>
    <t>Stages</t>
  </si>
  <si>
    <t xml:space="preserve">Validations changing to Stage </t>
  </si>
  <si>
    <t>Process Triggers</t>
  </si>
  <si>
    <t>Asset Manager' must be populated on the Unit.
‘Primary Offer’ must be populated on the opportunity.</t>
  </si>
  <si>
    <t>Completion Statement Provided' must be true.
‘Primary Offer’ must be populated on the opportunity.</t>
  </si>
  <si>
    <t>'Deposit Paid/Create Future Tenancy’ = true
 -&gt; Create future tenancy in Qube
 -&gt; Create TT &amp; GG contact + contact roles -&gt; Create ghost opportunities &amp; contact roles</t>
  </si>
  <si>
    <t>'Deposit Paid/Create Future Tenancy’ must be true.
'Tenancy Signing Date Grainger' is populated.
'Tenancy Signing Date Tenant(s)' is populated.</t>
  </si>
  <si>
    <t>Stage changes to Audit -&gt; Activate tenancy &amp; create child tenants (contacts)</t>
  </si>
  <si>
    <t>Closed Won</t>
  </si>
  <si>
    <t>Project Manager Sign Off' must be populated.</t>
  </si>
  <si>
    <r>
      <t>'Lost Reason' must be populated [</t>
    </r>
    <r>
      <rPr>
        <i/>
        <sz val="11"/>
        <rFont val="Calibri"/>
        <family val="2"/>
      </rPr>
      <t xml:space="preserve">Lost_Reason_Required]
</t>
    </r>
    <r>
      <rPr>
        <sz val="11"/>
        <rFont val="Calibri"/>
        <family val="2"/>
      </rPr>
      <t>'Sub Stage' must be populated</t>
    </r>
  </si>
  <si>
    <t>Ownership Type</t>
  </si>
  <si>
    <t>Picklist: Freehold, Leasehold</t>
  </si>
  <si>
    <t>Estate Charge</t>
  </si>
  <si>
    <t>Picklist: Yes, No</t>
  </si>
  <si>
    <t>Service Charge</t>
  </si>
  <si>
    <t>Service Charge (£/ft²)</t>
  </si>
  <si>
    <r>
      <t xml:space="preserve">Only display if </t>
    </r>
    <r>
      <rPr>
        <i/>
        <sz val="11"/>
        <color theme="1"/>
        <rFont val="Aptos Narrow"/>
        <family val="2"/>
        <scheme val="minor"/>
      </rPr>
      <t>Service Charge</t>
    </r>
    <r>
      <rPr>
        <sz val="11"/>
        <color theme="1"/>
        <rFont val="Aptos Narrow"/>
        <family val="2"/>
        <scheme val="minor"/>
      </rPr>
      <t xml:space="preserve"> is 'Yes'</t>
    </r>
  </si>
  <si>
    <t>Current Date</t>
  </si>
  <si>
    <t>Type</t>
  </si>
  <si>
    <t>Picklist: Comment, Landlord Lawyer Delay, Renegotiation, Technical Delay, Tenant Delay, Tenant Lawyer Delay</t>
  </si>
  <si>
    <t xml:space="preserve">Comment </t>
  </si>
  <si>
    <t>Assigned To</t>
  </si>
  <si>
    <t>User lookup</t>
  </si>
  <si>
    <t>Current User</t>
  </si>
  <si>
    <t>Related To</t>
  </si>
  <si>
    <t>Location</t>
  </si>
  <si>
    <t>Company Number</t>
  </si>
  <si>
    <t>Below 'Account Owner'</t>
  </si>
  <si>
    <t>Validate format?</t>
  </si>
  <si>
    <t>Add this to the compact layout</t>
  </si>
  <si>
    <t>Email</t>
  </si>
  <si>
    <t>In 'Company Contact Information' section</t>
  </si>
  <si>
    <r>
      <t xml:space="preserve">This is different to the existing </t>
    </r>
    <r>
      <rPr>
        <i/>
        <sz val="11"/>
        <rFont val="Calibri"/>
        <family val="2"/>
      </rPr>
      <t>Billing Address</t>
    </r>
    <r>
      <rPr>
        <sz val="11"/>
        <rFont val="Calibri"/>
        <family val="2"/>
      </rPr>
      <t>?</t>
    </r>
  </si>
  <si>
    <t>In a new 'Leasing Agents' section below 'Address Information'</t>
  </si>
  <si>
    <t>Terms of Business</t>
  </si>
  <si>
    <t xml:space="preserve">In a new 'Leasing Agents' section </t>
  </si>
  <si>
    <t>Days?</t>
  </si>
  <si>
    <t>Notice Period (Days)</t>
  </si>
  <si>
    <t xml:space="preserve">Integer </t>
  </si>
  <si>
    <t xml:space="preserve">In a new 'Leasing Agents' </t>
  </si>
  <si>
    <t>Notice period to disinstruct</t>
  </si>
  <si>
    <t>Correspondence Address</t>
  </si>
  <si>
    <t>Address Fields</t>
  </si>
  <si>
    <t>In 'Address Information' section, next to phone</t>
  </si>
  <si>
    <t>Unit &gt; Lettings &amp; Marketing</t>
  </si>
  <si>
    <t>PC Date / Available Date</t>
  </si>
  <si>
    <t>PC Date</t>
  </si>
  <si>
    <t>On the Market Date</t>
  </si>
  <si>
    <t>Picklist</t>
  </si>
  <si>
    <t>Jaic - do we need more options for it to populate from MRI e.g. under construction / in development.
Integration change?</t>
  </si>
  <si>
    <t>Price Book</t>
  </si>
  <si>
    <t xml:space="preserve">https://graingerplc--uat.sandbox.lightning.force.com/lightning/r/PricebookEntry/01u4J000001z9iPQAQ/view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</si>
</sst>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dd/mm/yyyy;@"/>
    <numFmt numFmtId="165" formatCode="_-[$£-809]* #,##0.00_-;\-[$£-809]* #,##0.00_-;_-[$£-809]* &quot;-&quot;??_-;_-@_-"/>
    <numFmt numFmtId="166" formatCode="_-* #,##0_-;\-* #,##0_-;_-* &quot;-&quot;??_-;_-@_-"/>
  </numFmts>
  <fonts count="58" x14ac:knownFonts="1">
    <font>
      <sz val="11"/>
      <color theme="1"/>
      <name val="Aptos Narrow"/>
      <family val="2"/>
      <scheme val="minor"/>
    </font>
    <font>
      <sz val="11"/>
      <color rgb="FF006100"/>
      <name val="Aptos Narrow"/>
      <family val="2"/>
      <scheme val="minor"/>
    </font>
    <font>
      <sz val="11"/>
      <color rgb="FF9C5700"/>
      <name val="Aptos Narrow"/>
      <family val="2"/>
      <scheme val="minor"/>
    </font>
    <font>
      <b/>
      <sz val="11"/>
      <color theme="1"/>
      <name val="Aptos Narrow"/>
      <family val="2"/>
      <scheme val="minor"/>
    </font>
    <font>
      <b/>
      <sz val="11"/>
      <color theme="0"/>
      <name val="Calibri"/>
      <family val="2"/>
    </font>
    <font>
      <b/>
      <sz val="11"/>
      <color theme="1"/>
      <name val="Calibri"/>
      <family val="2"/>
    </font>
    <font>
      <sz val="11"/>
      <color theme="1"/>
      <name val="Calibri"/>
      <family val="2"/>
    </font>
    <font>
      <sz val="11"/>
      <color theme="5"/>
      <name val="Calibri"/>
      <family val="2"/>
    </font>
    <font>
      <sz val="11"/>
      <name val="Calibri"/>
      <family val="2"/>
    </font>
    <font>
      <i/>
      <sz val="11"/>
      <color theme="1"/>
      <name val="Calibri"/>
      <family val="2"/>
    </font>
    <font>
      <i/>
      <sz val="11"/>
      <name val="Calibri"/>
      <family val="2"/>
    </font>
    <font>
      <sz val="11"/>
      <color theme="1"/>
      <name val="Aptos Narrow"/>
      <family val="2"/>
      <scheme val="minor"/>
    </font>
    <font>
      <sz val="10"/>
      <name val="Arial"/>
      <family val="2"/>
    </font>
    <font>
      <sz val="11"/>
      <color rgb="FF9C6500"/>
      <name val="Aptos Narrow"/>
      <family val="2"/>
      <scheme val="minor"/>
    </font>
    <font>
      <sz val="11"/>
      <color theme="1" tint="0.34998626667073579"/>
      <name val="Calibri"/>
      <family val="2"/>
    </font>
    <font>
      <sz val="11"/>
      <color theme="1" tint="0.499984740745262"/>
      <name val="Calibri"/>
      <family val="2"/>
    </font>
    <font>
      <sz val="8"/>
      <name val="Aptos Narrow"/>
      <family val="2"/>
      <scheme val="minor"/>
    </font>
    <font>
      <b/>
      <sz val="11"/>
      <color theme="0"/>
      <name val="Aptos Narrow"/>
      <family val="2"/>
      <scheme val="minor"/>
    </font>
    <font>
      <u/>
      <sz val="11"/>
      <color theme="10"/>
      <name val="Aptos Narrow"/>
      <family val="2"/>
      <scheme val="minor"/>
    </font>
    <font>
      <i/>
      <sz val="11"/>
      <color theme="1"/>
      <name val="Aptos Narrow"/>
      <family val="2"/>
      <scheme val="minor"/>
    </font>
    <font>
      <sz val="10"/>
      <color theme="1"/>
      <name val="Aptos Narrow"/>
      <family val="2"/>
      <scheme val="minor"/>
    </font>
    <font>
      <b/>
      <sz val="10"/>
      <color theme="1"/>
      <name val="Aptos Narrow"/>
      <family val="2"/>
      <scheme val="minor"/>
    </font>
    <font>
      <sz val="10"/>
      <color theme="4"/>
      <name val="Aptos Narrow"/>
      <family val="2"/>
      <scheme val="minor"/>
    </font>
    <font>
      <sz val="10"/>
      <name val="Aptos Narrow"/>
      <family val="2"/>
      <scheme val="minor"/>
    </font>
    <font>
      <strike/>
      <sz val="11"/>
      <color theme="1"/>
      <name val="Calibri"/>
      <family val="2"/>
    </font>
    <font>
      <strike/>
      <sz val="11"/>
      <color theme="5"/>
      <name val="Calibri"/>
      <family val="2"/>
    </font>
    <font>
      <strike/>
      <sz val="11"/>
      <name val="Calibri"/>
      <family val="2"/>
    </font>
    <font>
      <b/>
      <sz val="10"/>
      <name val="Aptos Narrow"/>
      <family val="2"/>
      <scheme val="minor"/>
    </font>
    <font>
      <sz val="11"/>
      <color theme="9" tint="-0.249977111117893"/>
      <name val="Calibri"/>
      <family val="2"/>
    </font>
    <font>
      <b/>
      <sz val="10"/>
      <color theme="0"/>
      <name val="Calibri"/>
      <family val="2"/>
    </font>
    <font>
      <b/>
      <sz val="10"/>
      <color theme="1"/>
      <name val="Calibri"/>
      <family val="2"/>
    </font>
    <font>
      <sz val="10"/>
      <color theme="1"/>
      <name val="Calibri"/>
      <family val="2"/>
    </font>
    <font>
      <i/>
      <sz val="10"/>
      <color theme="4"/>
      <name val="Calibri"/>
      <family val="2"/>
    </font>
    <font>
      <i/>
      <sz val="10"/>
      <color theme="1"/>
      <name val="Calibri"/>
      <family val="2"/>
    </font>
    <font>
      <i/>
      <sz val="10"/>
      <color theme="1"/>
      <name val="Aptos Narrow"/>
      <family val="2"/>
      <scheme val="minor"/>
    </font>
    <font>
      <sz val="10"/>
      <name val="Calibri"/>
      <family val="2"/>
    </font>
    <font>
      <sz val="10"/>
      <color theme="1" tint="0.34998626667073579"/>
      <name val="Calibri"/>
      <family val="2"/>
    </font>
    <font>
      <strike/>
      <sz val="10"/>
      <color theme="1"/>
      <name val="Calibri"/>
      <family val="2"/>
    </font>
    <font>
      <sz val="11"/>
      <color theme="0"/>
      <name val="Calibri"/>
      <family val="2"/>
    </font>
    <font>
      <b/>
      <sz val="11"/>
      <name val="Calibri"/>
      <family val="2"/>
    </font>
    <font>
      <sz val="11"/>
      <color rgb="FF000000"/>
      <name val="Calibri"/>
      <family val="2"/>
    </font>
    <font>
      <i/>
      <sz val="11"/>
      <color rgb="FF000000"/>
      <name val="Calibri"/>
      <family val="2"/>
    </font>
    <font>
      <sz val="11"/>
      <color theme="1"/>
      <name val="Calibri"/>
      <family val="2"/>
    </font>
    <font>
      <sz val="11"/>
      <color theme="1"/>
      <name val="Aptos Display"/>
      <family val="2"/>
      <scheme val="major"/>
    </font>
    <font>
      <b/>
      <sz val="11"/>
      <color theme="0"/>
      <name val="Aptos Display"/>
      <family val="2"/>
      <scheme val="major"/>
    </font>
    <font>
      <sz val="11"/>
      <name val="Aptos Display"/>
      <family val="2"/>
      <scheme val="major"/>
    </font>
    <font>
      <b/>
      <sz val="11"/>
      <color theme="1"/>
      <name val="Aptos Display"/>
      <family val="2"/>
      <scheme val="major"/>
    </font>
    <font>
      <i/>
      <sz val="11"/>
      <color theme="1"/>
      <name val="Aptos Display"/>
      <family val="2"/>
      <scheme val="major"/>
    </font>
    <font>
      <u/>
      <sz val="11"/>
      <color theme="3"/>
      <name val="Aptos Display"/>
      <family val="2"/>
      <scheme val="major"/>
    </font>
    <font>
      <sz val="11"/>
      <color theme="8"/>
      <name val="Aptos Display"/>
      <family val="2"/>
      <scheme val="major"/>
    </font>
    <font>
      <u/>
      <sz val="11"/>
      <color theme="9"/>
      <name val="Aptos Display"/>
      <family val="2"/>
      <scheme val="major"/>
    </font>
    <font>
      <sz val="11"/>
      <color theme="9"/>
      <name val="Aptos Display"/>
      <family val="2"/>
      <scheme val="major"/>
    </font>
    <font>
      <b/>
      <sz val="11"/>
      <color theme="9"/>
      <name val="Aptos Display"/>
      <family val="2"/>
      <scheme val="major"/>
    </font>
    <font>
      <b/>
      <sz val="11"/>
      <color theme="1" tint="0.499984740745262"/>
      <name val="Calibri"/>
      <family val="2"/>
    </font>
    <font>
      <sz val="12"/>
      <color theme="1"/>
      <name val="Calibri"/>
      <family val="2"/>
    </font>
    <font>
      <b/>
      <sz val="11"/>
      <color theme="7"/>
      <name val="Aptos Display"/>
      <family val="2"/>
      <scheme val="major"/>
    </font>
    <font>
      <sz val="11"/>
      <color theme="7"/>
      <name val="Aptos Display"/>
      <family val="2"/>
      <scheme val="major"/>
    </font>
    <font>
      <u/>
      <sz val="11"/>
      <color theme="7"/>
      <name val="Aptos Display"/>
      <family val="2"/>
      <scheme val="major"/>
    </font>
  </fonts>
  <fills count="14">
    <fill>
      <patternFill patternType="none"/>
    </fill>
    <fill>
      <patternFill patternType="gray125"/>
    </fill>
    <fill>
      <patternFill patternType="solid">
        <fgColor rgb="FF009999"/>
        <bgColor indexed="64"/>
      </patternFill>
    </fill>
    <fill>
      <patternFill patternType="solid">
        <fgColor theme="7" tint="0.79998168889431442"/>
        <bgColor indexed="64"/>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theme="2"/>
        <bgColor indexed="64"/>
      </patternFill>
    </fill>
    <fill>
      <patternFill patternType="solid">
        <fgColor theme="7" tint="-0.249977111117893"/>
        <bgColor indexed="64"/>
      </patternFill>
    </fill>
    <fill>
      <patternFill patternType="solid">
        <fgColor theme="0" tint="-4.9989318521683403E-2"/>
        <bgColor indexed="64"/>
      </patternFill>
    </fill>
    <fill>
      <patternFill patternType="solid">
        <fgColor theme="4"/>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9"/>
        <bgColor indexed="64"/>
      </patternFill>
    </fill>
  </fills>
  <borders count="15">
    <border>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s>
  <cellStyleXfs count="10">
    <xf numFmtId="0" fontId="0" fillId="0" borderId="0"/>
    <xf numFmtId="0" fontId="1" fillId="5" borderId="0" applyNumberFormat="0" applyBorder="0" applyAlignment="0" applyProtection="0"/>
    <xf numFmtId="0" fontId="2" fillId="6" borderId="0" applyNumberFormat="0" applyBorder="0" applyAlignment="0" applyProtection="0"/>
    <xf numFmtId="43" fontId="11" fillId="0" borderId="0" applyFont="0" applyFill="0" applyBorder="0" applyAlignment="0" applyProtection="0"/>
    <xf numFmtId="9" fontId="11" fillId="0" borderId="0" applyFont="0" applyFill="0" applyBorder="0" applyAlignment="0" applyProtection="0"/>
    <xf numFmtId="0" fontId="12" fillId="0" borderId="0"/>
    <xf numFmtId="0" fontId="13" fillId="6" borderId="0" applyNumberFormat="0" applyBorder="0" applyAlignment="0" applyProtection="0"/>
    <xf numFmtId="9" fontId="12" fillId="0" borderId="0" applyFont="0" applyFill="0" applyBorder="0" applyAlignment="0" applyProtection="0"/>
    <xf numFmtId="0" fontId="18" fillId="0" borderId="0" applyNumberFormat="0" applyFill="0" applyBorder="0" applyAlignment="0" applyProtection="0"/>
    <xf numFmtId="43" fontId="11" fillId="0" borderId="0" applyFont="0" applyFill="0" applyBorder="0" applyAlignment="0" applyProtection="0"/>
  </cellStyleXfs>
  <cellXfs count="284">
    <xf numFmtId="0" fontId="0" fillId="0" borderId="0" xfId="0"/>
    <xf numFmtId="0" fontId="0" fillId="4" borderId="0" xfId="0" applyFill="1"/>
    <xf numFmtId="0" fontId="4" fillId="2" borderId="0" xfId="0" applyFont="1" applyFill="1" applyAlignment="1">
      <alignment horizontal="left" vertical="center" wrapText="1"/>
    </xf>
    <xf numFmtId="0" fontId="5" fillId="2" borderId="0" xfId="0" applyFont="1" applyFill="1" applyAlignment="1">
      <alignment vertical="center"/>
    </xf>
    <xf numFmtId="0" fontId="6" fillId="0" borderId="0" xfId="0" applyFont="1" applyAlignment="1">
      <alignment vertical="center" wrapText="1"/>
    </xf>
    <xf numFmtId="0" fontId="6" fillId="0" borderId="0" xfId="0" applyFont="1" applyAlignment="1">
      <alignment vertical="center"/>
    </xf>
    <xf numFmtId="0" fontId="6" fillId="0" borderId="0" xfId="0" applyFont="1"/>
    <xf numFmtId="0" fontId="7" fillId="0" borderId="0" xfId="0" applyFont="1"/>
    <xf numFmtId="0" fontId="5" fillId="3" borderId="0" xfId="0" applyFont="1" applyFill="1" applyAlignment="1">
      <alignment vertical="center"/>
    </xf>
    <xf numFmtId="0" fontId="6" fillId="3" borderId="0" xfId="0" applyFont="1" applyFill="1" applyAlignment="1">
      <alignment vertical="center"/>
    </xf>
    <xf numFmtId="0" fontId="7" fillId="3" borderId="0" xfId="0" applyFont="1" applyFill="1" applyAlignment="1">
      <alignment vertical="center"/>
    </xf>
    <xf numFmtId="0" fontId="5" fillId="0" borderId="0" xfId="0" applyFont="1" applyAlignment="1">
      <alignment vertical="center"/>
    </xf>
    <xf numFmtId="0" fontId="4" fillId="2" borderId="0" xfId="0" applyFont="1" applyFill="1" applyAlignment="1">
      <alignment horizontal="left" vertical="center"/>
    </xf>
    <xf numFmtId="0" fontId="3" fillId="4" borderId="0" xfId="0" applyFont="1" applyFill="1"/>
    <xf numFmtId="0" fontId="0" fillId="0" borderId="0" xfId="0" applyAlignment="1">
      <alignment vertical="center"/>
    </xf>
    <xf numFmtId="0" fontId="6" fillId="0" borderId="0" xfId="0" applyFont="1" applyAlignment="1">
      <alignment vertical="top"/>
    </xf>
    <xf numFmtId="0" fontId="4" fillId="2" borderId="0" xfId="0" applyFont="1" applyFill="1" applyAlignment="1">
      <alignment horizontal="center" vertical="center" wrapText="1"/>
    </xf>
    <xf numFmtId="0" fontId="0" fillId="4" borderId="0" xfId="0" applyFill="1" applyAlignment="1">
      <alignment horizontal="center"/>
    </xf>
    <xf numFmtId="0" fontId="0" fillId="4" borderId="0" xfId="0" quotePrefix="1" applyFill="1"/>
    <xf numFmtId="0" fontId="8" fillId="0" borderId="0" xfId="0" applyFont="1" applyAlignment="1">
      <alignment vertical="center"/>
    </xf>
    <xf numFmtId="0" fontId="0" fillId="0" borderId="0" xfId="0" applyAlignment="1">
      <alignment vertical="center" wrapText="1"/>
    </xf>
    <xf numFmtId="0" fontId="8" fillId="0" borderId="0" xfId="0" applyFont="1" applyAlignment="1">
      <alignment vertical="center" wrapText="1"/>
    </xf>
    <xf numFmtId="0" fontId="6" fillId="0" borderId="0" xfId="0" quotePrefix="1" applyFont="1" applyAlignment="1">
      <alignment vertical="center" wrapText="1"/>
    </xf>
    <xf numFmtId="0" fontId="8" fillId="0" borderId="0" xfId="0" quotePrefix="1" applyFont="1" applyAlignment="1">
      <alignment vertical="center" wrapText="1"/>
    </xf>
    <xf numFmtId="0" fontId="6" fillId="0" borderId="0" xfId="0" applyFont="1" applyAlignment="1">
      <alignment vertical="top" wrapText="1"/>
    </xf>
    <xf numFmtId="0" fontId="6" fillId="3" borderId="0" xfId="0" applyFont="1" applyFill="1" applyAlignment="1">
      <alignment vertical="center" wrapText="1"/>
    </xf>
    <xf numFmtId="0" fontId="6" fillId="0" borderId="5" xfId="0" applyFont="1" applyBorder="1" applyAlignment="1">
      <alignment vertical="top"/>
    </xf>
    <xf numFmtId="0" fontId="6" fillId="0" borderId="6" xfId="0" applyFont="1" applyBorder="1" applyAlignment="1">
      <alignment vertical="top"/>
    </xf>
    <xf numFmtId="43" fontId="15" fillId="0" borderId="0" xfId="3" quotePrefix="1" applyFont="1" applyBorder="1" applyAlignment="1">
      <alignment vertical="center"/>
    </xf>
    <xf numFmtId="165" fontId="15" fillId="0" borderId="5" xfId="0" quotePrefix="1" applyNumberFormat="1" applyFont="1" applyBorder="1" applyAlignment="1">
      <alignment vertical="center"/>
    </xf>
    <xf numFmtId="164" fontId="15" fillId="0" borderId="0" xfId="1" applyNumberFormat="1" applyFont="1" applyFill="1" applyBorder="1" applyAlignment="1">
      <alignment vertical="center"/>
    </xf>
    <xf numFmtId="0" fontId="8" fillId="0" borderId="8" xfId="0" applyFont="1" applyBorder="1" applyAlignment="1">
      <alignment vertical="center"/>
    </xf>
    <xf numFmtId="0" fontId="4" fillId="2" borderId="11" xfId="0" applyFont="1" applyFill="1" applyBorder="1" applyAlignment="1">
      <alignment horizontal="left" vertical="center" wrapText="1"/>
    </xf>
    <xf numFmtId="0" fontId="5" fillId="3" borderId="13" xfId="0" applyFont="1" applyFill="1" applyBorder="1" applyAlignment="1">
      <alignment vertical="center" wrapText="1"/>
    </xf>
    <xf numFmtId="0" fontId="7" fillId="0" borderId="13" xfId="0" applyFont="1" applyBorder="1" applyAlignment="1">
      <alignment vertical="center" wrapText="1"/>
    </xf>
    <xf numFmtId="0" fontId="6" fillId="0" borderId="13" xfId="0" applyFont="1" applyBorder="1" applyAlignment="1">
      <alignment vertical="center" wrapText="1"/>
    </xf>
    <xf numFmtId="0" fontId="6" fillId="0" borderId="13" xfId="0" applyFont="1" applyBorder="1" applyAlignment="1">
      <alignment vertical="top" wrapText="1"/>
    </xf>
    <xf numFmtId="0" fontId="6" fillId="0" borderId="11" xfId="0" applyFont="1" applyBorder="1" applyAlignment="1">
      <alignment vertical="top" wrapText="1"/>
    </xf>
    <xf numFmtId="0" fontId="6" fillId="0" borderId="12" xfId="0" applyFont="1" applyBorder="1" applyAlignment="1">
      <alignment vertical="top" wrapText="1"/>
    </xf>
    <xf numFmtId="0" fontId="6" fillId="0" borderId="11" xfId="0" applyFont="1" applyBorder="1" applyAlignment="1">
      <alignment vertical="center" wrapText="1"/>
    </xf>
    <xf numFmtId="0" fontId="8" fillId="0" borderId="13" xfId="0" applyFont="1" applyBorder="1" applyAlignment="1">
      <alignment vertical="center" wrapText="1"/>
    </xf>
    <xf numFmtId="0" fontId="7" fillId="0" borderId="13" xfId="0" applyFont="1" applyBorder="1" applyAlignment="1">
      <alignment vertical="top" wrapText="1"/>
    </xf>
    <xf numFmtId="0" fontId="5" fillId="3" borderId="13" xfId="0" applyFont="1" applyFill="1" applyBorder="1" applyAlignment="1">
      <alignment vertical="center"/>
    </xf>
    <xf numFmtId="0" fontId="5" fillId="3" borderId="0" xfId="0" applyFont="1" applyFill="1" applyAlignment="1">
      <alignment vertical="center" wrapText="1"/>
    </xf>
    <xf numFmtId="0" fontId="6" fillId="0" borderId="13" xfId="0" applyFont="1" applyBorder="1"/>
    <xf numFmtId="164" fontId="15" fillId="0" borderId="0" xfId="1" applyNumberFormat="1" applyFont="1" applyFill="1" applyBorder="1" applyAlignment="1">
      <alignment horizontal="right" vertical="center"/>
    </xf>
    <xf numFmtId="0" fontId="6" fillId="3" borderId="13" xfId="0" applyFont="1" applyFill="1" applyBorder="1" applyAlignment="1">
      <alignment vertical="center"/>
    </xf>
    <xf numFmtId="0" fontId="8" fillId="0" borderId="13" xfId="0" applyFont="1" applyBorder="1"/>
    <xf numFmtId="0" fontId="8" fillId="0" borderId="13" xfId="0" applyFont="1" applyBorder="1" applyAlignment="1">
      <alignment vertical="center"/>
    </xf>
    <xf numFmtId="0" fontId="8" fillId="0" borderId="0" xfId="1" applyFont="1" applyFill="1" applyBorder="1" applyAlignment="1">
      <alignment vertical="center" wrapText="1"/>
    </xf>
    <xf numFmtId="0" fontId="8" fillId="0" borderId="0" xfId="1" applyFont="1" applyFill="1" applyAlignment="1">
      <alignment vertical="center"/>
    </xf>
    <xf numFmtId="0" fontId="8" fillId="0" borderId="0" xfId="2" applyFont="1" applyFill="1" applyAlignment="1">
      <alignment vertical="center" wrapText="1"/>
    </xf>
    <xf numFmtId="0" fontId="8" fillId="0" borderId="0" xfId="0" applyFont="1"/>
    <xf numFmtId="0" fontId="18" fillId="0" borderId="0" xfId="8"/>
    <xf numFmtId="164" fontId="8" fillId="0" borderId="0" xfId="1" applyNumberFormat="1" applyFont="1" applyFill="1" applyBorder="1" applyAlignment="1">
      <alignment vertical="center"/>
    </xf>
    <xf numFmtId="165" fontId="6" fillId="0" borderId="0" xfId="0" quotePrefix="1" applyNumberFormat="1" applyFont="1" applyAlignment="1">
      <alignment vertical="center"/>
    </xf>
    <xf numFmtId="0" fontId="4" fillId="2" borderId="0" xfId="0" applyFont="1" applyFill="1" applyAlignment="1">
      <alignment vertical="center"/>
    </xf>
    <xf numFmtId="0" fontId="8" fillId="0" borderId="0" xfId="1" applyFont="1" applyFill="1" applyBorder="1" applyAlignment="1">
      <alignment vertical="center"/>
    </xf>
    <xf numFmtId="0" fontId="14" fillId="0" borderId="0" xfId="1" applyFont="1" applyFill="1" applyBorder="1" applyAlignment="1">
      <alignment vertical="center"/>
    </xf>
    <xf numFmtId="43" fontId="14" fillId="0" borderId="0" xfId="3" applyFont="1" applyBorder="1" applyAlignment="1">
      <alignment vertical="center"/>
    </xf>
    <xf numFmtId="165" fontId="15" fillId="0" borderId="0" xfId="0" quotePrefix="1" applyNumberFormat="1" applyFont="1" applyAlignment="1">
      <alignment vertical="center"/>
    </xf>
    <xf numFmtId="0" fontId="6" fillId="0" borderId="0" xfId="0" quotePrefix="1" applyFont="1" applyAlignment="1">
      <alignment vertical="center"/>
    </xf>
    <xf numFmtId="10" fontId="6" fillId="0" borderId="0" xfId="4" quotePrefix="1" applyNumberFormat="1" applyFont="1" applyBorder="1" applyAlignment="1">
      <alignment vertical="center"/>
    </xf>
    <xf numFmtId="10" fontId="6" fillId="0" borderId="0" xfId="0" applyNumberFormat="1" applyFont="1" applyAlignment="1">
      <alignment vertical="center"/>
    </xf>
    <xf numFmtId="0" fontId="15" fillId="0" borderId="0" xfId="0" applyFont="1" applyAlignment="1">
      <alignment vertical="center" wrapText="1"/>
    </xf>
    <xf numFmtId="2" fontId="15" fillId="0" borderId="0" xfId="0" applyNumberFormat="1" applyFont="1" applyAlignment="1">
      <alignment vertical="center"/>
    </xf>
    <xf numFmtId="0" fontId="14" fillId="0" borderId="0" xfId="0" quotePrefix="1" applyFont="1" applyAlignment="1">
      <alignment vertical="center"/>
    </xf>
    <xf numFmtId="0" fontId="14" fillId="0" borderId="0" xfId="0" applyFont="1" applyAlignment="1">
      <alignment vertical="center"/>
    </xf>
    <xf numFmtId="0" fontId="6" fillId="0" borderId="5" xfId="0" applyFont="1" applyBorder="1" applyAlignment="1">
      <alignment vertical="center"/>
    </xf>
    <xf numFmtId="0" fontId="6" fillId="0" borderId="5" xfId="0" applyFont="1" applyBorder="1" applyAlignment="1">
      <alignment vertical="center" wrapText="1"/>
    </xf>
    <xf numFmtId="0" fontId="6" fillId="0" borderId="6" xfId="0" applyFont="1" applyBorder="1" applyAlignment="1">
      <alignment vertical="center"/>
    </xf>
    <xf numFmtId="0" fontId="8" fillId="0" borderId="5" xfId="0" applyFont="1" applyBorder="1" applyAlignment="1">
      <alignment vertical="top" wrapText="1"/>
    </xf>
    <xf numFmtId="165" fontId="6" fillId="0" borderId="0" xfId="0" applyNumberFormat="1" applyFont="1" applyAlignment="1">
      <alignment vertical="top"/>
    </xf>
    <xf numFmtId="0" fontId="6" fillId="0" borderId="0" xfId="0" applyFont="1" applyAlignment="1">
      <alignment horizontal="left" vertical="center" wrapText="1"/>
    </xf>
    <xf numFmtId="0" fontId="6" fillId="0" borderId="6" xfId="0" quotePrefix="1" applyFont="1" applyBorder="1" applyAlignment="1">
      <alignment vertical="center" wrapText="1"/>
    </xf>
    <xf numFmtId="0" fontId="20" fillId="0" borderId="0" xfId="0" applyFont="1" applyAlignment="1">
      <alignment vertical="center"/>
    </xf>
    <xf numFmtId="165" fontId="20" fillId="0" borderId="0" xfId="0" applyNumberFormat="1" applyFont="1" applyAlignment="1">
      <alignment vertical="center"/>
    </xf>
    <xf numFmtId="43" fontId="20" fillId="0" borderId="0" xfId="3" applyFont="1" applyBorder="1" applyAlignment="1">
      <alignment vertical="center"/>
    </xf>
    <xf numFmtId="0" fontId="22" fillId="0" borderId="8" xfId="1" applyFont="1" applyFill="1" applyBorder="1" applyAlignment="1">
      <alignment vertical="center" wrapText="1"/>
    </xf>
    <xf numFmtId="0" fontId="23" fillId="0" borderId="0" xfId="1" applyFont="1" applyFill="1" applyBorder="1" applyAlignment="1">
      <alignment vertical="center" wrapText="1"/>
    </xf>
    <xf numFmtId="0" fontId="22" fillId="0" borderId="0" xfId="1" applyFont="1" applyFill="1" applyBorder="1" applyAlignment="1">
      <alignment vertical="center" wrapText="1"/>
    </xf>
    <xf numFmtId="0" fontId="22" fillId="0" borderId="0" xfId="1" applyFont="1" applyFill="1" applyBorder="1" applyAlignment="1">
      <alignment vertical="top" wrapText="1"/>
    </xf>
    <xf numFmtId="43" fontId="23" fillId="0" borderId="0" xfId="3" applyFont="1" applyFill="1" applyBorder="1" applyAlignment="1">
      <alignment vertical="center" wrapText="1"/>
    </xf>
    <xf numFmtId="0" fontId="23" fillId="0" borderId="0" xfId="1" quotePrefix="1" applyFont="1" applyFill="1" applyBorder="1" applyAlignment="1">
      <alignment vertical="center" wrapText="1"/>
    </xf>
    <xf numFmtId="0" fontId="22" fillId="0" borderId="4" xfId="1" applyFont="1" applyFill="1" applyBorder="1" applyAlignment="1">
      <alignment vertical="center" wrapText="1"/>
    </xf>
    <xf numFmtId="0" fontId="23" fillId="0" borderId="6" xfId="1" applyFont="1" applyFill="1" applyBorder="1" applyAlignment="1">
      <alignment vertical="center" wrapText="1"/>
    </xf>
    <xf numFmtId="0" fontId="22" fillId="0" borderId="6" xfId="1" applyFont="1" applyFill="1" applyBorder="1" applyAlignment="1">
      <alignment vertical="center" wrapText="1"/>
    </xf>
    <xf numFmtId="0" fontId="22" fillId="0" borderId="6" xfId="1" applyFont="1" applyFill="1" applyBorder="1" applyAlignment="1">
      <alignment vertical="top" wrapText="1"/>
    </xf>
    <xf numFmtId="43" fontId="23" fillId="0" borderId="6" xfId="3" applyFont="1" applyFill="1" applyBorder="1" applyAlignment="1">
      <alignment vertical="center" wrapText="1"/>
    </xf>
    <xf numFmtId="0" fontId="23" fillId="0" borderId="6" xfId="1" quotePrefix="1" applyFont="1" applyFill="1" applyBorder="1" applyAlignment="1">
      <alignment vertical="center" wrapText="1"/>
    </xf>
    <xf numFmtId="0" fontId="17" fillId="10" borderId="2" xfId="0" applyFont="1" applyFill="1" applyBorder="1" applyAlignment="1">
      <alignment vertical="center"/>
    </xf>
    <xf numFmtId="0" fontId="17" fillId="10" borderId="5" xfId="0" applyFont="1" applyFill="1" applyBorder="1" applyAlignment="1">
      <alignment vertical="center"/>
    </xf>
    <xf numFmtId="43" fontId="20" fillId="0" borderId="0" xfId="3" applyFont="1" applyFill="1" applyBorder="1" applyAlignment="1">
      <alignment vertical="center"/>
    </xf>
    <xf numFmtId="0" fontId="20" fillId="0" borderId="6" xfId="0" applyFont="1" applyBorder="1" applyAlignment="1">
      <alignment vertical="center"/>
    </xf>
    <xf numFmtId="165" fontId="20" fillId="0" borderId="6" xfId="0" applyNumberFormat="1" applyFont="1" applyBorder="1" applyAlignment="1">
      <alignment vertical="center"/>
    </xf>
    <xf numFmtId="43" fontId="20" fillId="0" borderId="6" xfId="3" applyFont="1" applyFill="1" applyBorder="1" applyAlignment="1">
      <alignment vertical="center"/>
    </xf>
    <xf numFmtId="43" fontId="23" fillId="0" borderId="9" xfId="3" applyFont="1" applyFill="1" applyBorder="1" applyAlignment="1">
      <alignment vertical="center" wrapText="1"/>
    </xf>
    <xf numFmtId="0" fontId="23" fillId="0" borderId="7" xfId="1" applyFont="1" applyFill="1" applyBorder="1" applyAlignment="1">
      <alignment vertical="center" wrapText="1"/>
    </xf>
    <xf numFmtId="0" fontId="22" fillId="0" borderId="7" xfId="1" applyFont="1" applyFill="1" applyBorder="1" applyAlignment="1">
      <alignment vertical="center" wrapText="1"/>
    </xf>
    <xf numFmtId="0" fontId="22" fillId="0" borderId="7" xfId="1" applyFont="1" applyFill="1" applyBorder="1" applyAlignment="1">
      <alignment vertical="top" wrapText="1"/>
    </xf>
    <xf numFmtId="43" fontId="23" fillId="0" borderId="7" xfId="3" applyFont="1" applyFill="1" applyBorder="1" applyAlignment="1">
      <alignment vertical="center" wrapText="1"/>
    </xf>
    <xf numFmtId="0" fontId="20" fillId="0" borderId="7" xfId="0" applyFont="1" applyBorder="1" applyAlignment="1">
      <alignment vertical="center"/>
    </xf>
    <xf numFmtId="165" fontId="20" fillId="0" borderId="7" xfId="0" applyNumberFormat="1" applyFont="1" applyBorder="1" applyAlignment="1">
      <alignment vertical="center"/>
    </xf>
    <xf numFmtId="43" fontId="20" fillId="0" borderId="7" xfId="3" applyFont="1" applyFill="1" applyBorder="1" applyAlignment="1">
      <alignment vertical="center"/>
    </xf>
    <xf numFmtId="0" fontId="23" fillId="0" borderId="7" xfId="1" quotePrefix="1" applyFont="1" applyFill="1" applyBorder="1" applyAlignment="1">
      <alignment vertical="center" wrapText="1"/>
    </xf>
    <xf numFmtId="0" fontId="21" fillId="9" borderId="9" xfId="0" applyFont="1" applyFill="1" applyBorder="1" applyAlignment="1">
      <alignment vertical="center" wrapText="1"/>
    </xf>
    <xf numFmtId="0" fontId="21" fillId="9" borderId="7" xfId="0" applyFont="1" applyFill="1" applyBorder="1" applyAlignment="1">
      <alignment vertical="center" wrapText="1"/>
    </xf>
    <xf numFmtId="164" fontId="8" fillId="0" borderId="6" xfId="1" applyNumberFormat="1" applyFont="1" applyFill="1" applyBorder="1" applyAlignment="1">
      <alignment vertical="center"/>
    </xf>
    <xf numFmtId="0" fontId="24" fillId="0" borderId="0" xfId="0" applyFont="1" applyAlignment="1">
      <alignment vertical="center"/>
    </xf>
    <xf numFmtId="0" fontId="24" fillId="0" borderId="0" xfId="0" applyFont="1" applyAlignment="1">
      <alignment vertical="center" wrapText="1"/>
    </xf>
    <xf numFmtId="0" fontId="24" fillId="0" borderId="0" xfId="0" applyFont="1"/>
    <xf numFmtId="0" fontId="25" fillId="0" borderId="0" xfId="0" applyFont="1"/>
    <xf numFmtId="0" fontId="26" fillId="0" borderId="13" xfId="0" applyFont="1" applyBorder="1" applyAlignment="1">
      <alignment wrapText="1"/>
    </xf>
    <xf numFmtId="0" fontId="26" fillId="0" borderId="13" xfId="0" applyFont="1" applyBorder="1"/>
    <xf numFmtId="0" fontId="0" fillId="0" borderId="0" xfId="0" applyAlignment="1">
      <alignment wrapText="1"/>
    </xf>
    <xf numFmtId="0" fontId="0" fillId="0" borderId="0" xfId="0" applyAlignment="1">
      <alignment horizontal="center" vertical="center"/>
    </xf>
    <xf numFmtId="0" fontId="0" fillId="0" borderId="0" xfId="0" applyAlignment="1">
      <alignment horizontal="center"/>
    </xf>
    <xf numFmtId="43" fontId="27" fillId="0" borderId="9" xfId="3" applyFont="1" applyFill="1" applyBorder="1" applyAlignment="1">
      <alignment vertical="center" wrapText="1"/>
    </xf>
    <xf numFmtId="0" fontId="8" fillId="0" borderId="6" xfId="0" applyFont="1" applyBorder="1" applyAlignment="1">
      <alignment vertical="top" wrapText="1"/>
    </xf>
    <xf numFmtId="0" fontId="28" fillId="0" borderId="0" xfId="0" applyFont="1" applyAlignment="1">
      <alignment vertical="center" wrapText="1"/>
    </xf>
    <xf numFmtId="0" fontId="29" fillId="2" borderId="0" xfId="0" applyFont="1" applyFill="1" applyAlignment="1">
      <alignment horizontal="left" vertical="center"/>
    </xf>
    <xf numFmtId="0" fontId="29" fillId="2" borderId="0" xfId="0" applyFont="1" applyFill="1" applyAlignment="1">
      <alignment horizontal="left" vertical="center" wrapText="1"/>
    </xf>
    <xf numFmtId="0" fontId="29" fillId="2" borderId="0" xfId="0" applyFont="1" applyFill="1" applyAlignment="1">
      <alignment horizontal="center" vertical="center" wrapText="1"/>
    </xf>
    <xf numFmtId="0" fontId="30" fillId="2" borderId="0" xfId="0" applyFont="1" applyFill="1" applyAlignment="1">
      <alignment vertical="center"/>
    </xf>
    <xf numFmtId="0" fontId="31" fillId="0" borderId="0" xfId="0" applyFont="1" applyAlignment="1">
      <alignment vertical="center"/>
    </xf>
    <xf numFmtId="0" fontId="31" fillId="0" borderId="0" xfId="0" applyFont="1" applyAlignment="1">
      <alignment vertical="center" wrapText="1"/>
    </xf>
    <xf numFmtId="0" fontId="32" fillId="0" borderId="0" xfId="0" applyFont="1" applyAlignment="1">
      <alignment vertical="center"/>
    </xf>
    <xf numFmtId="0" fontId="31" fillId="0" borderId="0" xfId="0" quotePrefix="1" applyFont="1" applyAlignment="1">
      <alignment vertical="center"/>
    </xf>
    <xf numFmtId="0" fontId="31" fillId="3" borderId="0" xfId="0" applyFont="1" applyFill="1" applyAlignment="1">
      <alignment vertical="center"/>
    </xf>
    <xf numFmtId="0" fontId="31" fillId="3" borderId="0" xfId="0" applyFont="1" applyFill="1" applyAlignment="1">
      <alignment vertical="center" wrapText="1"/>
    </xf>
    <xf numFmtId="0" fontId="34" fillId="3" borderId="0" xfId="0" applyFont="1" applyFill="1" applyAlignment="1">
      <alignment horizontal="left" vertical="center" indent="15"/>
    </xf>
    <xf numFmtId="0" fontId="35" fillId="0" borderId="0" xfId="0" applyFont="1" applyAlignment="1">
      <alignment vertical="center" wrapText="1"/>
    </xf>
    <xf numFmtId="0" fontId="31" fillId="0" borderId="0" xfId="0" applyFont="1" applyAlignment="1">
      <alignment horizontal="center" vertical="center" wrapText="1"/>
    </xf>
    <xf numFmtId="0" fontId="36" fillId="0" borderId="0" xfId="0" applyFont="1" applyAlignment="1">
      <alignment vertical="center"/>
    </xf>
    <xf numFmtId="0" fontId="31" fillId="0" borderId="0" xfId="0" applyFont="1" applyAlignment="1">
      <alignment horizontal="center" vertical="center"/>
    </xf>
    <xf numFmtId="0" fontId="31" fillId="11" borderId="0" xfId="0" applyFont="1" applyFill="1" applyAlignment="1">
      <alignment vertical="center"/>
    </xf>
    <xf numFmtId="0" fontId="31" fillId="11" borderId="0" xfId="0" applyFont="1" applyFill="1" applyAlignment="1">
      <alignment vertical="center" wrapText="1"/>
    </xf>
    <xf numFmtId="0" fontId="31" fillId="11" borderId="0" xfId="0" quotePrefix="1" applyFont="1" applyFill="1" applyAlignment="1">
      <alignment vertical="center" wrapText="1"/>
    </xf>
    <xf numFmtId="0" fontId="31" fillId="3" borderId="0" xfId="0" applyFont="1" applyFill="1" applyAlignment="1">
      <alignment horizontal="center" vertical="center"/>
    </xf>
    <xf numFmtId="0" fontId="31" fillId="11" borderId="0" xfId="0" applyFont="1" applyFill="1" applyAlignment="1">
      <alignment horizontal="center" vertical="center"/>
    </xf>
    <xf numFmtId="0" fontId="14" fillId="0" borderId="5" xfId="0" applyFont="1" applyBorder="1" applyAlignment="1">
      <alignment vertical="center"/>
    </xf>
    <xf numFmtId="0" fontId="14" fillId="0" borderId="0" xfId="1" applyFont="1" applyFill="1" applyBorder="1" applyAlignment="1">
      <alignment vertical="center" wrapText="1"/>
    </xf>
    <xf numFmtId="0" fontId="15" fillId="0" borderId="0" xfId="0" quotePrefix="1" applyFont="1" applyAlignment="1">
      <alignment vertical="center"/>
    </xf>
    <xf numFmtId="0" fontId="6" fillId="0" borderId="0" xfId="0" quotePrefix="1" applyFont="1" applyAlignment="1">
      <alignment vertical="top" wrapText="1"/>
    </xf>
    <xf numFmtId="0" fontId="38" fillId="8" borderId="0" xfId="0" applyFont="1" applyFill="1" applyAlignment="1">
      <alignment vertical="center"/>
    </xf>
    <xf numFmtId="0" fontId="38" fillId="8" borderId="0" xfId="0" applyFont="1" applyFill="1" applyAlignment="1">
      <alignment vertical="center" wrapText="1"/>
    </xf>
    <xf numFmtId="0" fontId="4" fillId="8" borderId="13" xfId="0" applyFont="1" applyFill="1" applyBorder="1" applyAlignment="1">
      <alignment vertical="center"/>
    </xf>
    <xf numFmtId="165" fontId="6" fillId="0" borderId="0" xfId="0" quotePrefix="1" applyNumberFormat="1" applyFont="1" applyAlignment="1">
      <alignment vertical="center" wrapText="1"/>
    </xf>
    <xf numFmtId="0" fontId="37" fillId="0" borderId="0" xfId="0" applyFont="1" applyAlignment="1">
      <alignment vertical="center"/>
    </xf>
    <xf numFmtId="0" fontId="37" fillId="0" borderId="0" xfId="0" applyFont="1" applyAlignment="1">
      <alignment vertical="center" wrapText="1"/>
    </xf>
    <xf numFmtId="0" fontId="37" fillId="0" borderId="0" xfId="0" applyFont="1" applyAlignment="1">
      <alignment horizontal="center" vertical="center"/>
    </xf>
    <xf numFmtId="43" fontId="31" fillId="0" borderId="0" xfId="3" applyFont="1" applyAlignment="1">
      <alignment vertical="center" wrapText="1"/>
    </xf>
    <xf numFmtId="43" fontId="15" fillId="0" borderId="5" xfId="3" quotePrefix="1" applyFont="1" applyBorder="1" applyAlignment="1">
      <alignment vertical="center"/>
    </xf>
    <xf numFmtId="0" fontId="8" fillId="0" borderId="0" xfId="0" applyFont="1" applyAlignment="1">
      <alignment vertical="top"/>
    </xf>
    <xf numFmtId="0" fontId="4" fillId="8" borderId="0" xfId="0" applyFont="1" applyFill="1" applyAlignment="1">
      <alignment vertical="center"/>
    </xf>
    <xf numFmtId="0" fontId="4" fillId="2" borderId="11" xfId="0" applyFont="1" applyFill="1" applyBorder="1" applyAlignment="1">
      <alignment horizontal="center" vertical="center" wrapText="1"/>
    </xf>
    <xf numFmtId="0" fontId="5" fillId="3" borderId="13" xfId="0" applyFont="1" applyFill="1" applyBorder="1" applyAlignment="1">
      <alignment horizontal="center" vertical="center"/>
    </xf>
    <xf numFmtId="0" fontId="6" fillId="0" borderId="13" xfId="0" applyFont="1" applyBorder="1" applyAlignment="1">
      <alignment horizontal="center" vertical="center" wrapText="1"/>
    </xf>
    <xf numFmtId="0" fontId="6" fillId="0" borderId="13" xfId="0" applyFont="1" applyBorder="1" applyAlignment="1">
      <alignment horizontal="center" vertical="center"/>
    </xf>
    <xf numFmtId="0" fontId="6" fillId="0" borderId="11" xfId="0" applyFont="1" applyBorder="1" applyAlignment="1">
      <alignment horizontal="center" vertical="center" wrapText="1"/>
    </xf>
    <xf numFmtId="0" fontId="4" fillId="8" borderId="13" xfId="0" applyFont="1" applyFill="1" applyBorder="1" applyAlignment="1">
      <alignment horizontal="center" vertical="center"/>
    </xf>
    <xf numFmtId="0" fontId="8" fillId="0" borderId="13" xfId="0" applyFont="1" applyBorder="1" applyAlignment="1">
      <alignment horizontal="center" vertical="center" wrapText="1"/>
    </xf>
    <xf numFmtId="0" fontId="6" fillId="12" borderId="13" xfId="0" applyFont="1" applyFill="1" applyBorder="1" applyAlignment="1">
      <alignment horizontal="center" vertical="center" wrapText="1"/>
    </xf>
    <xf numFmtId="0" fontId="6" fillId="12" borderId="13" xfId="0" applyFont="1" applyFill="1" applyBorder="1" applyAlignment="1">
      <alignment horizontal="center" vertical="top" wrapText="1"/>
    </xf>
    <xf numFmtId="0" fontId="6" fillId="12" borderId="11" xfId="0" applyFont="1" applyFill="1" applyBorder="1" applyAlignment="1">
      <alignment horizontal="center" vertical="center" wrapText="1"/>
    </xf>
    <xf numFmtId="0" fontId="6" fillId="12" borderId="12" xfId="0" applyFont="1" applyFill="1" applyBorder="1" applyAlignment="1">
      <alignment horizontal="center" vertical="top"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6" fillId="3" borderId="8" xfId="0" applyFont="1" applyFill="1" applyBorder="1" applyAlignment="1">
      <alignment vertical="center"/>
    </xf>
    <xf numFmtId="0" fontId="6" fillId="3" borderId="1" xfId="0" applyFont="1" applyFill="1" applyBorder="1" applyAlignment="1">
      <alignment vertical="center"/>
    </xf>
    <xf numFmtId="0" fontId="6" fillId="0" borderId="8" xfId="0" applyFont="1" applyBorder="1" applyAlignment="1">
      <alignment vertical="center"/>
    </xf>
    <xf numFmtId="0" fontId="6" fillId="0" borderId="1" xfId="0" applyFont="1" applyBorder="1" applyAlignment="1">
      <alignment vertical="center"/>
    </xf>
    <xf numFmtId="0" fontId="6" fillId="0" borderId="8" xfId="0" applyFont="1" applyBorder="1" applyAlignment="1">
      <alignment vertical="top"/>
    </xf>
    <xf numFmtId="0" fontId="6" fillId="0" borderId="1" xfId="0" applyFont="1" applyBorder="1" applyAlignment="1">
      <alignment vertical="top"/>
    </xf>
    <xf numFmtId="0" fontId="6" fillId="0" borderId="2" xfId="0" applyFont="1" applyBorder="1" applyAlignment="1">
      <alignment vertical="top"/>
    </xf>
    <xf numFmtId="0" fontId="6" fillId="0" borderId="3" xfId="0" applyFont="1" applyBorder="1" applyAlignment="1">
      <alignment vertical="top"/>
    </xf>
    <xf numFmtId="0" fontId="6" fillId="0" borderId="2" xfId="0" applyFont="1" applyBorder="1" applyAlignment="1">
      <alignment vertical="center"/>
    </xf>
    <xf numFmtId="0" fontId="6" fillId="0" borderId="3" xfId="0" applyFont="1" applyBorder="1" applyAlignment="1">
      <alignment vertical="center"/>
    </xf>
    <xf numFmtId="0" fontId="6" fillId="0" borderId="8" xfId="0" applyFont="1" applyBorder="1" applyAlignment="1">
      <alignment vertical="center" wrapText="1"/>
    </xf>
    <xf numFmtId="0" fontId="6" fillId="0" borderId="1" xfId="0" applyFont="1" applyBorder="1" applyAlignment="1">
      <alignment vertical="center" wrapText="1"/>
    </xf>
    <xf numFmtId="0" fontId="38" fillId="8" borderId="8" xfId="0" applyFont="1" applyFill="1" applyBorder="1" applyAlignment="1">
      <alignment vertical="center"/>
    </xf>
    <xf numFmtId="0" fontId="38" fillId="8" borderId="1" xfId="0" applyFont="1" applyFill="1" applyBorder="1" applyAlignment="1">
      <alignment vertical="center"/>
    </xf>
    <xf numFmtId="0" fontId="8" fillId="0" borderId="1" xfId="0" applyFont="1" applyBorder="1" applyAlignment="1">
      <alignment vertical="center"/>
    </xf>
    <xf numFmtId="0" fontId="0" fillId="0" borderId="0" xfId="0" quotePrefix="1" applyAlignment="1">
      <alignment vertical="center"/>
    </xf>
    <xf numFmtId="0" fontId="0" fillId="0" borderId="0" xfId="0" quotePrefix="1" applyAlignment="1">
      <alignment vertical="center" wrapText="1"/>
    </xf>
    <xf numFmtId="0" fontId="6" fillId="0" borderId="4" xfId="0" applyFont="1" applyBorder="1" applyAlignment="1">
      <alignment vertical="top"/>
    </xf>
    <xf numFmtId="0" fontId="6" fillId="0" borderId="14" xfId="0" applyFont="1" applyBorder="1" applyAlignment="1">
      <alignment vertical="top"/>
    </xf>
    <xf numFmtId="0" fontId="40" fillId="0" borderId="0" xfId="0" applyFont="1" applyAlignment="1">
      <alignment vertical="center"/>
    </xf>
    <xf numFmtId="0" fontId="40" fillId="0" borderId="0" xfId="0" applyFont="1" applyAlignment="1">
      <alignment vertical="center" wrapText="1"/>
    </xf>
    <xf numFmtId="0" fontId="6" fillId="0" borderId="0" xfId="0" applyFont="1" applyAlignment="1">
      <alignment wrapText="1"/>
    </xf>
    <xf numFmtId="0" fontId="40" fillId="0" borderId="5" xfId="0" applyFont="1" applyBorder="1" applyAlignment="1">
      <alignment vertical="center" wrapText="1"/>
    </xf>
    <xf numFmtId="0" fontId="6" fillId="12" borderId="13" xfId="0" applyFont="1" applyFill="1" applyBorder="1" applyAlignment="1">
      <alignment horizontal="center" vertical="center"/>
    </xf>
    <xf numFmtId="0" fontId="42" fillId="12" borderId="13" xfId="0" applyFont="1" applyFill="1" applyBorder="1" applyAlignment="1">
      <alignment horizontal="center" vertical="center" wrapText="1"/>
    </xf>
    <xf numFmtId="0" fontId="40" fillId="0" borderId="0" xfId="0" applyFont="1"/>
    <xf numFmtId="0" fontId="42" fillId="0" borderId="13" xfId="0" applyFont="1" applyBorder="1" applyAlignment="1">
      <alignment horizontal="center" vertical="center" wrapText="1"/>
    </xf>
    <xf numFmtId="0" fontId="5" fillId="0" borderId="0" xfId="0" applyFont="1"/>
    <xf numFmtId="0" fontId="43" fillId="4" borderId="0" xfId="0" applyFont="1" applyFill="1"/>
    <xf numFmtId="0" fontId="44" fillId="8" borderId="2" xfId="0" applyFont="1" applyFill="1" applyBorder="1" applyAlignment="1">
      <alignment vertical="center"/>
    </xf>
    <xf numFmtId="0" fontId="44" fillId="8" borderId="5" xfId="0" applyFont="1" applyFill="1" applyBorder="1" applyAlignment="1">
      <alignment vertical="center"/>
    </xf>
    <xf numFmtId="0" fontId="44" fillId="8" borderId="3" xfId="0" applyFont="1" applyFill="1" applyBorder="1" applyAlignment="1">
      <alignment vertical="center"/>
    </xf>
    <xf numFmtId="0" fontId="43" fillId="0" borderId="0" xfId="0" applyFont="1"/>
    <xf numFmtId="0" fontId="43" fillId="7" borderId="8" xfId="0" applyFont="1" applyFill="1" applyBorder="1"/>
    <xf numFmtId="0" fontId="43" fillId="7" borderId="0" xfId="0" applyFont="1" applyFill="1"/>
    <xf numFmtId="0" fontId="43" fillId="7" borderId="1" xfId="0" applyFont="1" applyFill="1" applyBorder="1" applyAlignment="1">
      <alignment horizontal="right"/>
    </xf>
    <xf numFmtId="0" fontId="43" fillId="7" borderId="0" xfId="0" applyFont="1" applyFill="1" applyAlignment="1">
      <alignment horizontal="center"/>
    </xf>
    <xf numFmtId="0" fontId="43" fillId="7" borderId="1" xfId="0" applyFont="1" applyFill="1" applyBorder="1" applyAlignment="1">
      <alignment horizontal="center"/>
    </xf>
    <xf numFmtId="0" fontId="43" fillId="0" borderId="8" xfId="0" applyFont="1" applyBorder="1"/>
    <xf numFmtId="166" fontId="43" fillId="0" borderId="0" xfId="3" applyNumberFormat="1" applyFont="1" applyBorder="1"/>
    <xf numFmtId="9" fontId="43" fillId="0" borderId="1" xfId="4" applyFont="1" applyBorder="1"/>
    <xf numFmtId="0" fontId="45" fillId="0" borderId="8" xfId="0" applyFont="1" applyBorder="1" applyAlignment="1">
      <alignment vertical="center"/>
    </xf>
    <xf numFmtId="166" fontId="43" fillId="0" borderId="1" xfId="3" applyNumberFormat="1" applyFont="1" applyBorder="1"/>
    <xf numFmtId="0" fontId="43" fillId="7" borderId="9" xfId="0" applyFont="1" applyFill="1" applyBorder="1"/>
    <xf numFmtId="0" fontId="43" fillId="7" borderId="7" xfId="0" applyFont="1" applyFill="1" applyBorder="1"/>
    <xf numFmtId="166" fontId="43" fillId="7" borderId="7" xfId="3" applyNumberFormat="1" applyFont="1" applyFill="1" applyBorder="1"/>
    <xf numFmtId="9" fontId="43" fillId="7" borderId="10" xfId="4" applyFont="1" applyFill="1" applyBorder="1"/>
    <xf numFmtId="0" fontId="45" fillId="0" borderId="8" xfId="0" applyFont="1" applyBorder="1" applyAlignment="1">
      <alignment vertical="center" wrapText="1"/>
    </xf>
    <xf numFmtId="0" fontId="46" fillId="8" borderId="5" xfId="0" applyFont="1" applyFill="1" applyBorder="1" applyAlignment="1">
      <alignment vertical="center"/>
    </xf>
    <xf numFmtId="0" fontId="46" fillId="8" borderId="3" xfId="0" applyFont="1" applyFill="1" applyBorder="1" applyAlignment="1">
      <alignment vertical="center"/>
    </xf>
    <xf numFmtId="0" fontId="46" fillId="7" borderId="1" xfId="0" applyFont="1" applyFill="1" applyBorder="1"/>
    <xf numFmtId="0" fontId="47" fillId="0" borderId="8" xfId="0" applyFont="1" applyBorder="1"/>
    <xf numFmtId="0" fontId="43" fillId="0" borderId="1" xfId="0" applyFont="1" applyBorder="1"/>
    <xf numFmtId="166" fontId="43" fillId="7" borderId="10" xfId="3" applyNumberFormat="1" applyFont="1" applyFill="1" applyBorder="1"/>
    <xf numFmtId="0" fontId="48" fillId="4" borderId="0" xfId="0" applyFont="1" applyFill="1"/>
    <xf numFmtId="0" fontId="43" fillId="0" borderId="9" xfId="0" applyFont="1" applyBorder="1"/>
    <xf numFmtId="166" fontId="43" fillId="0" borderId="7" xfId="3" applyNumberFormat="1" applyFont="1" applyBorder="1"/>
    <xf numFmtId="43" fontId="43" fillId="0" borderId="7" xfId="3" applyFont="1" applyBorder="1"/>
    <xf numFmtId="0" fontId="43" fillId="0" borderId="10" xfId="0" applyFont="1" applyBorder="1"/>
    <xf numFmtId="0" fontId="43" fillId="0" borderId="2" xfId="0" applyFont="1" applyBorder="1"/>
    <xf numFmtId="0" fontId="43" fillId="0" borderId="5" xfId="0" applyFont="1" applyBorder="1"/>
    <xf numFmtId="166" fontId="43" fillId="0" borderId="5" xfId="3" applyNumberFormat="1" applyFont="1" applyBorder="1"/>
    <xf numFmtId="43" fontId="43" fillId="7" borderId="7" xfId="3" applyFont="1" applyFill="1" applyBorder="1"/>
    <xf numFmtId="0" fontId="43" fillId="7" borderId="10" xfId="0" applyFont="1" applyFill="1" applyBorder="1"/>
    <xf numFmtId="166" fontId="43" fillId="4" borderId="0" xfId="3" applyNumberFormat="1" applyFont="1" applyFill="1"/>
    <xf numFmtId="43" fontId="43" fillId="0" borderId="0" xfId="3" applyFont="1"/>
    <xf numFmtId="0" fontId="43" fillId="7" borderId="1" xfId="0" applyFont="1" applyFill="1" applyBorder="1"/>
    <xf numFmtId="0" fontId="49" fillId="4" borderId="0" xfId="0" applyFont="1" applyFill="1"/>
    <xf numFmtId="164" fontId="45" fillId="0" borderId="0" xfId="1" applyNumberFormat="1" applyFont="1" applyFill="1" applyBorder="1" applyAlignment="1">
      <alignment vertical="center"/>
    </xf>
    <xf numFmtId="43" fontId="43" fillId="0" borderId="0" xfId="3" applyFont="1" applyBorder="1"/>
    <xf numFmtId="164" fontId="45" fillId="7" borderId="7" xfId="1" applyNumberFormat="1" applyFont="1" applyFill="1" applyBorder="1" applyAlignment="1">
      <alignment vertical="center"/>
    </xf>
    <xf numFmtId="165" fontId="43" fillId="7" borderId="7" xfId="0" quotePrefix="1" applyNumberFormat="1" applyFont="1" applyFill="1" applyBorder="1" applyAlignment="1">
      <alignment vertical="center"/>
    </xf>
    <xf numFmtId="164" fontId="45" fillId="7" borderId="10" xfId="1" applyNumberFormat="1" applyFont="1" applyFill="1" applyBorder="1" applyAlignment="1">
      <alignment vertical="center"/>
    </xf>
    <xf numFmtId="43" fontId="43" fillId="7" borderId="7" xfId="0" applyNumberFormat="1" applyFont="1" applyFill="1" applyBorder="1"/>
    <xf numFmtId="0" fontId="50" fillId="4" borderId="0" xfId="0" applyFont="1" applyFill="1"/>
    <xf numFmtId="166" fontId="51" fillId="0" borderId="0" xfId="3" applyNumberFormat="1" applyFont="1" applyBorder="1"/>
    <xf numFmtId="0" fontId="51" fillId="0" borderId="0" xfId="0" applyFont="1"/>
    <xf numFmtId="0" fontId="52" fillId="0" borderId="7" xfId="0" applyFont="1" applyBorder="1"/>
    <xf numFmtId="166" fontId="52" fillId="0" borderId="7" xfId="3" applyNumberFormat="1" applyFont="1" applyBorder="1"/>
    <xf numFmtId="0" fontId="51" fillId="7" borderId="0" xfId="0" applyFont="1" applyFill="1" applyAlignment="1">
      <alignment horizontal="center"/>
    </xf>
    <xf numFmtId="0" fontId="51" fillId="0" borderId="1" xfId="0" applyFont="1" applyBorder="1"/>
    <xf numFmtId="0" fontId="5" fillId="0" borderId="13" xfId="0" applyFont="1" applyBorder="1" applyAlignment="1">
      <alignment horizontal="center" vertical="center" wrapText="1"/>
    </xf>
    <xf numFmtId="43" fontId="53" fillId="0" borderId="0" xfId="3" applyFont="1" applyBorder="1" applyAlignment="1">
      <alignment vertical="center"/>
    </xf>
    <xf numFmtId="0" fontId="5" fillId="0" borderId="0" xfId="0" applyFont="1" applyAlignment="1">
      <alignment vertical="center" wrapText="1"/>
    </xf>
    <xf numFmtId="0" fontId="5" fillId="0" borderId="13" xfId="0" applyFont="1" applyBorder="1" applyAlignment="1">
      <alignment vertical="center" wrapText="1"/>
    </xf>
    <xf numFmtId="0" fontId="5" fillId="0" borderId="8" xfId="0" applyFont="1" applyBorder="1" applyAlignment="1">
      <alignment vertical="center"/>
    </xf>
    <xf numFmtId="0" fontId="5" fillId="0" borderId="1" xfId="0" applyFont="1" applyBorder="1" applyAlignment="1">
      <alignment vertical="center"/>
    </xf>
    <xf numFmtId="165" fontId="53" fillId="0" borderId="0" xfId="0" quotePrefix="1" applyNumberFormat="1" applyFont="1" applyAlignment="1">
      <alignment vertical="center"/>
    </xf>
    <xf numFmtId="0" fontId="5" fillId="0" borderId="0" xfId="0" applyFont="1" applyAlignment="1">
      <alignment vertical="top" wrapText="1"/>
    </xf>
    <xf numFmtId="0" fontId="5" fillId="12" borderId="13" xfId="0" applyFont="1" applyFill="1" applyBorder="1" applyAlignment="1">
      <alignment horizontal="center" vertical="center" wrapText="1"/>
    </xf>
    <xf numFmtId="0" fontId="53" fillId="0" borderId="0" xfId="0" quotePrefix="1" applyFont="1" applyAlignment="1">
      <alignment vertical="center"/>
    </xf>
    <xf numFmtId="164" fontId="53" fillId="0" borderId="0" xfId="1" applyNumberFormat="1" applyFont="1" applyFill="1" applyBorder="1" applyAlignment="1">
      <alignment vertical="center"/>
    </xf>
    <xf numFmtId="43" fontId="6" fillId="0" borderId="0" xfId="3" applyFont="1" applyAlignment="1">
      <alignment vertical="center"/>
    </xf>
    <xf numFmtId="165" fontId="6" fillId="0" borderId="0" xfId="0" applyNumberFormat="1" applyFont="1" applyAlignment="1">
      <alignment vertical="center"/>
    </xf>
    <xf numFmtId="10" fontId="6" fillId="0" borderId="0" xfId="4" applyNumberFormat="1" applyFont="1" applyAlignment="1">
      <alignment vertical="center"/>
    </xf>
    <xf numFmtId="165" fontId="6" fillId="0" borderId="5" xfId="0" applyNumberFormat="1" applyFont="1" applyBorder="1" applyAlignment="1">
      <alignment vertical="center"/>
    </xf>
    <xf numFmtId="166" fontId="52" fillId="0" borderId="0" xfId="3" applyNumberFormat="1" applyFont="1" applyBorder="1"/>
    <xf numFmtId="0" fontId="52" fillId="0" borderId="8" xfId="0" applyFont="1" applyBorder="1"/>
    <xf numFmtId="0" fontId="52" fillId="0" borderId="0" xfId="0" applyFont="1"/>
    <xf numFmtId="164" fontId="52" fillId="0" borderId="0" xfId="1" applyNumberFormat="1" applyFont="1" applyFill="1" applyBorder="1" applyAlignment="1">
      <alignment vertical="center"/>
    </xf>
    <xf numFmtId="165" fontId="52" fillId="0" borderId="1" xfId="0" quotePrefix="1" applyNumberFormat="1" applyFont="1" applyBorder="1" applyAlignment="1">
      <alignment vertical="center"/>
    </xf>
    <xf numFmtId="165" fontId="52" fillId="7" borderId="10" xfId="0" quotePrefix="1" applyNumberFormat="1" applyFont="1" applyFill="1" applyBorder="1" applyAlignment="1">
      <alignment vertical="center"/>
    </xf>
    <xf numFmtId="0" fontId="55" fillId="7" borderId="7" xfId="0" applyFont="1" applyFill="1" applyBorder="1"/>
    <xf numFmtId="0" fontId="55" fillId="0" borderId="0" xfId="0" applyFont="1"/>
    <xf numFmtId="0" fontId="56" fillId="4" borderId="0" xfId="0" applyFont="1" applyFill="1" applyAlignment="1">
      <alignment horizontal="right"/>
    </xf>
    <xf numFmtId="0" fontId="57" fillId="0" borderId="0" xfId="0" applyFont="1"/>
    <xf numFmtId="166" fontId="56" fillId="7" borderId="7" xfId="3" applyNumberFormat="1" applyFont="1" applyFill="1" applyBorder="1"/>
    <xf numFmtId="0" fontId="57" fillId="0" borderId="8" xfId="0" applyFont="1" applyBorder="1"/>
    <xf numFmtId="166" fontId="56" fillId="0" borderId="0" xfId="3" applyNumberFormat="1" applyFont="1" applyBorder="1"/>
    <xf numFmtId="0" fontId="57" fillId="4" borderId="0" xfId="0" applyFont="1" applyFill="1"/>
    <xf numFmtId="0" fontId="45" fillId="4" borderId="0" xfId="0" applyFont="1" applyFill="1"/>
    <xf numFmtId="0" fontId="44" fillId="13" borderId="2" xfId="0" applyFont="1" applyFill="1" applyBorder="1" applyAlignment="1">
      <alignment vertical="center"/>
    </xf>
    <xf numFmtId="0" fontId="44" fillId="13" borderId="5" xfId="0" applyFont="1" applyFill="1" applyBorder="1" applyAlignment="1">
      <alignment vertical="center"/>
    </xf>
    <xf numFmtId="0" fontId="44" fillId="13" borderId="3" xfId="0" applyFont="1" applyFill="1" applyBorder="1" applyAlignment="1">
      <alignment vertical="center"/>
    </xf>
    <xf numFmtId="0" fontId="46" fillId="13" borderId="5" xfId="0" applyFont="1" applyFill="1" applyBorder="1" applyAlignment="1">
      <alignment vertical="center"/>
    </xf>
    <xf numFmtId="0" fontId="46" fillId="13" borderId="3" xfId="0" applyFont="1" applyFill="1" applyBorder="1" applyAlignment="1">
      <alignment vertical="center"/>
    </xf>
  </cellXfs>
  <cellStyles count="10">
    <cellStyle name="Comma" xfId="3" builtinId="3"/>
    <cellStyle name="Comma 2" xfId="9" xr:uid="{CEAB3832-3ED5-432E-B415-A0525C277824}"/>
    <cellStyle name="Good" xfId="1" builtinId="26"/>
    <cellStyle name="Hyperlink" xfId="8" builtinId="8"/>
    <cellStyle name="Neutral" xfId="2" builtinId="28"/>
    <cellStyle name="Neutral 2" xfId="6" xr:uid="{967D8B02-E817-4D79-9459-7B236B48B045}"/>
    <cellStyle name="Normal" xfId="0" builtinId="0"/>
    <cellStyle name="Normal 2" xfId="5" xr:uid="{0BB4AB11-8C1A-4019-AD47-0EAD7AF7ED77}"/>
    <cellStyle name="Percent" xfId="4" builtinId="5"/>
    <cellStyle name="Percent 2" xfId="7" xr:uid="{44615A2A-929E-4DB3-AD71-E3486984C8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5.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6.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7.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8.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EE0A213E-BC39-4539-A076-024979DC5CBF}" type="doc">
      <dgm:prSet loTypeId="urn:microsoft.com/office/officeart/2005/8/layout/chevron1" loCatId="process" qsTypeId="urn:microsoft.com/office/officeart/2005/8/quickstyle/simple1" qsCatId="simple" csTypeId="urn:microsoft.com/office/officeart/2005/8/colors/accent1_2" csCatId="accent1" phldr="1"/>
      <dgm:spPr/>
    </dgm:pt>
    <dgm:pt modelId="{F7B63D28-F1E4-4792-8A37-77286318453A}">
      <dgm:prSet phldrT="[Text]"/>
      <dgm:spPr/>
      <dgm:t>
        <a:bodyPr/>
        <a:lstStyle/>
        <a:p>
          <a:r>
            <a:rPr lang="en-GB"/>
            <a:t>Offer Negotiation </a:t>
          </a:r>
        </a:p>
      </dgm:t>
    </dgm:pt>
    <dgm:pt modelId="{36CF7786-9057-46CC-9992-5400F7A43B76}" type="parTrans" cxnId="{90FD00AC-B24A-4420-B92E-1966CEC24BB4}">
      <dgm:prSet/>
      <dgm:spPr/>
      <dgm:t>
        <a:bodyPr/>
        <a:lstStyle/>
        <a:p>
          <a:endParaRPr lang="en-GB"/>
        </a:p>
      </dgm:t>
    </dgm:pt>
    <dgm:pt modelId="{C3FED26E-626C-4F19-8B75-91556484315B}" type="sibTrans" cxnId="{90FD00AC-B24A-4420-B92E-1966CEC24BB4}">
      <dgm:prSet/>
      <dgm:spPr/>
      <dgm:t>
        <a:bodyPr/>
        <a:lstStyle/>
        <a:p>
          <a:endParaRPr lang="en-GB"/>
        </a:p>
      </dgm:t>
    </dgm:pt>
    <dgm:pt modelId="{4172837C-725B-49E7-9CE4-EE0E921B4F51}">
      <dgm:prSet phldrT="[Text]"/>
      <dgm:spPr/>
      <dgm:t>
        <a:bodyPr/>
        <a:lstStyle/>
        <a:p>
          <a:r>
            <a:rPr lang="en-GB"/>
            <a:t>Heads of Terms</a:t>
          </a:r>
        </a:p>
      </dgm:t>
    </dgm:pt>
    <dgm:pt modelId="{8D823DCF-48FA-4E2E-96F2-9DCB22400467}" type="parTrans" cxnId="{5D5C57B6-C645-4AF3-87BB-6ACD00419B71}">
      <dgm:prSet/>
      <dgm:spPr/>
      <dgm:t>
        <a:bodyPr/>
        <a:lstStyle/>
        <a:p>
          <a:endParaRPr lang="en-GB"/>
        </a:p>
      </dgm:t>
    </dgm:pt>
    <dgm:pt modelId="{8F0E4C5A-976C-4F48-A56F-3DFA71630D6A}" type="sibTrans" cxnId="{5D5C57B6-C645-4AF3-87BB-6ACD00419B71}">
      <dgm:prSet/>
      <dgm:spPr/>
      <dgm:t>
        <a:bodyPr/>
        <a:lstStyle/>
        <a:p>
          <a:endParaRPr lang="en-GB"/>
        </a:p>
      </dgm:t>
    </dgm:pt>
    <dgm:pt modelId="{C19583F5-D181-497B-A4ED-ADC197376BE2}">
      <dgm:prSet phldrT="[Text]"/>
      <dgm:spPr/>
      <dgm:t>
        <a:bodyPr/>
        <a:lstStyle/>
        <a:p>
          <a:r>
            <a:rPr lang="en-GB"/>
            <a:t>Closed Won/</a:t>
          </a:r>
          <a:br>
            <a:rPr lang="en-GB"/>
          </a:br>
          <a:r>
            <a:rPr lang="en-GB"/>
            <a:t> Closed Lost</a:t>
          </a:r>
        </a:p>
      </dgm:t>
    </dgm:pt>
    <dgm:pt modelId="{140A0F1E-8579-4D88-80CB-E68C29814EC4}" type="parTrans" cxnId="{6A847635-A54B-40B1-A01E-215A90658AF3}">
      <dgm:prSet/>
      <dgm:spPr/>
      <dgm:t>
        <a:bodyPr/>
        <a:lstStyle/>
        <a:p>
          <a:endParaRPr lang="en-GB"/>
        </a:p>
      </dgm:t>
    </dgm:pt>
    <dgm:pt modelId="{08EEA626-AE0C-4CF7-A076-B89DE61A3683}" type="sibTrans" cxnId="{6A847635-A54B-40B1-A01E-215A90658AF3}">
      <dgm:prSet/>
      <dgm:spPr/>
      <dgm:t>
        <a:bodyPr/>
        <a:lstStyle/>
        <a:p>
          <a:endParaRPr lang="en-GB"/>
        </a:p>
      </dgm:t>
    </dgm:pt>
    <dgm:pt modelId="{8F37F2F7-7FBE-400C-A712-09E55E58BC91}">
      <dgm:prSet phldrT="[Text]"/>
      <dgm:spPr/>
      <dgm:t>
        <a:bodyPr/>
        <a:lstStyle/>
        <a:p>
          <a:r>
            <a:rPr lang="en-GB"/>
            <a:t>Audit</a:t>
          </a:r>
        </a:p>
      </dgm:t>
    </dgm:pt>
    <dgm:pt modelId="{79BC3D87-5E3E-47A1-8823-2595EB93A13F}" type="parTrans" cxnId="{665D521B-5AB6-441A-8BBE-8DC693D5B5CF}">
      <dgm:prSet/>
      <dgm:spPr/>
      <dgm:t>
        <a:bodyPr/>
        <a:lstStyle/>
        <a:p>
          <a:endParaRPr lang="en-GB"/>
        </a:p>
      </dgm:t>
    </dgm:pt>
    <dgm:pt modelId="{D3FEA518-45D8-4B0F-9A83-8B3992D0DA5A}" type="sibTrans" cxnId="{665D521B-5AB6-441A-8BBE-8DC693D5B5CF}">
      <dgm:prSet/>
      <dgm:spPr/>
      <dgm:t>
        <a:bodyPr/>
        <a:lstStyle/>
        <a:p>
          <a:endParaRPr lang="en-GB"/>
        </a:p>
      </dgm:t>
    </dgm:pt>
    <dgm:pt modelId="{F88E33B3-A1C7-4837-BF22-73640E718C3D}">
      <dgm:prSet phldrT="[Text]"/>
      <dgm:spPr/>
      <dgm:t>
        <a:bodyPr/>
        <a:lstStyle/>
        <a:p>
          <a:r>
            <a:rPr lang="en-GB"/>
            <a:t>IC </a:t>
          </a:r>
          <a:br>
            <a:rPr lang="en-GB"/>
          </a:br>
          <a:r>
            <a:rPr lang="en-GB"/>
            <a:t>Approval</a:t>
          </a:r>
        </a:p>
      </dgm:t>
    </dgm:pt>
    <dgm:pt modelId="{3A9A77C0-E53A-4E34-A15B-E7A96DFB68AD}" type="parTrans" cxnId="{9182413C-7AF5-44FC-B358-840E566DF0DB}">
      <dgm:prSet/>
      <dgm:spPr/>
      <dgm:t>
        <a:bodyPr/>
        <a:lstStyle/>
        <a:p>
          <a:endParaRPr lang="en-GB"/>
        </a:p>
      </dgm:t>
    </dgm:pt>
    <dgm:pt modelId="{D4A7F7CD-2CB8-44D2-B841-163A4F86AF7C}" type="sibTrans" cxnId="{9182413C-7AF5-44FC-B358-840E566DF0DB}">
      <dgm:prSet/>
      <dgm:spPr/>
      <dgm:t>
        <a:bodyPr/>
        <a:lstStyle/>
        <a:p>
          <a:endParaRPr lang="en-GB"/>
        </a:p>
      </dgm:t>
    </dgm:pt>
    <dgm:pt modelId="{F3B94DAF-B79D-4A66-9EE2-A7E021592D66}">
      <dgm:prSet phldrT="[Text]"/>
      <dgm:spPr/>
      <dgm:t>
        <a:bodyPr/>
        <a:lstStyle/>
        <a:p>
          <a:r>
            <a:rPr lang="en-GB"/>
            <a:t>AM </a:t>
          </a:r>
          <a:br>
            <a:rPr lang="en-GB"/>
          </a:br>
          <a:r>
            <a:rPr lang="en-GB"/>
            <a:t>Approval</a:t>
          </a:r>
        </a:p>
      </dgm:t>
    </dgm:pt>
    <dgm:pt modelId="{F2946E75-32FF-402E-AD40-D60D1544F72F}" type="parTrans" cxnId="{7F1A2DAC-0DD8-48A9-A07C-37D7F1585463}">
      <dgm:prSet/>
      <dgm:spPr/>
      <dgm:t>
        <a:bodyPr/>
        <a:lstStyle/>
        <a:p>
          <a:endParaRPr lang="en-GB"/>
        </a:p>
      </dgm:t>
    </dgm:pt>
    <dgm:pt modelId="{D778745E-E86A-4181-A064-0D58CBE51DBF}" type="sibTrans" cxnId="{7F1A2DAC-0DD8-48A9-A07C-37D7F1585463}">
      <dgm:prSet/>
      <dgm:spPr/>
      <dgm:t>
        <a:bodyPr/>
        <a:lstStyle/>
        <a:p>
          <a:endParaRPr lang="en-GB"/>
        </a:p>
      </dgm:t>
    </dgm:pt>
    <dgm:pt modelId="{FF0AF5DB-47F8-48FB-9052-D2D8F2F743D7}">
      <dgm:prSet phldrT="[Text]"/>
      <dgm:spPr/>
      <dgm:t>
        <a:bodyPr/>
        <a:lstStyle/>
        <a:p>
          <a:r>
            <a:rPr lang="en-GB"/>
            <a:t>Move in Monies</a:t>
          </a:r>
        </a:p>
      </dgm:t>
    </dgm:pt>
    <dgm:pt modelId="{C021E2EB-7467-48F5-89D2-7970A3D6D825}" type="parTrans" cxnId="{EB6C1144-F733-4116-9FDA-477A2CDDE092}">
      <dgm:prSet/>
      <dgm:spPr/>
      <dgm:t>
        <a:bodyPr/>
        <a:lstStyle/>
        <a:p>
          <a:endParaRPr lang="en-GB"/>
        </a:p>
      </dgm:t>
    </dgm:pt>
    <dgm:pt modelId="{6C133461-CFAA-4D21-8E95-50CB3F120ECF}" type="sibTrans" cxnId="{EB6C1144-F733-4116-9FDA-477A2CDDE092}">
      <dgm:prSet/>
      <dgm:spPr/>
      <dgm:t>
        <a:bodyPr/>
        <a:lstStyle/>
        <a:p>
          <a:endParaRPr lang="en-GB"/>
        </a:p>
      </dgm:t>
    </dgm:pt>
    <dgm:pt modelId="{0496FF10-42E7-4DD4-A079-4468A8F6DEEC}">
      <dgm:prSet phldrT="[Text]"/>
      <dgm:spPr/>
      <dgm:t>
        <a:bodyPr/>
        <a:lstStyle/>
        <a:p>
          <a:r>
            <a:rPr lang="en-GB"/>
            <a:t>Referencing</a:t>
          </a:r>
        </a:p>
      </dgm:t>
    </dgm:pt>
    <dgm:pt modelId="{647B6A73-A93F-4AC7-AD61-09866C0AD7E6}" type="parTrans" cxnId="{818E044E-B388-4DF2-B5D4-4E220062CB6A}">
      <dgm:prSet/>
      <dgm:spPr/>
      <dgm:t>
        <a:bodyPr/>
        <a:lstStyle/>
        <a:p>
          <a:endParaRPr lang="en-GB"/>
        </a:p>
      </dgm:t>
    </dgm:pt>
    <dgm:pt modelId="{1E3B44B5-4548-43DE-85CF-EAD5F01FA534}" type="sibTrans" cxnId="{818E044E-B388-4DF2-B5D4-4E220062CB6A}">
      <dgm:prSet/>
      <dgm:spPr/>
      <dgm:t>
        <a:bodyPr/>
        <a:lstStyle/>
        <a:p>
          <a:endParaRPr lang="en-GB"/>
        </a:p>
      </dgm:t>
    </dgm:pt>
    <dgm:pt modelId="{A41FDC5F-09E8-4265-9DD5-4737308D52F7}">
      <dgm:prSet phldrT="[Text]"/>
      <dgm:spPr/>
      <dgm:t>
        <a:bodyPr/>
        <a:lstStyle/>
        <a:p>
          <a:r>
            <a:rPr lang="en-GB"/>
            <a:t>Legals</a:t>
          </a:r>
        </a:p>
      </dgm:t>
    </dgm:pt>
    <dgm:pt modelId="{B8FBBD25-61DD-4F50-9C0E-A64FEB38D636}" type="parTrans" cxnId="{2114A7CD-CFCD-44C7-8DF3-C9602527A9E0}">
      <dgm:prSet/>
      <dgm:spPr/>
      <dgm:t>
        <a:bodyPr/>
        <a:lstStyle/>
        <a:p>
          <a:endParaRPr lang="en-GB"/>
        </a:p>
      </dgm:t>
    </dgm:pt>
    <dgm:pt modelId="{9DE297B3-6788-49A2-9770-802DAFB6F2ED}" type="sibTrans" cxnId="{2114A7CD-CFCD-44C7-8DF3-C9602527A9E0}">
      <dgm:prSet/>
      <dgm:spPr/>
      <dgm:t>
        <a:bodyPr/>
        <a:lstStyle/>
        <a:p>
          <a:endParaRPr lang="en-GB"/>
        </a:p>
      </dgm:t>
    </dgm:pt>
    <dgm:pt modelId="{A955EDC5-7484-4FF2-B9D1-38B9DF6B9A7B}" type="pres">
      <dgm:prSet presAssocID="{EE0A213E-BC39-4539-A076-024979DC5CBF}" presName="Name0" presStyleCnt="0">
        <dgm:presLayoutVars>
          <dgm:dir/>
          <dgm:animLvl val="lvl"/>
          <dgm:resizeHandles val="exact"/>
        </dgm:presLayoutVars>
      </dgm:prSet>
      <dgm:spPr/>
    </dgm:pt>
    <dgm:pt modelId="{F03D22F0-89B7-4B25-AAE7-F4CAE4333D53}" type="pres">
      <dgm:prSet presAssocID="{F7B63D28-F1E4-4792-8A37-77286318453A}" presName="parTxOnly" presStyleLbl="node1" presStyleIdx="0" presStyleCnt="9">
        <dgm:presLayoutVars>
          <dgm:chMax val="0"/>
          <dgm:chPref val="0"/>
          <dgm:bulletEnabled val="1"/>
        </dgm:presLayoutVars>
      </dgm:prSet>
      <dgm:spPr/>
    </dgm:pt>
    <dgm:pt modelId="{C30C6BE3-6741-4FE8-8E7C-D8F1033440B2}" type="pres">
      <dgm:prSet presAssocID="{C3FED26E-626C-4F19-8B75-91556484315B}" presName="parTxOnlySpace" presStyleCnt="0"/>
      <dgm:spPr/>
    </dgm:pt>
    <dgm:pt modelId="{4A0C9928-5AD9-4D48-B590-16BDCB8D52D9}" type="pres">
      <dgm:prSet presAssocID="{0496FF10-42E7-4DD4-A079-4468A8F6DEEC}" presName="parTxOnly" presStyleLbl="node1" presStyleIdx="1" presStyleCnt="9">
        <dgm:presLayoutVars>
          <dgm:chMax val="0"/>
          <dgm:chPref val="0"/>
          <dgm:bulletEnabled val="1"/>
        </dgm:presLayoutVars>
      </dgm:prSet>
      <dgm:spPr/>
    </dgm:pt>
    <dgm:pt modelId="{73DBF556-E145-42B7-9191-E4A0CF38F12F}" type="pres">
      <dgm:prSet presAssocID="{1E3B44B5-4548-43DE-85CF-EAD5F01FA534}" presName="parTxOnlySpace" presStyleCnt="0"/>
      <dgm:spPr/>
    </dgm:pt>
    <dgm:pt modelId="{2E494893-C528-435D-BDC7-5CF13F4EFBC2}" type="pres">
      <dgm:prSet presAssocID="{F3B94DAF-B79D-4A66-9EE2-A7E021592D66}" presName="parTxOnly" presStyleLbl="node1" presStyleIdx="2" presStyleCnt="9">
        <dgm:presLayoutVars>
          <dgm:chMax val="0"/>
          <dgm:chPref val="0"/>
          <dgm:bulletEnabled val="1"/>
        </dgm:presLayoutVars>
      </dgm:prSet>
      <dgm:spPr/>
    </dgm:pt>
    <dgm:pt modelId="{013DF0EF-06BC-4B62-B652-21F756915D3D}" type="pres">
      <dgm:prSet presAssocID="{D778745E-E86A-4181-A064-0D58CBE51DBF}" presName="parTxOnlySpace" presStyleCnt="0"/>
      <dgm:spPr/>
    </dgm:pt>
    <dgm:pt modelId="{466C6739-1C73-46E2-AA34-A5A6A3971E84}" type="pres">
      <dgm:prSet presAssocID="{F88E33B3-A1C7-4837-BF22-73640E718C3D}" presName="parTxOnly" presStyleLbl="node1" presStyleIdx="3" presStyleCnt="9">
        <dgm:presLayoutVars>
          <dgm:chMax val="0"/>
          <dgm:chPref val="0"/>
          <dgm:bulletEnabled val="1"/>
        </dgm:presLayoutVars>
      </dgm:prSet>
      <dgm:spPr/>
    </dgm:pt>
    <dgm:pt modelId="{9BAB2264-302C-42FE-BC5D-F11E2BA92F5F}" type="pres">
      <dgm:prSet presAssocID="{D4A7F7CD-2CB8-44D2-B841-163A4F86AF7C}" presName="parTxOnlySpace" presStyleCnt="0"/>
      <dgm:spPr/>
    </dgm:pt>
    <dgm:pt modelId="{9E545AC0-CCEF-4F02-89AA-8D2AC2F8B074}" type="pres">
      <dgm:prSet presAssocID="{4172837C-725B-49E7-9CE4-EE0E921B4F51}" presName="parTxOnly" presStyleLbl="node1" presStyleIdx="4" presStyleCnt="9">
        <dgm:presLayoutVars>
          <dgm:chMax val="0"/>
          <dgm:chPref val="0"/>
          <dgm:bulletEnabled val="1"/>
        </dgm:presLayoutVars>
      </dgm:prSet>
      <dgm:spPr/>
    </dgm:pt>
    <dgm:pt modelId="{D8DBA9A6-2B5D-495D-A051-BE1D955B17F3}" type="pres">
      <dgm:prSet presAssocID="{8F0E4C5A-976C-4F48-A56F-3DFA71630D6A}" presName="parTxOnlySpace" presStyleCnt="0"/>
      <dgm:spPr/>
    </dgm:pt>
    <dgm:pt modelId="{4EEB1E03-4DE8-4371-A3FA-AFBE5E06236C}" type="pres">
      <dgm:prSet presAssocID="{A41FDC5F-09E8-4265-9DD5-4737308D52F7}" presName="parTxOnly" presStyleLbl="node1" presStyleIdx="5" presStyleCnt="9">
        <dgm:presLayoutVars>
          <dgm:chMax val="0"/>
          <dgm:chPref val="0"/>
          <dgm:bulletEnabled val="1"/>
        </dgm:presLayoutVars>
      </dgm:prSet>
      <dgm:spPr/>
    </dgm:pt>
    <dgm:pt modelId="{4F77F5FA-C057-4395-A3A9-6F6912C0DB37}" type="pres">
      <dgm:prSet presAssocID="{9DE297B3-6788-49A2-9770-802DAFB6F2ED}" presName="parTxOnlySpace" presStyleCnt="0"/>
      <dgm:spPr/>
    </dgm:pt>
    <dgm:pt modelId="{CA1E89E5-2B6A-4966-947F-285340F40785}" type="pres">
      <dgm:prSet presAssocID="{FF0AF5DB-47F8-48FB-9052-D2D8F2F743D7}" presName="parTxOnly" presStyleLbl="node1" presStyleIdx="6" presStyleCnt="9">
        <dgm:presLayoutVars>
          <dgm:chMax val="0"/>
          <dgm:chPref val="0"/>
          <dgm:bulletEnabled val="1"/>
        </dgm:presLayoutVars>
      </dgm:prSet>
      <dgm:spPr/>
    </dgm:pt>
    <dgm:pt modelId="{2443D643-CB2C-4724-97B6-A6DEF6A944D2}" type="pres">
      <dgm:prSet presAssocID="{6C133461-CFAA-4D21-8E95-50CB3F120ECF}" presName="parTxOnlySpace" presStyleCnt="0"/>
      <dgm:spPr/>
    </dgm:pt>
    <dgm:pt modelId="{E9171F42-A4E7-4640-92B9-92E07F606218}" type="pres">
      <dgm:prSet presAssocID="{8F37F2F7-7FBE-400C-A712-09E55E58BC91}" presName="parTxOnly" presStyleLbl="node1" presStyleIdx="7" presStyleCnt="9">
        <dgm:presLayoutVars>
          <dgm:chMax val="0"/>
          <dgm:chPref val="0"/>
          <dgm:bulletEnabled val="1"/>
        </dgm:presLayoutVars>
      </dgm:prSet>
      <dgm:spPr/>
    </dgm:pt>
    <dgm:pt modelId="{BA30CCC8-7B64-4E1D-9A51-D480EBBB345E}" type="pres">
      <dgm:prSet presAssocID="{D3FEA518-45D8-4B0F-9A83-8B3992D0DA5A}" presName="parTxOnlySpace" presStyleCnt="0"/>
      <dgm:spPr/>
    </dgm:pt>
    <dgm:pt modelId="{06A68BE7-3541-4F3C-8F9D-12D0976D80D0}" type="pres">
      <dgm:prSet presAssocID="{C19583F5-D181-497B-A4ED-ADC197376BE2}" presName="parTxOnly" presStyleLbl="node1" presStyleIdx="8" presStyleCnt="9">
        <dgm:presLayoutVars>
          <dgm:chMax val="0"/>
          <dgm:chPref val="0"/>
          <dgm:bulletEnabled val="1"/>
        </dgm:presLayoutVars>
      </dgm:prSet>
      <dgm:spPr/>
    </dgm:pt>
  </dgm:ptLst>
  <dgm:cxnLst>
    <dgm:cxn modelId="{665D521B-5AB6-441A-8BBE-8DC693D5B5CF}" srcId="{EE0A213E-BC39-4539-A076-024979DC5CBF}" destId="{8F37F2F7-7FBE-400C-A712-09E55E58BC91}" srcOrd="7" destOrd="0" parTransId="{79BC3D87-5E3E-47A1-8823-2595EB93A13F}" sibTransId="{D3FEA518-45D8-4B0F-9A83-8B3992D0DA5A}"/>
    <dgm:cxn modelId="{25C3A72E-8E9E-4F6E-91B6-C6CC3F429593}" type="presOf" srcId="{F3B94DAF-B79D-4A66-9EE2-A7E021592D66}" destId="{2E494893-C528-435D-BDC7-5CF13F4EFBC2}" srcOrd="0" destOrd="0" presId="urn:microsoft.com/office/officeart/2005/8/layout/chevron1"/>
    <dgm:cxn modelId="{6A847635-A54B-40B1-A01E-215A90658AF3}" srcId="{EE0A213E-BC39-4539-A076-024979DC5CBF}" destId="{C19583F5-D181-497B-A4ED-ADC197376BE2}" srcOrd="8" destOrd="0" parTransId="{140A0F1E-8579-4D88-80CB-E68C29814EC4}" sibTransId="{08EEA626-AE0C-4CF7-A076-B89DE61A3683}"/>
    <dgm:cxn modelId="{9182413C-7AF5-44FC-B358-840E566DF0DB}" srcId="{EE0A213E-BC39-4539-A076-024979DC5CBF}" destId="{F88E33B3-A1C7-4837-BF22-73640E718C3D}" srcOrd="3" destOrd="0" parTransId="{3A9A77C0-E53A-4E34-A15B-E7A96DFB68AD}" sibTransId="{D4A7F7CD-2CB8-44D2-B841-163A4F86AF7C}"/>
    <dgm:cxn modelId="{EB6C1144-F733-4116-9FDA-477A2CDDE092}" srcId="{EE0A213E-BC39-4539-A076-024979DC5CBF}" destId="{FF0AF5DB-47F8-48FB-9052-D2D8F2F743D7}" srcOrd="6" destOrd="0" parTransId="{C021E2EB-7467-48F5-89D2-7970A3D6D825}" sibTransId="{6C133461-CFAA-4D21-8E95-50CB3F120ECF}"/>
    <dgm:cxn modelId="{818E044E-B388-4DF2-B5D4-4E220062CB6A}" srcId="{EE0A213E-BC39-4539-A076-024979DC5CBF}" destId="{0496FF10-42E7-4DD4-A079-4468A8F6DEEC}" srcOrd="1" destOrd="0" parTransId="{647B6A73-A93F-4AC7-AD61-09866C0AD7E6}" sibTransId="{1E3B44B5-4548-43DE-85CF-EAD5F01FA534}"/>
    <dgm:cxn modelId="{FCCEE26E-4EFD-48E0-A908-56605DE77421}" type="presOf" srcId="{C19583F5-D181-497B-A4ED-ADC197376BE2}" destId="{06A68BE7-3541-4F3C-8F9D-12D0976D80D0}" srcOrd="0" destOrd="0" presId="urn:microsoft.com/office/officeart/2005/8/layout/chevron1"/>
    <dgm:cxn modelId="{66B2CE5A-3D8A-4804-8AFC-3D67062C7794}" type="presOf" srcId="{4172837C-725B-49E7-9CE4-EE0E921B4F51}" destId="{9E545AC0-CCEF-4F02-89AA-8D2AC2F8B074}" srcOrd="0" destOrd="0" presId="urn:microsoft.com/office/officeart/2005/8/layout/chevron1"/>
    <dgm:cxn modelId="{C7D64E7C-9257-4DAB-AC32-48D6E844821A}" type="presOf" srcId="{F88E33B3-A1C7-4837-BF22-73640E718C3D}" destId="{466C6739-1C73-46E2-AA34-A5A6A3971E84}" srcOrd="0" destOrd="0" presId="urn:microsoft.com/office/officeart/2005/8/layout/chevron1"/>
    <dgm:cxn modelId="{16B9608A-C6DD-41AA-8D28-B3F74A8BBB45}" type="presOf" srcId="{FF0AF5DB-47F8-48FB-9052-D2D8F2F743D7}" destId="{CA1E89E5-2B6A-4966-947F-285340F40785}" srcOrd="0" destOrd="0" presId="urn:microsoft.com/office/officeart/2005/8/layout/chevron1"/>
    <dgm:cxn modelId="{F88AFC8E-EA1F-4193-B4BF-AC838530D031}" type="presOf" srcId="{EE0A213E-BC39-4539-A076-024979DC5CBF}" destId="{A955EDC5-7484-4FF2-B9D1-38B9DF6B9A7B}" srcOrd="0" destOrd="0" presId="urn:microsoft.com/office/officeart/2005/8/layout/chevron1"/>
    <dgm:cxn modelId="{90FD00AC-B24A-4420-B92E-1966CEC24BB4}" srcId="{EE0A213E-BC39-4539-A076-024979DC5CBF}" destId="{F7B63D28-F1E4-4792-8A37-77286318453A}" srcOrd="0" destOrd="0" parTransId="{36CF7786-9057-46CC-9992-5400F7A43B76}" sibTransId="{C3FED26E-626C-4F19-8B75-91556484315B}"/>
    <dgm:cxn modelId="{7F1A2DAC-0DD8-48A9-A07C-37D7F1585463}" srcId="{EE0A213E-BC39-4539-A076-024979DC5CBF}" destId="{F3B94DAF-B79D-4A66-9EE2-A7E021592D66}" srcOrd="2" destOrd="0" parTransId="{F2946E75-32FF-402E-AD40-D60D1544F72F}" sibTransId="{D778745E-E86A-4181-A064-0D58CBE51DBF}"/>
    <dgm:cxn modelId="{5D5C57B6-C645-4AF3-87BB-6ACD00419B71}" srcId="{EE0A213E-BC39-4539-A076-024979DC5CBF}" destId="{4172837C-725B-49E7-9CE4-EE0E921B4F51}" srcOrd="4" destOrd="0" parTransId="{8D823DCF-48FA-4E2E-96F2-9DCB22400467}" sibTransId="{8F0E4C5A-976C-4F48-A56F-3DFA71630D6A}"/>
    <dgm:cxn modelId="{CDAC85BC-76BE-4FFB-BE8E-207EE64F0C8E}" type="presOf" srcId="{F7B63D28-F1E4-4792-8A37-77286318453A}" destId="{F03D22F0-89B7-4B25-AAE7-F4CAE4333D53}" srcOrd="0" destOrd="0" presId="urn:microsoft.com/office/officeart/2005/8/layout/chevron1"/>
    <dgm:cxn modelId="{2114A7CD-CFCD-44C7-8DF3-C9602527A9E0}" srcId="{EE0A213E-BC39-4539-A076-024979DC5CBF}" destId="{A41FDC5F-09E8-4265-9DD5-4737308D52F7}" srcOrd="5" destOrd="0" parTransId="{B8FBBD25-61DD-4F50-9C0E-A64FEB38D636}" sibTransId="{9DE297B3-6788-49A2-9770-802DAFB6F2ED}"/>
    <dgm:cxn modelId="{125743D0-77C9-4E6B-BB4E-AB2C60191812}" type="presOf" srcId="{A41FDC5F-09E8-4265-9DD5-4737308D52F7}" destId="{4EEB1E03-4DE8-4371-A3FA-AFBE5E06236C}" srcOrd="0" destOrd="0" presId="urn:microsoft.com/office/officeart/2005/8/layout/chevron1"/>
    <dgm:cxn modelId="{BEADB2E7-E9F9-4A68-A5B6-8F1FE68371CD}" type="presOf" srcId="{0496FF10-42E7-4DD4-A079-4468A8F6DEEC}" destId="{4A0C9928-5AD9-4D48-B590-16BDCB8D52D9}" srcOrd="0" destOrd="0" presId="urn:microsoft.com/office/officeart/2005/8/layout/chevron1"/>
    <dgm:cxn modelId="{AC510AEF-882B-452D-A950-21DDEC25650C}" type="presOf" srcId="{8F37F2F7-7FBE-400C-A712-09E55E58BC91}" destId="{E9171F42-A4E7-4640-92B9-92E07F606218}" srcOrd="0" destOrd="0" presId="urn:microsoft.com/office/officeart/2005/8/layout/chevron1"/>
    <dgm:cxn modelId="{F150856A-30A3-4EEA-9ED1-0E854BD67A56}" type="presParOf" srcId="{A955EDC5-7484-4FF2-B9D1-38B9DF6B9A7B}" destId="{F03D22F0-89B7-4B25-AAE7-F4CAE4333D53}" srcOrd="0" destOrd="0" presId="urn:microsoft.com/office/officeart/2005/8/layout/chevron1"/>
    <dgm:cxn modelId="{8E794613-83CA-4E6F-8262-C5CD5167B993}" type="presParOf" srcId="{A955EDC5-7484-4FF2-B9D1-38B9DF6B9A7B}" destId="{C30C6BE3-6741-4FE8-8E7C-D8F1033440B2}" srcOrd="1" destOrd="0" presId="urn:microsoft.com/office/officeart/2005/8/layout/chevron1"/>
    <dgm:cxn modelId="{9D7D7BE2-0287-43C4-A1A9-7C1F965AA914}" type="presParOf" srcId="{A955EDC5-7484-4FF2-B9D1-38B9DF6B9A7B}" destId="{4A0C9928-5AD9-4D48-B590-16BDCB8D52D9}" srcOrd="2" destOrd="0" presId="urn:microsoft.com/office/officeart/2005/8/layout/chevron1"/>
    <dgm:cxn modelId="{5AE99CDE-5754-4230-A19E-D1180996F940}" type="presParOf" srcId="{A955EDC5-7484-4FF2-B9D1-38B9DF6B9A7B}" destId="{73DBF556-E145-42B7-9191-E4A0CF38F12F}" srcOrd="3" destOrd="0" presId="urn:microsoft.com/office/officeart/2005/8/layout/chevron1"/>
    <dgm:cxn modelId="{BD4B7BFE-7D64-424E-800C-BEA1EEF5DD1C}" type="presParOf" srcId="{A955EDC5-7484-4FF2-B9D1-38B9DF6B9A7B}" destId="{2E494893-C528-435D-BDC7-5CF13F4EFBC2}" srcOrd="4" destOrd="0" presId="urn:microsoft.com/office/officeart/2005/8/layout/chevron1"/>
    <dgm:cxn modelId="{FD52D10B-F958-4A75-BA82-B450C16B82F7}" type="presParOf" srcId="{A955EDC5-7484-4FF2-B9D1-38B9DF6B9A7B}" destId="{013DF0EF-06BC-4B62-B652-21F756915D3D}" srcOrd="5" destOrd="0" presId="urn:microsoft.com/office/officeart/2005/8/layout/chevron1"/>
    <dgm:cxn modelId="{CB6548A3-AE37-4FB5-AECA-0E13B67B5E06}" type="presParOf" srcId="{A955EDC5-7484-4FF2-B9D1-38B9DF6B9A7B}" destId="{466C6739-1C73-46E2-AA34-A5A6A3971E84}" srcOrd="6" destOrd="0" presId="urn:microsoft.com/office/officeart/2005/8/layout/chevron1"/>
    <dgm:cxn modelId="{97F7E260-4926-4FF7-A0F5-E06D50C57F6C}" type="presParOf" srcId="{A955EDC5-7484-4FF2-B9D1-38B9DF6B9A7B}" destId="{9BAB2264-302C-42FE-BC5D-F11E2BA92F5F}" srcOrd="7" destOrd="0" presId="urn:microsoft.com/office/officeart/2005/8/layout/chevron1"/>
    <dgm:cxn modelId="{9DB81082-E302-418F-9DC6-C6BF8F4F3D9F}" type="presParOf" srcId="{A955EDC5-7484-4FF2-B9D1-38B9DF6B9A7B}" destId="{9E545AC0-CCEF-4F02-89AA-8D2AC2F8B074}" srcOrd="8" destOrd="0" presId="urn:microsoft.com/office/officeart/2005/8/layout/chevron1"/>
    <dgm:cxn modelId="{B8337273-E5B4-4638-8C23-3FCCF7CC9E9E}" type="presParOf" srcId="{A955EDC5-7484-4FF2-B9D1-38B9DF6B9A7B}" destId="{D8DBA9A6-2B5D-495D-A051-BE1D955B17F3}" srcOrd="9" destOrd="0" presId="urn:microsoft.com/office/officeart/2005/8/layout/chevron1"/>
    <dgm:cxn modelId="{F7945C20-32E4-451F-884B-173405BFDFE0}" type="presParOf" srcId="{A955EDC5-7484-4FF2-B9D1-38B9DF6B9A7B}" destId="{4EEB1E03-4DE8-4371-A3FA-AFBE5E06236C}" srcOrd="10" destOrd="0" presId="urn:microsoft.com/office/officeart/2005/8/layout/chevron1"/>
    <dgm:cxn modelId="{75990FDC-406E-4751-B7C3-5E0EC13E3F20}" type="presParOf" srcId="{A955EDC5-7484-4FF2-B9D1-38B9DF6B9A7B}" destId="{4F77F5FA-C057-4395-A3A9-6F6912C0DB37}" srcOrd="11" destOrd="0" presId="urn:microsoft.com/office/officeart/2005/8/layout/chevron1"/>
    <dgm:cxn modelId="{E4BC5EEB-914D-4682-BE33-44CBEA70B1A8}" type="presParOf" srcId="{A955EDC5-7484-4FF2-B9D1-38B9DF6B9A7B}" destId="{CA1E89E5-2B6A-4966-947F-285340F40785}" srcOrd="12" destOrd="0" presId="urn:microsoft.com/office/officeart/2005/8/layout/chevron1"/>
    <dgm:cxn modelId="{64289A53-60DC-4F29-BCFB-A8E9D3F13C1C}" type="presParOf" srcId="{A955EDC5-7484-4FF2-B9D1-38B9DF6B9A7B}" destId="{2443D643-CB2C-4724-97B6-A6DEF6A944D2}" srcOrd="13" destOrd="0" presId="urn:microsoft.com/office/officeart/2005/8/layout/chevron1"/>
    <dgm:cxn modelId="{24D44D60-81C0-4A38-996E-C2E08191BDDA}" type="presParOf" srcId="{A955EDC5-7484-4FF2-B9D1-38B9DF6B9A7B}" destId="{E9171F42-A4E7-4640-92B9-92E07F606218}" srcOrd="14" destOrd="0" presId="urn:microsoft.com/office/officeart/2005/8/layout/chevron1"/>
    <dgm:cxn modelId="{AABF0CE1-8F22-47A6-9F66-D56C161CB17C}" type="presParOf" srcId="{A955EDC5-7484-4FF2-B9D1-38B9DF6B9A7B}" destId="{BA30CCC8-7B64-4E1D-9A51-D480EBBB345E}" srcOrd="15" destOrd="0" presId="urn:microsoft.com/office/officeart/2005/8/layout/chevron1"/>
    <dgm:cxn modelId="{31E02F3A-311B-46C5-A0A1-CA2C29E9A94F}" type="presParOf" srcId="{A955EDC5-7484-4FF2-B9D1-38B9DF6B9A7B}" destId="{06A68BE7-3541-4F3C-8F9D-12D0976D80D0}" srcOrd="16" destOrd="0" presId="urn:microsoft.com/office/officeart/2005/8/layout/chevron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F1E5F1A5-0A0E-48A7-8022-2DE3FC75511B}" type="doc">
      <dgm:prSet loTypeId="urn:microsoft.com/office/officeart/2008/layout/LinedList" loCatId="list" qsTypeId="urn:microsoft.com/office/officeart/2005/8/quickstyle/simple1" qsCatId="simple" csTypeId="urn:microsoft.com/office/officeart/2005/8/colors/accent1_2" csCatId="accent1" phldr="1"/>
      <dgm:spPr/>
      <dgm:t>
        <a:bodyPr/>
        <a:lstStyle/>
        <a:p>
          <a:endParaRPr lang="en-GB"/>
        </a:p>
      </dgm:t>
    </dgm:pt>
    <dgm:pt modelId="{278E3D06-4872-4D5C-B374-0F96CF017A0F}">
      <dgm:prSet phldrT="[Text]"/>
      <dgm:spPr/>
      <dgm:t>
        <a:bodyPr/>
        <a:lstStyle/>
        <a:p>
          <a:r>
            <a:rPr lang="en-GB"/>
            <a:t>Agent Drafting HoT</a:t>
          </a:r>
        </a:p>
      </dgm:t>
    </dgm:pt>
    <dgm:pt modelId="{E3CF312A-587A-45CF-A55D-45E987382FA5}" type="parTrans" cxnId="{06DFDEEF-CA0C-4844-92F0-81D21FABA663}">
      <dgm:prSet/>
      <dgm:spPr/>
      <dgm:t>
        <a:bodyPr/>
        <a:lstStyle/>
        <a:p>
          <a:endParaRPr lang="en-GB"/>
        </a:p>
      </dgm:t>
    </dgm:pt>
    <dgm:pt modelId="{81970B18-24CF-4901-BD32-1D2B7625342E}" type="sibTrans" cxnId="{06DFDEEF-CA0C-4844-92F0-81D21FABA663}">
      <dgm:prSet/>
      <dgm:spPr/>
      <dgm:t>
        <a:bodyPr/>
        <a:lstStyle/>
        <a:p>
          <a:endParaRPr lang="en-GB"/>
        </a:p>
      </dgm:t>
    </dgm:pt>
    <dgm:pt modelId="{68D55ABD-B0AF-4F8B-95F4-EC08915226A3}">
      <dgm:prSet phldrT="[Text]"/>
      <dgm:spPr/>
      <dgm:t>
        <a:bodyPr/>
        <a:lstStyle/>
        <a:p>
          <a:r>
            <a:rPr lang="en-GB"/>
            <a:t>LL Agreed HoT</a:t>
          </a:r>
        </a:p>
      </dgm:t>
    </dgm:pt>
    <dgm:pt modelId="{A67AD13B-D012-430C-8E78-E2F9CC2B6483}" type="parTrans" cxnId="{061384F8-7280-416E-B4B8-BF3EC3468D51}">
      <dgm:prSet/>
      <dgm:spPr/>
      <dgm:t>
        <a:bodyPr/>
        <a:lstStyle/>
        <a:p>
          <a:endParaRPr lang="en-GB"/>
        </a:p>
      </dgm:t>
    </dgm:pt>
    <dgm:pt modelId="{802E1022-4136-4CA1-852F-6142CF7B66C1}" type="sibTrans" cxnId="{061384F8-7280-416E-B4B8-BF3EC3468D51}">
      <dgm:prSet/>
      <dgm:spPr/>
      <dgm:t>
        <a:bodyPr/>
        <a:lstStyle/>
        <a:p>
          <a:endParaRPr lang="en-GB"/>
        </a:p>
      </dgm:t>
    </dgm:pt>
    <dgm:pt modelId="{C9AB4487-FC6B-4969-BC1D-B3BC814086A1}">
      <dgm:prSet phldrT="[Text]"/>
      <dgm:spPr/>
      <dgm:t>
        <a:bodyPr/>
        <a:lstStyle/>
        <a:p>
          <a:r>
            <a:rPr lang="en-GB"/>
            <a:t>TT Agreed HoT</a:t>
          </a:r>
        </a:p>
      </dgm:t>
    </dgm:pt>
    <dgm:pt modelId="{EFDD72D3-0C07-40BF-86A2-04CABB722D8C}" type="parTrans" cxnId="{F062ED8F-C5A8-42B5-9E87-44829E6A5DFA}">
      <dgm:prSet/>
      <dgm:spPr/>
      <dgm:t>
        <a:bodyPr/>
        <a:lstStyle/>
        <a:p>
          <a:endParaRPr lang="en-GB"/>
        </a:p>
      </dgm:t>
    </dgm:pt>
    <dgm:pt modelId="{8C2E9EF4-04D0-442E-BED6-17CFD2A4FD69}" type="sibTrans" cxnId="{F062ED8F-C5A8-42B5-9E87-44829E6A5DFA}">
      <dgm:prSet/>
      <dgm:spPr/>
      <dgm:t>
        <a:bodyPr/>
        <a:lstStyle/>
        <a:p>
          <a:endParaRPr lang="en-GB"/>
        </a:p>
      </dgm:t>
    </dgm:pt>
    <dgm:pt modelId="{A8920FB3-5E67-4CB2-8F9E-6459AC1D410E}">
      <dgm:prSet phldrT="[Text]"/>
      <dgm:spPr/>
      <dgm:t>
        <a:bodyPr/>
        <a:lstStyle/>
        <a:p>
          <a:endParaRPr lang="en-GB"/>
        </a:p>
      </dgm:t>
    </dgm:pt>
    <dgm:pt modelId="{4BAB2C5C-6C05-42C8-AE0B-DD462C56E3CF}" type="sibTrans" cxnId="{3FE8E860-3F8A-473A-982E-DC26E4E03449}">
      <dgm:prSet/>
      <dgm:spPr/>
      <dgm:t>
        <a:bodyPr/>
        <a:lstStyle/>
        <a:p>
          <a:endParaRPr lang="en-GB"/>
        </a:p>
      </dgm:t>
    </dgm:pt>
    <dgm:pt modelId="{4F4E73C0-AD0E-4B92-BC21-DAD96588D440}" type="parTrans" cxnId="{3FE8E860-3F8A-473A-982E-DC26E4E03449}">
      <dgm:prSet/>
      <dgm:spPr/>
      <dgm:t>
        <a:bodyPr/>
        <a:lstStyle/>
        <a:p>
          <a:endParaRPr lang="en-GB"/>
        </a:p>
      </dgm:t>
    </dgm:pt>
    <dgm:pt modelId="{F1D47E84-E541-424E-9E33-232F469750B0}" type="pres">
      <dgm:prSet presAssocID="{F1E5F1A5-0A0E-48A7-8022-2DE3FC75511B}" presName="vert0" presStyleCnt="0">
        <dgm:presLayoutVars>
          <dgm:dir/>
          <dgm:animOne val="branch"/>
          <dgm:animLvl val="lvl"/>
        </dgm:presLayoutVars>
      </dgm:prSet>
      <dgm:spPr/>
    </dgm:pt>
    <dgm:pt modelId="{303153C9-AFB2-43C6-90F8-C8830730580D}" type="pres">
      <dgm:prSet presAssocID="{A8920FB3-5E67-4CB2-8F9E-6459AC1D410E}" presName="thickLine" presStyleLbl="alignNode1" presStyleIdx="0" presStyleCnt="1" custLinFactNeighborX="-625" custLinFactNeighborY="2210"/>
      <dgm:spPr/>
    </dgm:pt>
    <dgm:pt modelId="{7EC27058-D210-4A87-91B8-F311E3905784}" type="pres">
      <dgm:prSet presAssocID="{A8920FB3-5E67-4CB2-8F9E-6459AC1D410E}" presName="horz1" presStyleCnt="0"/>
      <dgm:spPr/>
    </dgm:pt>
    <dgm:pt modelId="{A0A7B3EA-9A50-449D-A19C-71D878DA407B}" type="pres">
      <dgm:prSet presAssocID="{A8920FB3-5E67-4CB2-8F9E-6459AC1D410E}" presName="tx1" presStyleLbl="revTx" presStyleIdx="0" presStyleCnt="4" custFlipHor="1" custScaleX="15000"/>
      <dgm:spPr/>
    </dgm:pt>
    <dgm:pt modelId="{6235987E-7195-4D30-808E-196BE06782A1}" type="pres">
      <dgm:prSet presAssocID="{A8920FB3-5E67-4CB2-8F9E-6459AC1D410E}" presName="vert1" presStyleCnt="0"/>
      <dgm:spPr/>
    </dgm:pt>
    <dgm:pt modelId="{A3F0D3E0-0277-49CE-81E9-8D2512F44761}" type="pres">
      <dgm:prSet presAssocID="{278E3D06-4872-4D5C-B374-0F96CF017A0F}" presName="vertSpace2a" presStyleCnt="0"/>
      <dgm:spPr/>
    </dgm:pt>
    <dgm:pt modelId="{147CBA2B-97D4-4C33-8F61-BCDD3CA5E46E}" type="pres">
      <dgm:prSet presAssocID="{278E3D06-4872-4D5C-B374-0F96CF017A0F}" presName="horz2" presStyleCnt="0"/>
      <dgm:spPr/>
    </dgm:pt>
    <dgm:pt modelId="{292F6668-623C-4C43-B58E-3E4EB4775566}" type="pres">
      <dgm:prSet presAssocID="{278E3D06-4872-4D5C-B374-0F96CF017A0F}" presName="horzSpace2" presStyleCnt="0"/>
      <dgm:spPr/>
    </dgm:pt>
    <dgm:pt modelId="{9F6FEB68-43C2-4730-8586-56850BE3A8E0}" type="pres">
      <dgm:prSet presAssocID="{278E3D06-4872-4D5C-B374-0F96CF017A0F}" presName="tx2" presStyleLbl="revTx" presStyleIdx="1" presStyleCnt="4"/>
      <dgm:spPr/>
    </dgm:pt>
    <dgm:pt modelId="{9B58C295-9CE3-4770-8D8A-E4A8B1F0B842}" type="pres">
      <dgm:prSet presAssocID="{278E3D06-4872-4D5C-B374-0F96CF017A0F}" presName="vert2" presStyleCnt="0"/>
      <dgm:spPr/>
    </dgm:pt>
    <dgm:pt modelId="{C8B662AF-2727-4E27-8DFA-D29D710FD1E8}" type="pres">
      <dgm:prSet presAssocID="{278E3D06-4872-4D5C-B374-0F96CF017A0F}" presName="thinLine2b" presStyleLbl="callout" presStyleIdx="0" presStyleCnt="3"/>
      <dgm:spPr/>
    </dgm:pt>
    <dgm:pt modelId="{2FAD698E-37A3-475A-84E2-74FC4CDA1B9D}" type="pres">
      <dgm:prSet presAssocID="{278E3D06-4872-4D5C-B374-0F96CF017A0F}" presName="vertSpace2b" presStyleCnt="0"/>
      <dgm:spPr/>
    </dgm:pt>
    <dgm:pt modelId="{6E9A699B-DF25-40DA-866C-B0D0128A8072}" type="pres">
      <dgm:prSet presAssocID="{68D55ABD-B0AF-4F8B-95F4-EC08915226A3}" presName="horz2" presStyleCnt="0"/>
      <dgm:spPr/>
    </dgm:pt>
    <dgm:pt modelId="{F46B9EF0-E4A5-4846-9E72-23DDC8678ACB}" type="pres">
      <dgm:prSet presAssocID="{68D55ABD-B0AF-4F8B-95F4-EC08915226A3}" presName="horzSpace2" presStyleCnt="0"/>
      <dgm:spPr/>
    </dgm:pt>
    <dgm:pt modelId="{0DA7E684-7494-485D-BC65-70210F520182}" type="pres">
      <dgm:prSet presAssocID="{68D55ABD-B0AF-4F8B-95F4-EC08915226A3}" presName="tx2" presStyleLbl="revTx" presStyleIdx="2" presStyleCnt="4"/>
      <dgm:spPr/>
    </dgm:pt>
    <dgm:pt modelId="{D47EFEB9-33D7-49C6-B289-BF9214316FDB}" type="pres">
      <dgm:prSet presAssocID="{68D55ABD-B0AF-4F8B-95F4-EC08915226A3}" presName="vert2" presStyleCnt="0"/>
      <dgm:spPr/>
    </dgm:pt>
    <dgm:pt modelId="{9AAF855B-C8E7-479B-AAA7-EE8316F15CF5}" type="pres">
      <dgm:prSet presAssocID="{68D55ABD-B0AF-4F8B-95F4-EC08915226A3}" presName="thinLine2b" presStyleLbl="callout" presStyleIdx="1" presStyleCnt="3"/>
      <dgm:spPr/>
    </dgm:pt>
    <dgm:pt modelId="{CD986582-291A-4224-8E23-4405D90EC044}" type="pres">
      <dgm:prSet presAssocID="{68D55ABD-B0AF-4F8B-95F4-EC08915226A3}" presName="vertSpace2b" presStyleCnt="0"/>
      <dgm:spPr/>
    </dgm:pt>
    <dgm:pt modelId="{B1173BDE-93F4-4A2C-A45F-0E112E1A4DEE}" type="pres">
      <dgm:prSet presAssocID="{C9AB4487-FC6B-4969-BC1D-B3BC814086A1}" presName="horz2" presStyleCnt="0"/>
      <dgm:spPr/>
    </dgm:pt>
    <dgm:pt modelId="{D8CE02D4-A85B-4C09-BAD7-7EFA3CB7BB0C}" type="pres">
      <dgm:prSet presAssocID="{C9AB4487-FC6B-4969-BC1D-B3BC814086A1}" presName="horzSpace2" presStyleCnt="0"/>
      <dgm:spPr/>
    </dgm:pt>
    <dgm:pt modelId="{7E0010B8-8B1C-4F2C-9646-5D8404B970A1}" type="pres">
      <dgm:prSet presAssocID="{C9AB4487-FC6B-4969-BC1D-B3BC814086A1}" presName="tx2" presStyleLbl="revTx" presStyleIdx="3" presStyleCnt="4"/>
      <dgm:spPr/>
    </dgm:pt>
    <dgm:pt modelId="{D7F36475-04F1-4F98-8E78-1A2B294FD457}" type="pres">
      <dgm:prSet presAssocID="{C9AB4487-FC6B-4969-BC1D-B3BC814086A1}" presName="vert2" presStyleCnt="0"/>
      <dgm:spPr/>
    </dgm:pt>
    <dgm:pt modelId="{85EB95A0-9C49-45E1-BA9A-7544C43A8AB1}" type="pres">
      <dgm:prSet presAssocID="{C9AB4487-FC6B-4969-BC1D-B3BC814086A1}" presName="thinLine2b" presStyleLbl="callout" presStyleIdx="2" presStyleCnt="3"/>
      <dgm:spPr/>
    </dgm:pt>
    <dgm:pt modelId="{6C3DD20D-6246-40C7-8174-E41E2D6395AB}" type="pres">
      <dgm:prSet presAssocID="{C9AB4487-FC6B-4969-BC1D-B3BC814086A1}" presName="vertSpace2b" presStyleCnt="0"/>
      <dgm:spPr/>
    </dgm:pt>
  </dgm:ptLst>
  <dgm:cxnLst>
    <dgm:cxn modelId="{3882DE23-208A-4CFC-ACF1-440E0F3DFB04}" type="presOf" srcId="{A8920FB3-5E67-4CB2-8F9E-6459AC1D410E}" destId="{A0A7B3EA-9A50-449D-A19C-71D878DA407B}" srcOrd="0" destOrd="0" presId="urn:microsoft.com/office/officeart/2008/layout/LinedList"/>
    <dgm:cxn modelId="{3FE8E860-3F8A-473A-982E-DC26E4E03449}" srcId="{F1E5F1A5-0A0E-48A7-8022-2DE3FC75511B}" destId="{A8920FB3-5E67-4CB2-8F9E-6459AC1D410E}" srcOrd="0" destOrd="0" parTransId="{4F4E73C0-AD0E-4B92-BC21-DAD96588D440}" sibTransId="{4BAB2C5C-6C05-42C8-AE0B-DD462C56E3CF}"/>
    <dgm:cxn modelId="{A85F9668-996A-42B3-87C5-DB29DB694EDC}" type="presOf" srcId="{278E3D06-4872-4D5C-B374-0F96CF017A0F}" destId="{9F6FEB68-43C2-4730-8586-56850BE3A8E0}" srcOrd="0" destOrd="0" presId="urn:microsoft.com/office/officeart/2008/layout/LinedList"/>
    <dgm:cxn modelId="{C8DB4B75-16B5-46AC-8739-5E84BA9C18FA}" type="presOf" srcId="{68D55ABD-B0AF-4F8B-95F4-EC08915226A3}" destId="{0DA7E684-7494-485D-BC65-70210F520182}" srcOrd="0" destOrd="0" presId="urn:microsoft.com/office/officeart/2008/layout/LinedList"/>
    <dgm:cxn modelId="{905E8A80-9B88-498A-B291-3A30452975EE}" type="presOf" srcId="{C9AB4487-FC6B-4969-BC1D-B3BC814086A1}" destId="{7E0010B8-8B1C-4F2C-9646-5D8404B970A1}" srcOrd="0" destOrd="0" presId="urn:microsoft.com/office/officeart/2008/layout/LinedList"/>
    <dgm:cxn modelId="{F062ED8F-C5A8-42B5-9E87-44829E6A5DFA}" srcId="{A8920FB3-5E67-4CB2-8F9E-6459AC1D410E}" destId="{C9AB4487-FC6B-4969-BC1D-B3BC814086A1}" srcOrd="2" destOrd="0" parTransId="{EFDD72D3-0C07-40BF-86A2-04CABB722D8C}" sibTransId="{8C2E9EF4-04D0-442E-BED6-17CFD2A4FD69}"/>
    <dgm:cxn modelId="{06DFDEEF-CA0C-4844-92F0-81D21FABA663}" srcId="{A8920FB3-5E67-4CB2-8F9E-6459AC1D410E}" destId="{278E3D06-4872-4D5C-B374-0F96CF017A0F}" srcOrd="0" destOrd="0" parTransId="{E3CF312A-587A-45CF-A55D-45E987382FA5}" sibTransId="{81970B18-24CF-4901-BD32-1D2B7625342E}"/>
    <dgm:cxn modelId="{B08CFBF7-C6BC-4D6A-B412-1C3AED2147E8}" type="presOf" srcId="{F1E5F1A5-0A0E-48A7-8022-2DE3FC75511B}" destId="{F1D47E84-E541-424E-9E33-232F469750B0}" srcOrd="0" destOrd="0" presId="urn:microsoft.com/office/officeart/2008/layout/LinedList"/>
    <dgm:cxn modelId="{061384F8-7280-416E-B4B8-BF3EC3468D51}" srcId="{A8920FB3-5E67-4CB2-8F9E-6459AC1D410E}" destId="{68D55ABD-B0AF-4F8B-95F4-EC08915226A3}" srcOrd="1" destOrd="0" parTransId="{A67AD13B-D012-430C-8E78-E2F9CC2B6483}" sibTransId="{802E1022-4136-4CA1-852F-6142CF7B66C1}"/>
    <dgm:cxn modelId="{8C1CB268-75AA-4FED-B865-7FDC30C8A458}" type="presParOf" srcId="{F1D47E84-E541-424E-9E33-232F469750B0}" destId="{303153C9-AFB2-43C6-90F8-C8830730580D}" srcOrd="0" destOrd="0" presId="urn:microsoft.com/office/officeart/2008/layout/LinedList"/>
    <dgm:cxn modelId="{55CBE871-C9AF-4093-B9F1-0BC11D0BAD86}" type="presParOf" srcId="{F1D47E84-E541-424E-9E33-232F469750B0}" destId="{7EC27058-D210-4A87-91B8-F311E3905784}" srcOrd="1" destOrd="0" presId="urn:microsoft.com/office/officeart/2008/layout/LinedList"/>
    <dgm:cxn modelId="{ABC7B812-2D2D-4AB0-AEA7-6B67FE55C08B}" type="presParOf" srcId="{7EC27058-D210-4A87-91B8-F311E3905784}" destId="{A0A7B3EA-9A50-449D-A19C-71D878DA407B}" srcOrd="0" destOrd="0" presId="urn:microsoft.com/office/officeart/2008/layout/LinedList"/>
    <dgm:cxn modelId="{1B7C46D8-A4E3-4058-BC53-037316C0CC40}" type="presParOf" srcId="{7EC27058-D210-4A87-91B8-F311E3905784}" destId="{6235987E-7195-4D30-808E-196BE06782A1}" srcOrd="1" destOrd="0" presId="urn:microsoft.com/office/officeart/2008/layout/LinedList"/>
    <dgm:cxn modelId="{5BD888FF-1AF3-4DAD-837F-E5A499D02C2B}" type="presParOf" srcId="{6235987E-7195-4D30-808E-196BE06782A1}" destId="{A3F0D3E0-0277-49CE-81E9-8D2512F44761}" srcOrd="0" destOrd="0" presId="urn:microsoft.com/office/officeart/2008/layout/LinedList"/>
    <dgm:cxn modelId="{7881A165-D1CC-4F99-A8E3-A4C305F7EDF9}" type="presParOf" srcId="{6235987E-7195-4D30-808E-196BE06782A1}" destId="{147CBA2B-97D4-4C33-8F61-BCDD3CA5E46E}" srcOrd="1" destOrd="0" presId="urn:microsoft.com/office/officeart/2008/layout/LinedList"/>
    <dgm:cxn modelId="{06BCB403-A523-49BE-A591-0C9130AF90F2}" type="presParOf" srcId="{147CBA2B-97D4-4C33-8F61-BCDD3CA5E46E}" destId="{292F6668-623C-4C43-B58E-3E4EB4775566}" srcOrd="0" destOrd="0" presId="urn:microsoft.com/office/officeart/2008/layout/LinedList"/>
    <dgm:cxn modelId="{74ADB7FD-5A12-4557-95BE-0E91A5D447BC}" type="presParOf" srcId="{147CBA2B-97D4-4C33-8F61-BCDD3CA5E46E}" destId="{9F6FEB68-43C2-4730-8586-56850BE3A8E0}" srcOrd="1" destOrd="0" presId="urn:microsoft.com/office/officeart/2008/layout/LinedList"/>
    <dgm:cxn modelId="{CA7545E8-DA63-4E0D-9173-19A5E900E1B4}" type="presParOf" srcId="{147CBA2B-97D4-4C33-8F61-BCDD3CA5E46E}" destId="{9B58C295-9CE3-4770-8D8A-E4A8B1F0B842}" srcOrd="2" destOrd="0" presId="urn:microsoft.com/office/officeart/2008/layout/LinedList"/>
    <dgm:cxn modelId="{522D693E-0342-4642-9755-93D61BB82107}" type="presParOf" srcId="{6235987E-7195-4D30-808E-196BE06782A1}" destId="{C8B662AF-2727-4E27-8DFA-D29D710FD1E8}" srcOrd="2" destOrd="0" presId="urn:microsoft.com/office/officeart/2008/layout/LinedList"/>
    <dgm:cxn modelId="{F50AFC10-C5F7-40B2-BEE0-6AAB8F0C45A6}" type="presParOf" srcId="{6235987E-7195-4D30-808E-196BE06782A1}" destId="{2FAD698E-37A3-475A-84E2-74FC4CDA1B9D}" srcOrd="3" destOrd="0" presId="urn:microsoft.com/office/officeart/2008/layout/LinedList"/>
    <dgm:cxn modelId="{04EAD001-1F35-4FBA-81D5-9C862E4A6D1A}" type="presParOf" srcId="{6235987E-7195-4D30-808E-196BE06782A1}" destId="{6E9A699B-DF25-40DA-866C-B0D0128A8072}" srcOrd="4" destOrd="0" presId="urn:microsoft.com/office/officeart/2008/layout/LinedList"/>
    <dgm:cxn modelId="{EC00F672-9017-4A9D-9CEB-9C875D8559BF}" type="presParOf" srcId="{6E9A699B-DF25-40DA-866C-B0D0128A8072}" destId="{F46B9EF0-E4A5-4846-9E72-23DDC8678ACB}" srcOrd="0" destOrd="0" presId="urn:microsoft.com/office/officeart/2008/layout/LinedList"/>
    <dgm:cxn modelId="{CDEC81C5-5912-40A4-A7F4-FF87AA095DC8}" type="presParOf" srcId="{6E9A699B-DF25-40DA-866C-B0D0128A8072}" destId="{0DA7E684-7494-485D-BC65-70210F520182}" srcOrd="1" destOrd="0" presId="urn:microsoft.com/office/officeart/2008/layout/LinedList"/>
    <dgm:cxn modelId="{4F78E5EC-092A-48CF-9228-E0D7E6A11011}" type="presParOf" srcId="{6E9A699B-DF25-40DA-866C-B0D0128A8072}" destId="{D47EFEB9-33D7-49C6-B289-BF9214316FDB}" srcOrd="2" destOrd="0" presId="urn:microsoft.com/office/officeart/2008/layout/LinedList"/>
    <dgm:cxn modelId="{23D1A0C2-0870-4D89-8FD7-49028444AB85}" type="presParOf" srcId="{6235987E-7195-4D30-808E-196BE06782A1}" destId="{9AAF855B-C8E7-479B-AAA7-EE8316F15CF5}" srcOrd="5" destOrd="0" presId="urn:microsoft.com/office/officeart/2008/layout/LinedList"/>
    <dgm:cxn modelId="{CD8FED94-1031-420F-BB20-DA2ED7DCE7A9}" type="presParOf" srcId="{6235987E-7195-4D30-808E-196BE06782A1}" destId="{CD986582-291A-4224-8E23-4405D90EC044}" srcOrd="6" destOrd="0" presId="urn:microsoft.com/office/officeart/2008/layout/LinedList"/>
    <dgm:cxn modelId="{6988875F-9D9F-4F42-9260-6BE05A0DA857}" type="presParOf" srcId="{6235987E-7195-4D30-808E-196BE06782A1}" destId="{B1173BDE-93F4-4A2C-A45F-0E112E1A4DEE}" srcOrd="7" destOrd="0" presId="urn:microsoft.com/office/officeart/2008/layout/LinedList"/>
    <dgm:cxn modelId="{B8515F08-7667-45C6-95F0-9D53344DF022}" type="presParOf" srcId="{B1173BDE-93F4-4A2C-A45F-0E112E1A4DEE}" destId="{D8CE02D4-A85B-4C09-BAD7-7EFA3CB7BB0C}" srcOrd="0" destOrd="0" presId="urn:microsoft.com/office/officeart/2008/layout/LinedList"/>
    <dgm:cxn modelId="{C29BFC80-0357-4551-ADBF-AD6E36AE4A94}" type="presParOf" srcId="{B1173BDE-93F4-4A2C-A45F-0E112E1A4DEE}" destId="{7E0010B8-8B1C-4F2C-9646-5D8404B970A1}" srcOrd="1" destOrd="0" presId="urn:microsoft.com/office/officeart/2008/layout/LinedList"/>
    <dgm:cxn modelId="{FD6C3BE0-6944-4946-8F13-C1D69E66AAF7}" type="presParOf" srcId="{B1173BDE-93F4-4A2C-A45F-0E112E1A4DEE}" destId="{D7F36475-04F1-4F98-8E78-1A2B294FD457}" srcOrd="2" destOrd="0" presId="urn:microsoft.com/office/officeart/2008/layout/LinedList"/>
    <dgm:cxn modelId="{41F54E15-BE0F-4D18-9B1A-B8CED4F19075}" type="presParOf" srcId="{6235987E-7195-4D30-808E-196BE06782A1}" destId="{85EB95A0-9C49-45E1-BA9A-7544C43A8AB1}" srcOrd="8" destOrd="0" presId="urn:microsoft.com/office/officeart/2008/layout/LinedList"/>
    <dgm:cxn modelId="{99D0DBA9-5E9C-4AF6-B182-92DBB39610B1}" type="presParOf" srcId="{6235987E-7195-4D30-808E-196BE06782A1}" destId="{6C3DD20D-6246-40C7-8174-E41E2D6395AB}" srcOrd="9" destOrd="0" presId="urn:microsoft.com/office/officeart/2008/layout/LinedList"/>
  </dgm:cxnLst>
  <dgm:bg/>
  <dgm:whole/>
  <dgm:extLst>
    <a:ext uri="http://schemas.microsoft.com/office/drawing/2008/diagram">
      <dsp:dataModelExt xmlns:dsp="http://schemas.microsoft.com/office/drawing/2008/diagram" relId="rId11"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F1E5F1A5-0A0E-48A7-8022-2DE3FC75511B}" type="doc">
      <dgm:prSet loTypeId="urn:microsoft.com/office/officeart/2008/layout/LinedList" loCatId="list" qsTypeId="urn:microsoft.com/office/officeart/2005/8/quickstyle/simple1" qsCatId="simple" csTypeId="urn:microsoft.com/office/officeart/2005/8/colors/accent1_2" csCatId="accent1" phldr="1"/>
      <dgm:spPr/>
      <dgm:t>
        <a:bodyPr/>
        <a:lstStyle/>
        <a:p>
          <a:endParaRPr lang="en-GB"/>
        </a:p>
      </dgm:t>
    </dgm:pt>
    <dgm:pt modelId="{A8920FB3-5E67-4CB2-8F9E-6459AC1D410E}">
      <dgm:prSet phldrT="[Text]"/>
      <dgm:spPr/>
      <dgm:t>
        <a:bodyPr/>
        <a:lstStyle/>
        <a:p>
          <a:endParaRPr lang="en-GB"/>
        </a:p>
      </dgm:t>
    </dgm:pt>
    <dgm:pt modelId="{4F4E73C0-AD0E-4B92-BC21-DAD96588D440}" type="parTrans" cxnId="{3FE8E860-3F8A-473A-982E-DC26E4E03449}">
      <dgm:prSet/>
      <dgm:spPr/>
      <dgm:t>
        <a:bodyPr/>
        <a:lstStyle/>
        <a:p>
          <a:endParaRPr lang="en-GB"/>
        </a:p>
      </dgm:t>
    </dgm:pt>
    <dgm:pt modelId="{4BAB2C5C-6C05-42C8-AE0B-DD462C56E3CF}" type="sibTrans" cxnId="{3FE8E860-3F8A-473A-982E-DC26E4E03449}">
      <dgm:prSet/>
      <dgm:spPr/>
      <dgm:t>
        <a:bodyPr/>
        <a:lstStyle/>
        <a:p>
          <a:endParaRPr lang="en-GB"/>
        </a:p>
      </dgm:t>
    </dgm:pt>
    <dgm:pt modelId="{733CA360-1FBF-4A7E-A3F0-CC68A03238E2}">
      <dgm:prSet phldrT="[Text]"/>
      <dgm:spPr/>
      <dgm:t>
        <a:bodyPr/>
        <a:lstStyle/>
        <a:p>
          <a:r>
            <a:rPr lang="en-GB"/>
            <a:t>In Negotiation</a:t>
          </a:r>
        </a:p>
      </dgm:t>
    </dgm:pt>
    <dgm:pt modelId="{45F14637-2B07-43CB-BD02-D3397AFC4639}" type="parTrans" cxnId="{60FEACF4-14FB-4F41-AB60-DE5B5906BA94}">
      <dgm:prSet/>
      <dgm:spPr/>
      <dgm:t>
        <a:bodyPr/>
        <a:lstStyle/>
        <a:p>
          <a:endParaRPr lang="en-GB"/>
        </a:p>
      </dgm:t>
    </dgm:pt>
    <dgm:pt modelId="{D5C660DC-1DD8-4DA5-AB2B-29E5D746515E}" type="sibTrans" cxnId="{60FEACF4-14FB-4F41-AB60-DE5B5906BA94}">
      <dgm:prSet/>
      <dgm:spPr/>
      <dgm:t>
        <a:bodyPr/>
        <a:lstStyle/>
        <a:p>
          <a:endParaRPr lang="en-GB"/>
        </a:p>
      </dgm:t>
    </dgm:pt>
    <dgm:pt modelId="{01E04C4B-8157-49E4-86E8-96CA2FD7A044}">
      <dgm:prSet phldrT="[Text]"/>
      <dgm:spPr/>
      <dgm:t>
        <a:bodyPr/>
        <a:lstStyle/>
        <a:p>
          <a:r>
            <a:rPr lang="en-GB"/>
            <a:t>In Signing</a:t>
          </a:r>
        </a:p>
      </dgm:t>
    </dgm:pt>
    <dgm:pt modelId="{B313F3BE-2F10-4084-8880-E7D554C3D85F}" type="parTrans" cxnId="{DB77E3A6-F28A-4EA2-9BE0-74B4727783E5}">
      <dgm:prSet/>
      <dgm:spPr/>
      <dgm:t>
        <a:bodyPr/>
        <a:lstStyle/>
        <a:p>
          <a:endParaRPr lang="en-GB"/>
        </a:p>
      </dgm:t>
    </dgm:pt>
    <dgm:pt modelId="{DDAE0F40-3313-41FF-B3C4-2BE3F35E38C5}" type="sibTrans" cxnId="{DB77E3A6-F28A-4EA2-9BE0-74B4727783E5}">
      <dgm:prSet/>
      <dgm:spPr/>
      <dgm:t>
        <a:bodyPr/>
        <a:lstStyle/>
        <a:p>
          <a:endParaRPr lang="en-GB"/>
        </a:p>
      </dgm:t>
    </dgm:pt>
    <dgm:pt modelId="{278E3D06-4872-4D5C-B374-0F96CF017A0F}">
      <dgm:prSet phldrT="[Text]"/>
      <dgm:spPr/>
      <dgm:t>
        <a:bodyPr/>
        <a:lstStyle/>
        <a:p>
          <a:r>
            <a:rPr lang="en-GB"/>
            <a:t>Solicitor Drafting Contract </a:t>
          </a:r>
        </a:p>
      </dgm:t>
    </dgm:pt>
    <dgm:pt modelId="{81970B18-24CF-4901-BD32-1D2B7625342E}" type="sibTrans" cxnId="{06DFDEEF-CA0C-4844-92F0-81D21FABA663}">
      <dgm:prSet/>
      <dgm:spPr/>
      <dgm:t>
        <a:bodyPr/>
        <a:lstStyle/>
        <a:p>
          <a:endParaRPr lang="en-GB"/>
        </a:p>
      </dgm:t>
    </dgm:pt>
    <dgm:pt modelId="{E3CF312A-587A-45CF-A55D-45E987382FA5}" type="parTrans" cxnId="{06DFDEEF-CA0C-4844-92F0-81D21FABA663}">
      <dgm:prSet/>
      <dgm:spPr/>
      <dgm:t>
        <a:bodyPr/>
        <a:lstStyle/>
        <a:p>
          <a:endParaRPr lang="en-GB"/>
        </a:p>
      </dgm:t>
    </dgm:pt>
    <dgm:pt modelId="{F1D47E84-E541-424E-9E33-232F469750B0}" type="pres">
      <dgm:prSet presAssocID="{F1E5F1A5-0A0E-48A7-8022-2DE3FC75511B}" presName="vert0" presStyleCnt="0">
        <dgm:presLayoutVars>
          <dgm:dir/>
          <dgm:animOne val="branch"/>
          <dgm:animLvl val="lvl"/>
        </dgm:presLayoutVars>
      </dgm:prSet>
      <dgm:spPr/>
    </dgm:pt>
    <dgm:pt modelId="{303153C9-AFB2-43C6-90F8-C8830730580D}" type="pres">
      <dgm:prSet presAssocID="{A8920FB3-5E67-4CB2-8F9E-6459AC1D410E}" presName="thickLine" presStyleLbl="alignNode1" presStyleIdx="0" presStyleCnt="1" custLinFactNeighborX="478" custLinFactNeighborY="1105"/>
      <dgm:spPr/>
    </dgm:pt>
    <dgm:pt modelId="{7EC27058-D210-4A87-91B8-F311E3905784}" type="pres">
      <dgm:prSet presAssocID="{A8920FB3-5E67-4CB2-8F9E-6459AC1D410E}" presName="horz1" presStyleCnt="0"/>
      <dgm:spPr/>
    </dgm:pt>
    <dgm:pt modelId="{A0A7B3EA-9A50-449D-A19C-71D878DA407B}" type="pres">
      <dgm:prSet presAssocID="{A8920FB3-5E67-4CB2-8F9E-6459AC1D410E}" presName="tx1" presStyleLbl="revTx" presStyleIdx="0" presStyleCnt="4" custFlipHor="1" custScaleX="11374"/>
      <dgm:spPr/>
    </dgm:pt>
    <dgm:pt modelId="{6235987E-7195-4D30-808E-196BE06782A1}" type="pres">
      <dgm:prSet presAssocID="{A8920FB3-5E67-4CB2-8F9E-6459AC1D410E}" presName="vert1" presStyleCnt="0"/>
      <dgm:spPr/>
    </dgm:pt>
    <dgm:pt modelId="{A3F0D3E0-0277-49CE-81E9-8D2512F44761}" type="pres">
      <dgm:prSet presAssocID="{278E3D06-4872-4D5C-B374-0F96CF017A0F}" presName="vertSpace2a" presStyleCnt="0"/>
      <dgm:spPr/>
    </dgm:pt>
    <dgm:pt modelId="{147CBA2B-97D4-4C33-8F61-BCDD3CA5E46E}" type="pres">
      <dgm:prSet presAssocID="{278E3D06-4872-4D5C-B374-0F96CF017A0F}" presName="horz2" presStyleCnt="0"/>
      <dgm:spPr/>
    </dgm:pt>
    <dgm:pt modelId="{292F6668-623C-4C43-B58E-3E4EB4775566}" type="pres">
      <dgm:prSet presAssocID="{278E3D06-4872-4D5C-B374-0F96CF017A0F}" presName="horzSpace2" presStyleCnt="0"/>
      <dgm:spPr/>
    </dgm:pt>
    <dgm:pt modelId="{9F6FEB68-43C2-4730-8586-56850BE3A8E0}" type="pres">
      <dgm:prSet presAssocID="{278E3D06-4872-4D5C-B374-0F96CF017A0F}" presName="tx2" presStyleLbl="revTx" presStyleIdx="1" presStyleCnt="4"/>
      <dgm:spPr/>
    </dgm:pt>
    <dgm:pt modelId="{9B58C295-9CE3-4770-8D8A-E4A8B1F0B842}" type="pres">
      <dgm:prSet presAssocID="{278E3D06-4872-4D5C-B374-0F96CF017A0F}" presName="vert2" presStyleCnt="0"/>
      <dgm:spPr/>
    </dgm:pt>
    <dgm:pt modelId="{C8B662AF-2727-4E27-8DFA-D29D710FD1E8}" type="pres">
      <dgm:prSet presAssocID="{278E3D06-4872-4D5C-B374-0F96CF017A0F}" presName="thinLine2b" presStyleLbl="callout" presStyleIdx="0" presStyleCnt="3"/>
      <dgm:spPr/>
    </dgm:pt>
    <dgm:pt modelId="{2FAD698E-37A3-475A-84E2-74FC4CDA1B9D}" type="pres">
      <dgm:prSet presAssocID="{278E3D06-4872-4D5C-B374-0F96CF017A0F}" presName="vertSpace2b" presStyleCnt="0"/>
      <dgm:spPr/>
    </dgm:pt>
    <dgm:pt modelId="{59B32B8C-B87D-45F8-A1F4-CB5FD7033A06}" type="pres">
      <dgm:prSet presAssocID="{733CA360-1FBF-4A7E-A3F0-CC68A03238E2}" presName="horz2" presStyleCnt="0"/>
      <dgm:spPr/>
    </dgm:pt>
    <dgm:pt modelId="{71A5AB8D-66A7-4DD6-8EA0-D47EF6E575B4}" type="pres">
      <dgm:prSet presAssocID="{733CA360-1FBF-4A7E-A3F0-CC68A03238E2}" presName="horzSpace2" presStyleCnt="0"/>
      <dgm:spPr/>
    </dgm:pt>
    <dgm:pt modelId="{A1C9789A-0EEA-4DA5-AC76-8CC0D116C6F3}" type="pres">
      <dgm:prSet presAssocID="{733CA360-1FBF-4A7E-A3F0-CC68A03238E2}" presName="tx2" presStyleLbl="revTx" presStyleIdx="2" presStyleCnt="4"/>
      <dgm:spPr/>
    </dgm:pt>
    <dgm:pt modelId="{79678EDA-BF0A-48FD-A449-928AC1D619F5}" type="pres">
      <dgm:prSet presAssocID="{733CA360-1FBF-4A7E-A3F0-CC68A03238E2}" presName="vert2" presStyleCnt="0"/>
      <dgm:spPr/>
    </dgm:pt>
    <dgm:pt modelId="{92EA4D53-8564-4140-885F-737328283054}" type="pres">
      <dgm:prSet presAssocID="{733CA360-1FBF-4A7E-A3F0-CC68A03238E2}" presName="thinLine2b" presStyleLbl="callout" presStyleIdx="1" presStyleCnt="3"/>
      <dgm:spPr/>
    </dgm:pt>
    <dgm:pt modelId="{2D7E3A04-BE2D-4C30-8ACB-9D4B79B4D273}" type="pres">
      <dgm:prSet presAssocID="{733CA360-1FBF-4A7E-A3F0-CC68A03238E2}" presName="vertSpace2b" presStyleCnt="0"/>
      <dgm:spPr/>
    </dgm:pt>
    <dgm:pt modelId="{45EBF1AF-0DE2-4968-8A50-B30CAF48ADBC}" type="pres">
      <dgm:prSet presAssocID="{01E04C4B-8157-49E4-86E8-96CA2FD7A044}" presName="horz2" presStyleCnt="0"/>
      <dgm:spPr/>
    </dgm:pt>
    <dgm:pt modelId="{835DBFF9-21E2-4221-9F4E-023E691B2E3E}" type="pres">
      <dgm:prSet presAssocID="{01E04C4B-8157-49E4-86E8-96CA2FD7A044}" presName="horzSpace2" presStyleCnt="0"/>
      <dgm:spPr/>
    </dgm:pt>
    <dgm:pt modelId="{53E50714-5651-4F41-94D0-B2D65C598801}" type="pres">
      <dgm:prSet presAssocID="{01E04C4B-8157-49E4-86E8-96CA2FD7A044}" presName="tx2" presStyleLbl="revTx" presStyleIdx="3" presStyleCnt="4"/>
      <dgm:spPr/>
    </dgm:pt>
    <dgm:pt modelId="{60F8B6FC-E6E2-4CCC-9E84-E84A9614612C}" type="pres">
      <dgm:prSet presAssocID="{01E04C4B-8157-49E4-86E8-96CA2FD7A044}" presName="vert2" presStyleCnt="0"/>
      <dgm:spPr/>
    </dgm:pt>
    <dgm:pt modelId="{E0F8ACB8-9E47-474E-BF61-E79029521C41}" type="pres">
      <dgm:prSet presAssocID="{01E04C4B-8157-49E4-86E8-96CA2FD7A044}" presName="thinLine2b" presStyleLbl="callout" presStyleIdx="2" presStyleCnt="3"/>
      <dgm:spPr/>
    </dgm:pt>
    <dgm:pt modelId="{36602787-F47F-403A-9D0E-6832883D989E}" type="pres">
      <dgm:prSet presAssocID="{01E04C4B-8157-49E4-86E8-96CA2FD7A044}" presName="vertSpace2b" presStyleCnt="0"/>
      <dgm:spPr/>
    </dgm:pt>
  </dgm:ptLst>
  <dgm:cxnLst>
    <dgm:cxn modelId="{3882DE23-208A-4CFC-ACF1-440E0F3DFB04}" type="presOf" srcId="{A8920FB3-5E67-4CB2-8F9E-6459AC1D410E}" destId="{A0A7B3EA-9A50-449D-A19C-71D878DA407B}" srcOrd="0" destOrd="0" presId="urn:microsoft.com/office/officeart/2008/layout/LinedList"/>
    <dgm:cxn modelId="{7B71262A-4C80-4810-96F8-B94D99CDDB89}" type="presOf" srcId="{01E04C4B-8157-49E4-86E8-96CA2FD7A044}" destId="{53E50714-5651-4F41-94D0-B2D65C598801}" srcOrd="0" destOrd="0" presId="urn:microsoft.com/office/officeart/2008/layout/LinedList"/>
    <dgm:cxn modelId="{3FE8E860-3F8A-473A-982E-DC26E4E03449}" srcId="{F1E5F1A5-0A0E-48A7-8022-2DE3FC75511B}" destId="{A8920FB3-5E67-4CB2-8F9E-6459AC1D410E}" srcOrd="0" destOrd="0" parTransId="{4F4E73C0-AD0E-4B92-BC21-DAD96588D440}" sibTransId="{4BAB2C5C-6C05-42C8-AE0B-DD462C56E3CF}"/>
    <dgm:cxn modelId="{A85F9668-996A-42B3-87C5-DB29DB694EDC}" type="presOf" srcId="{278E3D06-4872-4D5C-B374-0F96CF017A0F}" destId="{9F6FEB68-43C2-4730-8586-56850BE3A8E0}" srcOrd="0" destOrd="0" presId="urn:microsoft.com/office/officeart/2008/layout/LinedList"/>
    <dgm:cxn modelId="{38C11C55-C9EE-4B5D-85F6-6AC6277F53E0}" type="presOf" srcId="{733CA360-1FBF-4A7E-A3F0-CC68A03238E2}" destId="{A1C9789A-0EEA-4DA5-AC76-8CC0D116C6F3}" srcOrd="0" destOrd="0" presId="urn:microsoft.com/office/officeart/2008/layout/LinedList"/>
    <dgm:cxn modelId="{DB77E3A6-F28A-4EA2-9BE0-74B4727783E5}" srcId="{A8920FB3-5E67-4CB2-8F9E-6459AC1D410E}" destId="{01E04C4B-8157-49E4-86E8-96CA2FD7A044}" srcOrd="2" destOrd="0" parTransId="{B313F3BE-2F10-4084-8880-E7D554C3D85F}" sibTransId="{DDAE0F40-3313-41FF-B3C4-2BE3F35E38C5}"/>
    <dgm:cxn modelId="{06DFDEEF-CA0C-4844-92F0-81D21FABA663}" srcId="{A8920FB3-5E67-4CB2-8F9E-6459AC1D410E}" destId="{278E3D06-4872-4D5C-B374-0F96CF017A0F}" srcOrd="0" destOrd="0" parTransId="{E3CF312A-587A-45CF-A55D-45E987382FA5}" sibTransId="{81970B18-24CF-4901-BD32-1D2B7625342E}"/>
    <dgm:cxn modelId="{60FEACF4-14FB-4F41-AB60-DE5B5906BA94}" srcId="{A8920FB3-5E67-4CB2-8F9E-6459AC1D410E}" destId="{733CA360-1FBF-4A7E-A3F0-CC68A03238E2}" srcOrd="1" destOrd="0" parTransId="{45F14637-2B07-43CB-BD02-D3397AFC4639}" sibTransId="{D5C660DC-1DD8-4DA5-AB2B-29E5D746515E}"/>
    <dgm:cxn modelId="{B08CFBF7-C6BC-4D6A-B412-1C3AED2147E8}" type="presOf" srcId="{F1E5F1A5-0A0E-48A7-8022-2DE3FC75511B}" destId="{F1D47E84-E541-424E-9E33-232F469750B0}" srcOrd="0" destOrd="0" presId="urn:microsoft.com/office/officeart/2008/layout/LinedList"/>
    <dgm:cxn modelId="{8C1CB268-75AA-4FED-B865-7FDC30C8A458}" type="presParOf" srcId="{F1D47E84-E541-424E-9E33-232F469750B0}" destId="{303153C9-AFB2-43C6-90F8-C8830730580D}" srcOrd="0" destOrd="0" presId="urn:microsoft.com/office/officeart/2008/layout/LinedList"/>
    <dgm:cxn modelId="{55CBE871-C9AF-4093-B9F1-0BC11D0BAD86}" type="presParOf" srcId="{F1D47E84-E541-424E-9E33-232F469750B0}" destId="{7EC27058-D210-4A87-91B8-F311E3905784}" srcOrd="1" destOrd="0" presId="urn:microsoft.com/office/officeart/2008/layout/LinedList"/>
    <dgm:cxn modelId="{ABC7B812-2D2D-4AB0-AEA7-6B67FE55C08B}" type="presParOf" srcId="{7EC27058-D210-4A87-91B8-F311E3905784}" destId="{A0A7B3EA-9A50-449D-A19C-71D878DA407B}" srcOrd="0" destOrd="0" presId="urn:microsoft.com/office/officeart/2008/layout/LinedList"/>
    <dgm:cxn modelId="{1B7C46D8-A4E3-4058-BC53-037316C0CC40}" type="presParOf" srcId="{7EC27058-D210-4A87-91B8-F311E3905784}" destId="{6235987E-7195-4D30-808E-196BE06782A1}" srcOrd="1" destOrd="0" presId="urn:microsoft.com/office/officeart/2008/layout/LinedList"/>
    <dgm:cxn modelId="{5BD888FF-1AF3-4DAD-837F-E5A499D02C2B}" type="presParOf" srcId="{6235987E-7195-4D30-808E-196BE06782A1}" destId="{A3F0D3E0-0277-49CE-81E9-8D2512F44761}" srcOrd="0" destOrd="0" presId="urn:microsoft.com/office/officeart/2008/layout/LinedList"/>
    <dgm:cxn modelId="{7881A165-D1CC-4F99-A8E3-A4C305F7EDF9}" type="presParOf" srcId="{6235987E-7195-4D30-808E-196BE06782A1}" destId="{147CBA2B-97D4-4C33-8F61-BCDD3CA5E46E}" srcOrd="1" destOrd="0" presId="urn:microsoft.com/office/officeart/2008/layout/LinedList"/>
    <dgm:cxn modelId="{06BCB403-A523-49BE-A591-0C9130AF90F2}" type="presParOf" srcId="{147CBA2B-97D4-4C33-8F61-BCDD3CA5E46E}" destId="{292F6668-623C-4C43-B58E-3E4EB4775566}" srcOrd="0" destOrd="0" presId="urn:microsoft.com/office/officeart/2008/layout/LinedList"/>
    <dgm:cxn modelId="{74ADB7FD-5A12-4557-95BE-0E91A5D447BC}" type="presParOf" srcId="{147CBA2B-97D4-4C33-8F61-BCDD3CA5E46E}" destId="{9F6FEB68-43C2-4730-8586-56850BE3A8E0}" srcOrd="1" destOrd="0" presId="urn:microsoft.com/office/officeart/2008/layout/LinedList"/>
    <dgm:cxn modelId="{CA7545E8-DA63-4E0D-9173-19A5E900E1B4}" type="presParOf" srcId="{147CBA2B-97D4-4C33-8F61-BCDD3CA5E46E}" destId="{9B58C295-9CE3-4770-8D8A-E4A8B1F0B842}" srcOrd="2" destOrd="0" presId="urn:microsoft.com/office/officeart/2008/layout/LinedList"/>
    <dgm:cxn modelId="{522D693E-0342-4642-9755-93D61BB82107}" type="presParOf" srcId="{6235987E-7195-4D30-808E-196BE06782A1}" destId="{C8B662AF-2727-4E27-8DFA-D29D710FD1E8}" srcOrd="2" destOrd="0" presId="urn:microsoft.com/office/officeart/2008/layout/LinedList"/>
    <dgm:cxn modelId="{F50AFC10-C5F7-40B2-BEE0-6AAB8F0C45A6}" type="presParOf" srcId="{6235987E-7195-4D30-808E-196BE06782A1}" destId="{2FAD698E-37A3-475A-84E2-74FC4CDA1B9D}" srcOrd="3" destOrd="0" presId="urn:microsoft.com/office/officeart/2008/layout/LinedList"/>
    <dgm:cxn modelId="{D725493E-32BC-4CD7-AE85-4F939E41D9E9}" type="presParOf" srcId="{6235987E-7195-4D30-808E-196BE06782A1}" destId="{59B32B8C-B87D-45F8-A1F4-CB5FD7033A06}" srcOrd="4" destOrd="0" presId="urn:microsoft.com/office/officeart/2008/layout/LinedList"/>
    <dgm:cxn modelId="{1DD8CE65-E18A-4910-A438-77DB64ACEA6F}" type="presParOf" srcId="{59B32B8C-B87D-45F8-A1F4-CB5FD7033A06}" destId="{71A5AB8D-66A7-4DD6-8EA0-D47EF6E575B4}" srcOrd="0" destOrd="0" presId="urn:microsoft.com/office/officeart/2008/layout/LinedList"/>
    <dgm:cxn modelId="{2CAAB532-6E9C-4B13-A098-B23F657EFF45}" type="presParOf" srcId="{59B32B8C-B87D-45F8-A1F4-CB5FD7033A06}" destId="{A1C9789A-0EEA-4DA5-AC76-8CC0D116C6F3}" srcOrd="1" destOrd="0" presId="urn:microsoft.com/office/officeart/2008/layout/LinedList"/>
    <dgm:cxn modelId="{EC80F0E5-5FEF-40B7-B28F-80C86C3A58AF}" type="presParOf" srcId="{59B32B8C-B87D-45F8-A1F4-CB5FD7033A06}" destId="{79678EDA-BF0A-48FD-A449-928AC1D619F5}" srcOrd="2" destOrd="0" presId="urn:microsoft.com/office/officeart/2008/layout/LinedList"/>
    <dgm:cxn modelId="{5A351C02-C9BD-4B6C-A798-0AFA067629A0}" type="presParOf" srcId="{6235987E-7195-4D30-808E-196BE06782A1}" destId="{92EA4D53-8564-4140-885F-737328283054}" srcOrd="5" destOrd="0" presId="urn:microsoft.com/office/officeart/2008/layout/LinedList"/>
    <dgm:cxn modelId="{B295A09A-65B2-4F3D-BC79-591F77CAC696}" type="presParOf" srcId="{6235987E-7195-4D30-808E-196BE06782A1}" destId="{2D7E3A04-BE2D-4C30-8ACB-9D4B79B4D273}" srcOrd="6" destOrd="0" presId="urn:microsoft.com/office/officeart/2008/layout/LinedList"/>
    <dgm:cxn modelId="{5DD4ED19-9351-4592-A7FC-CA20F38B78BF}" type="presParOf" srcId="{6235987E-7195-4D30-808E-196BE06782A1}" destId="{45EBF1AF-0DE2-4968-8A50-B30CAF48ADBC}" srcOrd="7" destOrd="0" presId="urn:microsoft.com/office/officeart/2008/layout/LinedList"/>
    <dgm:cxn modelId="{FEB2E3A3-06F7-453F-A72A-648712CC3BDD}" type="presParOf" srcId="{45EBF1AF-0DE2-4968-8A50-B30CAF48ADBC}" destId="{835DBFF9-21E2-4221-9F4E-023E691B2E3E}" srcOrd="0" destOrd="0" presId="urn:microsoft.com/office/officeart/2008/layout/LinedList"/>
    <dgm:cxn modelId="{E713B885-9832-4D64-8E5F-AD8B1B4FC57D}" type="presParOf" srcId="{45EBF1AF-0DE2-4968-8A50-B30CAF48ADBC}" destId="{53E50714-5651-4F41-94D0-B2D65C598801}" srcOrd="1" destOrd="0" presId="urn:microsoft.com/office/officeart/2008/layout/LinedList"/>
    <dgm:cxn modelId="{16EECD6E-19B9-4596-BCCC-E4085C1490A2}" type="presParOf" srcId="{45EBF1AF-0DE2-4968-8A50-B30CAF48ADBC}" destId="{60F8B6FC-E6E2-4CCC-9E84-E84A9614612C}" srcOrd="2" destOrd="0" presId="urn:microsoft.com/office/officeart/2008/layout/LinedList"/>
    <dgm:cxn modelId="{1F145A5D-672A-4731-97B5-9F694D2F2E7E}" type="presParOf" srcId="{6235987E-7195-4D30-808E-196BE06782A1}" destId="{E0F8ACB8-9E47-474E-BF61-E79029521C41}" srcOrd="8" destOrd="0" presId="urn:microsoft.com/office/officeart/2008/layout/LinedList"/>
    <dgm:cxn modelId="{4DD1E00D-1BC6-4C84-AC03-EA2DE7E9B777}" type="presParOf" srcId="{6235987E-7195-4D30-808E-196BE06782A1}" destId="{36602787-F47F-403A-9D0E-6832883D989E}" srcOrd="9" destOrd="0" presId="urn:microsoft.com/office/officeart/2008/layout/LinedList"/>
  </dgm:cxnLst>
  <dgm:bg/>
  <dgm:whole/>
  <dgm:extLst>
    <a:ext uri="http://schemas.microsoft.com/office/drawing/2008/diagram">
      <dsp:dataModelExt xmlns:dsp="http://schemas.microsoft.com/office/drawing/2008/diagram" relId="rId16"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F1E5F1A5-0A0E-48A7-8022-2DE3FC75511B}" type="doc">
      <dgm:prSet loTypeId="urn:microsoft.com/office/officeart/2008/layout/LinedList" loCatId="list" qsTypeId="urn:microsoft.com/office/officeart/2005/8/quickstyle/simple1" qsCatId="simple" csTypeId="urn:microsoft.com/office/officeart/2005/8/colors/accent1_2" csCatId="accent1" phldr="1"/>
      <dgm:spPr/>
      <dgm:t>
        <a:bodyPr/>
        <a:lstStyle/>
        <a:p>
          <a:endParaRPr lang="en-GB"/>
        </a:p>
      </dgm:t>
    </dgm:pt>
    <dgm:pt modelId="{A8920FB3-5E67-4CB2-8F9E-6459AC1D410E}">
      <dgm:prSet phldrT="[Text]"/>
      <dgm:spPr/>
      <dgm:t>
        <a:bodyPr/>
        <a:lstStyle/>
        <a:p>
          <a:r>
            <a:rPr lang="en-GB"/>
            <a:t> </a:t>
          </a:r>
        </a:p>
      </dgm:t>
    </dgm:pt>
    <dgm:pt modelId="{4F4E73C0-AD0E-4B92-BC21-DAD96588D440}" type="parTrans" cxnId="{3FE8E860-3F8A-473A-982E-DC26E4E03449}">
      <dgm:prSet/>
      <dgm:spPr/>
      <dgm:t>
        <a:bodyPr/>
        <a:lstStyle/>
        <a:p>
          <a:endParaRPr lang="en-GB"/>
        </a:p>
      </dgm:t>
    </dgm:pt>
    <dgm:pt modelId="{4BAB2C5C-6C05-42C8-AE0B-DD462C56E3CF}" type="sibTrans" cxnId="{3FE8E860-3F8A-473A-982E-DC26E4E03449}">
      <dgm:prSet/>
      <dgm:spPr/>
      <dgm:t>
        <a:bodyPr/>
        <a:lstStyle/>
        <a:p>
          <a:endParaRPr lang="en-GB"/>
        </a:p>
      </dgm:t>
    </dgm:pt>
    <dgm:pt modelId="{278E3D06-4872-4D5C-B374-0F96CF017A0F}">
      <dgm:prSet phldrT="[Text]"/>
      <dgm:spPr/>
      <dgm:t>
        <a:bodyPr/>
        <a:lstStyle/>
        <a:p>
          <a:r>
            <a:rPr lang="en-GB"/>
            <a:t>Rejected by Leasing</a:t>
          </a:r>
        </a:p>
      </dgm:t>
    </dgm:pt>
    <dgm:pt modelId="{E3CF312A-587A-45CF-A55D-45E987382FA5}" type="parTrans" cxnId="{06DFDEEF-CA0C-4844-92F0-81D21FABA663}">
      <dgm:prSet/>
      <dgm:spPr/>
      <dgm:t>
        <a:bodyPr/>
        <a:lstStyle/>
        <a:p>
          <a:endParaRPr lang="en-GB"/>
        </a:p>
      </dgm:t>
    </dgm:pt>
    <dgm:pt modelId="{81970B18-24CF-4901-BD32-1D2B7625342E}" type="sibTrans" cxnId="{06DFDEEF-CA0C-4844-92F0-81D21FABA663}">
      <dgm:prSet/>
      <dgm:spPr/>
      <dgm:t>
        <a:bodyPr/>
        <a:lstStyle/>
        <a:p>
          <a:endParaRPr lang="en-GB"/>
        </a:p>
      </dgm:t>
    </dgm:pt>
    <dgm:pt modelId="{FFDBC62E-4D33-46DA-B642-AE6E43D90C64}">
      <dgm:prSet phldrT="[Text]"/>
      <dgm:spPr/>
      <dgm:t>
        <a:bodyPr/>
        <a:lstStyle/>
        <a:p>
          <a:r>
            <a:rPr lang="en-GB"/>
            <a:t>Rejected by AM</a:t>
          </a:r>
        </a:p>
      </dgm:t>
    </dgm:pt>
    <dgm:pt modelId="{F93850A8-002F-4545-A351-27FAAA8F5A46}" type="parTrans" cxnId="{71C7D0F6-F1F5-45E1-8538-0E698B9AD83F}">
      <dgm:prSet/>
      <dgm:spPr/>
      <dgm:t>
        <a:bodyPr/>
        <a:lstStyle/>
        <a:p>
          <a:endParaRPr lang="en-GB"/>
        </a:p>
      </dgm:t>
    </dgm:pt>
    <dgm:pt modelId="{BE884474-59DD-4291-8AC4-D0E8063993E6}" type="sibTrans" cxnId="{71C7D0F6-F1F5-45E1-8538-0E698B9AD83F}">
      <dgm:prSet/>
      <dgm:spPr/>
      <dgm:t>
        <a:bodyPr/>
        <a:lstStyle/>
        <a:p>
          <a:endParaRPr lang="en-GB"/>
        </a:p>
      </dgm:t>
    </dgm:pt>
    <dgm:pt modelId="{897AEEA5-2B59-4E61-B07B-DC78AC52A1E6}">
      <dgm:prSet phldrT="[Text]"/>
      <dgm:spPr/>
      <dgm:t>
        <a:bodyPr/>
        <a:lstStyle/>
        <a:p>
          <a:r>
            <a:rPr lang="en-GB"/>
            <a:t>Rejected by IC</a:t>
          </a:r>
        </a:p>
      </dgm:t>
    </dgm:pt>
    <dgm:pt modelId="{809041EF-F02E-409F-B09E-31754292B691}" type="parTrans" cxnId="{D1A292F7-586C-4BC8-B4FC-4D1F529200A6}">
      <dgm:prSet/>
      <dgm:spPr/>
      <dgm:t>
        <a:bodyPr/>
        <a:lstStyle/>
        <a:p>
          <a:endParaRPr lang="en-GB"/>
        </a:p>
      </dgm:t>
    </dgm:pt>
    <dgm:pt modelId="{9534E4D7-D9D9-473B-A05A-5E24C08EB95A}" type="sibTrans" cxnId="{D1A292F7-586C-4BC8-B4FC-4D1F529200A6}">
      <dgm:prSet/>
      <dgm:spPr/>
      <dgm:t>
        <a:bodyPr/>
        <a:lstStyle/>
        <a:p>
          <a:endParaRPr lang="en-GB"/>
        </a:p>
      </dgm:t>
    </dgm:pt>
    <dgm:pt modelId="{F1D47E84-E541-424E-9E33-232F469750B0}" type="pres">
      <dgm:prSet presAssocID="{F1E5F1A5-0A0E-48A7-8022-2DE3FC75511B}" presName="vert0" presStyleCnt="0">
        <dgm:presLayoutVars>
          <dgm:dir/>
          <dgm:animOne val="branch"/>
          <dgm:animLvl val="lvl"/>
        </dgm:presLayoutVars>
      </dgm:prSet>
      <dgm:spPr/>
    </dgm:pt>
    <dgm:pt modelId="{303153C9-AFB2-43C6-90F8-C8830730580D}" type="pres">
      <dgm:prSet presAssocID="{A8920FB3-5E67-4CB2-8F9E-6459AC1D410E}" presName="thickLine" presStyleLbl="alignNode1" presStyleIdx="0" presStyleCnt="1" custLinFactNeighborX="585"/>
      <dgm:spPr/>
    </dgm:pt>
    <dgm:pt modelId="{7EC27058-D210-4A87-91B8-F311E3905784}" type="pres">
      <dgm:prSet presAssocID="{A8920FB3-5E67-4CB2-8F9E-6459AC1D410E}" presName="horz1" presStyleCnt="0"/>
      <dgm:spPr/>
    </dgm:pt>
    <dgm:pt modelId="{A0A7B3EA-9A50-449D-A19C-71D878DA407B}" type="pres">
      <dgm:prSet presAssocID="{A8920FB3-5E67-4CB2-8F9E-6459AC1D410E}" presName="tx1" presStyleLbl="revTx" presStyleIdx="0" presStyleCnt="4" custFlipHor="1" custScaleX="16438"/>
      <dgm:spPr/>
    </dgm:pt>
    <dgm:pt modelId="{6235987E-7195-4D30-808E-196BE06782A1}" type="pres">
      <dgm:prSet presAssocID="{A8920FB3-5E67-4CB2-8F9E-6459AC1D410E}" presName="vert1" presStyleCnt="0"/>
      <dgm:spPr/>
    </dgm:pt>
    <dgm:pt modelId="{A3F0D3E0-0277-49CE-81E9-8D2512F44761}" type="pres">
      <dgm:prSet presAssocID="{278E3D06-4872-4D5C-B374-0F96CF017A0F}" presName="vertSpace2a" presStyleCnt="0"/>
      <dgm:spPr/>
    </dgm:pt>
    <dgm:pt modelId="{147CBA2B-97D4-4C33-8F61-BCDD3CA5E46E}" type="pres">
      <dgm:prSet presAssocID="{278E3D06-4872-4D5C-B374-0F96CF017A0F}" presName="horz2" presStyleCnt="0"/>
      <dgm:spPr/>
    </dgm:pt>
    <dgm:pt modelId="{292F6668-623C-4C43-B58E-3E4EB4775566}" type="pres">
      <dgm:prSet presAssocID="{278E3D06-4872-4D5C-B374-0F96CF017A0F}" presName="horzSpace2" presStyleCnt="0"/>
      <dgm:spPr/>
    </dgm:pt>
    <dgm:pt modelId="{9F6FEB68-43C2-4730-8586-56850BE3A8E0}" type="pres">
      <dgm:prSet presAssocID="{278E3D06-4872-4D5C-B374-0F96CF017A0F}" presName="tx2" presStyleLbl="revTx" presStyleIdx="1" presStyleCnt="4"/>
      <dgm:spPr/>
    </dgm:pt>
    <dgm:pt modelId="{9B58C295-9CE3-4770-8D8A-E4A8B1F0B842}" type="pres">
      <dgm:prSet presAssocID="{278E3D06-4872-4D5C-B374-0F96CF017A0F}" presName="vert2" presStyleCnt="0"/>
      <dgm:spPr/>
    </dgm:pt>
    <dgm:pt modelId="{C8B662AF-2727-4E27-8DFA-D29D710FD1E8}" type="pres">
      <dgm:prSet presAssocID="{278E3D06-4872-4D5C-B374-0F96CF017A0F}" presName="thinLine2b" presStyleLbl="callout" presStyleIdx="0" presStyleCnt="3"/>
      <dgm:spPr/>
    </dgm:pt>
    <dgm:pt modelId="{2FAD698E-37A3-475A-84E2-74FC4CDA1B9D}" type="pres">
      <dgm:prSet presAssocID="{278E3D06-4872-4D5C-B374-0F96CF017A0F}" presName="vertSpace2b" presStyleCnt="0"/>
      <dgm:spPr/>
    </dgm:pt>
    <dgm:pt modelId="{BB36D05A-D356-4EB5-B289-B292DBD87129}" type="pres">
      <dgm:prSet presAssocID="{FFDBC62E-4D33-46DA-B642-AE6E43D90C64}" presName="horz2" presStyleCnt="0"/>
      <dgm:spPr/>
    </dgm:pt>
    <dgm:pt modelId="{3C757E28-AE2F-4FF7-BC41-736C0CBB0C25}" type="pres">
      <dgm:prSet presAssocID="{FFDBC62E-4D33-46DA-B642-AE6E43D90C64}" presName="horzSpace2" presStyleCnt="0"/>
      <dgm:spPr/>
    </dgm:pt>
    <dgm:pt modelId="{0B917F2F-5B85-4B9C-922F-D72E843707F3}" type="pres">
      <dgm:prSet presAssocID="{FFDBC62E-4D33-46DA-B642-AE6E43D90C64}" presName="tx2" presStyleLbl="revTx" presStyleIdx="2" presStyleCnt="4"/>
      <dgm:spPr/>
    </dgm:pt>
    <dgm:pt modelId="{F07D84EF-A1F9-40E4-8531-BCCDBF0A26B2}" type="pres">
      <dgm:prSet presAssocID="{FFDBC62E-4D33-46DA-B642-AE6E43D90C64}" presName="vert2" presStyleCnt="0"/>
      <dgm:spPr/>
    </dgm:pt>
    <dgm:pt modelId="{BFD0A735-4644-47F2-ADD3-5FED203A75FC}" type="pres">
      <dgm:prSet presAssocID="{FFDBC62E-4D33-46DA-B642-AE6E43D90C64}" presName="thinLine2b" presStyleLbl="callout" presStyleIdx="1" presStyleCnt="3"/>
      <dgm:spPr/>
    </dgm:pt>
    <dgm:pt modelId="{C2C50DFE-2C7A-446D-8FF7-A39124476D29}" type="pres">
      <dgm:prSet presAssocID="{FFDBC62E-4D33-46DA-B642-AE6E43D90C64}" presName="vertSpace2b" presStyleCnt="0"/>
      <dgm:spPr/>
    </dgm:pt>
    <dgm:pt modelId="{2CEEEC07-F817-44E5-8EFB-7F0E3AB9358D}" type="pres">
      <dgm:prSet presAssocID="{897AEEA5-2B59-4E61-B07B-DC78AC52A1E6}" presName="horz2" presStyleCnt="0"/>
      <dgm:spPr/>
    </dgm:pt>
    <dgm:pt modelId="{91A652BF-3014-4439-8C21-FA3138836A86}" type="pres">
      <dgm:prSet presAssocID="{897AEEA5-2B59-4E61-B07B-DC78AC52A1E6}" presName="horzSpace2" presStyleCnt="0"/>
      <dgm:spPr/>
    </dgm:pt>
    <dgm:pt modelId="{0CBA3BBE-BE8E-47D2-A0FB-69F2192B3A31}" type="pres">
      <dgm:prSet presAssocID="{897AEEA5-2B59-4E61-B07B-DC78AC52A1E6}" presName="tx2" presStyleLbl="revTx" presStyleIdx="3" presStyleCnt="4"/>
      <dgm:spPr/>
    </dgm:pt>
    <dgm:pt modelId="{AED0E17C-32C0-48F6-A867-DE6767BF3C92}" type="pres">
      <dgm:prSet presAssocID="{897AEEA5-2B59-4E61-B07B-DC78AC52A1E6}" presName="vert2" presStyleCnt="0"/>
      <dgm:spPr/>
    </dgm:pt>
    <dgm:pt modelId="{46D527CD-C249-46F4-AF9D-BF5B6033D996}" type="pres">
      <dgm:prSet presAssocID="{897AEEA5-2B59-4E61-B07B-DC78AC52A1E6}" presName="thinLine2b" presStyleLbl="callout" presStyleIdx="2" presStyleCnt="3"/>
      <dgm:spPr/>
    </dgm:pt>
    <dgm:pt modelId="{00B46537-998F-4EFC-8734-B16FE75B91CB}" type="pres">
      <dgm:prSet presAssocID="{897AEEA5-2B59-4E61-B07B-DC78AC52A1E6}" presName="vertSpace2b" presStyleCnt="0"/>
      <dgm:spPr/>
    </dgm:pt>
  </dgm:ptLst>
  <dgm:cxnLst>
    <dgm:cxn modelId="{3882DE23-208A-4CFC-ACF1-440E0F3DFB04}" type="presOf" srcId="{A8920FB3-5E67-4CB2-8F9E-6459AC1D410E}" destId="{A0A7B3EA-9A50-449D-A19C-71D878DA407B}" srcOrd="0" destOrd="0" presId="urn:microsoft.com/office/officeart/2008/layout/LinedList"/>
    <dgm:cxn modelId="{904FBD3C-BAE1-4CFC-8018-854EC24D84ED}" type="presOf" srcId="{FFDBC62E-4D33-46DA-B642-AE6E43D90C64}" destId="{0B917F2F-5B85-4B9C-922F-D72E843707F3}" srcOrd="0" destOrd="0" presId="urn:microsoft.com/office/officeart/2008/layout/LinedList"/>
    <dgm:cxn modelId="{3FE8E860-3F8A-473A-982E-DC26E4E03449}" srcId="{F1E5F1A5-0A0E-48A7-8022-2DE3FC75511B}" destId="{A8920FB3-5E67-4CB2-8F9E-6459AC1D410E}" srcOrd="0" destOrd="0" parTransId="{4F4E73C0-AD0E-4B92-BC21-DAD96588D440}" sibTransId="{4BAB2C5C-6C05-42C8-AE0B-DD462C56E3CF}"/>
    <dgm:cxn modelId="{A85F9668-996A-42B3-87C5-DB29DB694EDC}" type="presOf" srcId="{278E3D06-4872-4D5C-B374-0F96CF017A0F}" destId="{9F6FEB68-43C2-4730-8586-56850BE3A8E0}" srcOrd="0" destOrd="0" presId="urn:microsoft.com/office/officeart/2008/layout/LinedList"/>
    <dgm:cxn modelId="{5F8BBD77-DAA6-4F48-B137-69365DCF1BBA}" type="presOf" srcId="{897AEEA5-2B59-4E61-B07B-DC78AC52A1E6}" destId="{0CBA3BBE-BE8E-47D2-A0FB-69F2192B3A31}" srcOrd="0" destOrd="0" presId="urn:microsoft.com/office/officeart/2008/layout/LinedList"/>
    <dgm:cxn modelId="{06DFDEEF-CA0C-4844-92F0-81D21FABA663}" srcId="{A8920FB3-5E67-4CB2-8F9E-6459AC1D410E}" destId="{278E3D06-4872-4D5C-B374-0F96CF017A0F}" srcOrd="0" destOrd="0" parTransId="{E3CF312A-587A-45CF-A55D-45E987382FA5}" sibTransId="{81970B18-24CF-4901-BD32-1D2B7625342E}"/>
    <dgm:cxn modelId="{71C7D0F6-F1F5-45E1-8538-0E698B9AD83F}" srcId="{A8920FB3-5E67-4CB2-8F9E-6459AC1D410E}" destId="{FFDBC62E-4D33-46DA-B642-AE6E43D90C64}" srcOrd="1" destOrd="0" parTransId="{F93850A8-002F-4545-A351-27FAAA8F5A46}" sibTransId="{BE884474-59DD-4291-8AC4-D0E8063993E6}"/>
    <dgm:cxn modelId="{D1A292F7-586C-4BC8-B4FC-4D1F529200A6}" srcId="{A8920FB3-5E67-4CB2-8F9E-6459AC1D410E}" destId="{897AEEA5-2B59-4E61-B07B-DC78AC52A1E6}" srcOrd="2" destOrd="0" parTransId="{809041EF-F02E-409F-B09E-31754292B691}" sibTransId="{9534E4D7-D9D9-473B-A05A-5E24C08EB95A}"/>
    <dgm:cxn modelId="{B08CFBF7-C6BC-4D6A-B412-1C3AED2147E8}" type="presOf" srcId="{F1E5F1A5-0A0E-48A7-8022-2DE3FC75511B}" destId="{F1D47E84-E541-424E-9E33-232F469750B0}" srcOrd="0" destOrd="0" presId="urn:microsoft.com/office/officeart/2008/layout/LinedList"/>
    <dgm:cxn modelId="{8C1CB268-75AA-4FED-B865-7FDC30C8A458}" type="presParOf" srcId="{F1D47E84-E541-424E-9E33-232F469750B0}" destId="{303153C9-AFB2-43C6-90F8-C8830730580D}" srcOrd="0" destOrd="0" presId="urn:microsoft.com/office/officeart/2008/layout/LinedList"/>
    <dgm:cxn modelId="{55CBE871-C9AF-4093-B9F1-0BC11D0BAD86}" type="presParOf" srcId="{F1D47E84-E541-424E-9E33-232F469750B0}" destId="{7EC27058-D210-4A87-91B8-F311E3905784}" srcOrd="1" destOrd="0" presId="urn:microsoft.com/office/officeart/2008/layout/LinedList"/>
    <dgm:cxn modelId="{ABC7B812-2D2D-4AB0-AEA7-6B67FE55C08B}" type="presParOf" srcId="{7EC27058-D210-4A87-91B8-F311E3905784}" destId="{A0A7B3EA-9A50-449D-A19C-71D878DA407B}" srcOrd="0" destOrd="0" presId="urn:microsoft.com/office/officeart/2008/layout/LinedList"/>
    <dgm:cxn modelId="{1B7C46D8-A4E3-4058-BC53-037316C0CC40}" type="presParOf" srcId="{7EC27058-D210-4A87-91B8-F311E3905784}" destId="{6235987E-7195-4D30-808E-196BE06782A1}" srcOrd="1" destOrd="0" presId="urn:microsoft.com/office/officeart/2008/layout/LinedList"/>
    <dgm:cxn modelId="{5BD888FF-1AF3-4DAD-837F-E5A499D02C2B}" type="presParOf" srcId="{6235987E-7195-4D30-808E-196BE06782A1}" destId="{A3F0D3E0-0277-49CE-81E9-8D2512F44761}" srcOrd="0" destOrd="0" presId="urn:microsoft.com/office/officeart/2008/layout/LinedList"/>
    <dgm:cxn modelId="{7881A165-D1CC-4F99-A8E3-A4C305F7EDF9}" type="presParOf" srcId="{6235987E-7195-4D30-808E-196BE06782A1}" destId="{147CBA2B-97D4-4C33-8F61-BCDD3CA5E46E}" srcOrd="1" destOrd="0" presId="urn:microsoft.com/office/officeart/2008/layout/LinedList"/>
    <dgm:cxn modelId="{06BCB403-A523-49BE-A591-0C9130AF90F2}" type="presParOf" srcId="{147CBA2B-97D4-4C33-8F61-BCDD3CA5E46E}" destId="{292F6668-623C-4C43-B58E-3E4EB4775566}" srcOrd="0" destOrd="0" presId="urn:microsoft.com/office/officeart/2008/layout/LinedList"/>
    <dgm:cxn modelId="{74ADB7FD-5A12-4557-95BE-0E91A5D447BC}" type="presParOf" srcId="{147CBA2B-97D4-4C33-8F61-BCDD3CA5E46E}" destId="{9F6FEB68-43C2-4730-8586-56850BE3A8E0}" srcOrd="1" destOrd="0" presId="urn:microsoft.com/office/officeart/2008/layout/LinedList"/>
    <dgm:cxn modelId="{CA7545E8-DA63-4E0D-9173-19A5E900E1B4}" type="presParOf" srcId="{147CBA2B-97D4-4C33-8F61-BCDD3CA5E46E}" destId="{9B58C295-9CE3-4770-8D8A-E4A8B1F0B842}" srcOrd="2" destOrd="0" presId="urn:microsoft.com/office/officeart/2008/layout/LinedList"/>
    <dgm:cxn modelId="{522D693E-0342-4642-9755-93D61BB82107}" type="presParOf" srcId="{6235987E-7195-4D30-808E-196BE06782A1}" destId="{C8B662AF-2727-4E27-8DFA-D29D710FD1E8}" srcOrd="2" destOrd="0" presId="urn:microsoft.com/office/officeart/2008/layout/LinedList"/>
    <dgm:cxn modelId="{F50AFC10-C5F7-40B2-BEE0-6AAB8F0C45A6}" type="presParOf" srcId="{6235987E-7195-4D30-808E-196BE06782A1}" destId="{2FAD698E-37A3-475A-84E2-74FC4CDA1B9D}" srcOrd="3" destOrd="0" presId="urn:microsoft.com/office/officeart/2008/layout/LinedList"/>
    <dgm:cxn modelId="{503A8A16-6890-4E3A-86C4-1EADC3F0E4E3}" type="presParOf" srcId="{6235987E-7195-4D30-808E-196BE06782A1}" destId="{BB36D05A-D356-4EB5-B289-B292DBD87129}" srcOrd="4" destOrd="0" presId="urn:microsoft.com/office/officeart/2008/layout/LinedList"/>
    <dgm:cxn modelId="{42245495-B688-4BF9-8ECD-237FC0B07603}" type="presParOf" srcId="{BB36D05A-D356-4EB5-B289-B292DBD87129}" destId="{3C757E28-AE2F-4FF7-BC41-736C0CBB0C25}" srcOrd="0" destOrd="0" presId="urn:microsoft.com/office/officeart/2008/layout/LinedList"/>
    <dgm:cxn modelId="{BD38E8CA-9D9A-4638-B7F0-4417CEA46FD2}" type="presParOf" srcId="{BB36D05A-D356-4EB5-B289-B292DBD87129}" destId="{0B917F2F-5B85-4B9C-922F-D72E843707F3}" srcOrd="1" destOrd="0" presId="urn:microsoft.com/office/officeart/2008/layout/LinedList"/>
    <dgm:cxn modelId="{8277FCC2-466B-4BD4-917A-C5926DE43423}" type="presParOf" srcId="{BB36D05A-D356-4EB5-B289-B292DBD87129}" destId="{F07D84EF-A1F9-40E4-8531-BCCDBF0A26B2}" srcOrd="2" destOrd="0" presId="urn:microsoft.com/office/officeart/2008/layout/LinedList"/>
    <dgm:cxn modelId="{DEF444E5-C3D8-4BF8-B59D-EFC4AA4782E6}" type="presParOf" srcId="{6235987E-7195-4D30-808E-196BE06782A1}" destId="{BFD0A735-4644-47F2-ADD3-5FED203A75FC}" srcOrd="5" destOrd="0" presId="urn:microsoft.com/office/officeart/2008/layout/LinedList"/>
    <dgm:cxn modelId="{C3B0FBF3-1F5C-4C72-B126-49B8D7F6243E}" type="presParOf" srcId="{6235987E-7195-4D30-808E-196BE06782A1}" destId="{C2C50DFE-2C7A-446D-8FF7-A39124476D29}" srcOrd="6" destOrd="0" presId="urn:microsoft.com/office/officeart/2008/layout/LinedList"/>
    <dgm:cxn modelId="{263D1B33-2435-4C16-8C1E-55B3C64DF0F4}" type="presParOf" srcId="{6235987E-7195-4D30-808E-196BE06782A1}" destId="{2CEEEC07-F817-44E5-8EFB-7F0E3AB9358D}" srcOrd="7" destOrd="0" presId="urn:microsoft.com/office/officeart/2008/layout/LinedList"/>
    <dgm:cxn modelId="{F4D695F7-5013-46BE-BD48-14466EDE544B}" type="presParOf" srcId="{2CEEEC07-F817-44E5-8EFB-7F0E3AB9358D}" destId="{91A652BF-3014-4439-8C21-FA3138836A86}" srcOrd="0" destOrd="0" presId="urn:microsoft.com/office/officeart/2008/layout/LinedList"/>
    <dgm:cxn modelId="{9BD0C10F-C7BC-4066-9F26-14E762D84A51}" type="presParOf" srcId="{2CEEEC07-F817-44E5-8EFB-7F0E3AB9358D}" destId="{0CBA3BBE-BE8E-47D2-A0FB-69F2192B3A31}" srcOrd="1" destOrd="0" presId="urn:microsoft.com/office/officeart/2008/layout/LinedList"/>
    <dgm:cxn modelId="{13EE3197-9F02-4F38-868E-37915B50EEF2}" type="presParOf" srcId="{2CEEEC07-F817-44E5-8EFB-7F0E3AB9358D}" destId="{AED0E17C-32C0-48F6-A867-DE6767BF3C92}" srcOrd="2" destOrd="0" presId="urn:microsoft.com/office/officeart/2008/layout/LinedList"/>
    <dgm:cxn modelId="{130F58BD-3A09-4E5E-9735-8134634B112B}" type="presParOf" srcId="{6235987E-7195-4D30-808E-196BE06782A1}" destId="{46D527CD-C249-46F4-AF9D-BF5B6033D996}" srcOrd="8" destOrd="0" presId="urn:microsoft.com/office/officeart/2008/layout/LinedList"/>
    <dgm:cxn modelId="{CB0B20EA-0D45-4C4B-AC99-133063CDAC87}" type="presParOf" srcId="{6235987E-7195-4D30-808E-196BE06782A1}" destId="{00B46537-998F-4EFC-8734-B16FE75B91CB}" srcOrd="9" destOrd="0" presId="urn:microsoft.com/office/officeart/2008/layout/LinedList"/>
  </dgm:cxnLst>
  <dgm:bg/>
  <dgm:whole/>
  <dgm:extLst>
    <a:ext uri="http://schemas.microsoft.com/office/drawing/2008/diagram">
      <dsp:dataModelExt xmlns:dsp="http://schemas.microsoft.com/office/drawing/2008/diagram" relId="rId21" minVer="http://schemas.openxmlformats.org/drawingml/2006/diagram"/>
    </a:ext>
  </dgm:extLst>
</dgm:dataModel>
</file>

<file path=xl/diagrams/data5.xml><?xml version="1.0" encoding="utf-8"?>
<dgm:dataModel xmlns:dgm="http://schemas.openxmlformats.org/drawingml/2006/diagram" xmlns:a="http://schemas.openxmlformats.org/drawingml/2006/main">
  <dgm:ptLst>
    <dgm:pt modelId="{EE0A213E-BC39-4539-A076-024979DC5CBF}" type="doc">
      <dgm:prSet loTypeId="urn:microsoft.com/office/officeart/2005/8/layout/chevron1" loCatId="process" qsTypeId="urn:microsoft.com/office/officeart/2005/8/quickstyle/simple1" qsCatId="simple" csTypeId="urn:microsoft.com/office/officeart/2005/8/colors/accent1_2" csCatId="accent1" phldr="1"/>
      <dgm:spPr/>
    </dgm:pt>
    <dgm:pt modelId="{F7B63D28-F1E4-4792-8A37-77286318453A}">
      <dgm:prSet phldrT="[Text]"/>
      <dgm:spPr/>
      <dgm:t>
        <a:bodyPr/>
        <a:lstStyle/>
        <a:p>
          <a:r>
            <a:rPr lang="en-GB"/>
            <a:t>Offer Negotiation </a:t>
          </a:r>
        </a:p>
      </dgm:t>
    </dgm:pt>
    <dgm:pt modelId="{36CF7786-9057-46CC-9992-5400F7A43B76}" type="parTrans" cxnId="{90FD00AC-B24A-4420-B92E-1966CEC24BB4}">
      <dgm:prSet/>
      <dgm:spPr/>
      <dgm:t>
        <a:bodyPr/>
        <a:lstStyle/>
        <a:p>
          <a:endParaRPr lang="en-GB"/>
        </a:p>
      </dgm:t>
    </dgm:pt>
    <dgm:pt modelId="{C3FED26E-626C-4F19-8B75-91556484315B}" type="sibTrans" cxnId="{90FD00AC-B24A-4420-B92E-1966CEC24BB4}">
      <dgm:prSet/>
      <dgm:spPr/>
      <dgm:t>
        <a:bodyPr/>
        <a:lstStyle/>
        <a:p>
          <a:endParaRPr lang="en-GB"/>
        </a:p>
      </dgm:t>
    </dgm:pt>
    <dgm:pt modelId="{4172837C-725B-49E7-9CE4-EE0E921B4F51}">
      <dgm:prSet phldrT="[Text]"/>
      <dgm:spPr/>
      <dgm:t>
        <a:bodyPr/>
        <a:lstStyle/>
        <a:p>
          <a:r>
            <a:rPr lang="en-GB"/>
            <a:t>Heads of Terms</a:t>
          </a:r>
        </a:p>
      </dgm:t>
    </dgm:pt>
    <dgm:pt modelId="{8D823DCF-48FA-4E2E-96F2-9DCB22400467}" type="parTrans" cxnId="{5D5C57B6-C645-4AF3-87BB-6ACD00419B71}">
      <dgm:prSet/>
      <dgm:spPr/>
      <dgm:t>
        <a:bodyPr/>
        <a:lstStyle/>
        <a:p>
          <a:endParaRPr lang="en-GB"/>
        </a:p>
      </dgm:t>
    </dgm:pt>
    <dgm:pt modelId="{8F0E4C5A-976C-4F48-A56F-3DFA71630D6A}" type="sibTrans" cxnId="{5D5C57B6-C645-4AF3-87BB-6ACD00419B71}">
      <dgm:prSet/>
      <dgm:spPr/>
      <dgm:t>
        <a:bodyPr/>
        <a:lstStyle/>
        <a:p>
          <a:endParaRPr lang="en-GB"/>
        </a:p>
      </dgm:t>
    </dgm:pt>
    <dgm:pt modelId="{C19583F5-D181-497B-A4ED-ADC197376BE2}">
      <dgm:prSet phldrT="[Text]"/>
      <dgm:spPr/>
      <dgm:t>
        <a:bodyPr/>
        <a:lstStyle/>
        <a:p>
          <a:r>
            <a:rPr lang="en-GB"/>
            <a:t>Closed Won/</a:t>
          </a:r>
          <a:br>
            <a:rPr lang="en-GB"/>
          </a:br>
          <a:r>
            <a:rPr lang="en-GB"/>
            <a:t> Closed Lost</a:t>
          </a:r>
        </a:p>
      </dgm:t>
    </dgm:pt>
    <dgm:pt modelId="{140A0F1E-8579-4D88-80CB-E68C29814EC4}" type="parTrans" cxnId="{6A847635-A54B-40B1-A01E-215A90658AF3}">
      <dgm:prSet/>
      <dgm:spPr/>
      <dgm:t>
        <a:bodyPr/>
        <a:lstStyle/>
        <a:p>
          <a:endParaRPr lang="en-GB"/>
        </a:p>
      </dgm:t>
    </dgm:pt>
    <dgm:pt modelId="{08EEA626-AE0C-4CF7-A076-B89DE61A3683}" type="sibTrans" cxnId="{6A847635-A54B-40B1-A01E-215A90658AF3}">
      <dgm:prSet/>
      <dgm:spPr/>
      <dgm:t>
        <a:bodyPr/>
        <a:lstStyle/>
        <a:p>
          <a:endParaRPr lang="en-GB"/>
        </a:p>
      </dgm:t>
    </dgm:pt>
    <dgm:pt modelId="{8F37F2F7-7FBE-400C-A712-09E55E58BC91}">
      <dgm:prSet phldrT="[Text]"/>
      <dgm:spPr/>
      <dgm:t>
        <a:bodyPr/>
        <a:lstStyle/>
        <a:p>
          <a:r>
            <a:rPr lang="en-GB"/>
            <a:t>Audit</a:t>
          </a:r>
        </a:p>
      </dgm:t>
    </dgm:pt>
    <dgm:pt modelId="{79BC3D87-5E3E-47A1-8823-2595EB93A13F}" type="parTrans" cxnId="{665D521B-5AB6-441A-8BBE-8DC693D5B5CF}">
      <dgm:prSet/>
      <dgm:spPr/>
      <dgm:t>
        <a:bodyPr/>
        <a:lstStyle/>
        <a:p>
          <a:endParaRPr lang="en-GB"/>
        </a:p>
      </dgm:t>
    </dgm:pt>
    <dgm:pt modelId="{D3FEA518-45D8-4B0F-9A83-8B3992D0DA5A}" type="sibTrans" cxnId="{665D521B-5AB6-441A-8BBE-8DC693D5B5CF}">
      <dgm:prSet/>
      <dgm:spPr/>
      <dgm:t>
        <a:bodyPr/>
        <a:lstStyle/>
        <a:p>
          <a:endParaRPr lang="en-GB"/>
        </a:p>
      </dgm:t>
    </dgm:pt>
    <dgm:pt modelId="{F88E33B3-A1C7-4837-BF22-73640E718C3D}">
      <dgm:prSet phldrT="[Text]"/>
      <dgm:spPr/>
      <dgm:t>
        <a:bodyPr/>
        <a:lstStyle/>
        <a:p>
          <a:r>
            <a:rPr lang="en-GB"/>
            <a:t>IC </a:t>
          </a:r>
          <a:br>
            <a:rPr lang="en-GB"/>
          </a:br>
          <a:r>
            <a:rPr lang="en-GB"/>
            <a:t>Approval</a:t>
          </a:r>
        </a:p>
      </dgm:t>
    </dgm:pt>
    <dgm:pt modelId="{3A9A77C0-E53A-4E34-A15B-E7A96DFB68AD}" type="parTrans" cxnId="{9182413C-7AF5-44FC-B358-840E566DF0DB}">
      <dgm:prSet/>
      <dgm:spPr/>
      <dgm:t>
        <a:bodyPr/>
        <a:lstStyle/>
        <a:p>
          <a:endParaRPr lang="en-GB"/>
        </a:p>
      </dgm:t>
    </dgm:pt>
    <dgm:pt modelId="{D4A7F7CD-2CB8-44D2-B841-163A4F86AF7C}" type="sibTrans" cxnId="{9182413C-7AF5-44FC-B358-840E566DF0DB}">
      <dgm:prSet/>
      <dgm:spPr/>
      <dgm:t>
        <a:bodyPr/>
        <a:lstStyle/>
        <a:p>
          <a:endParaRPr lang="en-GB"/>
        </a:p>
      </dgm:t>
    </dgm:pt>
    <dgm:pt modelId="{F3B94DAF-B79D-4A66-9EE2-A7E021592D66}">
      <dgm:prSet phldrT="[Text]"/>
      <dgm:spPr/>
      <dgm:t>
        <a:bodyPr/>
        <a:lstStyle/>
        <a:p>
          <a:r>
            <a:rPr lang="en-GB"/>
            <a:t>AM </a:t>
          </a:r>
          <a:br>
            <a:rPr lang="en-GB"/>
          </a:br>
          <a:r>
            <a:rPr lang="en-GB"/>
            <a:t>Approval</a:t>
          </a:r>
        </a:p>
      </dgm:t>
    </dgm:pt>
    <dgm:pt modelId="{F2946E75-32FF-402E-AD40-D60D1544F72F}" type="parTrans" cxnId="{7F1A2DAC-0DD8-48A9-A07C-37D7F1585463}">
      <dgm:prSet/>
      <dgm:spPr/>
      <dgm:t>
        <a:bodyPr/>
        <a:lstStyle/>
        <a:p>
          <a:endParaRPr lang="en-GB"/>
        </a:p>
      </dgm:t>
    </dgm:pt>
    <dgm:pt modelId="{D778745E-E86A-4181-A064-0D58CBE51DBF}" type="sibTrans" cxnId="{7F1A2DAC-0DD8-48A9-A07C-37D7F1585463}">
      <dgm:prSet/>
      <dgm:spPr/>
      <dgm:t>
        <a:bodyPr/>
        <a:lstStyle/>
        <a:p>
          <a:endParaRPr lang="en-GB"/>
        </a:p>
      </dgm:t>
    </dgm:pt>
    <dgm:pt modelId="{FF0AF5DB-47F8-48FB-9052-D2D8F2F743D7}">
      <dgm:prSet phldrT="[Text]"/>
      <dgm:spPr/>
      <dgm:t>
        <a:bodyPr/>
        <a:lstStyle/>
        <a:p>
          <a:r>
            <a:rPr lang="en-GB"/>
            <a:t>Move in Monies</a:t>
          </a:r>
        </a:p>
      </dgm:t>
    </dgm:pt>
    <dgm:pt modelId="{C021E2EB-7467-48F5-89D2-7970A3D6D825}" type="parTrans" cxnId="{EB6C1144-F733-4116-9FDA-477A2CDDE092}">
      <dgm:prSet/>
      <dgm:spPr/>
      <dgm:t>
        <a:bodyPr/>
        <a:lstStyle/>
        <a:p>
          <a:endParaRPr lang="en-GB"/>
        </a:p>
      </dgm:t>
    </dgm:pt>
    <dgm:pt modelId="{6C133461-CFAA-4D21-8E95-50CB3F120ECF}" type="sibTrans" cxnId="{EB6C1144-F733-4116-9FDA-477A2CDDE092}">
      <dgm:prSet/>
      <dgm:spPr/>
      <dgm:t>
        <a:bodyPr/>
        <a:lstStyle/>
        <a:p>
          <a:endParaRPr lang="en-GB"/>
        </a:p>
      </dgm:t>
    </dgm:pt>
    <dgm:pt modelId="{A41FDC5F-09E8-4265-9DD5-4737308D52F7}">
      <dgm:prSet phldrT="[Text]"/>
      <dgm:spPr/>
      <dgm:t>
        <a:bodyPr/>
        <a:lstStyle/>
        <a:p>
          <a:r>
            <a:rPr lang="en-GB"/>
            <a:t>Legals</a:t>
          </a:r>
        </a:p>
      </dgm:t>
    </dgm:pt>
    <dgm:pt modelId="{B8FBBD25-61DD-4F50-9C0E-A64FEB38D636}" type="parTrans" cxnId="{2114A7CD-CFCD-44C7-8DF3-C9602527A9E0}">
      <dgm:prSet/>
      <dgm:spPr/>
      <dgm:t>
        <a:bodyPr/>
        <a:lstStyle/>
        <a:p>
          <a:endParaRPr lang="en-GB"/>
        </a:p>
      </dgm:t>
    </dgm:pt>
    <dgm:pt modelId="{9DE297B3-6788-49A2-9770-802DAFB6F2ED}" type="sibTrans" cxnId="{2114A7CD-CFCD-44C7-8DF3-C9602527A9E0}">
      <dgm:prSet/>
      <dgm:spPr/>
      <dgm:t>
        <a:bodyPr/>
        <a:lstStyle/>
        <a:p>
          <a:endParaRPr lang="en-GB"/>
        </a:p>
      </dgm:t>
    </dgm:pt>
    <dgm:pt modelId="{A955EDC5-7484-4FF2-B9D1-38B9DF6B9A7B}" type="pres">
      <dgm:prSet presAssocID="{EE0A213E-BC39-4539-A076-024979DC5CBF}" presName="Name0" presStyleCnt="0">
        <dgm:presLayoutVars>
          <dgm:dir/>
          <dgm:animLvl val="lvl"/>
          <dgm:resizeHandles val="exact"/>
        </dgm:presLayoutVars>
      </dgm:prSet>
      <dgm:spPr/>
    </dgm:pt>
    <dgm:pt modelId="{F03D22F0-89B7-4B25-AAE7-F4CAE4333D53}" type="pres">
      <dgm:prSet presAssocID="{F7B63D28-F1E4-4792-8A37-77286318453A}" presName="parTxOnly" presStyleLbl="node1" presStyleIdx="0" presStyleCnt="8">
        <dgm:presLayoutVars>
          <dgm:chMax val="0"/>
          <dgm:chPref val="0"/>
          <dgm:bulletEnabled val="1"/>
        </dgm:presLayoutVars>
      </dgm:prSet>
      <dgm:spPr/>
    </dgm:pt>
    <dgm:pt modelId="{C30C6BE3-6741-4FE8-8E7C-D8F1033440B2}" type="pres">
      <dgm:prSet presAssocID="{C3FED26E-626C-4F19-8B75-91556484315B}" presName="parTxOnlySpace" presStyleCnt="0"/>
      <dgm:spPr/>
    </dgm:pt>
    <dgm:pt modelId="{2E494893-C528-435D-BDC7-5CF13F4EFBC2}" type="pres">
      <dgm:prSet presAssocID="{F3B94DAF-B79D-4A66-9EE2-A7E021592D66}" presName="parTxOnly" presStyleLbl="node1" presStyleIdx="1" presStyleCnt="8">
        <dgm:presLayoutVars>
          <dgm:chMax val="0"/>
          <dgm:chPref val="0"/>
          <dgm:bulletEnabled val="1"/>
        </dgm:presLayoutVars>
      </dgm:prSet>
      <dgm:spPr/>
    </dgm:pt>
    <dgm:pt modelId="{013DF0EF-06BC-4B62-B652-21F756915D3D}" type="pres">
      <dgm:prSet presAssocID="{D778745E-E86A-4181-A064-0D58CBE51DBF}" presName="parTxOnlySpace" presStyleCnt="0"/>
      <dgm:spPr/>
    </dgm:pt>
    <dgm:pt modelId="{466C6739-1C73-46E2-AA34-A5A6A3971E84}" type="pres">
      <dgm:prSet presAssocID="{F88E33B3-A1C7-4837-BF22-73640E718C3D}" presName="parTxOnly" presStyleLbl="node1" presStyleIdx="2" presStyleCnt="8">
        <dgm:presLayoutVars>
          <dgm:chMax val="0"/>
          <dgm:chPref val="0"/>
          <dgm:bulletEnabled val="1"/>
        </dgm:presLayoutVars>
      </dgm:prSet>
      <dgm:spPr/>
    </dgm:pt>
    <dgm:pt modelId="{9BAB2264-302C-42FE-BC5D-F11E2BA92F5F}" type="pres">
      <dgm:prSet presAssocID="{D4A7F7CD-2CB8-44D2-B841-163A4F86AF7C}" presName="parTxOnlySpace" presStyleCnt="0"/>
      <dgm:spPr/>
    </dgm:pt>
    <dgm:pt modelId="{9E545AC0-CCEF-4F02-89AA-8D2AC2F8B074}" type="pres">
      <dgm:prSet presAssocID="{4172837C-725B-49E7-9CE4-EE0E921B4F51}" presName="parTxOnly" presStyleLbl="node1" presStyleIdx="3" presStyleCnt="8">
        <dgm:presLayoutVars>
          <dgm:chMax val="0"/>
          <dgm:chPref val="0"/>
          <dgm:bulletEnabled val="1"/>
        </dgm:presLayoutVars>
      </dgm:prSet>
      <dgm:spPr/>
    </dgm:pt>
    <dgm:pt modelId="{D8DBA9A6-2B5D-495D-A051-BE1D955B17F3}" type="pres">
      <dgm:prSet presAssocID="{8F0E4C5A-976C-4F48-A56F-3DFA71630D6A}" presName="parTxOnlySpace" presStyleCnt="0"/>
      <dgm:spPr/>
    </dgm:pt>
    <dgm:pt modelId="{4EEB1E03-4DE8-4371-A3FA-AFBE5E06236C}" type="pres">
      <dgm:prSet presAssocID="{A41FDC5F-09E8-4265-9DD5-4737308D52F7}" presName="parTxOnly" presStyleLbl="node1" presStyleIdx="4" presStyleCnt="8">
        <dgm:presLayoutVars>
          <dgm:chMax val="0"/>
          <dgm:chPref val="0"/>
          <dgm:bulletEnabled val="1"/>
        </dgm:presLayoutVars>
      </dgm:prSet>
      <dgm:spPr/>
    </dgm:pt>
    <dgm:pt modelId="{4F77F5FA-C057-4395-A3A9-6F6912C0DB37}" type="pres">
      <dgm:prSet presAssocID="{9DE297B3-6788-49A2-9770-802DAFB6F2ED}" presName="parTxOnlySpace" presStyleCnt="0"/>
      <dgm:spPr/>
    </dgm:pt>
    <dgm:pt modelId="{CA1E89E5-2B6A-4966-947F-285340F40785}" type="pres">
      <dgm:prSet presAssocID="{FF0AF5DB-47F8-48FB-9052-D2D8F2F743D7}" presName="parTxOnly" presStyleLbl="node1" presStyleIdx="5" presStyleCnt="8">
        <dgm:presLayoutVars>
          <dgm:chMax val="0"/>
          <dgm:chPref val="0"/>
          <dgm:bulletEnabled val="1"/>
        </dgm:presLayoutVars>
      </dgm:prSet>
      <dgm:spPr/>
    </dgm:pt>
    <dgm:pt modelId="{2443D643-CB2C-4724-97B6-A6DEF6A944D2}" type="pres">
      <dgm:prSet presAssocID="{6C133461-CFAA-4D21-8E95-50CB3F120ECF}" presName="parTxOnlySpace" presStyleCnt="0"/>
      <dgm:spPr/>
    </dgm:pt>
    <dgm:pt modelId="{E9171F42-A4E7-4640-92B9-92E07F606218}" type="pres">
      <dgm:prSet presAssocID="{8F37F2F7-7FBE-400C-A712-09E55E58BC91}" presName="parTxOnly" presStyleLbl="node1" presStyleIdx="6" presStyleCnt="8">
        <dgm:presLayoutVars>
          <dgm:chMax val="0"/>
          <dgm:chPref val="0"/>
          <dgm:bulletEnabled val="1"/>
        </dgm:presLayoutVars>
      </dgm:prSet>
      <dgm:spPr/>
    </dgm:pt>
    <dgm:pt modelId="{BA30CCC8-7B64-4E1D-9A51-D480EBBB345E}" type="pres">
      <dgm:prSet presAssocID="{D3FEA518-45D8-4B0F-9A83-8B3992D0DA5A}" presName="parTxOnlySpace" presStyleCnt="0"/>
      <dgm:spPr/>
    </dgm:pt>
    <dgm:pt modelId="{06A68BE7-3541-4F3C-8F9D-12D0976D80D0}" type="pres">
      <dgm:prSet presAssocID="{C19583F5-D181-497B-A4ED-ADC197376BE2}" presName="parTxOnly" presStyleLbl="node1" presStyleIdx="7" presStyleCnt="8">
        <dgm:presLayoutVars>
          <dgm:chMax val="0"/>
          <dgm:chPref val="0"/>
          <dgm:bulletEnabled val="1"/>
        </dgm:presLayoutVars>
      </dgm:prSet>
      <dgm:spPr/>
    </dgm:pt>
  </dgm:ptLst>
  <dgm:cxnLst>
    <dgm:cxn modelId="{665D521B-5AB6-441A-8BBE-8DC693D5B5CF}" srcId="{EE0A213E-BC39-4539-A076-024979DC5CBF}" destId="{8F37F2F7-7FBE-400C-A712-09E55E58BC91}" srcOrd="6" destOrd="0" parTransId="{79BC3D87-5E3E-47A1-8823-2595EB93A13F}" sibTransId="{D3FEA518-45D8-4B0F-9A83-8B3992D0DA5A}"/>
    <dgm:cxn modelId="{25C3A72E-8E9E-4F6E-91B6-C6CC3F429593}" type="presOf" srcId="{F3B94DAF-B79D-4A66-9EE2-A7E021592D66}" destId="{2E494893-C528-435D-BDC7-5CF13F4EFBC2}" srcOrd="0" destOrd="0" presId="urn:microsoft.com/office/officeart/2005/8/layout/chevron1"/>
    <dgm:cxn modelId="{6A847635-A54B-40B1-A01E-215A90658AF3}" srcId="{EE0A213E-BC39-4539-A076-024979DC5CBF}" destId="{C19583F5-D181-497B-A4ED-ADC197376BE2}" srcOrd="7" destOrd="0" parTransId="{140A0F1E-8579-4D88-80CB-E68C29814EC4}" sibTransId="{08EEA626-AE0C-4CF7-A076-B89DE61A3683}"/>
    <dgm:cxn modelId="{9182413C-7AF5-44FC-B358-840E566DF0DB}" srcId="{EE0A213E-BC39-4539-A076-024979DC5CBF}" destId="{F88E33B3-A1C7-4837-BF22-73640E718C3D}" srcOrd="2" destOrd="0" parTransId="{3A9A77C0-E53A-4E34-A15B-E7A96DFB68AD}" sibTransId="{D4A7F7CD-2CB8-44D2-B841-163A4F86AF7C}"/>
    <dgm:cxn modelId="{EB6C1144-F733-4116-9FDA-477A2CDDE092}" srcId="{EE0A213E-BC39-4539-A076-024979DC5CBF}" destId="{FF0AF5DB-47F8-48FB-9052-D2D8F2F743D7}" srcOrd="5" destOrd="0" parTransId="{C021E2EB-7467-48F5-89D2-7970A3D6D825}" sibTransId="{6C133461-CFAA-4D21-8E95-50CB3F120ECF}"/>
    <dgm:cxn modelId="{FCCEE26E-4EFD-48E0-A908-56605DE77421}" type="presOf" srcId="{C19583F5-D181-497B-A4ED-ADC197376BE2}" destId="{06A68BE7-3541-4F3C-8F9D-12D0976D80D0}" srcOrd="0" destOrd="0" presId="urn:microsoft.com/office/officeart/2005/8/layout/chevron1"/>
    <dgm:cxn modelId="{66B2CE5A-3D8A-4804-8AFC-3D67062C7794}" type="presOf" srcId="{4172837C-725B-49E7-9CE4-EE0E921B4F51}" destId="{9E545AC0-CCEF-4F02-89AA-8D2AC2F8B074}" srcOrd="0" destOrd="0" presId="urn:microsoft.com/office/officeart/2005/8/layout/chevron1"/>
    <dgm:cxn modelId="{C7D64E7C-9257-4DAB-AC32-48D6E844821A}" type="presOf" srcId="{F88E33B3-A1C7-4837-BF22-73640E718C3D}" destId="{466C6739-1C73-46E2-AA34-A5A6A3971E84}" srcOrd="0" destOrd="0" presId="urn:microsoft.com/office/officeart/2005/8/layout/chevron1"/>
    <dgm:cxn modelId="{16B9608A-C6DD-41AA-8D28-B3F74A8BBB45}" type="presOf" srcId="{FF0AF5DB-47F8-48FB-9052-D2D8F2F743D7}" destId="{CA1E89E5-2B6A-4966-947F-285340F40785}" srcOrd="0" destOrd="0" presId="urn:microsoft.com/office/officeart/2005/8/layout/chevron1"/>
    <dgm:cxn modelId="{F88AFC8E-EA1F-4193-B4BF-AC838530D031}" type="presOf" srcId="{EE0A213E-BC39-4539-A076-024979DC5CBF}" destId="{A955EDC5-7484-4FF2-B9D1-38B9DF6B9A7B}" srcOrd="0" destOrd="0" presId="urn:microsoft.com/office/officeart/2005/8/layout/chevron1"/>
    <dgm:cxn modelId="{90FD00AC-B24A-4420-B92E-1966CEC24BB4}" srcId="{EE0A213E-BC39-4539-A076-024979DC5CBF}" destId="{F7B63D28-F1E4-4792-8A37-77286318453A}" srcOrd="0" destOrd="0" parTransId="{36CF7786-9057-46CC-9992-5400F7A43B76}" sibTransId="{C3FED26E-626C-4F19-8B75-91556484315B}"/>
    <dgm:cxn modelId="{7F1A2DAC-0DD8-48A9-A07C-37D7F1585463}" srcId="{EE0A213E-BC39-4539-A076-024979DC5CBF}" destId="{F3B94DAF-B79D-4A66-9EE2-A7E021592D66}" srcOrd="1" destOrd="0" parTransId="{F2946E75-32FF-402E-AD40-D60D1544F72F}" sibTransId="{D778745E-E86A-4181-A064-0D58CBE51DBF}"/>
    <dgm:cxn modelId="{5D5C57B6-C645-4AF3-87BB-6ACD00419B71}" srcId="{EE0A213E-BC39-4539-A076-024979DC5CBF}" destId="{4172837C-725B-49E7-9CE4-EE0E921B4F51}" srcOrd="3" destOrd="0" parTransId="{8D823DCF-48FA-4E2E-96F2-9DCB22400467}" sibTransId="{8F0E4C5A-976C-4F48-A56F-3DFA71630D6A}"/>
    <dgm:cxn modelId="{CDAC85BC-76BE-4FFB-BE8E-207EE64F0C8E}" type="presOf" srcId="{F7B63D28-F1E4-4792-8A37-77286318453A}" destId="{F03D22F0-89B7-4B25-AAE7-F4CAE4333D53}" srcOrd="0" destOrd="0" presId="urn:microsoft.com/office/officeart/2005/8/layout/chevron1"/>
    <dgm:cxn modelId="{2114A7CD-CFCD-44C7-8DF3-C9602527A9E0}" srcId="{EE0A213E-BC39-4539-A076-024979DC5CBF}" destId="{A41FDC5F-09E8-4265-9DD5-4737308D52F7}" srcOrd="4" destOrd="0" parTransId="{B8FBBD25-61DD-4F50-9C0E-A64FEB38D636}" sibTransId="{9DE297B3-6788-49A2-9770-802DAFB6F2ED}"/>
    <dgm:cxn modelId="{125743D0-77C9-4E6B-BB4E-AB2C60191812}" type="presOf" srcId="{A41FDC5F-09E8-4265-9DD5-4737308D52F7}" destId="{4EEB1E03-4DE8-4371-A3FA-AFBE5E06236C}" srcOrd="0" destOrd="0" presId="urn:microsoft.com/office/officeart/2005/8/layout/chevron1"/>
    <dgm:cxn modelId="{AC510AEF-882B-452D-A950-21DDEC25650C}" type="presOf" srcId="{8F37F2F7-7FBE-400C-A712-09E55E58BC91}" destId="{E9171F42-A4E7-4640-92B9-92E07F606218}" srcOrd="0" destOrd="0" presId="urn:microsoft.com/office/officeart/2005/8/layout/chevron1"/>
    <dgm:cxn modelId="{F150856A-30A3-4EEA-9ED1-0E854BD67A56}" type="presParOf" srcId="{A955EDC5-7484-4FF2-B9D1-38B9DF6B9A7B}" destId="{F03D22F0-89B7-4B25-AAE7-F4CAE4333D53}" srcOrd="0" destOrd="0" presId="urn:microsoft.com/office/officeart/2005/8/layout/chevron1"/>
    <dgm:cxn modelId="{8E794613-83CA-4E6F-8262-C5CD5167B993}" type="presParOf" srcId="{A955EDC5-7484-4FF2-B9D1-38B9DF6B9A7B}" destId="{C30C6BE3-6741-4FE8-8E7C-D8F1033440B2}" srcOrd="1" destOrd="0" presId="urn:microsoft.com/office/officeart/2005/8/layout/chevron1"/>
    <dgm:cxn modelId="{BD4B7BFE-7D64-424E-800C-BEA1EEF5DD1C}" type="presParOf" srcId="{A955EDC5-7484-4FF2-B9D1-38B9DF6B9A7B}" destId="{2E494893-C528-435D-BDC7-5CF13F4EFBC2}" srcOrd="2" destOrd="0" presId="urn:microsoft.com/office/officeart/2005/8/layout/chevron1"/>
    <dgm:cxn modelId="{FD52D10B-F958-4A75-BA82-B450C16B82F7}" type="presParOf" srcId="{A955EDC5-7484-4FF2-B9D1-38B9DF6B9A7B}" destId="{013DF0EF-06BC-4B62-B652-21F756915D3D}" srcOrd="3" destOrd="0" presId="urn:microsoft.com/office/officeart/2005/8/layout/chevron1"/>
    <dgm:cxn modelId="{CB6548A3-AE37-4FB5-AECA-0E13B67B5E06}" type="presParOf" srcId="{A955EDC5-7484-4FF2-B9D1-38B9DF6B9A7B}" destId="{466C6739-1C73-46E2-AA34-A5A6A3971E84}" srcOrd="4" destOrd="0" presId="urn:microsoft.com/office/officeart/2005/8/layout/chevron1"/>
    <dgm:cxn modelId="{97F7E260-4926-4FF7-A0F5-E06D50C57F6C}" type="presParOf" srcId="{A955EDC5-7484-4FF2-B9D1-38B9DF6B9A7B}" destId="{9BAB2264-302C-42FE-BC5D-F11E2BA92F5F}" srcOrd="5" destOrd="0" presId="urn:microsoft.com/office/officeart/2005/8/layout/chevron1"/>
    <dgm:cxn modelId="{9DB81082-E302-418F-9DC6-C6BF8F4F3D9F}" type="presParOf" srcId="{A955EDC5-7484-4FF2-B9D1-38B9DF6B9A7B}" destId="{9E545AC0-CCEF-4F02-89AA-8D2AC2F8B074}" srcOrd="6" destOrd="0" presId="urn:microsoft.com/office/officeart/2005/8/layout/chevron1"/>
    <dgm:cxn modelId="{B8337273-E5B4-4638-8C23-3FCCF7CC9E9E}" type="presParOf" srcId="{A955EDC5-7484-4FF2-B9D1-38B9DF6B9A7B}" destId="{D8DBA9A6-2B5D-495D-A051-BE1D955B17F3}" srcOrd="7" destOrd="0" presId="urn:microsoft.com/office/officeart/2005/8/layout/chevron1"/>
    <dgm:cxn modelId="{F7945C20-32E4-451F-884B-173405BFDFE0}" type="presParOf" srcId="{A955EDC5-7484-4FF2-B9D1-38B9DF6B9A7B}" destId="{4EEB1E03-4DE8-4371-A3FA-AFBE5E06236C}" srcOrd="8" destOrd="0" presId="urn:microsoft.com/office/officeart/2005/8/layout/chevron1"/>
    <dgm:cxn modelId="{75990FDC-406E-4751-B7C3-5E0EC13E3F20}" type="presParOf" srcId="{A955EDC5-7484-4FF2-B9D1-38B9DF6B9A7B}" destId="{4F77F5FA-C057-4395-A3A9-6F6912C0DB37}" srcOrd="9" destOrd="0" presId="urn:microsoft.com/office/officeart/2005/8/layout/chevron1"/>
    <dgm:cxn modelId="{E4BC5EEB-914D-4682-BE33-44CBEA70B1A8}" type="presParOf" srcId="{A955EDC5-7484-4FF2-B9D1-38B9DF6B9A7B}" destId="{CA1E89E5-2B6A-4966-947F-285340F40785}" srcOrd="10" destOrd="0" presId="urn:microsoft.com/office/officeart/2005/8/layout/chevron1"/>
    <dgm:cxn modelId="{64289A53-60DC-4F29-BCFB-A8E9D3F13C1C}" type="presParOf" srcId="{A955EDC5-7484-4FF2-B9D1-38B9DF6B9A7B}" destId="{2443D643-CB2C-4724-97B6-A6DEF6A944D2}" srcOrd="11" destOrd="0" presId="urn:microsoft.com/office/officeart/2005/8/layout/chevron1"/>
    <dgm:cxn modelId="{24D44D60-81C0-4A38-996E-C2E08191BDDA}" type="presParOf" srcId="{A955EDC5-7484-4FF2-B9D1-38B9DF6B9A7B}" destId="{E9171F42-A4E7-4640-92B9-92E07F606218}" srcOrd="12" destOrd="0" presId="urn:microsoft.com/office/officeart/2005/8/layout/chevron1"/>
    <dgm:cxn modelId="{AABF0CE1-8F22-47A6-9F66-D56C161CB17C}" type="presParOf" srcId="{A955EDC5-7484-4FF2-B9D1-38B9DF6B9A7B}" destId="{BA30CCC8-7B64-4E1D-9A51-D480EBBB345E}" srcOrd="13" destOrd="0" presId="urn:microsoft.com/office/officeart/2005/8/layout/chevron1"/>
    <dgm:cxn modelId="{31E02F3A-311B-46C5-A0A1-CA2C29E9A94F}" type="presParOf" srcId="{A955EDC5-7484-4FF2-B9D1-38B9DF6B9A7B}" destId="{06A68BE7-3541-4F3C-8F9D-12D0976D80D0}" srcOrd="14" destOrd="0" presId="urn:microsoft.com/office/officeart/2005/8/layout/chevron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6.xml><?xml version="1.0" encoding="utf-8"?>
<dgm:dataModel xmlns:dgm="http://schemas.openxmlformats.org/drawingml/2006/diagram" xmlns:a="http://schemas.openxmlformats.org/drawingml/2006/main">
  <dgm:ptLst>
    <dgm:pt modelId="{F1E5F1A5-0A0E-48A7-8022-2DE3FC75511B}" type="doc">
      <dgm:prSet loTypeId="urn:microsoft.com/office/officeart/2008/layout/LinedList" loCatId="list" qsTypeId="urn:microsoft.com/office/officeart/2005/8/quickstyle/simple1" qsCatId="simple" csTypeId="urn:microsoft.com/office/officeart/2005/8/colors/accent1_2" csCatId="accent1" phldr="1"/>
      <dgm:spPr/>
      <dgm:t>
        <a:bodyPr/>
        <a:lstStyle/>
        <a:p>
          <a:endParaRPr lang="en-GB"/>
        </a:p>
      </dgm:t>
    </dgm:pt>
    <dgm:pt modelId="{278E3D06-4872-4D5C-B374-0F96CF017A0F}">
      <dgm:prSet phldrT="[Text]"/>
      <dgm:spPr/>
      <dgm:t>
        <a:bodyPr/>
        <a:lstStyle/>
        <a:p>
          <a:r>
            <a:rPr lang="en-GB"/>
            <a:t>Agent Drafting HoT</a:t>
          </a:r>
        </a:p>
      </dgm:t>
    </dgm:pt>
    <dgm:pt modelId="{E3CF312A-587A-45CF-A55D-45E987382FA5}" type="parTrans" cxnId="{06DFDEEF-CA0C-4844-92F0-81D21FABA663}">
      <dgm:prSet/>
      <dgm:spPr/>
      <dgm:t>
        <a:bodyPr/>
        <a:lstStyle/>
        <a:p>
          <a:endParaRPr lang="en-GB"/>
        </a:p>
      </dgm:t>
    </dgm:pt>
    <dgm:pt modelId="{81970B18-24CF-4901-BD32-1D2B7625342E}" type="sibTrans" cxnId="{06DFDEEF-CA0C-4844-92F0-81D21FABA663}">
      <dgm:prSet/>
      <dgm:spPr/>
      <dgm:t>
        <a:bodyPr/>
        <a:lstStyle/>
        <a:p>
          <a:endParaRPr lang="en-GB"/>
        </a:p>
      </dgm:t>
    </dgm:pt>
    <dgm:pt modelId="{68D55ABD-B0AF-4F8B-95F4-EC08915226A3}">
      <dgm:prSet phldrT="[Text]"/>
      <dgm:spPr/>
      <dgm:t>
        <a:bodyPr/>
        <a:lstStyle/>
        <a:p>
          <a:r>
            <a:rPr lang="en-GB"/>
            <a:t>LL Agreed HoT</a:t>
          </a:r>
        </a:p>
      </dgm:t>
    </dgm:pt>
    <dgm:pt modelId="{A67AD13B-D012-430C-8E78-E2F9CC2B6483}" type="parTrans" cxnId="{061384F8-7280-416E-B4B8-BF3EC3468D51}">
      <dgm:prSet/>
      <dgm:spPr/>
      <dgm:t>
        <a:bodyPr/>
        <a:lstStyle/>
        <a:p>
          <a:endParaRPr lang="en-GB"/>
        </a:p>
      </dgm:t>
    </dgm:pt>
    <dgm:pt modelId="{802E1022-4136-4CA1-852F-6142CF7B66C1}" type="sibTrans" cxnId="{061384F8-7280-416E-B4B8-BF3EC3468D51}">
      <dgm:prSet/>
      <dgm:spPr/>
      <dgm:t>
        <a:bodyPr/>
        <a:lstStyle/>
        <a:p>
          <a:endParaRPr lang="en-GB"/>
        </a:p>
      </dgm:t>
    </dgm:pt>
    <dgm:pt modelId="{C9AB4487-FC6B-4969-BC1D-B3BC814086A1}">
      <dgm:prSet phldrT="[Text]"/>
      <dgm:spPr/>
      <dgm:t>
        <a:bodyPr/>
        <a:lstStyle/>
        <a:p>
          <a:r>
            <a:rPr lang="en-GB"/>
            <a:t>TT Agreed HoT</a:t>
          </a:r>
        </a:p>
      </dgm:t>
    </dgm:pt>
    <dgm:pt modelId="{EFDD72D3-0C07-40BF-86A2-04CABB722D8C}" type="parTrans" cxnId="{F062ED8F-C5A8-42B5-9E87-44829E6A5DFA}">
      <dgm:prSet/>
      <dgm:spPr/>
      <dgm:t>
        <a:bodyPr/>
        <a:lstStyle/>
        <a:p>
          <a:endParaRPr lang="en-GB"/>
        </a:p>
      </dgm:t>
    </dgm:pt>
    <dgm:pt modelId="{8C2E9EF4-04D0-442E-BED6-17CFD2A4FD69}" type="sibTrans" cxnId="{F062ED8F-C5A8-42B5-9E87-44829E6A5DFA}">
      <dgm:prSet/>
      <dgm:spPr/>
      <dgm:t>
        <a:bodyPr/>
        <a:lstStyle/>
        <a:p>
          <a:endParaRPr lang="en-GB"/>
        </a:p>
      </dgm:t>
    </dgm:pt>
    <dgm:pt modelId="{A8920FB3-5E67-4CB2-8F9E-6459AC1D410E}">
      <dgm:prSet phldrT="[Text]"/>
      <dgm:spPr/>
      <dgm:t>
        <a:bodyPr/>
        <a:lstStyle/>
        <a:p>
          <a:endParaRPr lang="en-GB"/>
        </a:p>
      </dgm:t>
    </dgm:pt>
    <dgm:pt modelId="{4BAB2C5C-6C05-42C8-AE0B-DD462C56E3CF}" type="sibTrans" cxnId="{3FE8E860-3F8A-473A-982E-DC26E4E03449}">
      <dgm:prSet/>
      <dgm:spPr/>
      <dgm:t>
        <a:bodyPr/>
        <a:lstStyle/>
        <a:p>
          <a:endParaRPr lang="en-GB"/>
        </a:p>
      </dgm:t>
    </dgm:pt>
    <dgm:pt modelId="{4F4E73C0-AD0E-4B92-BC21-DAD96588D440}" type="parTrans" cxnId="{3FE8E860-3F8A-473A-982E-DC26E4E03449}">
      <dgm:prSet/>
      <dgm:spPr/>
      <dgm:t>
        <a:bodyPr/>
        <a:lstStyle/>
        <a:p>
          <a:endParaRPr lang="en-GB"/>
        </a:p>
      </dgm:t>
    </dgm:pt>
    <dgm:pt modelId="{F1D47E84-E541-424E-9E33-232F469750B0}" type="pres">
      <dgm:prSet presAssocID="{F1E5F1A5-0A0E-48A7-8022-2DE3FC75511B}" presName="vert0" presStyleCnt="0">
        <dgm:presLayoutVars>
          <dgm:dir/>
          <dgm:animOne val="branch"/>
          <dgm:animLvl val="lvl"/>
        </dgm:presLayoutVars>
      </dgm:prSet>
      <dgm:spPr/>
    </dgm:pt>
    <dgm:pt modelId="{303153C9-AFB2-43C6-90F8-C8830730580D}" type="pres">
      <dgm:prSet presAssocID="{A8920FB3-5E67-4CB2-8F9E-6459AC1D410E}" presName="thickLine" presStyleLbl="alignNode1" presStyleIdx="0" presStyleCnt="1" custLinFactNeighborX="-625" custLinFactNeighborY="2210"/>
      <dgm:spPr/>
    </dgm:pt>
    <dgm:pt modelId="{7EC27058-D210-4A87-91B8-F311E3905784}" type="pres">
      <dgm:prSet presAssocID="{A8920FB3-5E67-4CB2-8F9E-6459AC1D410E}" presName="horz1" presStyleCnt="0"/>
      <dgm:spPr/>
    </dgm:pt>
    <dgm:pt modelId="{A0A7B3EA-9A50-449D-A19C-71D878DA407B}" type="pres">
      <dgm:prSet presAssocID="{A8920FB3-5E67-4CB2-8F9E-6459AC1D410E}" presName="tx1" presStyleLbl="revTx" presStyleIdx="0" presStyleCnt="4" custFlipHor="1" custScaleX="15000"/>
      <dgm:spPr/>
    </dgm:pt>
    <dgm:pt modelId="{6235987E-7195-4D30-808E-196BE06782A1}" type="pres">
      <dgm:prSet presAssocID="{A8920FB3-5E67-4CB2-8F9E-6459AC1D410E}" presName="vert1" presStyleCnt="0"/>
      <dgm:spPr/>
    </dgm:pt>
    <dgm:pt modelId="{A3F0D3E0-0277-49CE-81E9-8D2512F44761}" type="pres">
      <dgm:prSet presAssocID="{278E3D06-4872-4D5C-B374-0F96CF017A0F}" presName="vertSpace2a" presStyleCnt="0"/>
      <dgm:spPr/>
    </dgm:pt>
    <dgm:pt modelId="{147CBA2B-97D4-4C33-8F61-BCDD3CA5E46E}" type="pres">
      <dgm:prSet presAssocID="{278E3D06-4872-4D5C-B374-0F96CF017A0F}" presName="horz2" presStyleCnt="0"/>
      <dgm:spPr/>
    </dgm:pt>
    <dgm:pt modelId="{292F6668-623C-4C43-B58E-3E4EB4775566}" type="pres">
      <dgm:prSet presAssocID="{278E3D06-4872-4D5C-B374-0F96CF017A0F}" presName="horzSpace2" presStyleCnt="0"/>
      <dgm:spPr/>
    </dgm:pt>
    <dgm:pt modelId="{9F6FEB68-43C2-4730-8586-56850BE3A8E0}" type="pres">
      <dgm:prSet presAssocID="{278E3D06-4872-4D5C-B374-0F96CF017A0F}" presName="tx2" presStyleLbl="revTx" presStyleIdx="1" presStyleCnt="4"/>
      <dgm:spPr/>
    </dgm:pt>
    <dgm:pt modelId="{9B58C295-9CE3-4770-8D8A-E4A8B1F0B842}" type="pres">
      <dgm:prSet presAssocID="{278E3D06-4872-4D5C-B374-0F96CF017A0F}" presName="vert2" presStyleCnt="0"/>
      <dgm:spPr/>
    </dgm:pt>
    <dgm:pt modelId="{C8B662AF-2727-4E27-8DFA-D29D710FD1E8}" type="pres">
      <dgm:prSet presAssocID="{278E3D06-4872-4D5C-B374-0F96CF017A0F}" presName="thinLine2b" presStyleLbl="callout" presStyleIdx="0" presStyleCnt="3"/>
      <dgm:spPr/>
    </dgm:pt>
    <dgm:pt modelId="{2FAD698E-37A3-475A-84E2-74FC4CDA1B9D}" type="pres">
      <dgm:prSet presAssocID="{278E3D06-4872-4D5C-B374-0F96CF017A0F}" presName="vertSpace2b" presStyleCnt="0"/>
      <dgm:spPr/>
    </dgm:pt>
    <dgm:pt modelId="{6E9A699B-DF25-40DA-866C-B0D0128A8072}" type="pres">
      <dgm:prSet presAssocID="{68D55ABD-B0AF-4F8B-95F4-EC08915226A3}" presName="horz2" presStyleCnt="0"/>
      <dgm:spPr/>
    </dgm:pt>
    <dgm:pt modelId="{F46B9EF0-E4A5-4846-9E72-23DDC8678ACB}" type="pres">
      <dgm:prSet presAssocID="{68D55ABD-B0AF-4F8B-95F4-EC08915226A3}" presName="horzSpace2" presStyleCnt="0"/>
      <dgm:spPr/>
    </dgm:pt>
    <dgm:pt modelId="{0DA7E684-7494-485D-BC65-70210F520182}" type="pres">
      <dgm:prSet presAssocID="{68D55ABD-B0AF-4F8B-95F4-EC08915226A3}" presName="tx2" presStyleLbl="revTx" presStyleIdx="2" presStyleCnt="4"/>
      <dgm:spPr/>
    </dgm:pt>
    <dgm:pt modelId="{D47EFEB9-33D7-49C6-B289-BF9214316FDB}" type="pres">
      <dgm:prSet presAssocID="{68D55ABD-B0AF-4F8B-95F4-EC08915226A3}" presName="vert2" presStyleCnt="0"/>
      <dgm:spPr/>
    </dgm:pt>
    <dgm:pt modelId="{9AAF855B-C8E7-479B-AAA7-EE8316F15CF5}" type="pres">
      <dgm:prSet presAssocID="{68D55ABD-B0AF-4F8B-95F4-EC08915226A3}" presName="thinLine2b" presStyleLbl="callout" presStyleIdx="1" presStyleCnt="3"/>
      <dgm:spPr/>
    </dgm:pt>
    <dgm:pt modelId="{CD986582-291A-4224-8E23-4405D90EC044}" type="pres">
      <dgm:prSet presAssocID="{68D55ABD-B0AF-4F8B-95F4-EC08915226A3}" presName="vertSpace2b" presStyleCnt="0"/>
      <dgm:spPr/>
    </dgm:pt>
    <dgm:pt modelId="{B1173BDE-93F4-4A2C-A45F-0E112E1A4DEE}" type="pres">
      <dgm:prSet presAssocID="{C9AB4487-FC6B-4969-BC1D-B3BC814086A1}" presName="horz2" presStyleCnt="0"/>
      <dgm:spPr/>
    </dgm:pt>
    <dgm:pt modelId="{D8CE02D4-A85B-4C09-BAD7-7EFA3CB7BB0C}" type="pres">
      <dgm:prSet presAssocID="{C9AB4487-FC6B-4969-BC1D-B3BC814086A1}" presName="horzSpace2" presStyleCnt="0"/>
      <dgm:spPr/>
    </dgm:pt>
    <dgm:pt modelId="{7E0010B8-8B1C-4F2C-9646-5D8404B970A1}" type="pres">
      <dgm:prSet presAssocID="{C9AB4487-FC6B-4969-BC1D-B3BC814086A1}" presName="tx2" presStyleLbl="revTx" presStyleIdx="3" presStyleCnt="4"/>
      <dgm:spPr/>
    </dgm:pt>
    <dgm:pt modelId="{D7F36475-04F1-4F98-8E78-1A2B294FD457}" type="pres">
      <dgm:prSet presAssocID="{C9AB4487-FC6B-4969-BC1D-B3BC814086A1}" presName="vert2" presStyleCnt="0"/>
      <dgm:spPr/>
    </dgm:pt>
    <dgm:pt modelId="{85EB95A0-9C49-45E1-BA9A-7544C43A8AB1}" type="pres">
      <dgm:prSet presAssocID="{C9AB4487-FC6B-4969-BC1D-B3BC814086A1}" presName="thinLine2b" presStyleLbl="callout" presStyleIdx="2" presStyleCnt="3"/>
      <dgm:spPr/>
    </dgm:pt>
    <dgm:pt modelId="{6C3DD20D-6246-40C7-8174-E41E2D6395AB}" type="pres">
      <dgm:prSet presAssocID="{C9AB4487-FC6B-4969-BC1D-B3BC814086A1}" presName="vertSpace2b" presStyleCnt="0"/>
      <dgm:spPr/>
    </dgm:pt>
  </dgm:ptLst>
  <dgm:cxnLst>
    <dgm:cxn modelId="{3882DE23-208A-4CFC-ACF1-440E0F3DFB04}" type="presOf" srcId="{A8920FB3-5E67-4CB2-8F9E-6459AC1D410E}" destId="{A0A7B3EA-9A50-449D-A19C-71D878DA407B}" srcOrd="0" destOrd="0" presId="urn:microsoft.com/office/officeart/2008/layout/LinedList"/>
    <dgm:cxn modelId="{3FE8E860-3F8A-473A-982E-DC26E4E03449}" srcId="{F1E5F1A5-0A0E-48A7-8022-2DE3FC75511B}" destId="{A8920FB3-5E67-4CB2-8F9E-6459AC1D410E}" srcOrd="0" destOrd="0" parTransId="{4F4E73C0-AD0E-4B92-BC21-DAD96588D440}" sibTransId="{4BAB2C5C-6C05-42C8-AE0B-DD462C56E3CF}"/>
    <dgm:cxn modelId="{A85F9668-996A-42B3-87C5-DB29DB694EDC}" type="presOf" srcId="{278E3D06-4872-4D5C-B374-0F96CF017A0F}" destId="{9F6FEB68-43C2-4730-8586-56850BE3A8E0}" srcOrd="0" destOrd="0" presId="urn:microsoft.com/office/officeart/2008/layout/LinedList"/>
    <dgm:cxn modelId="{C8DB4B75-16B5-46AC-8739-5E84BA9C18FA}" type="presOf" srcId="{68D55ABD-B0AF-4F8B-95F4-EC08915226A3}" destId="{0DA7E684-7494-485D-BC65-70210F520182}" srcOrd="0" destOrd="0" presId="urn:microsoft.com/office/officeart/2008/layout/LinedList"/>
    <dgm:cxn modelId="{905E8A80-9B88-498A-B291-3A30452975EE}" type="presOf" srcId="{C9AB4487-FC6B-4969-BC1D-B3BC814086A1}" destId="{7E0010B8-8B1C-4F2C-9646-5D8404B970A1}" srcOrd="0" destOrd="0" presId="urn:microsoft.com/office/officeart/2008/layout/LinedList"/>
    <dgm:cxn modelId="{F062ED8F-C5A8-42B5-9E87-44829E6A5DFA}" srcId="{A8920FB3-5E67-4CB2-8F9E-6459AC1D410E}" destId="{C9AB4487-FC6B-4969-BC1D-B3BC814086A1}" srcOrd="2" destOrd="0" parTransId="{EFDD72D3-0C07-40BF-86A2-04CABB722D8C}" sibTransId="{8C2E9EF4-04D0-442E-BED6-17CFD2A4FD69}"/>
    <dgm:cxn modelId="{06DFDEEF-CA0C-4844-92F0-81D21FABA663}" srcId="{A8920FB3-5E67-4CB2-8F9E-6459AC1D410E}" destId="{278E3D06-4872-4D5C-B374-0F96CF017A0F}" srcOrd="0" destOrd="0" parTransId="{E3CF312A-587A-45CF-A55D-45E987382FA5}" sibTransId="{81970B18-24CF-4901-BD32-1D2B7625342E}"/>
    <dgm:cxn modelId="{B08CFBF7-C6BC-4D6A-B412-1C3AED2147E8}" type="presOf" srcId="{F1E5F1A5-0A0E-48A7-8022-2DE3FC75511B}" destId="{F1D47E84-E541-424E-9E33-232F469750B0}" srcOrd="0" destOrd="0" presId="urn:microsoft.com/office/officeart/2008/layout/LinedList"/>
    <dgm:cxn modelId="{061384F8-7280-416E-B4B8-BF3EC3468D51}" srcId="{A8920FB3-5E67-4CB2-8F9E-6459AC1D410E}" destId="{68D55ABD-B0AF-4F8B-95F4-EC08915226A3}" srcOrd="1" destOrd="0" parTransId="{A67AD13B-D012-430C-8E78-E2F9CC2B6483}" sibTransId="{802E1022-4136-4CA1-852F-6142CF7B66C1}"/>
    <dgm:cxn modelId="{8C1CB268-75AA-4FED-B865-7FDC30C8A458}" type="presParOf" srcId="{F1D47E84-E541-424E-9E33-232F469750B0}" destId="{303153C9-AFB2-43C6-90F8-C8830730580D}" srcOrd="0" destOrd="0" presId="urn:microsoft.com/office/officeart/2008/layout/LinedList"/>
    <dgm:cxn modelId="{55CBE871-C9AF-4093-B9F1-0BC11D0BAD86}" type="presParOf" srcId="{F1D47E84-E541-424E-9E33-232F469750B0}" destId="{7EC27058-D210-4A87-91B8-F311E3905784}" srcOrd="1" destOrd="0" presId="urn:microsoft.com/office/officeart/2008/layout/LinedList"/>
    <dgm:cxn modelId="{ABC7B812-2D2D-4AB0-AEA7-6B67FE55C08B}" type="presParOf" srcId="{7EC27058-D210-4A87-91B8-F311E3905784}" destId="{A0A7B3EA-9A50-449D-A19C-71D878DA407B}" srcOrd="0" destOrd="0" presId="urn:microsoft.com/office/officeart/2008/layout/LinedList"/>
    <dgm:cxn modelId="{1B7C46D8-A4E3-4058-BC53-037316C0CC40}" type="presParOf" srcId="{7EC27058-D210-4A87-91B8-F311E3905784}" destId="{6235987E-7195-4D30-808E-196BE06782A1}" srcOrd="1" destOrd="0" presId="urn:microsoft.com/office/officeart/2008/layout/LinedList"/>
    <dgm:cxn modelId="{5BD888FF-1AF3-4DAD-837F-E5A499D02C2B}" type="presParOf" srcId="{6235987E-7195-4D30-808E-196BE06782A1}" destId="{A3F0D3E0-0277-49CE-81E9-8D2512F44761}" srcOrd="0" destOrd="0" presId="urn:microsoft.com/office/officeart/2008/layout/LinedList"/>
    <dgm:cxn modelId="{7881A165-D1CC-4F99-A8E3-A4C305F7EDF9}" type="presParOf" srcId="{6235987E-7195-4D30-808E-196BE06782A1}" destId="{147CBA2B-97D4-4C33-8F61-BCDD3CA5E46E}" srcOrd="1" destOrd="0" presId="urn:microsoft.com/office/officeart/2008/layout/LinedList"/>
    <dgm:cxn modelId="{06BCB403-A523-49BE-A591-0C9130AF90F2}" type="presParOf" srcId="{147CBA2B-97D4-4C33-8F61-BCDD3CA5E46E}" destId="{292F6668-623C-4C43-B58E-3E4EB4775566}" srcOrd="0" destOrd="0" presId="urn:microsoft.com/office/officeart/2008/layout/LinedList"/>
    <dgm:cxn modelId="{74ADB7FD-5A12-4557-95BE-0E91A5D447BC}" type="presParOf" srcId="{147CBA2B-97D4-4C33-8F61-BCDD3CA5E46E}" destId="{9F6FEB68-43C2-4730-8586-56850BE3A8E0}" srcOrd="1" destOrd="0" presId="urn:microsoft.com/office/officeart/2008/layout/LinedList"/>
    <dgm:cxn modelId="{CA7545E8-DA63-4E0D-9173-19A5E900E1B4}" type="presParOf" srcId="{147CBA2B-97D4-4C33-8F61-BCDD3CA5E46E}" destId="{9B58C295-9CE3-4770-8D8A-E4A8B1F0B842}" srcOrd="2" destOrd="0" presId="urn:microsoft.com/office/officeart/2008/layout/LinedList"/>
    <dgm:cxn modelId="{522D693E-0342-4642-9755-93D61BB82107}" type="presParOf" srcId="{6235987E-7195-4D30-808E-196BE06782A1}" destId="{C8B662AF-2727-4E27-8DFA-D29D710FD1E8}" srcOrd="2" destOrd="0" presId="urn:microsoft.com/office/officeart/2008/layout/LinedList"/>
    <dgm:cxn modelId="{F50AFC10-C5F7-40B2-BEE0-6AAB8F0C45A6}" type="presParOf" srcId="{6235987E-7195-4D30-808E-196BE06782A1}" destId="{2FAD698E-37A3-475A-84E2-74FC4CDA1B9D}" srcOrd="3" destOrd="0" presId="urn:microsoft.com/office/officeart/2008/layout/LinedList"/>
    <dgm:cxn modelId="{04EAD001-1F35-4FBA-81D5-9C862E4A6D1A}" type="presParOf" srcId="{6235987E-7195-4D30-808E-196BE06782A1}" destId="{6E9A699B-DF25-40DA-866C-B0D0128A8072}" srcOrd="4" destOrd="0" presId="urn:microsoft.com/office/officeart/2008/layout/LinedList"/>
    <dgm:cxn modelId="{EC00F672-9017-4A9D-9CEB-9C875D8559BF}" type="presParOf" srcId="{6E9A699B-DF25-40DA-866C-B0D0128A8072}" destId="{F46B9EF0-E4A5-4846-9E72-23DDC8678ACB}" srcOrd="0" destOrd="0" presId="urn:microsoft.com/office/officeart/2008/layout/LinedList"/>
    <dgm:cxn modelId="{CDEC81C5-5912-40A4-A7F4-FF87AA095DC8}" type="presParOf" srcId="{6E9A699B-DF25-40DA-866C-B0D0128A8072}" destId="{0DA7E684-7494-485D-BC65-70210F520182}" srcOrd="1" destOrd="0" presId="urn:microsoft.com/office/officeart/2008/layout/LinedList"/>
    <dgm:cxn modelId="{4F78E5EC-092A-48CF-9228-E0D7E6A11011}" type="presParOf" srcId="{6E9A699B-DF25-40DA-866C-B0D0128A8072}" destId="{D47EFEB9-33D7-49C6-B289-BF9214316FDB}" srcOrd="2" destOrd="0" presId="urn:microsoft.com/office/officeart/2008/layout/LinedList"/>
    <dgm:cxn modelId="{23D1A0C2-0870-4D89-8FD7-49028444AB85}" type="presParOf" srcId="{6235987E-7195-4D30-808E-196BE06782A1}" destId="{9AAF855B-C8E7-479B-AAA7-EE8316F15CF5}" srcOrd="5" destOrd="0" presId="urn:microsoft.com/office/officeart/2008/layout/LinedList"/>
    <dgm:cxn modelId="{CD8FED94-1031-420F-BB20-DA2ED7DCE7A9}" type="presParOf" srcId="{6235987E-7195-4D30-808E-196BE06782A1}" destId="{CD986582-291A-4224-8E23-4405D90EC044}" srcOrd="6" destOrd="0" presId="urn:microsoft.com/office/officeart/2008/layout/LinedList"/>
    <dgm:cxn modelId="{6988875F-9D9F-4F42-9260-6BE05A0DA857}" type="presParOf" srcId="{6235987E-7195-4D30-808E-196BE06782A1}" destId="{B1173BDE-93F4-4A2C-A45F-0E112E1A4DEE}" srcOrd="7" destOrd="0" presId="urn:microsoft.com/office/officeart/2008/layout/LinedList"/>
    <dgm:cxn modelId="{B8515F08-7667-45C6-95F0-9D53344DF022}" type="presParOf" srcId="{B1173BDE-93F4-4A2C-A45F-0E112E1A4DEE}" destId="{D8CE02D4-A85B-4C09-BAD7-7EFA3CB7BB0C}" srcOrd="0" destOrd="0" presId="urn:microsoft.com/office/officeart/2008/layout/LinedList"/>
    <dgm:cxn modelId="{C29BFC80-0357-4551-ADBF-AD6E36AE4A94}" type="presParOf" srcId="{B1173BDE-93F4-4A2C-A45F-0E112E1A4DEE}" destId="{7E0010B8-8B1C-4F2C-9646-5D8404B970A1}" srcOrd="1" destOrd="0" presId="urn:microsoft.com/office/officeart/2008/layout/LinedList"/>
    <dgm:cxn modelId="{FD6C3BE0-6944-4946-8F13-C1D69E66AAF7}" type="presParOf" srcId="{B1173BDE-93F4-4A2C-A45F-0E112E1A4DEE}" destId="{D7F36475-04F1-4F98-8E78-1A2B294FD457}" srcOrd="2" destOrd="0" presId="urn:microsoft.com/office/officeart/2008/layout/LinedList"/>
    <dgm:cxn modelId="{41F54E15-BE0F-4D18-9B1A-B8CED4F19075}" type="presParOf" srcId="{6235987E-7195-4D30-808E-196BE06782A1}" destId="{85EB95A0-9C49-45E1-BA9A-7544C43A8AB1}" srcOrd="8" destOrd="0" presId="urn:microsoft.com/office/officeart/2008/layout/LinedList"/>
    <dgm:cxn modelId="{99D0DBA9-5E9C-4AF6-B182-92DBB39610B1}" type="presParOf" srcId="{6235987E-7195-4D30-808E-196BE06782A1}" destId="{6C3DD20D-6246-40C7-8174-E41E2D6395AB}" srcOrd="9" destOrd="0" presId="urn:microsoft.com/office/officeart/2008/layout/LinedList"/>
  </dgm:cxnLst>
  <dgm:bg/>
  <dgm:whole/>
  <dgm:extLst>
    <a:ext uri="http://schemas.microsoft.com/office/drawing/2008/diagram">
      <dsp:dataModelExt xmlns:dsp="http://schemas.microsoft.com/office/drawing/2008/diagram" relId="rId11" minVer="http://schemas.openxmlformats.org/drawingml/2006/diagram"/>
    </a:ext>
  </dgm:extLst>
</dgm:dataModel>
</file>

<file path=xl/diagrams/data7.xml><?xml version="1.0" encoding="utf-8"?>
<dgm:dataModel xmlns:dgm="http://schemas.openxmlformats.org/drawingml/2006/diagram" xmlns:a="http://schemas.openxmlformats.org/drawingml/2006/main">
  <dgm:ptLst>
    <dgm:pt modelId="{F1E5F1A5-0A0E-48A7-8022-2DE3FC75511B}" type="doc">
      <dgm:prSet loTypeId="urn:microsoft.com/office/officeart/2008/layout/LinedList" loCatId="list" qsTypeId="urn:microsoft.com/office/officeart/2005/8/quickstyle/simple1" qsCatId="simple" csTypeId="urn:microsoft.com/office/officeart/2005/8/colors/accent1_2" csCatId="accent1" phldr="1"/>
      <dgm:spPr/>
      <dgm:t>
        <a:bodyPr/>
        <a:lstStyle/>
        <a:p>
          <a:endParaRPr lang="en-GB"/>
        </a:p>
      </dgm:t>
    </dgm:pt>
    <dgm:pt modelId="{A8920FB3-5E67-4CB2-8F9E-6459AC1D410E}">
      <dgm:prSet phldrT="[Text]"/>
      <dgm:spPr/>
      <dgm:t>
        <a:bodyPr/>
        <a:lstStyle/>
        <a:p>
          <a:endParaRPr lang="en-GB"/>
        </a:p>
      </dgm:t>
    </dgm:pt>
    <dgm:pt modelId="{4F4E73C0-AD0E-4B92-BC21-DAD96588D440}" type="parTrans" cxnId="{3FE8E860-3F8A-473A-982E-DC26E4E03449}">
      <dgm:prSet/>
      <dgm:spPr/>
      <dgm:t>
        <a:bodyPr/>
        <a:lstStyle/>
        <a:p>
          <a:endParaRPr lang="en-GB"/>
        </a:p>
      </dgm:t>
    </dgm:pt>
    <dgm:pt modelId="{4BAB2C5C-6C05-42C8-AE0B-DD462C56E3CF}" type="sibTrans" cxnId="{3FE8E860-3F8A-473A-982E-DC26E4E03449}">
      <dgm:prSet/>
      <dgm:spPr/>
      <dgm:t>
        <a:bodyPr/>
        <a:lstStyle/>
        <a:p>
          <a:endParaRPr lang="en-GB"/>
        </a:p>
      </dgm:t>
    </dgm:pt>
    <dgm:pt modelId="{733CA360-1FBF-4A7E-A3F0-CC68A03238E2}">
      <dgm:prSet phldrT="[Text]"/>
      <dgm:spPr/>
      <dgm:t>
        <a:bodyPr/>
        <a:lstStyle/>
        <a:p>
          <a:r>
            <a:rPr lang="en-GB"/>
            <a:t>In Negotiation</a:t>
          </a:r>
        </a:p>
      </dgm:t>
    </dgm:pt>
    <dgm:pt modelId="{45F14637-2B07-43CB-BD02-D3397AFC4639}" type="parTrans" cxnId="{60FEACF4-14FB-4F41-AB60-DE5B5906BA94}">
      <dgm:prSet/>
      <dgm:spPr/>
      <dgm:t>
        <a:bodyPr/>
        <a:lstStyle/>
        <a:p>
          <a:endParaRPr lang="en-GB"/>
        </a:p>
      </dgm:t>
    </dgm:pt>
    <dgm:pt modelId="{D5C660DC-1DD8-4DA5-AB2B-29E5D746515E}" type="sibTrans" cxnId="{60FEACF4-14FB-4F41-AB60-DE5B5906BA94}">
      <dgm:prSet/>
      <dgm:spPr/>
      <dgm:t>
        <a:bodyPr/>
        <a:lstStyle/>
        <a:p>
          <a:endParaRPr lang="en-GB"/>
        </a:p>
      </dgm:t>
    </dgm:pt>
    <dgm:pt modelId="{01E04C4B-8157-49E4-86E8-96CA2FD7A044}">
      <dgm:prSet phldrT="[Text]"/>
      <dgm:spPr/>
      <dgm:t>
        <a:bodyPr/>
        <a:lstStyle/>
        <a:p>
          <a:r>
            <a:rPr lang="en-GB"/>
            <a:t>In Signing</a:t>
          </a:r>
        </a:p>
      </dgm:t>
    </dgm:pt>
    <dgm:pt modelId="{B313F3BE-2F10-4084-8880-E7D554C3D85F}" type="parTrans" cxnId="{DB77E3A6-F28A-4EA2-9BE0-74B4727783E5}">
      <dgm:prSet/>
      <dgm:spPr/>
      <dgm:t>
        <a:bodyPr/>
        <a:lstStyle/>
        <a:p>
          <a:endParaRPr lang="en-GB"/>
        </a:p>
      </dgm:t>
    </dgm:pt>
    <dgm:pt modelId="{DDAE0F40-3313-41FF-B3C4-2BE3F35E38C5}" type="sibTrans" cxnId="{DB77E3A6-F28A-4EA2-9BE0-74B4727783E5}">
      <dgm:prSet/>
      <dgm:spPr/>
      <dgm:t>
        <a:bodyPr/>
        <a:lstStyle/>
        <a:p>
          <a:endParaRPr lang="en-GB"/>
        </a:p>
      </dgm:t>
    </dgm:pt>
    <dgm:pt modelId="{278E3D06-4872-4D5C-B374-0F96CF017A0F}">
      <dgm:prSet phldrT="[Text]"/>
      <dgm:spPr/>
      <dgm:t>
        <a:bodyPr/>
        <a:lstStyle/>
        <a:p>
          <a:r>
            <a:rPr lang="en-GB"/>
            <a:t>Solicitor Drafting Contract </a:t>
          </a:r>
        </a:p>
      </dgm:t>
    </dgm:pt>
    <dgm:pt modelId="{81970B18-24CF-4901-BD32-1D2B7625342E}" type="sibTrans" cxnId="{06DFDEEF-CA0C-4844-92F0-81D21FABA663}">
      <dgm:prSet/>
      <dgm:spPr/>
      <dgm:t>
        <a:bodyPr/>
        <a:lstStyle/>
        <a:p>
          <a:endParaRPr lang="en-GB"/>
        </a:p>
      </dgm:t>
    </dgm:pt>
    <dgm:pt modelId="{E3CF312A-587A-45CF-A55D-45E987382FA5}" type="parTrans" cxnId="{06DFDEEF-CA0C-4844-92F0-81D21FABA663}">
      <dgm:prSet/>
      <dgm:spPr/>
      <dgm:t>
        <a:bodyPr/>
        <a:lstStyle/>
        <a:p>
          <a:endParaRPr lang="en-GB"/>
        </a:p>
      </dgm:t>
    </dgm:pt>
    <dgm:pt modelId="{F1D47E84-E541-424E-9E33-232F469750B0}" type="pres">
      <dgm:prSet presAssocID="{F1E5F1A5-0A0E-48A7-8022-2DE3FC75511B}" presName="vert0" presStyleCnt="0">
        <dgm:presLayoutVars>
          <dgm:dir/>
          <dgm:animOne val="branch"/>
          <dgm:animLvl val="lvl"/>
        </dgm:presLayoutVars>
      </dgm:prSet>
      <dgm:spPr/>
    </dgm:pt>
    <dgm:pt modelId="{303153C9-AFB2-43C6-90F8-C8830730580D}" type="pres">
      <dgm:prSet presAssocID="{A8920FB3-5E67-4CB2-8F9E-6459AC1D410E}" presName="thickLine" presStyleLbl="alignNode1" presStyleIdx="0" presStyleCnt="1" custLinFactNeighborX="478" custLinFactNeighborY="1105"/>
      <dgm:spPr/>
    </dgm:pt>
    <dgm:pt modelId="{7EC27058-D210-4A87-91B8-F311E3905784}" type="pres">
      <dgm:prSet presAssocID="{A8920FB3-5E67-4CB2-8F9E-6459AC1D410E}" presName="horz1" presStyleCnt="0"/>
      <dgm:spPr/>
    </dgm:pt>
    <dgm:pt modelId="{A0A7B3EA-9A50-449D-A19C-71D878DA407B}" type="pres">
      <dgm:prSet presAssocID="{A8920FB3-5E67-4CB2-8F9E-6459AC1D410E}" presName="tx1" presStyleLbl="revTx" presStyleIdx="0" presStyleCnt="4" custFlipHor="1" custScaleX="11374"/>
      <dgm:spPr/>
    </dgm:pt>
    <dgm:pt modelId="{6235987E-7195-4D30-808E-196BE06782A1}" type="pres">
      <dgm:prSet presAssocID="{A8920FB3-5E67-4CB2-8F9E-6459AC1D410E}" presName="vert1" presStyleCnt="0"/>
      <dgm:spPr/>
    </dgm:pt>
    <dgm:pt modelId="{A3F0D3E0-0277-49CE-81E9-8D2512F44761}" type="pres">
      <dgm:prSet presAssocID="{278E3D06-4872-4D5C-B374-0F96CF017A0F}" presName="vertSpace2a" presStyleCnt="0"/>
      <dgm:spPr/>
    </dgm:pt>
    <dgm:pt modelId="{147CBA2B-97D4-4C33-8F61-BCDD3CA5E46E}" type="pres">
      <dgm:prSet presAssocID="{278E3D06-4872-4D5C-B374-0F96CF017A0F}" presName="horz2" presStyleCnt="0"/>
      <dgm:spPr/>
    </dgm:pt>
    <dgm:pt modelId="{292F6668-623C-4C43-B58E-3E4EB4775566}" type="pres">
      <dgm:prSet presAssocID="{278E3D06-4872-4D5C-B374-0F96CF017A0F}" presName="horzSpace2" presStyleCnt="0"/>
      <dgm:spPr/>
    </dgm:pt>
    <dgm:pt modelId="{9F6FEB68-43C2-4730-8586-56850BE3A8E0}" type="pres">
      <dgm:prSet presAssocID="{278E3D06-4872-4D5C-B374-0F96CF017A0F}" presName="tx2" presStyleLbl="revTx" presStyleIdx="1" presStyleCnt="4"/>
      <dgm:spPr/>
    </dgm:pt>
    <dgm:pt modelId="{9B58C295-9CE3-4770-8D8A-E4A8B1F0B842}" type="pres">
      <dgm:prSet presAssocID="{278E3D06-4872-4D5C-B374-0F96CF017A0F}" presName="vert2" presStyleCnt="0"/>
      <dgm:spPr/>
    </dgm:pt>
    <dgm:pt modelId="{C8B662AF-2727-4E27-8DFA-D29D710FD1E8}" type="pres">
      <dgm:prSet presAssocID="{278E3D06-4872-4D5C-B374-0F96CF017A0F}" presName="thinLine2b" presStyleLbl="callout" presStyleIdx="0" presStyleCnt="3"/>
      <dgm:spPr/>
    </dgm:pt>
    <dgm:pt modelId="{2FAD698E-37A3-475A-84E2-74FC4CDA1B9D}" type="pres">
      <dgm:prSet presAssocID="{278E3D06-4872-4D5C-B374-0F96CF017A0F}" presName="vertSpace2b" presStyleCnt="0"/>
      <dgm:spPr/>
    </dgm:pt>
    <dgm:pt modelId="{59B32B8C-B87D-45F8-A1F4-CB5FD7033A06}" type="pres">
      <dgm:prSet presAssocID="{733CA360-1FBF-4A7E-A3F0-CC68A03238E2}" presName="horz2" presStyleCnt="0"/>
      <dgm:spPr/>
    </dgm:pt>
    <dgm:pt modelId="{71A5AB8D-66A7-4DD6-8EA0-D47EF6E575B4}" type="pres">
      <dgm:prSet presAssocID="{733CA360-1FBF-4A7E-A3F0-CC68A03238E2}" presName="horzSpace2" presStyleCnt="0"/>
      <dgm:spPr/>
    </dgm:pt>
    <dgm:pt modelId="{A1C9789A-0EEA-4DA5-AC76-8CC0D116C6F3}" type="pres">
      <dgm:prSet presAssocID="{733CA360-1FBF-4A7E-A3F0-CC68A03238E2}" presName="tx2" presStyleLbl="revTx" presStyleIdx="2" presStyleCnt="4"/>
      <dgm:spPr/>
    </dgm:pt>
    <dgm:pt modelId="{79678EDA-BF0A-48FD-A449-928AC1D619F5}" type="pres">
      <dgm:prSet presAssocID="{733CA360-1FBF-4A7E-A3F0-CC68A03238E2}" presName="vert2" presStyleCnt="0"/>
      <dgm:spPr/>
    </dgm:pt>
    <dgm:pt modelId="{92EA4D53-8564-4140-885F-737328283054}" type="pres">
      <dgm:prSet presAssocID="{733CA360-1FBF-4A7E-A3F0-CC68A03238E2}" presName="thinLine2b" presStyleLbl="callout" presStyleIdx="1" presStyleCnt="3"/>
      <dgm:spPr/>
    </dgm:pt>
    <dgm:pt modelId="{2D7E3A04-BE2D-4C30-8ACB-9D4B79B4D273}" type="pres">
      <dgm:prSet presAssocID="{733CA360-1FBF-4A7E-A3F0-CC68A03238E2}" presName="vertSpace2b" presStyleCnt="0"/>
      <dgm:spPr/>
    </dgm:pt>
    <dgm:pt modelId="{45EBF1AF-0DE2-4968-8A50-B30CAF48ADBC}" type="pres">
      <dgm:prSet presAssocID="{01E04C4B-8157-49E4-86E8-96CA2FD7A044}" presName="horz2" presStyleCnt="0"/>
      <dgm:spPr/>
    </dgm:pt>
    <dgm:pt modelId="{835DBFF9-21E2-4221-9F4E-023E691B2E3E}" type="pres">
      <dgm:prSet presAssocID="{01E04C4B-8157-49E4-86E8-96CA2FD7A044}" presName="horzSpace2" presStyleCnt="0"/>
      <dgm:spPr/>
    </dgm:pt>
    <dgm:pt modelId="{53E50714-5651-4F41-94D0-B2D65C598801}" type="pres">
      <dgm:prSet presAssocID="{01E04C4B-8157-49E4-86E8-96CA2FD7A044}" presName="tx2" presStyleLbl="revTx" presStyleIdx="3" presStyleCnt="4"/>
      <dgm:spPr/>
    </dgm:pt>
    <dgm:pt modelId="{60F8B6FC-E6E2-4CCC-9E84-E84A9614612C}" type="pres">
      <dgm:prSet presAssocID="{01E04C4B-8157-49E4-86E8-96CA2FD7A044}" presName="vert2" presStyleCnt="0"/>
      <dgm:spPr/>
    </dgm:pt>
    <dgm:pt modelId="{E0F8ACB8-9E47-474E-BF61-E79029521C41}" type="pres">
      <dgm:prSet presAssocID="{01E04C4B-8157-49E4-86E8-96CA2FD7A044}" presName="thinLine2b" presStyleLbl="callout" presStyleIdx="2" presStyleCnt="3"/>
      <dgm:spPr/>
    </dgm:pt>
    <dgm:pt modelId="{36602787-F47F-403A-9D0E-6832883D989E}" type="pres">
      <dgm:prSet presAssocID="{01E04C4B-8157-49E4-86E8-96CA2FD7A044}" presName="vertSpace2b" presStyleCnt="0"/>
      <dgm:spPr/>
    </dgm:pt>
  </dgm:ptLst>
  <dgm:cxnLst>
    <dgm:cxn modelId="{3882DE23-208A-4CFC-ACF1-440E0F3DFB04}" type="presOf" srcId="{A8920FB3-5E67-4CB2-8F9E-6459AC1D410E}" destId="{A0A7B3EA-9A50-449D-A19C-71D878DA407B}" srcOrd="0" destOrd="0" presId="urn:microsoft.com/office/officeart/2008/layout/LinedList"/>
    <dgm:cxn modelId="{7B71262A-4C80-4810-96F8-B94D99CDDB89}" type="presOf" srcId="{01E04C4B-8157-49E4-86E8-96CA2FD7A044}" destId="{53E50714-5651-4F41-94D0-B2D65C598801}" srcOrd="0" destOrd="0" presId="urn:microsoft.com/office/officeart/2008/layout/LinedList"/>
    <dgm:cxn modelId="{3FE8E860-3F8A-473A-982E-DC26E4E03449}" srcId="{F1E5F1A5-0A0E-48A7-8022-2DE3FC75511B}" destId="{A8920FB3-5E67-4CB2-8F9E-6459AC1D410E}" srcOrd="0" destOrd="0" parTransId="{4F4E73C0-AD0E-4B92-BC21-DAD96588D440}" sibTransId="{4BAB2C5C-6C05-42C8-AE0B-DD462C56E3CF}"/>
    <dgm:cxn modelId="{A85F9668-996A-42B3-87C5-DB29DB694EDC}" type="presOf" srcId="{278E3D06-4872-4D5C-B374-0F96CF017A0F}" destId="{9F6FEB68-43C2-4730-8586-56850BE3A8E0}" srcOrd="0" destOrd="0" presId="urn:microsoft.com/office/officeart/2008/layout/LinedList"/>
    <dgm:cxn modelId="{38C11C55-C9EE-4B5D-85F6-6AC6277F53E0}" type="presOf" srcId="{733CA360-1FBF-4A7E-A3F0-CC68A03238E2}" destId="{A1C9789A-0EEA-4DA5-AC76-8CC0D116C6F3}" srcOrd="0" destOrd="0" presId="urn:microsoft.com/office/officeart/2008/layout/LinedList"/>
    <dgm:cxn modelId="{DB77E3A6-F28A-4EA2-9BE0-74B4727783E5}" srcId="{A8920FB3-5E67-4CB2-8F9E-6459AC1D410E}" destId="{01E04C4B-8157-49E4-86E8-96CA2FD7A044}" srcOrd="2" destOrd="0" parTransId="{B313F3BE-2F10-4084-8880-E7D554C3D85F}" sibTransId="{DDAE0F40-3313-41FF-B3C4-2BE3F35E38C5}"/>
    <dgm:cxn modelId="{06DFDEEF-CA0C-4844-92F0-81D21FABA663}" srcId="{A8920FB3-5E67-4CB2-8F9E-6459AC1D410E}" destId="{278E3D06-4872-4D5C-B374-0F96CF017A0F}" srcOrd="0" destOrd="0" parTransId="{E3CF312A-587A-45CF-A55D-45E987382FA5}" sibTransId="{81970B18-24CF-4901-BD32-1D2B7625342E}"/>
    <dgm:cxn modelId="{60FEACF4-14FB-4F41-AB60-DE5B5906BA94}" srcId="{A8920FB3-5E67-4CB2-8F9E-6459AC1D410E}" destId="{733CA360-1FBF-4A7E-A3F0-CC68A03238E2}" srcOrd="1" destOrd="0" parTransId="{45F14637-2B07-43CB-BD02-D3397AFC4639}" sibTransId="{D5C660DC-1DD8-4DA5-AB2B-29E5D746515E}"/>
    <dgm:cxn modelId="{B08CFBF7-C6BC-4D6A-B412-1C3AED2147E8}" type="presOf" srcId="{F1E5F1A5-0A0E-48A7-8022-2DE3FC75511B}" destId="{F1D47E84-E541-424E-9E33-232F469750B0}" srcOrd="0" destOrd="0" presId="urn:microsoft.com/office/officeart/2008/layout/LinedList"/>
    <dgm:cxn modelId="{8C1CB268-75AA-4FED-B865-7FDC30C8A458}" type="presParOf" srcId="{F1D47E84-E541-424E-9E33-232F469750B0}" destId="{303153C9-AFB2-43C6-90F8-C8830730580D}" srcOrd="0" destOrd="0" presId="urn:microsoft.com/office/officeart/2008/layout/LinedList"/>
    <dgm:cxn modelId="{55CBE871-C9AF-4093-B9F1-0BC11D0BAD86}" type="presParOf" srcId="{F1D47E84-E541-424E-9E33-232F469750B0}" destId="{7EC27058-D210-4A87-91B8-F311E3905784}" srcOrd="1" destOrd="0" presId="urn:microsoft.com/office/officeart/2008/layout/LinedList"/>
    <dgm:cxn modelId="{ABC7B812-2D2D-4AB0-AEA7-6B67FE55C08B}" type="presParOf" srcId="{7EC27058-D210-4A87-91B8-F311E3905784}" destId="{A0A7B3EA-9A50-449D-A19C-71D878DA407B}" srcOrd="0" destOrd="0" presId="urn:microsoft.com/office/officeart/2008/layout/LinedList"/>
    <dgm:cxn modelId="{1B7C46D8-A4E3-4058-BC53-037316C0CC40}" type="presParOf" srcId="{7EC27058-D210-4A87-91B8-F311E3905784}" destId="{6235987E-7195-4D30-808E-196BE06782A1}" srcOrd="1" destOrd="0" presId="urn:microsoft.com/office/officeart/2008/layout/LinedList"/>
    <dgm:cxn modelId="{5BD888FF-1AF3-4DAD-837F-E5A499D02C2B}" type="presParOf" srcId="{6235987E-7195-4D30-808E-196BE06782A1}" destId="{A3F0D3E0-0277-49CE-81E9-8D2512F44761}" srcOrd="0" destOrd="0" presId="urn:microsoft.com/office/officeart/2008/layout/LinedList"/>
    <dgm:cxn modelId="{7881A165-D1CC-4F99-A8E3-A4C305F7EDF9}" type="presParOf" srcId="{6235987E-7195-4D30-808E-196BE06782A1}" destId="{147CBA2B-97D4-4C33-8F61-BCDD3CA5E46E}" srcOrd="1" destOrd="0" presId="urn:microsoft.com/office/officeart/2008/layout/LinedList"/>
    <dgm:cxn modelId="{06BCB403-A523-49BE-A591-0C9130AF90F2}" type="presParOf" srcId="{147CBA2B-97D4-4C33-8F61-BCDD3CA5E46E}" destId="{292F6668-623C-4C43-B58E-3E4EB4775566}" srcOrd="0" destOrd="0" presId="urn:microsoft.com/office/officeart/2008/layout/LinedList"/>
    <dgm:cxn modelId="{74ADB7FD-5A12-4557-95BE-0E91A5D447BC}" type="presParOf" srcId="{147CBA2B-97D4-4C33-8F61-BCDD3CA5E46E}" destId="{9F6FEB68-43C2-4730-8586-56850BE3A8E0}" srcOrd="1" destOrd="0" presId="urn:microsoft.com/office/officeart/2008/layout/LinedList"/>
    <dgm:cxn modelId="{CA7545E8-DA63-4E0D-9173-19A5E900E1B4}" type="presParOf" srcId="{147CBA2B-97D4-4C33-8F61-BCDD3CA5E46E}" destId="{9B58C295-9CE3-4770-8D8A-E4A8B1F0B842}" srcOrd="2" destOrd="0" presId="urn:microsoft.com/office/officeart/2008/layout/LinedList"/>
    <dgm:cxn modelId="{522D693E-0342-4642-9755-93D61BB82107}" type="presParOf" srcId="{6235987E-7195-4D30-808E-196BE06782A1}" destId="{C8B662AF-2727-4E27-8DFA-D29D710FD1E8}" srcOrd="2" destOrd="0" presId="urn:microsoft.com/office/officeart/2008/layout/LinedList"/>
    <dgm:cxn modelId="{F50AFC10-C5F7-40B2-BEE0-6AAB8F0C45A6}" type="presParOf" srcId="{6235987E-7195-4D30-808E-196BE06782A1}" destId="{2FAD698E-37A3-475A-84E2-74FC4CDA1B9D}" srcOrd="3" destOrd="0" presId="urn:microsoft.com/office/officeart/2008/layout/LinedList"/>
    <dgm:cxn modelId="{D725493E-32BC-4CD7-AE85-4F939E41D9E9}" type="presParOf" srcId="{6235987E-7195-4D30-808E-196BE06782A1}" destId="{59B32B8C-B87D-45F8-A1F4-CB5FD7033A06}" srcOrd="4" destOrd="0" presId="urn:microsoft.com/office/officeart/2008/layout/LinedList"/>
    <dgm:cxn modelId="{1DD8CE65-E18A-4910-A438-77DB64ACEA6F}" type="presParOf" srcId="{59B32B8C-B87D-45F8-A1F4-CB5FD7033A06}" destId="{71A5AB8D-66A7-4DD6-8EA0-D47EF6E575B4}" srcOrd="0" destOrd="0" presId="urn:microsoft.com/office/officeart/2008/layout/LinedList"/>
    <dgm:cxn modelId="{2CAAB532-6E9C-4B13-A098-B23F657EFF45}" type="presParOf" srcId="{59B32B8C-B87D-45F8-A1F4-CB5FD7033A06}" destId="{A1C9789A-0EEA-4DA5-AC76-8CC0D116C6F3}" srcOrd="1" destOrd="0" presId="urn:microsoft.com/office/officeart/2008/layout/LinedList"/>
    <dgm:cxn modelId="{EC80F0E5-5FEF-40B7-B28F-80C86C3A58AF}" type="presParOf" srcId="{59B32B8C-B87D-45F8-A1F4-CB5FD7033A06}" destId="{79678EDA-BF0A-48FD-A449-928AC1D619F5}" srcOrd="2" destOrd="0" presId="urn:microsoft.com/office/officeart/2008/layout/LinedList"/>
    <dgm:cxn modelId="{5A351C02-C9BD-4B6C-A798-0AFA067629A0}" type="presParOf" srcId="{6235987E-7195-4D30-808E-196BE06782A1}" destId="{92EA4D53-8564-4140-885F-737328283054}" srcOrd="5" destOrd="0" presId="urn:microsoft.com/office/officeart/2008/layout/LinedList"/>
    <dgm:cxn modelId="{B295A09A-65B2-4F3D-BC79-591F77CAC696}" type="presParOf" srcId="{6235987E-7195-4D30-808E-196BE06782A1}" destId="{2D7E3A04-BE2D-4C30-8ACB-9D4B79B4D273}" srcOrd="6" destOrd="0" presId="urn:microsoft.com/office/officeart/2008/layout/LinedList"/>
    <dgm:cxn modelId="{5DD4ED19-9351-4592-A7FC-CA20F38B78BF}" type="presParOf" srcId="{6235987E-7195-4D30-808E-196BE06782A1}" destId="{45EBF1AF-0DE2-4968-8A50-B30CAF48ADBC}" srcOrd="7" destOrd="0" presId="urn:microsoft.com/office/officeart/2008/layout/LinedList"/>
    <dgm:cxn modelId="{FEB2E3A3-06F7-453F-A72A-648712CC3BDD}" type="presParOf" srcId="{45EBF1AF-0DE2-4968-8A50-B30CAF48ADBC}" destId="{835DBFF9-21E2-4221-9F4E-023E691B2E3E}" srcOrd="0" destOrd="0" presId="urn:microsoft.com/office/officeart/2008/layout/LinedList"/>
    <dgm:cxn modelId="{E713B885-9832-4D64-8E5F-AD8B1B4FC57D}" type="presParOf" srcId="{45EBF1AF-0DE2-4968-8A50-B30CAF48ADBC}" destId="{53E50714-5651-4F41-94D0-B2D65C598801}" srcOrd="1" destOrd="0" presId="urn:microsoft.com/office/officeart/2008/layout/LinedList"/>
    <dgm:cxn modelId="{16EECD6E-19B9-4596-BCCC-E4085C1490A2}" type="presParOf" srcId="{45EBF1AF-0DE2-4968-8A50-B30CAF48ADBC}" destId="{60F8B6FC-E6E2-4CCC-9E84-E84A9614612C}" srcOrd="2" destOrd="0" presId="urn:microsoft.com/office/officeart/2008/layout/LinedList"/>
    <dgm:cxn modelId="{1F145A5D-672A-4731-97B5-9F694D2F2E7E}" type="presParOf" srcId="{6235987E-7195-4D30-808E-196BE06782A1}" destId="{E0F8ACB8-9E47-474E-BF61-E79029521C41}" srcOrd="8" destOrd="0" presId="urn:microsoft.com/office/officeart/2008/layout/LinedList"/>
    <dgm:cxn modelId="{4DD1E00D-1BC6-4C84-AC03-EA2DE7E9B777}" type="presParOf" srcId="{6235987E-7195-4D30-808E-196BE06782A1}" destId="{36602787-F47F-403A-9D0E-6832883D989E}" srcOrd="9" destOrd="0" presId="urn:microsoft.com/office/officeart/2008/layout/LinedList"/>
  </dgm:cxnLst>
  <dgm:bg/>
  <dgm:whole/>
  <dgm:extLst>
    <a:ext uri="http://schemas.microsoft.com/office/drawing/2008/diagram">
      <dsp:dataModelExt xmlns:dsp="http://schemas.microsoft.com/office/drawing/2008/diagram" relId="rId16" minVer="http://schemas.openxmlformats.org/drawingml/2006/diagram"/>
    </a:ext>
  </dgm:extLst>
</dgm:dataModel>
</file>

<file path=xl/diagrams/data8.xml><?xml version="1.0" encoding="utf-8"?>
<dgm:dataModel xmlns:dgm="http://schemas.openxmlformats.org/drawingml/2006/diagram" xmlns:a="http://schemas.openxmlformats.org/drawingml/2006/main">
  <dgm:ptLst>
    <dgm:pt modelId="{F1E5F1A5-0A0E-48A7-8022-2DE3FC75511B}" type="doc">
      <dgm:prSet loTypeId="urn:microsoft.com/office/officeart/2008/layout/LinedList" loCatId="list" qsTypeId="urn:microsoft.com/office/officeart/2005/8/quickstyle/simple1" qsCatId="simple" csTypeId="urn:microsoft.com/office/officeart/2005/8/colors/accent1_2" csCatId="accent1" phldr="1"/>
      <dgm:spPr/>
      <dgm:t>
        <a:bodyPr/>
        <a:lstStyle/>
        <a:p>
          <a:endParaRPr lang="en-GB"/>
        </a:p>
      </dgm:t>
    </dgm:pt>
    <dgm:pt modelId="{A8920FB3-5E67-4CB2-8F9E-6459AC1D410E}">
      <dgm:prSet phldrT="[Text]"/>
      <dgm:spPr/>
      <dgm:t>
        <a:bodyPr/>
        <a:lstStyle/>
        <a:p>
          <a:r>
            <a:rPr lang="en-GB"/>
            <a:t> </a:t>
          </a:r>
        </a:p>
      </dgm:t>
    </dgm:pt>
    <dgm:pt modelId="{4F4E73C0-AD0E-4B92-BC21-DAD96588D440}" type="parTrans" cxnId="{3FE8E860-3F8A-473A-982E-DC26E4E03449}">
      <dgm:prSet/>
      <dgm:spPr/>
      <dgm:t>
        <a:bodyPr/>
        <a:lstStyle/>
        <a:p>
          <a:endParaRPr lang="en-GB"/>
        </a:p>
      </dgm:t>
    </dgm:pt>
    <dgm:pt modelId="{4BAB2C5C-6C05-42C8-AE0B-DD462C56E3CF}" type="sibTrans" cxnId="{3FE8E860-3F8A-473A-982E-DC26E4E03449}">
      <dgm:prSet/>
      <dgm:spPr/>
      <dgm:t>
        <a:bodyPr/>
        <a:lstStyle/>
        <a:p>
          <a:endParaRPr lang="en-GB"/>
        </a:p>
      </dgm:t>
    </dgm:pt>
    <dgm:pt modelId="{278E3D06-4872-4D5C-B374-0F96CF017A0F}">
      <dgm:prSet phldrT="[Text]"/>
      <dgm:spPr/>
      <dgm:t>
        <a:bodyPr/>
        <a:lstStyle/>
        <a:p>
          <a:r>
            <a:rPr lang="en-GB"/>
            <a:t>Rejected by Leasing</a:t>
          </a:r>
        </a:p>
      </dgm:t>
    </dgm:pt>
    <dgm:pt modelId="{E3CF312A-587A-45CF-A55D-45E987382FA5}" type="parTrans" cxnId="{06DFDEEF-CA0C-4844-92F0-81D21FABA663}">
      <dgm:prSet/>
      <dgm:spPr/>
      <dgm:t>
        <a:bodyPr/>
        <a:lstStyle/>
        <a:p>
          <a:endParaRPr lang="en-GB"/>
        </a:p>
      </dgm:t>
    </dgm:pt>
    <dgm:pt modelId="{81970B18-24CF-4901-BD32-1D2B7625342E}" type="sibTrans" cxnId="{06DFDEEF-CA0C-4844-92F0-81D21FABA663}">
      <dgm:prSet/>
      <dgm:spPr/>
      <dgm:t>
        <a:bodyPr/>
        <a:lstStyle/>
        <a:p>
          <a:endParaRPr lang="en-GB"/>
        </a:p>
      </dgm:t>
    </dgm:pt>
    <dgm:pt modelId="{FFDBC62E-4D33-46DA-B642-AE6E43D90C64}">
      <dgm:prSet phldrT="[Text]"/>
      <dgm:spPr/>
      <dgm:t>
        <a:bodyPr/>
        <a:lstStyle/>
        <a:p>
          <a:r>
            <a:rPr lang="en-GB"/>
            <a:t>Rejected by AM</a:t>
          </a:r>
        </a:p>
      </dgm:t>
    </dgm:pt>
    <dgm:pt modelId="{F93850A8-002F-4545-A351-27FAAA8F5A46}" type="parTrans" cxnId="{71C7D0F6-F1F5-45E1-8538-0E698B9AD83F}">
      <dgm:prSet/>
      <dgm:spPr/>
      <dgm:t>
        <a:bodyPr/>
        <a:lstStyle/>
        <a:p>
          <a:endParaRPr lang="en-GB"/>
        </a:p>
      </dgm:t>
    </dgm:pt>
    <dgm:pt modelId="{BE884474-59DD-4291-8AC4-D0E8063993E6}" type="sibTrans" cxnId="{71C7D0F6-F1F5-45E1-8538-0E698B9AD83F}">
      <dgm:prSet/>
      <dgm:spPr/>
      <dgm:t>
        <a:bodyPr/>
        <a:lstStyle/>
        <a:p>
          <a:endParaRPr lang="en-GB"/>
        </a:p>
      </dgm:t>
    </dgm:pt>
    <dgm:pt modelId="{897AEEA5-2B59-4E61-B07B-DC78AC52A1E6}">
      <dgm:prSet phldrT="[Text]"/>
      <dgm:spPr/>
      <dgm:t>
        <a:bodyPr/>
        <a:lstStyle/>
        <a:p>
          <a:r>
            <a:rPr lang="en-GB"/>
            <a:t>Rejected by IC</a:t>
          </a:r>
        </a:p>
      </dgm:t>
    </dgm:pt>
    <dgm:pt modelId="{809041EF-F02E-409F-B09E-31754292B691}" type="parTrans" cxnId="{D1A292F7-586C-4BC8-B4FC-4D1F529200A6}">
      <dgm:prSet/>
      <dgm:spPr/>
      <dgm:t>
        <a:bodyPr/>
        <a:lstStyle/>
        <a:p>
          <a:endParaRPr lang="en-GB"/>
        </a:p>
      </dgm:t>
    </dgm:pt>
    <dgm:pt modelId="{9534E4D7-D9D9-473B-A05A-5E24C08EB95A}" type="sibTrans" cxnId="{D1A292F7-586C-4BC8-B4FC-4D1F529200A6}">
      <dgm:prSet/>
      <dgm:spPr/>
      <dgm:t>
        <a:bodyPr/>
        <a:lstStyle/>
        <a:p>
          <a:endParaRPr lang="en-GB"/>
        </a:p>
      </dgm:t>
    </dgm:pt>
    <dgm:pt modelId="{F1D47E84-E541-424E-9E33-232F469750B0}" type="pres">
      <dgm:prSet presAssocID="{F1E5F1A5-0A0E-48A7-8022-2DE3FC75511B}" presName="vert0" presStyleCnt="0">
        <dgm:presLayoutVars>
          <dgm:dir/>
          <dgm:animOne val="branch"/>
          <dgm:animLvl val="lvl"/>
        </dgm:presLayoutVars>
      </dgm:prSet>
      <dgm:spPr/>
    </dgm:pt>
    <dgm:pt modelId="{303153C9-AFB2-43C6-90F8-C8830730580D}" type="pres">
      <dgm:prSet presAssocID="{A8920FB3-5E67-4CB2-8F9E-6459AC1D410E}" presName="thickLine" presStyleLbl="alignNode1" presStyleIdx="0" presStyleCnt="1" custLinFactNeighborX="585"/>
      <dgm:spPr/>
    </dgm:pt>
    <dgm:pt modelId="{7EC27058-D210-4A87-91B8-F311E3905784}" type="pres">
      <dgm:prSet presAssocID="{A8920FB3-5E67-4CB2-8F9E-6459AC1D410E}" presName="horz1" presStyleCnt="0"/>
      <dgm:spPr/>
    </dgm:pt>
    <dgm:pt modelId="{A0A7B3EA-9A50-449D-A19C-71D878DA407B}" type="pres">
      <dgm:prSet presAssocID="{A8920FB3-5E67-4CB2-8F9E-6459AC1D410E}" presName="tx1" presStyleLbl="revTx" presStyleIdx="0" presStyleCnt="4" custFlipHor="1" custScaleX="16438"/>
      <dgm:spPr/>
    </dgm:pt>
    <dgm:pt modelId="{6235987E-7195-4D30-808E-196BE06782A1}" type="pres">
      <dgm:prSet presAssocID="{A8920FB3-5E67-4CB2-8F9E-6459AC1D410E}" presName="vert1" presStyleCnt="0"/>
      <dgm:spPr/>
    </dgm:pt>
    <dgm:pt modelId="{A3F0D3E0-0277-49CE-81E9-8D2512F44761}" type="pres">
      <dgm:prSet presAssocID="{278E3D06-4872-4D5C-B374-0F96CF017A0F}" presName="vertSpace2a" presStyleCnt="0"/>
      <dgm:spPr/>
    </dgm:pt>
    <dgm:pt modelId="{147CBA2B-97D4-4C33-8F61-BCDD3CA5E46E}" type="pres">
      <dgm:prSet presAssocID="{278E3D06-4872-4D5C-B374-0F96CF017A0F}" presName="horz2" presStyleCnt="0"/>
      <dgm:spPr/>
    </dgm:pt>
    <dgm:pt modelId="{292F6668-623C-4C43-B58E-3E4EB4775566}" type="pres">
      <dgm:prSet presAssocID="{278E3D06-4872-4D5C-B374-0F96CF017A0F}" presName="horzSpace2" presStyleCnt="0"/>
      <dgm:spPr/>
    </dgm:pt>
    <dgm:pt modelId="{9F6FEB68-43C2-4730-8586-56850BE3A8E0}" type="pres">
      <dgm:prSet presAssocID="{278E3D06-4872-4D5C-B374-0F96CF017A0F}" presName="tx2" presStyleLbl="revTx" presStyleIdx="1" presStyleCnt="4"/>
      <dgm:spPr/>
    </dgm:pt>
    <dgm:pt modelId="{9B58C295-9CE3-4770-8D8A-E4A8B1F0B842}" type="pres">
      <dgm:prSet presAssocID="{278E3D06-4872-4D5C-B374-0F96CF017A0F}" presName="vert2" presStyleCnt="0"/>
      <dgm:spPr/>
    </dgm:pt>
    <dgm:pt modelId="{C8B662AF-2727-4E27-8DFA-D29D710FD1E8}" type="pres">
      <dgm:prSet presAssocID="{278E3D06-4872-4D5C-B374-0F96CF017A0F}" presName="thinLine2b" presStyleLbl="callout" presStyleIdx="0" presStyleCnt="3"/>
      <dgm:spPr/>
    </dgm:pt>
    <dgm:pt modelId="{2FAD698E-37A3-475A-84E2-74FC4CDA1B9D}" type="pres">
      <dgm:prSet presAssocID="{278E3D06-4872-4D5C-B374-0F96CF017A0F}" presName="vertSpace2b" presStyleCnt="0"/>
      <dgm:spPr/>
    </dgm:pt>
    <dgm:pt modelId="{BB36D05A-D356-4EB5-B289-B292DBD87129}" type="pres">
      <dgm:prSet presAssocID="{FFDBC62E-4D33-46DA-B642-AE6E43D90C64}" presName="horz2" presStyleCnt="0"/>
      <dgm:spPr/>
    </dgm:pt>
    <dgm:pt modelId="{3C757E28-AE2F-4FF7-BC41-736C0CBB0C25}" type="pres">
      <dgm:prSet presAssocID="{FFDBC62E-4D33-46DA-B642-AE6E43D90C64}" presName="horzSpace2" presStyleCnt="0"/>
      <dgm:spPr/>
    </dgm:pt>
    <dgm:pt modelId="{0B917F2F-5B85-4B9C-922F-D72E843707F3}" type="pres">
      <dgm:prSet presAssocID="{FFDBC62E-4D33-46DA-B642-AE6E43D90C64}" presName="tx2" presStyleLbl="revTx" presStyleIdx="2" presStyleCnt="4"/>
      <dgm:spPr/>
    </dgm:pt>
    <dgm:pt modelId="{F07D84EF-A1F9-40E4-8531-BCCDBF0A26B2}" type="pres">
      <dgm:prSet presAssocID="{FFDBC62E-4D33-46DA-B642-AE6E43D90C64}" presName="vert2" presStyleCnt="0"/>
      <dgm:spPr/>
    </dgm:pt>
    <dgm:pt modelId="{BFD0A735-4644-47F2-ADD3-5FED203A75FC}" type="pres">
      <dgm:prSet presAssocID="{FFDBC62E-4D33-46DA-B642-AE6E43D90C64}" presName="thinLine2b" presStyleLbl="callout" presStyleIdx="1" presStyleCnt="3"/>
      <dgm:spPr/>
    </dgm:pt>
    <dgm:pt modelId="{C2C50DFE-2C7A-446D-8FF7-A39124476D29}" type="pres">
      <dgm:prSet presAssocID="{FFDBC62E-4D33-46DA-B642-AE6E43D90C64}" presName="vertSpace2b" presStyleCnt="0"/>
      <dgm:spPr/>
    </dgm:pt>
    <dgm:pt modelId="{2CEEEC07-F817-44E5-8EFB-7F0E3AB9358D}" type="pres">
      <dgm:prSet presAssocID="{897AEEA5-2B59-4E61-B07B-DC78AC52A1E6}" presName="horz2" presStyleCnt="0"/>
      <dgm:spPr/>
    </dgm:pt>
    <dgm:pt modelId="{91A652BF-3014-4439-8C21-FA3138836A86}" type="pres">
      <dgm:prSet presAssocID="{897AEEA5-2B59-4E61-B07B-DC78AC52A1E6}" presName="horzSpace2" presStyleCnt="0"/>
      <dgm:spPr/>
    </dgm:pt>
    <dgm:pt modelId="{0CBA3BBE-BE8E-47D2-A0FB-69F2192B3A31}" type="pres">
      <dgm:prSet presAssocID="{897AEEA5-2B59-4E61-B07B-DC78AC52A1E6}" presName="tx2" presStyleLbl="revTx" presStyleIdx="3" presStyleCnt="4"/>
      <dgm:spPr/>
    </dgm:pt>
    <dgm:pt modelId="{AED0E17C-32C0-48F6-A867-DE6767BF3C92}" type="pres">
      <dgm:prSet presAssocID="{897AEEA5-2B59-4E61-B07B-DC78AC52A1E6}" presName="vert2" presStyleCnt="0"/>
      <dgm:spPr/>
    </dgm:pt>
    <dgm:pt modelId="{46D527CD-C249-46F4-AF9D-BF5B6033D996}" type="pres">
      <dgm:prSet presAssocID="{897AEEA5-2B59-4E61-B07B-DC78AC52A1E6}" presName="thinLine2b" presStyleLbl="callout" presStyleIdx="2" presStyleCnt="3"/>
      <dgm:spPr/>
    </dgm:pt>
    <dgm:pt modelId="{00B46537-998F-4EFC-8734-B16FE75B91CB}" type="pres">
      <dgm:prSet presAssocID="{897AEEA5-2B59-4E61-B07B-DC78AC52A1E6}" presName="vertSpace2b" presStyleCnt="0"/>
      <dgm:spPr/>
    </dgm:pt>
  </dgm:ptLst>
  <dgm:cxnLst>
    <dgm:cxn modelId="{3882DE23-208A-4CFC-ACF1-440E0F3DFB04}" type="presOf" srcId="{A8920FB3-5E67-4CB2-8F9E-6459AC1D410E}" destId="{A0A7B3EA-9A50-449D-A19C-71D878DA407B}" srcOrd="0" destOrd="0" presId="urn:microsoft.com/office/officeart/2008/layout/LinedList"/>
    <dgm:cxn modelId="{904FBD3C-BAE1-4CFC-8018-854EC24D84ED}" type="presOf" srcId="{FFDBC62E-4D33-46DA-B642-AE6E43D90C64}" destId="{0B917F2F-5B85-4B9C-922F-D72E843707F3}" srcOrd="0" destOrd="0" presId="urn:microsoft.com/office/officeart/2008/layout/LinedList"/>
    <dgm:cxn modelId="{3FE8E860-3F8A-473A-982E-DC26E4E03449}" srcId="{F1E5F1A5-0A0E-48A7-8022-2DE3FC75511B}" destId="{A8920FB3-5E67-4CB2-8F9E-6459AC1D410E}" srcOrd="0" destOrd="0" parTransId="{4F4E73C0-AD0E-4B92-BC21-DAD96588D440}" sibTransId="{4BAB2C5C-6C05-42C8-AE0B-DD462C56E3CF}"/>
    <dgm:cxn modelId="{A85F9668-996A-42B3-87C5-DB29DB694EDC}" type="presOf" srcId="{278E3D06-4872-4D5C-B374-0F96CF017A0F}" destId="{9F6FEB68-43C2-4730-8586-56850BE3A8E0}" srcOrd="0" destOrd="0" presId="urn:microsoft.com/office/officeart/2008/layout/LinedList"/>
    <dgm:cxn modelId="{5F8BBD77-DAA6-4F48-B137-69365DCF1BBA}" type="presOf" srcId="{897AEEA5-2B59-4E61-B07B-DC78AC52A1E6}" destId="{0CBA3BBE-BE8E-47D2-A0FB-69F2192B3A31}" srcOrd="0" destOrd="0" presId="urn:microsoft.com/office/officeart/2008/layout/LinedList"/>
    <dgm:cxn modelId="{06DFDEEF-CA0C-4844-92F0-81D21FABA663}" srcId="{A8920FB3-5E67-4CB2-8F9E-6459AC1D410E}" destId="{278E3D06-4872-4D5C-B374-0F96CF017A0F}" srcOrd="0" destOrd="0" parTransId="{E3CF312A-587A-45CF-A55D-45E987382FA5}" sibTransId="{81970B18-24CF-4901-BD32-1D2B7625342E}"/>
    <dgm:cxn modelId="{71C7D0F6-F1F5-45E1-8538-0E698B9AD83F}" srcId="{A8920FB3-5E67-4CB2-8F9E-6459AC1D410E}" destId="{FFDBC62E-4D33-46DA-B642-AE6E43D90C64}" srcOrd="1" destOrd="0" parTransId="{F93850A8-002F-4545-A351-27FAAA8F5A46}" sibTransId="{BE884474-59DD-4291-8AC4-D0E8063993E6}"/>
    <dgm:cxn modelId="{D1A292F7-586C-4BC8-B4FC-4D1F529200A6}" srcId="{A8920FB3-5E67-4CB2-8F9E-6459AC1D410E}" destId="{897AEEA5-2B59-4E61-B07B-DC78AC52A1E6}" srcOrd="2" destOrd="0" parTransId="{809041EF-F02E-409F-B09E-31754292B691}" sibTransId="{9534E4D7-D9D9-473B-A05A-5E24C08EB95A}"/>
    <dgm:cxn modelId="{B08CFBF7-C6BC-4D6A-B412-1C3AED2147E8}" type="presOf" srcId="{F1E5F1A5-0A0E-48A7-8022-2DE3FC75511B}" destId="{F1D47E84-E541-424E-9E33-232F469750B0}" srcOrd="0" destOrd="0" presId="urn:microsoft.com/office/officeart/2008/layout/LinedList"/>
    <dgm:cxn modelId="{8C1CB268-75AA-4FED-B865-7FDC30C8A458}" type="presParOf" srcId="{F1D47E84-E541-424E-9E33-232F469750B0}" destId="{303153C9-AFB2-43C6-90F8-C8830730580D}" srcOrd="0" destOrd="0" presId="urn:microsoft.com/office/officeart/2008/layout/LinedList"/>
    <dgm:cxn modelId="{55CBE871-C9AF-4093-B9F1-0BC11D0BAD86}" type="presParOf" srcId="{F1D47E84-E541-424E-9E33-232F469750B0}" destId="{7EC27058-D210-4A87-91B8-F311E3905784}" srcOrd="1" destOrd="0" presId="urn:microsoft.com/office/officeart/2008/layout/LinedList"/>
    <dgm:cxn modelId="{ABC7B812-2D2D-4AB0-AEA7-6B67FE55C08B}" type="presParOf" srcId="{7EC27058-D210-4A87-91B8-F311E3905784}" destId="{A0A7B3EA-9A50-449D-A19C-71D878DA407B}" srcOrd="0" destOrd="0" presId="urn:microsoft.com/office/officeart/2008/layout/LinedList"/>
    <dgm:cxn modelId="{1B7C46D8-A4E3-4058-BC53-037316C0CC40}" type="presParOf" srcId="{7EC27058-D210-4A87-91B8-F311E3905784}" destId="{6235987E-7195-4D30-808E-196BE06782A1}" srcOrd="1" destOrd="0" presId="urn:microsoft.com/office/officeart/2008/layout/LinedList"/>
    <dgm:cxn modelId="{5BD888FF-1AF3-4DAD-837F-E5A499D02C2B}" type="presParOf" srcId="{6235987E-7195-4D30-808E-196BE06782A1}" destId="{A3F0D3E0-0277-49CE-81E9-8D2512F44761}" srcOrd="0" destOrd="0" presId="urn:microsoft.com/office/officeart/2008/layout/LinedList"/>
    <dgm:cxn modelId="{7881A165-D1CC-4F99-A8E3-A4C305F7EDF9}" type="presParOf" srcId="{6235987E-7195-4D30-808E-196BE06782A1}" destId="{147CBA2B-97D4-4C33-8F61-BCDD3CA5E46E}" srcOrd="1" destOrd="0" presId="urn:microsoft.com/office/officeart/2008/layout/LinedList"/>
    <dgm:cxn modelId="{06BCB403-A523-49BE-A591-0C9130AF90F2}" type="presParOf" srcId="{147CBA2B-97D4-4C33-8F61-BCDD3CA5E46E}" destId="{292F6668-623C-4C43-B58E-3E4EB4775566}" srcOrd="0" destOrd="0" presId="urn:microsoft.com/office/officeart/2008/layout/LinedList"/>
    <dgm:cxn modelId="{74ADB7FD-5A12-4557-95BE-0E91A5D447BC}" type="presParOf" srcId="{147CBA2B-97D4-4C33-8F61-BCDD3CA5E46E}" destId="{9F6FEB68-43C2-4730-8586-56850BE3A8E0}" srcOrd="1" destOrd="0" presId="urn:microsoft.com/office/officeart/2008/layout/LinedList"/>
    <dgm:cxn modelId="{CA7545E8-DA63-4E0D-9173-19A5E900E1B4}" type="presParOf" srcId="{147CBA2B-97D4-4C33-8F61-BCDD3CA5E46E}" destId="{9B58C295-9CE3-4770-8D8A-E4A8B1F0B842}" srcOrd="2" destOrd="0" presId="urn:microsoft.com/office/officeart/2008/layout/LinedList"/>
    <dgm:cxn modelId="{522D693E-0342-4642-9755-93D61BB82107}" type="presParOf" srcId="{6235987E-7195-4D30-808E-196BE06782A1}" destId="{C8B662AF-2727-4E27-8DFA-D29D710FD1E8}" srcOrd="2" destOrd="0" presId="urn:microsoft.com/office/officeart/2008/layout/LinedList"/>
    <dgm:cxn modelId="{F50AFC10-C5F7-40B2-BEE0-6AAB8F0C45A6}" type="presParOf" srcId="{6235987E-7195-4D30-808E-196BE06782A1}" destId="{2FAD698E-37A3-475A-84E2-74FC4CDA1B9D}" srcOrd="3" destOrd="0" presId="urn:microsoft.com/office/officeart/2008/layout/LinedList"/>
    <dgm:cxn modelId="{503A8A16-6890-4E3A-86C4-1EADC3F0E4E3}" type="presParOf" srcId="{6235987E-7195-4D30-808E-196BE06782A1}" destId="{BB36D05A-D356-4EB5-B289-B292DBD87129}" srcOrd="4" destOrd="0" presId="urn:microsoft.com/office/officeart/2008/layout/LinedList"/>
    <dgm:cxn modelId="{42245495-B688-4BF9-8ECD-237FC0B07603}" type="presParOf" srcId="{BB36D05A-D356-4EB5-B289-B292DBD87129}" destId="{3C757E28-AE2F-4FF7-BC41-736C0CBB0C25}" srcOrd="0" destOrd="0" presId="urn:microsoft.com/office/officeart/2008/layout/LinedList"/>
    <dgm:cxn modelId="{BD38E8CA-9D9A-4638-B7F0-4417CEA46FD2}" type="presParOf" srcId="{BB36D05A-D356-4EB5-B289-B292DBD87129}" destId="{0B917F2F-5B85-4B9C-922F-D72E843707F3}" srcOrd="1" destOrd="0" presId="urn:microsoft.com/office/officeart/2008/layout/LinedList"/>
    <dgm:cxn modelId="{8277FCC2-466B-4BD4-917A-C5926DE43423}" type="presParOf" srcId="{BB36D05A-D356-4EB5-B289-B292DBD87129}" destId="{F07D84EF-A1F9-40E4-8531-BCCDBF0A26B2}" srcOrd="2" destOrd="0" presId="urn:microsoft.com/office/officeart/2008/layout/LinedList"/>
    <dgm:cxn modelId="{DEF444E5-C3D8-4BF8-B59D-EFC4AA4782E6}" type="presParOf" srcId="{6235987E-7195-4D30-808E-196BE06782A1}" destId="{BFD0A735-4644-47F2-ADD3-5FED203A75FC}" srcOrd="5" destOrd="0" presId="urn:microsoft.com/office/officeart/2008/layout/LinedList"/>
    <dgm:cxn modelId="{C3B0FBF3-1F5C-4C72-B126-49B8D7F6243E}" type="presParOf" srcId="{6235987E-7195-4D30-808E-196BE06782A1}" destId="{C2C50DFE-2C7A-446D-8FF7-A39124476D29}" srcOrd="6" destOrd="0" presId="urn:microsoft.com/office/officeart/2008/layout/LinedList"/>
    <dgm:cxn modelId="{263D1B33-2435-4C16-8C1E-55B3C64DF0F4}" type="presParOf" srcId="{6235987E-7195-4D30-808E-196BE06782A1}" destId="{2CEEEC07-F817-44E5-8EFB-7F0E3AB9358D}" srcOrd="7" destOrd="0" presId="urn:microsoft.com/office/officeart/2008/layout/LinedList"/>
    <dgm:cxn modelId="{F4D695F7-5013-46BE-BD48-14466EDE544B}" type="presParOf" srcId="{2CEEEC07-F817-44E5-8EFB-7F0E3AB9358D}" destId="{91A652BF-3014-4439-8C21-FA3138836A86}" srcOrd="0" destOrd="0" presId="urn:microsoft.com/office/officeart/2008/layout/LinedList"/>
    <dgm:cxn modelId="{9BD0C10F-C7BC-4066-9F26-14E762D84A51}" type="presParOf" srcId="{2CEEEC07-F817-44E5-8EFB-7F0E3AB9358D}" destId="{0CBA3BBE-BE8E-47D2-A0FB-69F2192B3A31}" srcOrd="1" destOrd="0" presId="urn:microsoft.com/office/officeart/2008/layout/LinedList"/>
    <dgm:cxn modelId="{13EE3197-9F02-4F38-868E-37915B50EEF2}" type="presParOf" srcId="{2CEEEC07-F817-44E5-8EFB-7F0E3AB9358D}" destId="{AED0E17C-32C0-48F6-A867-DE6767BF3C92}" srcOrd="2" destOrd="0" presId="urn:microsoft.com/office/officeart/2008/layout/LinedList"/>
    <dgm:cxn modelId="{130F58BD-3A09-4E5E-9735-8134634B112B}" type="presParOf" srcId="{6235987E-7195-4D30-808E-196BE06782A1}" destId="{46D527CD-C249-46F4-AF9D-BF5B6033D996}" srcOrd="8" destOrd="0" presId="urn:microsoft.com/office/officeart/2008/layout/LinedList"/>
    <dgm:cxn modelId="{CB0B20EA-0D45-4C4B-AC99-133063CDAC87}" type="presParOf" srcId="{6235987E-7195-4D30-808E-196BE06782A1}" destId="{00B46537-998F-4EFC-8734-B16FE75B91CB}" srcOrd="9" destOrd="0" presId="urn:microsoft.com/office/officeart/2008/layout/LinedList"/>
  </dgm:cxnLst>
  <dgm:bg/>
  <dgm:whole/>
  <dgm:extLst>
    <a:ext uri="http://schemas.microsoft.com/office/drawing/2008/diagram">
      <dsp:dataModelExt xmlns:dsp="http://schemas.microsoft.com/office/drawing/2008/diagram" relId="rId21"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F03D22F0-89B7-4B25-AAE7-F4CAE4333D53}">
      <dsp:nvSpPr>
        <dsp:cNvPr id="0" name=""/>
        <dsp:cNvSpPr/>
      </dsp:nvSpPr>
      <dsp:spPr>
        <a:xfrm>
          <a:off x="189" y="115703"/>
          <a:ext cx="1897984" cy="759193"/>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21336" rIns="21336" bIns="21336" numCol="1" spcCol="1270" anchor="ctr" anchorCtr="0">
          <a:noAutofit/>
        </a:bodyPr>
        <a:lstStyle/>
        <a:p>
          <a:pPr marL="0" lvl="0" indent="0" algn="ctr" defTabSz="711200">
            <a:lnSpc>
              <a:spcPct val="90000"/>
            </a:lnSpc>
            <a:spcBef>
              <a:spcPct val="0"/>
            </a:spcBef>
            <a:spcAft>
              <a:spcPct val="35000"/>
            </a:spcAft>
            <a:buNone/>
          </a:pPr>
          <a:r>
            <a:rPr lang="en-GB" sz="1600" kern="1200"/>
            <a:t>Offer Negotiation </a:t>
          </a:r>
        </a:p>
      </dsp:txBody>
      <dsp:txXfrm>
        <a:off x="379786" y="115703"/>
        <a:ext cx="1138791" cy="759193"/>
      </dsp:txXfrm>
    </dsp:sp>
    <dsp:sp modelId="{4A0C9928-5AD9-4D48-B590-16BDCB8D52D9}">
      <dsp:nvSpPr>
        <dsp:cNvPr id="0" name=""/>
        <dsp:cNvSpPr/>
      </dsp:nvSpPr>
      <dsp:spPr>
        <a:xfrm>
          <a:off x="1708375" y="115703"/>
          <a:ext cx="1897984" cy="759193"/>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21336" rIns="21336" bIns="21336" numCol="1" spcCol="1270" anchor="ctr" anchorCtr="0">
          <a:noAutofit/>
        </a:bodyPr>
        <a:lstStyle/>
        <a:p>
          <a:pPr marL="0" lvl="0" indent="0" algn="ctr" defTabSz="711200">
            <a:lnSpc>
              <a:spcPct val="90000"/>
            </a:lnSpc>
            <a:spcBef>
              <a:spcPct val="0"/>
            </a:spcBef>
            <a:spcAft>
              <a:spcPct val="35000"/>
            </a:spcAft>
            <a:buNone/>
          </a:pPr>
          <a:r>
            <a:rPr lang="en-GB" sz="1600" kern="1200"/>
            <a:t>Referencing</a:t>
          </a:r>
        </a:p>
      </dsp:txBody>
      <dsp:txXfrm>
        <a:off x="2087972" y="115703"/>
        <a:ext cx="1138791" cy="759193"/>
      </dsp:txXfrm>
    </dsp:sp>
    <dsp:sp modelId="{2E494893-C528-435D-BDC7-5CF13F4EFBC2}">
      <dsp:nvSpPr>
        <dsp:cNvPr id="0" name=""/>
        <dsp:cNvSpPr/>
      </dsp:nvSpPr>
      <dsp:spPr>
        <a:xfrm>
          <a:off x="3416561" y="115703"/>
          <a:ext cx="1897984" cy="759193"/>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21336" rIns="21336" bIns="21336" numCol="1" spcCol="1270" anchor="ctr" anchorCtr="0">
          <a:noAutofit/>
        </a:bodyPr>
        <a:lstStyle/>
        <a:p>
          <a:pPr marL="0" lvl="0" indent="0" algn="ctr" defTabSz="711200">
            <a:lnSpc>
              <a:spcPct val="90000"/>
            </a:lnSpc>
            <a:spcBef>
              <a:spcPct val="0"/>
            </a:spcBef>
            <a:spcAft>
              <a:spcPct val="35000"/>
            </a:spcAft>
            <a:buNone/>
          </a:pPr>
          <a:r>
            <a:rPr lang="en-GB" sz="1600" kern="1200"/>
            <a:t>AM </a:t>
          </a:r>
          <a:br>
            <a:rPr lang="en-GB" sz="1600" kern="1200"/>
          </a:br>
          <a:r>
            <a:rPr lang="en-GB" sz="1600" kern="1200"/>
            <a:t>Approval</a:t>
          </a:r>
        </a:p>
      </dsp:txBody>
      <dsp:txXfrm>
        <a:off x="3796158" y="115703"/>
        <a:ext cx="1138791" cy="759193"/>
      </dsp:txXfrm>
    </dsp:sp>
    <dsp:sp modelId="{466C6739-1C73-46E2-AA34-A5A6A3971E84}">
      <dsp:nvSpPr>
        <dsp:cNvPr id="0" name=""/>
        <dsp:cNvSpPr/>
      </dsp:nvSpPr>
      <dsp:spPr>
        <a:xfrm>
          <a:off x="5124747" y="115703"/>
          <a:ext cx="1897984" cy="759193"/>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21336" rIns="21336" bIns="21336" numCol="1" spcCol="1270" anchor="ctr" anchorCtr="0">
          <a:noAutofit/>
        </a:bodyPr>
        <a:lstStyle/>
        <a:p>
          <a:pPr marL="0" lvl="0" indent="0" algn="ctr" defTabSz="711200">
            <a:lnSpc>
              <a:spcPct val="90000"/>
            </a:lnSpc>
            <a:spcBef>
              <a:spcPct val="0"/>
            </a:spcBef>
            <a:spcAft>
              <a:spcPct val="35000"/>
            </a:spcAft>
            <a:buNone/>
          </a:pPr>
          <a:r>
            <a:rPr lang="en-GB" sz="1600" kern="1200"/>
            <a:t>IC </a:t>
          </a:r>
          <a:br>
            <a:rPr lang="en-GB" sz="1600" kern="1200"/>
          </a:br>
          <a:r>
            <a:rPr lang="en-GB" sz="1600" kern="1200"/>
            <a:t>Approval</a:t>
          </a:r>
        </a:p>
      </dsp:txBody>
      <dsp:txXfrm>
        <a:off x="5504344" y="115703"/>
        <a:ext cx="1138791" cy="759193"/>
      </dsp:txXfrm>
    </dsp:sp>
    <dsp:sp modelId="{9E545AC0-CCEF-4F02-89AA-8D2AC2F8B074}">
      <dsp:nvSpPr>
        <dsp:cNvPr id="0" name=""/>
        <dsp:cNvSpPr/>
      </dsp:nvSpPr>
      <dsp:spPr>
        <a:xfrm>
          <a:off x="6832933" y="115703"/>
          <a:ext cx="1897984" cy="759193"/>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21336" rIns="21336" bIns="21336" numCol="1" spcCol="1270" anchor="ctr" anchorCtr="0">
          <a:noAutofit/>
        </a:bodyPr>
        <a:lstStyle/>
        <a:p>
          <a:pPr marL="0" lvl="0" indent="0" algn="ctr" defTabSz="711200">
            <a:lnSpc>
              <a:spcPct val="90000"/>
            </a:lnSpc>
            <a:spcBef>
              <a:spcPct val="0"/>
            </a:spcBef>
            <a:spcAft>
              <a:spcPct val="35000"/>
            </a:spcAft>
            <a:buNone/>
          </a:pPr>
          <a:r>
            <a:rPr lang="en-GB" sz="1600" kern="1200"/>
            <a:t>Heads of Terms</a:t>
          </a:r>
        </a:p>
      </dsp:txBody>
      <dsp:txXfrm>
        <a:off x="7212530" y="115703"/>
        <a:ext cx="1138791" cy="759193"/>
      </dsp:txXfrm>
    </dsp:sp>
    <dsp:sp modelId="{4EEB1E03-4DE8-4371-A3FA-AFBE5E06236C}">
      <dsp:nvSpPr>
        <dsp:cNvPr id="0" name=""/>
        <dsp:cNvSpPr/>
      </dsp:nvSpPr>
      <dsp:spPr>
        <a:xfrm>
          <a:off x="8541119" y="115703"/>
          <a:ext cx="1897984" cy="759193"/>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21336" rIns="21336" bIns="21336" numCol="1" spcCol="1270" anchor="ctr" anchorCtr="0">
          <a:noAutofit/>
        </a:bodyPr>
        <a:lstStyle/>
        <a:p>
          <a:pPr marL="0" lvl="0" indent="0" algn="ctr" defTabSz="711200">
            <a:lnSpc>
              <a:spcPct val="90000"/>
            </a:lnSpc>
            <a:spcBef>
              <a:spcPct val="0"/>
            </a:spcBef>
            <a:spcAft>
              <a:spcPct val="35000"/>
            </a:spcAft>
            <a:buNone/>
          </a:pPr>
          <a:r>
            <a:rPr lang="en-GB" sz="1600" kern="1200"/>
            <a:t>Legals</a:t>
          </a:r>
        </a:p>
      </dsp:txBody>
      <dsp:txXfrm>
        <a:off x="8920716" y="115703"/>
        <a:ext cx="1138791" cy="759193"/>
      </dsp:txXfrm>
    </dsp:sp>
    <dsp:sp modelId="{CA1E89E5-2B6A-4966-947F-285340F40785}">
      <dsp:nvSpPr>
        <dsp:cNvPr id="0" name=""/>
        <dsp:cNvSpPr/>
      </dsp:nvSpPr>
      <dsp:spPr>
        <a:xfrm>
          <a:off x="10249305" y="115703"/>
          <a:ext cx="1897984" cy="759193"/>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21336" rIns="21336" bIns="21336" numCol="1" spcCol="1270" anchor="ctr" anchorCtr="0">
          <a:noAutofit/>
        </a:bodyPr>
        <a:lstStyle/>
        <a:p>
          <a:pPr marL="0" lvl="0" indent="0" algn="ctr" defTabSz="711200">
            <a:lnSpc>
              <a:spcPct val="90000"/>
            </a:lnSpc>
            <a:spcBef>
              <a:spcPct val="0"/>
            </a:spcBef>
            <a:spcAft>
              <a:spcPct val="35000"/>
            </a:spcAft>
            <a:buNone/>
          </a:pPr>
          <a:r>
            <a:rPr lang="en-GB" sz="1600" kern="1200"/>
            <a:t>Move in Monies</a:t>
          </a:r>
        </a:p>
      </dsp:txBody>
      <dsp:txXfrm>
        <a:off x="10628902" y="115703"/>
        <a:ext cx="1138791" cy="759193"/>
      </dsp:txXfrm>
    </dsp:sp>
    <dsp:sp modelId="{E9171F42-A4E7-4640-92B9-92E07F606218}">
      <dsp:nvSpPr>
        <dsp:cNvPr id="0" name=""/>
        <dsp:cNvSpPr/>
      </dsp:nvSpPr>
      <dsp:spPr>
        <a:xfrm>
          <a:off x="11957490" y="115703"/>
          <a:ext cx="1897984" cy="759193"/>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21336" rIns="21336" bIns="21336" numCol="1" spcCol="1270" anchor="ctr" anchorCtr="0">
          <a:noAutofit/>
        </a:bodyPr>
        <a:lstStyle/>
        <a:p>
          <a:pPr marL="0" lvl="0" indent="0" algn="ctr" defTabSz="711200">
            <a:lnSpc>
              <a:spcPct val="90000"/>
            </a:lnSpc>
            <a:spcBef>
              <a:spcPct val="0"/>
            </a:spcBef>
            <a:spcAft>
              <a:spcPct val="35000"/>
            </a:spcAft>
            <a:buNone/>
          </a:pPr>
          <a:r>
            <a:rPr lang="en-GB" sz="1600" kern="1200"/>
            <a:t>Audit</a:t>
          </a:r>
        </a:p>
      </dsp:txBody>
      <dsp:txXfrm>
        <a:off x="12337087" y="115703"/>
        <a:ext cx="1138791" cy="759193"/>
      </dsp:txXfrm>
    </dsp:sp>
    <dsp:sp modelId="{06A68BE7-3541-4F3C-8F9D-12D0976D80D0}">
      <dsp:nvSpPr>
        <dsp:cNvPr id="0" name=""/>
        <dsp:cNvSpPr/>
      </dsp:nvSpPr>
      <dsp:spPr>
        <a:xfrm>
          <a:off x="13665676" y="115703"/>
          <a:ext cx="1897984" cy="759193"/>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4008" tIns="21336" rIns="21336" bIns="21336" numCol="1" spcCol="1270" anchor="ctr" anchorCtr="0">
          <a:noAutofit/>
        </a:bodyPr>
        <a:lstStyle/>
        <a:p>
          <a:pPr marL="0" lvl="0" indent="0" algn="ctr" defTabSz="711200">
            <a:lnSpc>
              <a:spcPct val="90000"/>
            </a:lnSpc>
            <a:spcBef>
              <a:spcPct val="0"/>
            </a:spcBef>
            <a:spcAft>
              <a:spcPct val="35000"/>
            </a:spcAft>
            <a:buNone/>
          </a:pPr>
          <a:r>
            <a:rPr lang="en-GB" sz="1600" kern="1200"/>
            <a:t>Closed Won/</a:t>
          </a:r>
          <a:br>
            <a:rPr lang="en-GB" sz="1600" kern="1200"/>
          </a:br>
          <a:r>
            <a:rPr lang="en-GB" sz="1600" kern="1200"/>
            <a:t> Closed Lost</a:t>
          </a:r>
        </a:p>
      </dsp:txBody>
      <dsp:txXfrm>
        <a:off x="14045273" y="115703"/>
        <a:ext cx="1138791" cy="759193"/>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03153C9-AFB2-43C6-90F8-C8830730580D}">
      <dsp:nvSpPr>
        <dsp:cNvPr id="0" name=""/>
        <dsp:cNvSpPr/>
      </dsp:nvSpPr>
      <dsp:spPr>
        <a:xfrm>
          <a:off x="0" y="19050"/>
          <a:ext cx="1523998" cy="0"/>
        </a:xfrm>
        <a:prstGeom prst="lin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A0A7B3EA-9A50-449D-A19C-71D878DA407B}">
      <dsp:nvSpPr>
        <dsp:cNvPr id="0" name=""/>
        <dsp:cNvSpPr/>
      </dsp:nvSpPr>
      <dsp:spPr>
        <a:xfrm flipH="1">
          <a:off x="0" y="0"/>
          <a:ext cx="45719" cy="86201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48590" tIns="148590" rIns="148590" bIns="148590" numCol="1" spcCol="1270" anchor="t" anchorCtr="0">
          <a:noAutofit/>
        </a:bodyPr>
        <a:lstStyle/>
        <a:p>
          <a:pPr marL="0" lvl="0" indent="0" algn="l" defTabSz="1733550">
            <a:lnSpc>
              <a:spcPct val="90000"/>
            </a:lnSpc>
            <a:spcBef>
              <a:spcPct val="0"/>
            </a:spcBef>
            <a:spcAft>
              <a:spcPct val="35000"/>
            </a:spcAft>
            <a:buNone/>
          </a:pPr>
          <a:endParaRPr lang="en-GB" sz="3900" kern="1200"/>
        </a:p>
      </dsp:txBody>
      <dsp:txXfrm>
        <a:off x="0" y="0"/>
        <a:ext cx="45719" cy="862013"/>
      </dsp:txXfrm>
    </dsp:sp>
    <dsp:sp modelId="{9F6FEB68-43C2-4730-8586-56850BE3A8E0}">
      <dsp:nvSpPr>
        <dsp:cNvPr id="0" name=""/>
        <dsp:cNvSpPr/>
      </dsp:nvSpPr>
      <dsp:spPr>
        <a:xfrm>
          <a:off x="68579" y="13468"/>
          <a:ext cx="1196338" cy="2693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Agent Drafting HoT</a:t>
          </a:r>
        </a:p>
      </dsp:txBody>
      <dsp:txXfrm>
        <a:off x="68579" y="13468"/>
        <a:ext cx="1196338" cy="269379"/>
      </dsp:txXfrm>
    </dsp:sp>
    <dsp:sp modelId="{C8B662AF-2727-4E27-8DFA-D29D710FD1E8}">
      <dsp:nvSpPr>
        <dsp:cNvPr id="0" name=""/>
        <dsp:cNvSpPr/>
      </dsp:nvSpPr>
      <dsp:spPr>
        <a:xfrm>
          <a:off x="45719" y="282848"/>
          <a:ext cx="1219198"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0DA7E684-7494-485D-BC65-70210F520182}">
      <dsp:nvSpPr>
        <dsp:cNvPr id="0" name=""/>
        <dsp:cNvSpPr/>
      </dsp:nvSpPr>
      <dsp:spPr>
        <a:xfrm>
          <a:off x="68579" y="296316"/>
          <a:ext cx="1196338" cy="2693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LL Agreed HoT</a:t>
          </a:r>
        </a:p>
      </dsp:txBody>
      <dsp:txXfrm>
        <a:off x="68579" y="296316"/>
        <a:ext cx="1196338" cy="269379"/>
      </dsp:txXfrm>
    </dsp:sp>
    <dsp:sp modelId="{9AAF855B-C8E7-479B-AAA7-EE8316F15CF5}">
      <dsp:nvSpPr>
        <dsp:cNvPr id="0" name=""/>
        <dsp:cNvSpPr/>
      </dsp:nvSpPr>
      <dsp:spPr>
        <a:xfrm>
          <a:off x="45719" y="565696"/>
          <a:ext cx="1219198"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7E0010B8-8B1C-4F2C-9646-5D8404B970A1}">
      <dsp:nvSpPr>
        <dsp:cNvPr id="0" name=""/>
        <dsp:cNvSpPr/>
      </dsp:nvSpPr>
      <dsp:spPr>
        <a:xfrm>
          <a:off x="68579" y="579164"/>
          <a:ext cx="1196338" cy="2693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TT Agreed HoT</a:t>
          </a:r>
        </a:p>
      </dsp:txBody>
      <dsp:txXfrm>
        <a:off x="68579" y="579164"/>
        <a:ext cx="1196338" cy="269379"/>
      </dsp:txXfrm>
    </dsp:sp>
    <dsp:sp modelId="{85EB95A0-9C49-45E1-BA9A-7544C43A8AB1}">
      <dsp:nvSpPr>
        <dsp:cNvPr id="0" name=""/>
        <dsp:cNvSpPr/>
      </dsp:nvSpPr>
      <dsp:spPr>
        <a:xfrm>
          <a:off x="45719" y="848544"/>
          <a:ext cx="1219198"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03153C9-AFB2-43C6-90F8-C8830730580D}">
      <dsp:nvSpPr>
        <dsp:cNvPr id="0" name=""/>
        <dsp:cNvSpPr/>
      </dsp:nvSpPr>
      <dsp:spPr>
        <a:xfrm>
          <a:off x="0" y="9577"/>
          <a:ext cx="1990724" cy="0"/>
        </a:xfrm>
        <a:prstGeom prst="lin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A0A7B3EA-9A50-449D-A19C-71D878DA407B}">
      <dsp:nvSpPr>
        <dsp:cNvPr id="0" name=""/>
        <dsp:cNvSpPr/>
      </dsp:nvSpPr>
      <dsp:spPr>
        <a:xfrm flipH="1">
          <a:off x="0" y="0"/>
          <a:ext cx="45284" cy="86677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52400" tIns="152400" rIns="152400" bIns="152400" numCol="1" spcCol="1270" anchor="t" anchorCtr="0">
          <a:noAutofit/>
        </a:bodyPr>
        <a:lstStyle/>
        <a:p>
          <a:pPr marL="0" lvl="0" indent="0" algn="l" defTabSz="1778000">
            <a:lnSpc>
              <a:spcPct val="90000"/>
            </a:lnSpc>
            <a:spcBef>
              <a:spcPct val="0"/>
            </a:spcBef>
            <a:spcAft>
              <a:spcPct val="35000"/>
            </a:spcAft>
            <a:buNone/>
          </a:pPr>
          <a:endParaRPr lang="en-GB" sz="4000" kern="1200"/>
        </a:p>
      </dsp:txBody>
      <dsp:txXfrm>
        <a:off x="0" y="0"/>
        <a:ext cx="45284" cy="866775"/>
      </dsp:txXfrm>
    </dsp:sp>
    <dsp:sp modelId="{9F6FEB68-43C2-4730-8586-56850BE3A8E0}">
      <dsp:nvSpPr>
        <dsp:cNvPr id="0" name=""/>
        <dsp:cNvSpPr/>
      </dsp:nvSpPr>
      <dsp:spPr>
        <a:xfrm>
          <a:off x="75145" y="13543"/>
          <a:ext cx="1562718" cy="27086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Solicitor Drafting Contract </a:t>
          </a:r>
        </a:p>
      </dsp:txBody>
      <dsp:txXfrm>
        <a:off x="75145" y="13543"/>
        <a:ext cx="1562718" cy="270867"/>
      </dsp:txXfrm>
    </dsp:sp>
    <dsp:sp modelId="{C8B662AF-2727-4E27-8DFA-D29D710FD1E8}">
      <dsp:nvSpPr>
        <dsp:cNvPr id="0" name=""/>
        <dsp:cNvSpPr/>
      </dsp:nvSpPr>
      <dsp:spPr>
        <a:xfrm>
          <a:off x="45284" y="284410"/>
          <a:ext cx="1592579"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A1C9789A-0EEA-4DA5-AC76-8CC0D116C6F3}">
      <dsp:nvSpPr>
        <dsp:cNvPr id="0" name=""/>
        <dsp:cNvSpPr/>
      </dsp:nvSpPr>
      <dsp:spPr>
        <a:xfrm>
          <a:off x="75145" y="297953"/>
          <a:ext cx="1562718" cy="27086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In Negotiation</a:t>
          </a:r>
        </a:p>
      </dsp:txBody>
      <dsp:txXfrm>
        <a:off x="75145" y="297953"/>
        <a:ext cx="1562718" cy="270867"/>
      </dsp:txXfrm>
    </dsp:sp>
    <dsp:sp modelId="{92EA4D53-8564-4140-885F-737328283054}">
      <dsp:nvSpPr>
        <dsp:cNvPr id="0" name=""/>
        <dsp:cNvSpPr/>
      </dsp:nvSpPr>
      <dsp:spPr>
        <a:xfrm>
          <a:off x="45284" y="568821"/>
          <a:ext cx="1592579"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53E50714-5651-4F41-94D0-B2D65C598801}">
      <dsp:nvSpPr>
        <dsp:cNvPr id="0" name=""/>
        <dsp:cNvSpPr/>
      </dsp:nvSpPr>
      <dsp:spPr>
        <a:xfrm>
          <a:off x="75145" y="582364"/>
          <a:ext cx="1562718" cy="27086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In Signing</a:t>
          </a:r>
        </a:p>
      </dsp:txBody>
      <dsp:txXfrm>
        <a:off x="75145" y="582364"/>
        <a:ext cx="1562718" cy="270867"/>
      </dsp:txXfrm>
    </dsp:sp>
    <dsp:sp modelId="{E0F8ACB8-9E47-474E-BF61-E79029521C41}">
      <dsp:nvSpPr>
        <dsp:cNvPr id="0" name=""/>
        <dsp:cNvSpPr/>
      </dsp:nvSpPr>
      <dsp:spPr>
        <a:xfrm>
          <a:off x="45284" y="853231"/>
          <a:ext cx="1592579"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03153C9-AFB2-43C6-90F8-C8830730580D}">
      <dsp:nvSpPr>
        <dsp:cNvPr id="0" name=""/>
        <dsp:cNvSpPr/>
      </dsp:nvSpPr>
      <dsp:spPr>
        <a:xfrm>
          <a:off x="0" y="0"/>
          <a:ext cx="1628777" cy="0"/>
        </a:xfrm>
        <a:prstGeom prst="lin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A0A7B3EA-9A50-449D-A19C-71D878DA407B}">
      <dsp:nvSpPr>
        <dsp:cNvPr id="0" name=""/>
        <dsp:cNvSpPr/>
      </dsp:nvSpPr>
      <dsp:spPr>
        <a:xfrm flipH="1">
          <a:off x="0" y="0"/>
          <a:ext cx="53547" cy="86201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48590" tIns="148590" rIns="148590" bIns="148590" numCol="1" spcCol="1270" anchor="t" anchorCtr="0">
          <a:noAutofit/>
        </a:bodyPr>
        <a:lstStyle/>
        <a:p>
          <a:pPr marL="0" lvl="0" indent="0" algn="l" defTabSz="1733550">
            <a:lnSpc>
              <a:spcPct val="90000"/>
            </a:lnSpc>
            <a:spcBef>
              <a:spcPct val="0"/>
            </a:spcBef>
            <a:spcAft>
              <a:spcPct val="35000"/>
            </a:spcAft>
            <a:buNone/>
          </a:pPr>
          <a:r>
            <a:rPr lang="en-GB" sz="3900" kern="1200"/>
            <a:t> </a:t>
          </a:r>
        </a:p>
      </dsp:txBody>
      <dsp:txXfrm>
        <a:off x="0" y="0"/>
        <a:ext cx="53547" cy="862013"/>
      </dsp:txXfrm>
    </dsp:sp>
    <dsp:sp modelId="{9F6FEB68-43C2-4730-8586-56850BE3A8E0}">
      <dsp:nvSpPr>
        <dsp:cNvPr id="0" name=""/>
        <dsp:cNvSpPr/>
      </dsp:nvSpPr>
      <dsp:spPr>
        <a:xfrm>
          <a:off x="77979" y="13468"/>
          <a:ext cx="1278589" cy="2693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Rejected by Leasing</a:t>
          </a:r>
        </a:p>
      </dsp:txBody>
      <dsp:txXfrm>
        <a:off x="77979" y="13468"/>
        <a:ext cx="1278589" cy="269379"/>
      </dsp:txXfrm>
    </dsp:sp>
    <dsp:sp modelId="{C8B662AF-2727-4E27-8DFA-D29D710FD1E8}">
      <dsp:nvSpPr>
        <dsp:cNvPr id="0" name=""/>
        <dsp:cNvSpPr/>
      </dsp:nvSpPr>
      <dsp:spPr>
        <a:xfrm>
          <a:off x="53547" y="282848"/>
          <a:ext cx="1303021"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0B917F2F-5B85-4B9C-922F-D72E843707F3}">
      <dsp:nvSpPr>
        <dsp:cNvPr id="0" name=""/>
        <dsp:cNvSpPr/>
      </dsp:nvSpPr>
      <dsp:spPr>
        <a:xfrm>
          <a:off x="77979" y="296316"/>
          <a:ext cx="1278589" cy="2693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Rejected by AM</a:t>
          </a:r>
        </a:p>
      </dsp:txBody>
      <dsp:txXfrm>
        <a:off x="77979" y="296316"/>
        <a:ext cx="1278589" cy="269379"/>
      </dsp:txXfrm>
    </dsp:sp>
    <dsp:sp modelId="{BFD0A735-4644-47F2-ADD3-5FED203A75FC}">
      <dsp:nvSpPr>
        <dsp:cNvPr id="0" name=""/>
        <dsp:cNvSpPr/>
      </dsp:nvSpPr>
      <dsp:spPr>
        <a:xfrm>
          <a:off x="53547" y="565696"/>
          <a:ext cx="1303021"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0CBA3BBE-BE8E-47D2-A0FB-69F2192B3A31}">
      <dsp:nvSpPr>
        <dsp:cNvPr id="0" name=""/>
        <dsp:cNvSpPr/>
      </dsp:nvSpPr>
      <dsp:spPr>
        <a:xfrm>
          <a:off x="77979" y="579164"/>
          <a:ext cx="1278589" cy="2693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Rejected by IC</a:t>
          </a:r>
        </a:p>
      </dsp:txBody>
      <dsp:txXfrm>
        <a:off x="77979" y="579164"/>
        <a:ext cx="1278589" cy="269379"/>
      </dsp:txXfrm>
    </dsp:sp>
    <dsp:sp modelId="{46D527CD-C249-46F4-AF9D-BF5B6033D996}">
      <dsp:nvSpPr>
        <dsp:cNvPr id="0" name=""/>
        <dsp:cNvSpPr/>
      </dsp:nvSpPr>
      <dsp:spPr>
        <a:xfrm>
          <a:off x="53547" y="848544"/>
          <a:ext cx="1303021"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drawing5.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F03D22F0-89B7-4B25-AAE7-F4CAE4333D53}">
      <dsp:nvSpPr>
        <dsp:cNvPr id="0" name=""/>
        <dsp:cNvSpPr/>
      </dsp:nvSpPr>
      <dsp:spPr>
        <a:xfrm>
          <a:off x="1329" y="635704"/>
          <a:ext cx="2131670" cy="852668"/>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009" tIns="24003" rIns="24003" bIns="24003" numCol="1" spcCol="1270" anchor="ctr" anchorCtr="0">
          <a:noAutofit/>
        </a:bodyPr>
        <a:lstStyle/>
        <a:p>
          <a:pPr marL="0" lvl="0" indent="0" algn="ctr" defTabSz="800100">
            <a:lnSpc>
              <a:spcPct val="90000"/>
            </a:lnSpc>
            <a:spcBef>
              <a:spcPct val="0"/>
            </a:spcBef>
            <a:spcAft>
              <a:spcPct val="35000"/>
            </a:spcAft>
            <a:buNone/>
          </a:pPr>
          <a:r>
            <a:rPr lang="en-GB" sz="1800" kern="1200"/>
            <a:t>Offer Negotiation </a:t>
          </a:r>
        </a:p>
      </dsp:txBody>
      <dsp:txXfrm>
        <a:off x="427663" y="635704"/>
        <a:ext cx="1279002" cy="852668"/>
      </dsp:txXfrm>
    </dsp:sp>
    <dsp:sp modelId="{2E494893-C528-435D-BDC7-5CF13F4EFBC2}">
      <dsp:nvSpPr>
        <dsp:cNvPr id="0" name=""/>
        <dsp:cNvSpPr/>
      </dsp:nvSpPr>
      <dsp:spPr>
        <a:xfrm>
          <a:off x="1919832" y="635704"/>
          <a:ext cx="2131670" cy="852668"/>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009" tIns="24003" rIns="24003" bIns="24003" numCol="1" spcCol="1270" anchor="ctr" anchorCtr="0">
          <a:noAutofit/>
        </a:bodyPr>
        <a:lstStyle/>
        <a:p>
          <a:pPr marL="0" lvl="0" indent="0" algn="ctr" defTabSz="800100">
            <a:lnSpc>
              <a:spcPct val="90000"/>
            </a:lnSpc>
            <a:spcBef>
              <a:spcPct val="0"/>
            </a:spcBef>
            <a:spcAft>
              <a:spcPct val="35000"/>
            </a:spcAft>
            <a:buNone/>
          </a:pPr>
          <a:r>
            <a:rPr lang="en-GB" sz="1800" kern="1200"/>
            <a:t>AM </a:t>
          </a:r>
          <a:br>
            <a:rPr lang="en-GB" sz="1800" kern="1200"/>
          </a:br>
          <a:r>
            <a:rPr lang="en-GB" sz="1800" kern="1200"/>
            <a:t>Approval</a:t>
          </a:r>
        </a:p>
      </dsp:txBody>
      <dsp:txXfrm>
        <a:off x="2346166" y="635704"/>
        <a:ext cx="1279002" cy="852668"/>
      </dsp:txXfrm>
    </dsp:sp>
    <dsp:sp modelId="{466C6739-1C73-46E2-AA34-A5A6A3971E84}">
      <dsp:nvSpPr>
        <dsp:cNvPr id="0" name=""/>
        <dsp:cNvSpPr/>
      </dsp:nvSpPr>
      <dsp:spPr>
        <a:xfrm>
          <a:off x="3838335" y="635704"/>
          <a:ext cx="2131670" cy="852668"/>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009" tIns="24003" rIns="24003" bIns="24003" numCol="1" spcCol="1270" anchor="ctr" anchorCtr="0">
          <a:noAutofit/>
        </a:bodyPr>
        <a:lstStyle/>
        <a:p>
          <a:pPr marL="0" lvl="0" indent="0" algn="ctr" defTabSz="800100">
            <a:lnSpc>
              <a:spcPct val="90000"/>
            </a:lnSpc>
            <a:spcBef>
              <a:spcPct val="0"/>
            </a:spcBef>
            <a:spcAft>
              <a:spcPct val="35000"/>
            </a:spcAft>
            <a:buNone/>
          </a:pPr>
          <a:r>
            <a:rPr lang="en-GB" sz="1800" kern="1200"/>
            <a:t>IC </a:t>
          </a:r>
          <a:br>
            <a:rPr lang="en-GB" sz="1800" kern="1200"/>
          </a:br>
          <a:r>
            <a:rPr lang="en-GB" sz="1800" kern="1200"/>
            <a:t>Approval</a:t>
          </a:r>
        </a:p>
      </dsp:txBody>
      <dsp:txXfrm>
        <a:off x="4264669" y="635704"/>
        <a:ext cx="1279002" cy="852668"/>
      </dsp:txXfrm>
    </dsp:sp>
    <dsp:sp modelId="{9E545AC0-CCEF-4F02-89AA-8D2AC2F8B074}">
      <dsp:nvSpPr>
        <dsp:cNvPr id="0" name=""/>
        <dsp:cNvSpPr/>
      </dsp:nvSpPr>
      <dsp:spPr>
        <a:xfrm>
          <a:off x="5756838" y="635704"/>
          <a:ext cx="2131670" cy="852668"/>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009" tIns="24003" rIns="24003" bIns="24003" numCol="1" spcCol="1270" anchor="ctr" anchorCtr="0">
          <a:noAutofit/>
        </a:bodyPr>
        <a:lstStyle/>
        <a:p>
          <a:pPr marL="0" lvl="0" indent="0" algn="ctr" defTabSz="800100">
            <a:lnSpc>
              <a:spcPct val="90000"/>
            </a:lnSpc>
            <a:spcBef>
              <a:spcPct val="0"/>
            </a:spcBef>
            <a:spcAft>
              <a:spcPct val="35000"/>
            </a:spcAft>
            <a:buNone/>
          </a:pPr>
          <a:r>
            <a:rPr lang="en-GB" sz="1800" kern="1200"/>
            <a:t>Heads of Terms</a:t>
          </a:r>
        </a:p>
      </dsp:txBody>
      <dsp:txXfrm>
        <a:off x="6183172" y="635704"/>
        <a:ext cx="1279002" cy="852668"/>
      </dsp:txXfrm>
    </dsp:sp>
    <dsp:sp modelId="{4EEB1E03-4DE8-4371-A3FA-AFBE5E06236C}">
      <dsp:nvSpPr>
        <dsp:cNvPr id="0" name=""/>
        <dsp:cNvSpPr/>
      </dsp:nvSpPr>
      <dsp:spPr>
        <a:xfrm>
          <a:off x="7675341" y="635704"/>
          <a:ext cx="2131670" cy="852668"/>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009" tIns="24003" rIns="24003" bIns="24003" numCol="1" spcCol="1270" anchor="ctr" anchorCtr="0">
          <a:noAutofit/>
        </a:bodyPr>
        <a:lstStyle/>
        <a:p>
          <a:pPr marL="0" lvl="0" indent="0" algn="ctr" defTabSz="800100">
            <a:lnSpc>
              <a:spcPct val="90000"/>
            </a:lnSpc>
            <a:spcBef>
              <a:spcPct val="0"/>
            </a:spcBef>
            <a:spcAft>
              <a:spcPct val="35000"/>
            </a:spcAft>
            <a:buNone/>
          </a:pPr>
          <a:r>
            <a:rPr lang="en-GB" sz="1800" kern="1200"/>
            <a:t>Legals</a:t>
          </a:r>
        </a:p>
      </dsp:txBody>
      <dsp:txXfrm>
        <a:off x="8101675" y="635704"/>
        <a:ext cx="1279002" cy="852668"/>
      </dsp:txXfrm>
    </dsp:sp>
    <dsp:sp modelId="{CA1E89E5-2B6A-4966-947F-285340F40785}">
      <dsp:nvSpPr>
        <dsp:cNvPr id="0" name=""/>
        <dsp:cNvSpPr/>
      </dsp:nvSpPr>
      <dsp:spPr>
        <a:xfrm>
          <a:off x="9593845" y="635704"/>
          <a:ext cx="2131670" cy="852668"/>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009" tIns="24003" rIns="24003" bIns="24003" numCol="1" spcCol="1270" anchor="ctr" anchorCtr="0">
          <a:noAutofit/>
        </a:bodyPr>
        <a:lstStyle/>
        <a:p>
          <a:pPr marL="0" lvl="0" indent="0" algn="ctr" defTabSz="800100">
            <a:lnSpc>
              <a:spcPct val="90000"/>
            </a:lnSpc>
            <a:spcBef>
              <a:spcPct val="0"/>
            </a:spcBef>
            <a:spcAft>
              <a:spcPct val="35000"/>
            </a:spcAft>
            <a:buNone/>
          </a:pPr>
          <a:r>
            <a:rPr lang="en-GB" sz="1800" kern="1200"/>
            <a:t>Move in Monies</a:t>
          </a:r>
        </a:p>
      </dsp:txBody>
      <dsp:txXfrm>
        <a:off x="10020179" y="635704"/>
        <a:ext cx="1279002" cy="852668"/>
      </dsp:txXfrm>
    </dsp:sp>
    <dsp:sp modelId="{E9171F42-A4E7-4640-92B9-92E07F606218}">
      <dsp:nvSpPr>
        <dsp:cNvPr id="0" name=""/>
        <dsp:cNvSpPr/>
      </dsp:nvSpPr>
      <dsp:spPr>
        <a:xfrm>
          <a:off x="11512348" y="635704"/>
          <a:ext cx="2131670" cy="852668"/>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009" tIns="24003" rIns="24003" bIns="24003" numCol="1" spcCol="1270" anchor="ctr" anchorCtr="0">
          <a:noAutofit/>
        </a:bodyPr>
        <a:lstStyle/>
        <a:p>
          <a:pPr marL="0" lvl="0" indent="0" algn="ctr" defTabSz="800100">
            <a:lnSpc>
              <a:spcPct val="90000"/>
            </a:lnSpc>
            <a:spcBef>
              <a:spcPct val="0"/>
            </a:spcBef>
            <a:spcAft>
              <a:spcPct val="35000"/>
            </a:spcAft>
            <a:buNone/>
          </a:pPr>
          <a:r>
            <a:rPr lang="en-GB" sz="1800" kern="1200"/>
            <a:t>Audit</a:t>
          </a:r>
        </a:p>
      </dsp:txBody>
      <dsp:txXfrm>
        <a:off x="11938682" y="635704"/>
        <a:ext cx="1279002" cy="852668"/>
      </dsp:txXfrm>
    </dsp:sp>
    <dsp:sp modelId="{06A68BE7-3541-4F3C-8F9D-12D0976D80D0}">
      <dsp:nvSpPr>
        <dsp:cNvPr id="0" name=""/>
        <dsp:cNvSpPr/>
      </dsp:nvSpPr>
      <dsp:spPr>
        <a:xfrm>
          <a:off x="13430851" y="635704"/>
          <a:ext cx="2131670" cy="852668"/>
        </a:xfrm>
        <a:prstGeom prst="chevron">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009" tIns="24003" rIns="24003" bIns="24003" numCol="1" spcCol="1270" anchor="ctr" anchorCtr="0">
          <a:noAutofit/>
        </a:bodyPr>
        <a:lstStyle/>
        <a:p>
          <a:pPr marL="0" lvl="0" indent="0" algn="ctr" defTabSz="800100">
            <a:lnSpc>
              <a:spcPct val="90000"/>
            </a:lnSpc>
            <a:spcBef>
              <a:spcPct val="0"/>
            </a:spcBef>
            <a:spcAft>
              <a:spcPct val="35000"/>
            </a:spcAft>
            <a:buNone/>
          </a:pPr>
          <a:r>
            <a:rPr lang="en-GB" sz="1800" kern="1200"/>
            <a:t>Closed Won/</a:t>
          </a:r>
          <a:br>
            <a:rPr lang="en-GB" sz="1800" kern="1200"/>
          </a:br>
          <a:r>
            <a:rPr lang="en-GB" sz="1800" kern="1200"/>
            <a:t> Closed Lost</a:t>
          </a:r>
        </a:p>
      </dsp:txBody>
      <dsp:txXfrm>
        <a:off x="13857185" y="635704"/>
        <a:ext cx="1279002" cy="852668"/>
      </dsp:txXfrm>
    </dsp:sp>
  </dsp:spTree>
</dsp:drawing>
</file>

<file path=xl/diagrams/drawing6.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03153C9-AFB2-43C6-90F8-C8830730580D}">
      <dsp:nvSpPr>
        <dsp:cNvPr id="0" name=""/>
        <dsp:cNvSpPr/>
      </dsp:nvSpPr>
      <dsp:spPr>
        <a:xfrm>
          <a:off x="0" y="19050"/>
          <a:ext cx="1523998" cy="0"/>
        </a:xfrm>
        <a:prstGeom prst="lin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A0A7B3EA-9A50-449D-A19C-71D878DA407B}">
      <dsp:nvSpPr>
        <dsp:cNvPr id="0" name=""/>
        <dsp:cNvSpPr/>
      </dsp:nvSpPr>
      <dsp:spPr>
        <a:xfrm flipH="1">
          <a:off x="0" y="0"/>
          <a:ext cx="45719" cy="86201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48590" tIns="148590" rIns="148590" bIns="148590" numCol="1" spcCol="1270" anchor="t" anchorCtr="0">
          <a:noAutofit/>
        </a:bodyPr>
        <a:lstStyle/>
        <a:p>
          <a:pPr marL="0" lvl="0" indent="0" algn="l" defTabSz="1733550">
            <a:lnSpc>
              <a:spcPct val="90000"/>
            </a:lnSpc>
            <a:spcBef>
              <a:spcPct val="0"/>
            </a:spcBef>
            <a:spcAft>
              <a:spcPct val="35000"/>
            </a:spcAft>
            <a:buNone/>
          </a:pPr>
          <a:endParaRPr lang="en-GB" sz="3900" kern="1200"/>
        </a:p>
      </dsp:txBody>
      <dsp:txXfrm>
        <a:off x="0" y="0"/>
        <a:ext cx="45719" cy="862013"/>
      </dsp:txXfrm>
    </dsp:sp>
    <dsp:sp modelId="{9F6FEB68-43C2-4730-8586-56850BE3A8E0}">
      <dsp:nvSpPr>
        <dsp:cNvPr id="0" name=""/>
        <dsp:cNvSpPr/>
      </dsp:nvSpPr>
      <dsp:spPr>
        <a:xfrm>
          <a:off x="68579" y="13468"/>
          <a:ext cx="1196338" cy="2693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Agent Drafting HoT</a:t>
          </a:r>
        </a:p>
      </dsp:txBody>
      <dsp:txXfrm>
        <a:off x="68579" y="13468"/>
        <a:ext cx="1196338" cy="269379"/>
      </dsp:txXfrm>
    </dsp:sp>
    <dsp:sp modelId="{C8B662AF-2727-4E27-8DFA-D29D710FD1E8}">
      <dsp:nvSpPr>
        <dsp:cNvPr id="0" name=""/>
        <dsp:cNvSpPr/>
      </dsp:nvSpPr>
      <dsp:spPr>
        <a:xfrm>
          <a:off x="45719" y="282848"/>
          <a:ext cx="1219198"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0DA7E684-7494-485D-BC65-70210F520182}">
      <dsp:nvSpPr>
        <dsp:cNvPr id="0" name=""/>
        <dsp:cNvSpPr/>
      </dsp:nvSpPr>
      <dsp:spPr>
        <a:xfrm>
          <a:off x="68579" y="296316"/>
          <a:ext cx="1196338" cy="2693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LL Agreed HoT</a:t>
          </a:r>
        </a:p>
      </dsp:txBody>
      <dsp:txXfrm>
        <a:off x="68579" y="296316"/>
        <a:ext cx="1196338" cy="269379"/>
      </dsp:txXfrm>
    </dsp:sp>
    <dsp:sp modelId="{9AAF855B-C8E7-479B-AAA7-EE8316F15CF5}">
      <dsp:nvSpPr>
        <dsp:cNvPr id="0" name=""/>
        <dsp:cNvSpPr/>
      </dsp:nvSpPr>
      <dsp:spPr>
        <a:xfrm>
          <a:off x="45719" y="565696"/>
          <a:ext cx="1219198"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7E0010B8-8B1C-4F2C-9646-5D8404B970A1}">
      <dsp:nvSpPr>
        <dsp:cNvPr id="0" name=""/>
        <dsp:cNvSpPr/>
      </dsp:nvSpPr>
      <dsp:spPr>
        <a:xfrm>
          <a:off x="68579" y="579164"/>
          <a:ext cx="1196338" cy="2693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TT Agreed HoT</a:t>
          </a:r>
        </a:p>
      </dsp:txBody>
      <dsp:txXfrm>
        <a:off x="68579" y="579164"/>
        <a:ext cx="1196338" cy="269379"/>
      </dsp:txXfrm>
    </dsp:sp>
    <dsp:sp modelId="{85EB95A0-9C49-45E1-BA9A-7544C43A8AB1}">
      <dsp:nvSpPr>
        <dsp:cNvPr id="0" name=""/>
        <dsp:cNvSpPr/>
      </dsp:nvSpPr>
      <dsp:spPr>
        <a:xfrm>
          <a:off x="45719" y="848544"/>
          <a:ext cx="1219198"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drawing7.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03153C9-AFB2-43C6-90F8-C8830730580D}">
      <dsp:nvSpPr>
        <dsp:cNvPr id="0" name=""/>
        <dsp:cNvSpPr/>
      </dsp:nvSpPr>
      <dsp:spPr>
        <a:xfrm>
          <a:off x="0" y="9577"/>
          <a:ext cx="1990724" cy="0"/>
        </a:xfrm>
        <a:prstGeom prst="lin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A0A7B3EA-9A50-449D-A19C-71D878DA407B}">
      <dsp:nvSpPr>
        <dsp:cNvPr id="0" name=""/>
        <dsp:cNvSpPr/>
      </dsp:nvSpPr>
      <dsp:spPr>
        <a:xfrm flipH="1">
          <a:off x="0" y="0"/>
          <a:ext cx="45284" cy="86677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52400" tIns="152400" rIns="152400" bIns="152400" numCol="1" spcCol="1270" anchor="t" anchorCtr="0">
          <a:noAutofit/>
        </a:bodyPr>
        <a:lstStyle/>
        <a:p>
          <a:pPr marL="0" lvl="0" indent="0" algn="l" defTabSz="1778000">
            <a:lnSpc>
              <a:spcPct val="90000"/>
            </a:lnSpc>
            <a:spcBef>
              <a:spcPct val="0"/>
            </a:spcBef>
            <a:spcAft>
              <a:spcPct val="35000"/>
            </a:spcAft>
            <a:buNone/>
          </a:pPr>
          <a:endParaRPr lang="en-GB" sz="4000" kern="1200"/>
        </a:p>
      </dsp:txBody>
      <dsp:txXfrm>
        <a:off x="0" y="0"/>
        <a:ext cx="45284" cy="866775"/>
      </dsp:txXfrm>
    </dsp:sp>
    <dsp:sp modelId="{9F6FEB68-43C2-4730-8586-56850BE3A8E0}">
      <dsp:nvSpPr>
        <dsp:cNvPr id="0" name=""/>
        <dsp:cNvSpPr/>
      </dsp:nvSpPr>
      <dsp:spPr>
        <a:xfrm>
          <a:off x="75145" y="13543"/>
          <a:ext cx="1562718" cy="27086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Solicitor Drafting Contract </a:t>
          </a:r>
        </a:p>
      </dsp:txBody>
      <dsp:txXfrm>
        <a:off x="75145" y="13543"/>
        <a:ext cx="1562718" cy="270867"/>
      </dsp:txXfrm>
    </dsp:sp>
    <dsp:sp modelId="{C8B662AF-2727-4E27-8DFA-D29D710FD1E8}">
      <dsp:nvSpPr>
        <dsp:cNvPr id="0" name=""/>
        <dsp:cNvSpPr/>
      </dsp:nvSpPr>
      <dsp:spPr>
        <a:xfrm>
          <a:off x="45284" y="284410"/>
          <a:ext cx="1592579"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A1C9789A-0EEA-4DA5-AC76-8CC0D116C6F3}">
      <dsp:nvSpPr>
        <dsp:cNvPr id="0" name=""/>
        <dsp:cNvSpPr/>
      </dsp:nvSpPr>
      <dsp:spPr>
        <a:xfrm>
          <a:off x="75145" y="297953"/>
          <a:ext cx="1562718" cy="27086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In Negotiation</a:t>
          </a:r>
        </a:p>
      </dsp:txBody>
      <dsp:txXfrm>
        <a:off x="75145" y="297953"/>
        <a:ext cx="1562718" cy="270867"/>
      </dsp:txXfrm>
    </dsp:sp>
    <dsp:sp modelId="{92EA4D53-8564-4140-885F-737328283054}">
      <dsp:nvSpPr>
        <dsp:cNvPr id="0" name=""/>
        <dsp:cNvSpPr/>
      </dsp:nvSpPr>
      <dsp:spPr>
        <a:xfrm>
          <a:off x="45284" y="568821"/>
          <a:ext cx="1592579"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53E50714-5651-4F41-94D0-B2D65C598801}">
      <dsp:nvSpPr>
        <dsp:cNvPr id="0" name=""/>
        <dsp:cNvSpPr/>
      </dsp:nvSpPr>
      <dsp:spPr>
        <a:xfrm>
          <a:off x="75145" y="582364"/>
          <a:ext cx="1562718" cy="27086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In Signing</a:t>
          </a:r>
        </a:p>
      </dsp:txBody>
      <dsp:txXfrm>
        <a:off x="75145" y="582364"/>
        <a:ext cx="1562718" cy="270867"/>
      </dsp:txXfrm>
    </dsp:sp>
    <dsp:sp modelId="{E0F8ACB8-9E47-474E-BF61-E79029521C41}">
      <dsp:nvSpPr>
        <dsp:cNvPr id="0" name=""/>
        <dsp:cNvSpPr/>
      </dsp:nvSpPr>
      <dsp:spPr>
        <a:xfrm>
          <a:off x="45284" y="853231"/>
          <a:ext cx="1592579"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drawing8.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03153C9-AFB2-43C6-90F8-C8830730580D}">
      <dsp:nvSpPr>
        <dsp:cNvPr id="0" name=""/>
        <dsp:cNvSpPr/>
      </dsp:nvSpPr>
      <dsp:spPr>
        <a:xfrm>
          <a:off x="0" y="0"/>
          <a:ext cx="1628777" cy="0"/>
        </a:xfrm>
        <a:prstGeom prst="line">
          <a:avLst/>
        </a:prstGeom>
        <a:solidFill>
          <a:schemeClr val="accen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A0A7B3EA-9A50-449D-A19C-71D878DA407B}">
      <dsp:nvSpPr>
        <dsp:cNvPr id="0" name=""/>
        <dsp:cNvSpPr/>
      </dsp:nvSpPr>
      <dsp:spPr>
        <a:xfrm flipH="1">
          <a:off x="0" y="0"/>
          <a:ext cx="53547" cy="86201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48590" tIns="148590" rIns="148590" bIns="148590" numCol="1" spcCol="1270" anchor="t" anchorCtr="0">
          <a:noAutofit/>
        </a:bodyPr>
        <a:lstStyle/>
        <a:p>
          <a:pPr marL="0" lvl="0" indent="0" algn="l" defTabSz="1733550">
            <a:lnSpc>
              <a:spcPct val="90000"/>
            </a:lnSpc>
            <a:spcBef>
              <a:spcPct val="0"/>
            </a:spcBef>
            <a:spcAft>
              <a:spcPct val="35000"/>
            </a:spcAft>
            <a:buNone/>
          </a:pPr>
          <a:r>
            <a:rPr lang="en-GB" sz="3900" kern="1200"/>
            <a:t> </a:t>
          </a:r>
        </a:p>
      </dsp:txBody>
      <dsp:txXfrm>
        <a:off x="0" y="0"/>
        <a:ext cx="53547" cy="862013"/>
      </dsp:txXfrm>
    </dsp:sp>
    <dsp:sp modelId="{9F6FEB68-43C2-4730-8586-56850BE3A8E0}">
      <dsp:nvSpPr>
        <dsp:cNvPr id="0" name=""/>
        <dsp:cNvSpPr/>
      </dsp:nvSpPr>
      <dsp:spPr>
        <a:xfrm>
          <a:off x="77979" y="13468"/>
          <a:ext cx="1278589" cy="2693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Rejected by Leasing</a:t>
          </a:r>
        </a:p>
      </dsp:txBody>
      <dsp:txXfrm>
        <a:off x="77979" y="13468"/>
        <a:ext cx="1278589" cy="269379"/>
      </dsp:txXfrm>
    </dsp:sp>
    <dsp:sp modelId="{C8B662AF-2727-4E27-8DFA-D29D710FD1E8}">
      <dsp:nvSpPr>
        <dsp:cNvPr id="0" name=""/>
        <dsp:cNvSpPr/>
      </dsp:nvSpPr>
      <dsp:spPr>
        <a:xfrm>
          <a:off x="53547" y="282848"/>
          <a:ext cx="1303021"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0B917F2F-5B85-4B9C-922F-D72E843707F3}">
      <dsp:nvSpPr>
        <dsp:cNvPr id="0" name=""/>
        <dsp:cNvSpPr/>
      </dsp:nvSpPr>
      <dsp:spPr>
        <a:xfrm>
          <a:off x="77979" y="296316"/>
          <a:ext cx="1278589" cy="2693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Rejected by AM</a:t>
          </a:r>
        </a:p>
      </dsp:txBody>
      <dsp:txXfrm>
        <a:off x="77979" y="296316"/>
        <a:ext cx="1278589" cy="269379"/>
      </dsp:txXfrm>
    </dsp:sp>
    <dsp:sp modelId="{BFD0A735-4644-47F2-ADD3-5FED203A75FC}">
      <dsp:nvSpPr>
        <dsp:cNvPr id="0" name=""/>
        <dsp:cNvSpPr/>
      </dsp:nvSpPr>
      <dsp:spPr>
        <a:xfrm>
          <a:off x="53547" y="565696"/>
          <a:ext cx="1303021"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0CBA3BBE-BE8E-47D2-A0FB-69F2192B3A31}">
      <dsp:nvSpPr>
        <dsp:cNvPr id="0" name=""/>
        <dsp:cNvSpPr/>
      </dsp:nvSpPr>
      <dsp:spPr>
        <a:xfrm>
          <a:off x="77979" y="579164"/>
          <a:ext cx="1278589" cy="26937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1910" tIns="41910" rIns="41910" bIns="41910" numCol="1" spcCol="1270" anchor="t" anchorCtr="0">
          <a:noAutofit/>
        </a:bodyPr>
        <a:lstStyle/>
        <a:p>
          <a:pPr marL="0" lvl="0" indent="0" algn="l" defTabSz="488950">
            <a:lnSpc>
              <a:spcPct val="90000"/>
            </a:lnSpc>
            <a:spcBef>
              <a:spcPct val="0"/>
            </a:spcBef>
            <a:spcAft>
              <a:spcPct val="35000"/>
            </a:spcAft>
            <a:buNone/>
          </a:pPr>
          <a:r>
            <a:rPr lang="en-GB" sz="1100" kern="1200"/>
            <a:t>Rejected by IC</a:t>
          </a:r>
        </a:p>
      </dsp:txBody>
      <dsp:txXfrm>
        <a:off x="77979" y="579164"/>
        <a:ext cx="1278589" cy="269379"/>
      </dsp:txXfrm>
    </dsp:sp>
    <dsp:sp modelId="{46D527CD-C249-46F4-AF9D-BF5B6033D996}">
      <dsp:nvSpPr>
        <dsp:cNvPr id="0" name=""/>
        <dsp:cNvSpPr/>
      </dsp:nvSpPr>
      <dsp:spPr>
        <a:xfrm>
          <a:off x="53547" y="848544"/>
          <a:ext cx="1303021" cy="0"/>
        </a:xfrm>
        <a:prstGeom prst="line">
          <a:avLst/>
        </a:prstGeom>
        <a:solidFill>
          <a:schemeClr val="accent1">
            <a:hueOff val="0"/>
            <a:satOff val="0"/>
            <a:lumOff val="0"/>
            <a:alphaOff val="0"/>
          </a:schemeClr>
        </a:solidFill>
        <a:ln w="19050" cap="flat" cmpd="sng" algn="ctr">
          <a:solidFill>
            <a:schemeClr val="accent1">
              <a:tint val="5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layout1.xml><?xml version="1.0" encoding="utf-8"?>
<dgm:layoutDef xmlns:dgm="http://schemas.openxmlformats.org/drawingml/2006/diagram" xmlns:a="http://schemas.openxmlformats.org/drawingml/2006/main" uniqueId="urn:microsoft.com/office/officeart/2005/8/layout/chevron1">
  <dgm:title val=""/>
  <dgm:desc val=""/>
  <dgm:catLst>
    <dgm:cat type="process" pri="9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hoose name="Name4">
      <dgm:if name="Name5" axis="des" func="maxDepth" op="gte" val="2">
        <dgm:constrLst>
          <dgm:constr type="h" for="ch" forName="composite" refType="h"/>
          <dgm:constr type="w" for="ch" forName="composite" refType="w"/>
          <dgm:constr type="w" for="des" forName="parTx"/>
          <dgm:constr type="h" for="des" forName="parTx" op="equ"/>
          <dgm:constr type="w" for="des" forName="desTx"/>
          <dgm:constr type="h" for="des" forName="desTx" op="equ"/>
          <dgm:constr type="primFontSz" for="des" forName="parTx" val="65"/>
          <dgm:constr type="secFontSz" for="des" forName="desTx" refType="primFontSz" refFor="des" refForName="parTx" op="equ"/>
          <dgm:constr type="h" for="des" forName="parTx" refType="primFontSz" refFor="des" refForName="parTx" fact="1.5"/>
          <dgm:constr type="h" for="des" forName="desTx" refType="primFontSz" refFor="des" refForName="parTx" fact="0.5"/>
          <dgm:constr type="w" for="ch" forName="space" op="equ" val="-6"/>
        </dgm:constrLst>
        <dgm:ruleLst>
          <dgm:rule type="w" for="ch" forName="composite" val="0" fact="NaN" max="NaN"/>
          <dgm:rule type="primFontSz" for="des" forName="parTx" val="5" fact="NaN" max="NaN"/>
        </dgm:ruleLst>
        <dgm:forEach name="Name6" axis="ch" ptType="node">
          <dgm:layoutNode name="composite">
            <dgm:alg type="composite"/>
            <dgm:shape xmlns:r="http://schemas.openxmlformats.org/officeDocument/2006/relationships" r:blip="">
              <dgm:adjLst/>
            </dgm:shape>
            <dgm:presOf/>
            <dgm:choose name="Name7">
              <dgm:if name="Name8" func="var" arg="dir" op="equ" val="norm">
                <dgm:constrLst>
                  <dgm:constr type="l" for="ch" forName="parTx"/>
                  <dgm:constr type="w" for="ch" forName="parTx" refType="w"/>
                  <dgm:constr type="t" for="ch" forName="parTx"/>
                  <dgm:constr type="l" for="ch" forName="desTx"/>
                  <dgm:constr type="w" for="ch" forName="desTx" refType="w" refFor="ch" refForName="parTx" fact="0.8"/>
                  <dgm:constr type="t" for="ch" forName="desTx" refType="h" refFor="ch" refForName="parTx" fact="1.125"/>
                </dgm:constrLst>
              </dgm:if>
              <dgm:else name="Name9">
                <dgm:constrLst>
                  <dgm:constr type="l" for="ch" forName="parTx"/>
                  <dgm:constr type="w" for="ch" forName="parTx" refType="w"/>
                  <dgm:constr type="t" for="ch" forName="parTx"/>
                  <dgm:constr type="l" for="ch" forName="desTx" refType="w" fact="0.2"/>
                  <dgm:constr type="w" for="ch" forName="desTx" refType="w" refFor="ch" refForName="parTx" fact="0.8"/>
                  <dgm:constr type="t" for="ch" forName="desTx" refType="h" refFor="ch" refForName="parTx" fact="1.125"/>
                </dgm:constrLst>
              </dgm:else>
            </dgm:choose>
            <dgm:ruleLst>
              <dgm:rule type="h" val="INF" fact="NaN" max="NaN"/>
            </dgm:ruleLst>
            <dgm:layoutNode name="parTx">
              <dgm:varLst>
                <dgm:chMax val="0"/>
                <dgm:chPref val="0"/>
                <dgm:bulletEnabled val="1"/>
              </dgm:varLst>
              <dgm:alg type="tx"/>
              <dgm:choose name="Name10">
                <dgm:if name="Name11" func="var" arg="dir" op="equ" val="norm">
                  <dgm:shape xmlns:r="http://schemas.openxmlformats.org/officeDocument/2006/relationships" type="chevron" r:blip="">
                    <dgm:adjLst/>
                  </dgm:shape>
                </dgm:if>
                <dgm:else name="Name12">
                  <dgm:shape xmlns:r="http://schemas.openxmlformats.org/officeDocument/2006/relationships" rot="180" type="chevron" r:blip="">
                    <dgm:adjLst/>
                  </dgm:shape>
                </dgm:else>
              </dgm:choose>
              <dgm:presOf axis="self" ptType="node"/>
              <dgm:choose name="Name13">
                <dgm:if name="Name14" func="var" arg="dir" op="equ" val="norm">
                  <dgm:constrLst>
                    <dgm:constr type="h" refType="w" op="lte" fact="0.4"/>
                    <dgm:constr type="h"/>
                    <dgm:constr type="tMarg" refType="primFontSz" fact="0.105"/>
                    <dgm:constr type="bMarg" refType="primFontSz" fact="0.105"/>
                    <dgm:constr type="lMarg" refType="primFontSz" fact="0.315"/>
                    <dgm:constr type="rMarg" refType="primFontSz" fact="0.105"/>
                  </dgm:constrLst>
                </dgm:if>
                <dgm:else name="Name15">
                  <dgm:constrLst>
                    <dgm:constr type="h" refType="w" op="lte" fact="0.4"/>
                    <dgm:constr type="h"/>
                    <dgm:constr type="tMarg" refType="primFontSz" fact="0.105"/>
                    <dgm:constr type="bMarg" refType="primFontSz" fact="0.105"/>
                    <dgm:constr type="lMarg" refType="primFontSz" fact="0.105"/>
                    <dgm:constr type="rMarg" refType="primFontSz" fact="0.315"/>
                  </dgm:constrLst>
                </dgm:else>
              </dgm:choose>
              <dgm:ruleLst>
                <dgm:rule type="h" val="INF" fact="NaN" max="NaN"/>
              </dgm:ruleLst>
            </dgm:layoutNode>
            <dgm:layoutNode name="desTx" styleLbl="revTx">
              <dgm:varLst>
                <dgm:bulletEnabled val="1"/>
              </dgm:varLst>
              <dgm:alg type="tx">
                <dgm:param type="stBulletLvl" val="1"/>
              </dgm:alg>
              <dgm:choose name="Name16">
                <dgm:if name="Name17" axis="ch" ptType="node" func="cnt" op="gte" val="1">
                  <dgm:shape xmlns:r="http://schemas.openxmlformats.org/officeDocument/2006/relationships" type="rect" r:blip="">
                    <dgm:adjLst/>
                  </dgm:shape>
                </dgm:if>
                <dgm:else name="Name18">
                  <dgm:shape xmlns:r="http://schemas.openxmlformats.org/officeDocument/2006/relationships" type="rect" r:blip="" hideGeom="1">
                    <dgm:adjLst/>
                  </dgm:shape>
                </dgm:else>
              </dgm:choose>
              <dgm:presOf axis="des" ptType="node"/>
              <dgm:constrLst>
                <dgm:constr type="secFontSz" val="65"/>
                <dgm:constr type="primFontSz" refType="secFontSz"/>
                <dgm:constr type="h"/>
                <dgm:constr type="tMarg"/>
                <dgm:constr type="bMarg"/>
                <dgm:constr type="rMarg"/>
                <dgm:constr type="lMarg"/>
              </dgm:constrLst>
              <dgm:ruleLst>
                <dgm:rule type="h" val="INF"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if>
      <dgm:else name="Name20">
        <dgm:constrLst>
          <dgm:constr type="w" for="ch" forName="parTxOnly" refType="w"/>
          <dgm:constr type="h" for="des" forName="parTxOnly" op="equ"/>
          <dgm:constr type="primFontSz" for="des" forName="parTxOnly" op="equ" val="65"/>
          <dgm:constr type="w" for="ch" forName="parTxOnlySpace" refType="w" refFor="ch" refForName="parTxOnly" fact="-0.1"/>
        </dgm:constrLst>
        <dgm:ruleLst/>
        <dgm:forEach name="Name21" axis="ch" ptType="node">
          <dgm:layoutNode name="parTxOnly">
            <dgm:varLst>
              <dgm:chMax val="0"/>
              <dgm:chPref val="0"/>
              <dgm:bulletEnabled val="1"/>
            </dgm:varLst>
            <dgm:alg type="tx"/>
            <dgm:choose name="Name22">
              <dgm:if name="Name23" func="var" arg="dir" op="equ" val="norm">
                <dgm:shape xmlns:r="http://schemas.openxmlformats.org/officeDocument/2006/relationships" type="chevron" r:blip="">
                  <dgm:adjLst/>
                </dgm:shape>
              </dgm:if>
              <dgm:else name="Name24">
                <dgm:shape xmlns:r="http://schemas.openxmlformats.org/officeDocument/2006/relationships" rot="180" type="chevron" r:blip="">
                  <dgm:adjLst/>
                </dgm:shape>
              </dgm:else>
            </dgm:choose>
            <dgm:presOf axis="self" ptType="node"/>
            <dgm:choose name="Name25">
              <dgm:if name="Name26" func="var" arg="dir" op="equ" val="norm">
                <dgm:constrLst>
                  <dgm:constr type="h" refType="w" op="equ" fact="0.4"/>
                  <dgm:constr type="tMarg" refType="primFontSz" fact="0.105"/>
                  <dgm:constr type="bMarg" refType="primFontSz" fact="0.105"/>
                  <dgm:constr type="lMarg" refType="primFontSz" fact="0.315"/>
                  <dgm:constr type="rMarg" refType="primFontSz" fact="0.105"/>
                </dgm:constrLst>
              </dgm:if>
              <dgm:else name="Name27">
                <dgm:constrLst>
                  <dgm:constr type="h" refType="w" op="equ" fact="0.4"/>
                  <dgm:constr type="tMarg" refType="primFontSz" fact="0.105"/>
                  <dgm:constr type="bMarg" refType="primFontSz" fact="0.105"/>
                  <dgm:constr type="lMarg" refType="primFontSz" fact="0.105"/>
                  <dgm:constr type="rMarg" refType="primFontSz" fact="0.315"/>
                </dgm:constrLst>
              </dgm:else>
            </dgm:choose>
            <dgm:ruleLst>
              <dgm:rule type="primFontSz" val="5" fact="NaN" max="NaN"/>
            </dgm:ruleLst>
          </dgm:layoutNode>
          <dgm:forEach name="Name28" axis="followSib" ptType="sibTrans" cnt="1">
            <dgm:layoutNode name="parTxOnlySpace">
              <dgm:alg type="sp"/>
              <dgm:shape xmlns:r="http://schemas.openxmlformats.org/officeDocument/2006/relationships" r:blip="">
                <dgm:adjLst/>
              </dgm:shape>
              <dgm:presOf/>
              <dgm:constrLst/>
              <dgm:ruleLst/>
            </dgm:layoutNode>
          </dgm:forEach>
        </dgm:forEach>
      </dgm:else>
    </dgm:choose>
  </dgm:layoutNode>
</dgm:layoutDef>
</file>

<file path=xl/diagrams/layout2.xml><?xml version="1.0" encoding="utf-8"?>
<dgm:layoutDef xmlns:dgm="http://schemas.openxmlformats.org/drawingml/2006/diagram" xmlns:a="http://schemas.openxmlformats.org/drawingml/2006/main" uniqueId="urn:microsoft.com/office/officeart/2008/layout/LinedList">
  <dgm:title val=""/>
  <dgm:desc val=""/>
  <dgm:catLst>
    <dgm:cat type="hierarchy" pri="8000"/>
    <dgm:cat type="list" pri="25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clrData>
  <dgm:layoutNode name="vert0">
    <dgm:varLst>
      <dgm:dir/>
      <dgm:animOne val="branch"/>
      <dgm:animLvl val="lvl"/>
    </dgm:varLst>
    <dgm:choose name="Name0">
      <dgm:if name="Name1" func="var" arg="dir" op="equ" val="norm">
        <dgm:alg type="lin">
          <dgm:param type="linDir" val="fromT"/>
          <dgm:param type="nodeHorzAlign" val="l"/>
        </dgm:alg>
      </dgm:if>
      <dgm:else name="Name2">
        <dgm:alg type="lin">
          <dgm:param type="linDir" val="fromT"/>
          <dgm:param type="nodeHorzAlign" val="r"/>
        </dgm:alg>
      </dgm:else>
    </dgm:choose>
    <dgm:shape xmlns:r="http://schemas.openxmlformats.org/officeDocument/2006/relationships" r:blip="">
      <dgm:adjLst/>
    </dgm:shape>
    <dgm:presOf/>
    <dgm:constrLst>
      <dgm:constr type="w" for="ch" forName="horz1" refType="w"/>
      <dgm:constr type="h" for="ch" forName="horz1" refType="h"/>
      <dgm:constr type="h" for="des" forName="vert1" refType="h"/>
      <dgm:constr type="h" for="des" forName="tx1" refType="h"/>
      <dgm:constr type="h" for="des" forName="horz2" refType="h"/>
      <dgm:constr type="h" for="des" forName="vert2" refType="h"/>
      <dgm:constr type="h" for="des" forName="horz3" refType="h"/>
      <dgm:constr type="h" for="des" forName="vert3" refType="h"/>
      <dgm:constr type="h" for="des" forName="horz4" refType="h"/>
      <dgm:constr type="h" for="des" ptType="node" refType="h"/>
      <dgm:constr type="primFontSz" for="des" forName="tx1" op="equ" val="65"/>
      <dgm:constr type="primFontSz" for="des" forName="tx2" op="equ" val="65"/>
      <dgm:constr type="primFontSz" for="des" forName="tx3" op="equ" val="65"/>
      <dgm:constr type="primFontSz" for="des" forName="tx4" op="equ" val="65"/>
      <dgm:constr type="w" for="des" forName="thickLine" refType="w"/>
      <dgm:constr type="h" for="des" forName="thickLine"/>
      <dgm:constr type="h" for="des" forName="thinLine1"/>
      <dgm:constr type="h" for="des" forName="thinLine2b"/>
      <dgm:constr type="h" for="des" forName="thinLine3"/>
      <dgm:constr type="h" for="des" forName="vertSpace2a" refType="h" fact="0.05"/>
      <dgm:constr type="h" for="des" forName="vertSpace2b" refType="h" refFor="des" refForName="vertSpace2a"/>
    </dgm:constrLst>
    <dgm:forEach name="Name3" axis="ch" ptType="node">
      <dgm:layoutNode name="thickLine" styleLbl="alignNode1">
        <dgm:alg type="sp"/>
        <dgm:shape xmlns:r="http://schemas.openxmlformats.org/officeDocument/2006/relationships" type="line" r:blip="">
          <dgm:adjLst/>
        </dgm:shape>
        <dgm:presOf/>
      </dgm:layoutNode>
      <dgm:layoutNode name="horz1">
        <dgm:choose name="Name4">
          <dgm:if name="Name5" func="var" arg="dir" op="equ" val="norm">
            <dgm:alg type="lin">
              <dgm:param type="linDir" val="fromL"/>
              <dgm:param type="nodeVertAlign" val="t"/>
            </dgm:alg>
          </dgm:if>
          <dgm:else name="Name6">
            <dgm:alg type="lin">
              <dgm:param type="linDir" val="fromR"/>
              <dgm:param type="nodeVertAlign" val="t"/>
            </dgm:alg>
          </dgm:else>
        </dgm:choose>
        <dgm:shape xmlns:r="http://schemas.openxmlformats.org/officeDocument/2006/relationships" r:blip="">
          <dgm:adjLst/>
        </dgm:shape>
        <dgm:presOf/>
        <dgm:choose name="Name7">
          <dgm:if name="Name8" axis="root des" func="maxDepth" op="equ" val="1">
            <dgm:constrLst>
              <dgm:constr type="w" for="ch" forName="tx1" refType="w"/>
            </dgm:constrLst>
          </dgm:if>
          <dgm:if name="Name9" axis="root des" func="maxDepth" op="equ" val="2">
            <dgm:constrLst>
              <dgm:constr type="w" for="ch" forName="tx1" refType="w" fact="0.2"/>
              <dgm:constr type="w" for="des" forName="tx2" refType="w" fact="0.785"/>
              <dgm:constr type="w" for="des" forName="horzSpace2" refType="w" fact="0.015"/>
              <dgm:constr type="w" for="des" forName="thinLine2b" refType="w" fact="0.8"/>
            </dgm:constrLst>
          </dgm:if>
          <dgm:if name="Name10" axis="root des" func="maxDepth" op="equ" val="3">
            <dgm:constrLst>
              <dgm:constr type="w" for="ch" forName="tx1" refType="w" fact="0.2"/>
              <dgm:constr type="w" for="des" forName="tx2" refType="w" fact="0.385"/>
              <dgm:constr type="w" for="des" forName="tx3" refType="w" fact="0.385"/>
              <dgm:constr type="w" for="des" forName="horzSpace2" refType="w" fact="0.015"/>
              <dgm:constr type="w" for="des" forName="horzSpace3" refType="w" fact="0.015"/>
              <dgm:constr type="w" for="des" forName="thinLine2b" refType="w" fact="0.8"/>
              <dgm:constr type="w" for="des" forName="thinLine3" refType="w" fact="0.385"/>
            </dgm:constrLst>
          </dgm:if>
          <dgm:if name="Name11" axis="root des" func="maxDepth" op="gte" val="4">
            <dgm:constrLst>
              <dgm:constr type="w" for="ch" forName="tx1" refType="w" fact="0.2"/>
              <dgm:constr type="w" for="des" forName="tx2" refType="w" fact="0.2516"/>
              <dgm:constr type="w" for="des" forName="tx3" refType="w" fact="0.2516"/>
              <dgm:constr type="w" for="des" forName="tx4" refType="w" fact="0.2516"/>
              <dgm:constr type="w" for="des" forName="horzSpace2" refType="w" fact="0.015"/>
              <dgm:constr type="w" for="des" forName="horzSpace3" refType="w" fact="0.015"/>
              <dgm:constr type="w" for="des" forName="horzSpace4" refType="w" fact="0.015"/>
              <dgm:constr type="w" for="des" forName="thinLine2b" refType="w" fact="0.8"/>
              <dgm:constr type="w" for="des" forName="thinLine3" refType="w" fact="0.5332"/>
            </dgm:constrLst>
          </dgm:if>
          <dgm:else name="Name12"/>
        </dgm:choose>
        <dgm:layoutNode name="tx1"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1">
          <dgm:choose name="Name13">
            <dgm:if name="Name14" func="var" arg="dir" op="equ" val="norm">
              <dgm:alg type="lin">
                <dgm:param type="linDir" val="fromT"/>
                <dgm:param type="nodeHorzAlign" val="l"/>
              </dgm:alg>
            </dgm:if>
            <dgm:else name="Name15">
              <dgm:alg type="lin">
                <dgm:param type="linDir" val="fromT"/>
                <dgm:param type="nodeHorzAlign" val="r"/>
              </dgm:alg>
            </dgm:else>
          </dgm:choose>
          <dgm:shape xmlns:r="http://schemas.openxmlformats.org/officeDocument/2006/relationships" r:blip="">
            <dgm:adjLst/>
          </dgm:shape>
          <dgm:presOf/>
          <dgm:forEach name="Name16" axis="ch" ptType="node">
            <dgm:choose name="Name17">
              <dgm:if name="Name18" axis="self" ptType="node" func="pos" op="equ" val="1">
                <dgm:layoutNode name="vertSpace2a">
                  <dgm:alg type="sp"/>
                  <dgm:shape xmlns:r="http://schemas.openxmlformats.org/officeDocument/2006/relationships" r:blip="">
                    <dgm:adjLst/>
                  </dgm:shape>
                  <dgm:presOf/>
                </dgm:layoutNode>
              </dgm:if>
              <dgm:else name="Name19"/>
            </dgm:choose>
            <dgm:layoutNode name="horz2">
              <dgm:choose name="Name20">
                <dgm:if name="Name21" func="var" arg="dir" op="equ" val="norm">
                  <dgm:alg type="lin">
                    <dgm:param type="linDir" val="fromL"/>
                    <dgm:param type="nodeVertAlign" val="t"/>
                  </dgm:alg>
                </dgm:if>
                <dgm:else name="Name22">
                  <dgm:alg type="lin">
                    <dgm:param type="linDir" val="fromR"/>
                    <dgm:param type="nodeVertAlign" val="t"/>
                  </dgm:alg>
                </dgm:else>
              </dgm:choose>
              <dgm:shape xmlns:r="http://schemas.openxmlformats.org/officeDocument/2006/relationships" r:blip="">
                <dgm:adjLst/>
              </dgm:shape>
              <dgm:presOf/>
              <dgm:layoutNode name="horzSpace2">
                <dgm:alg type="sp"/>
                <dgm:shape xmlns:r="http://schemas.openxmlformats.org/officeDocument/2006/relationships" r:blip="">
                  <dgm:adjLst/>
                </dgm:shape>
                <dgm:presOf/>
              </dgm:layoutNode>
              <dgm:layoutNode name="tx2"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2">
                <dgm:choose name="Name23">
                  <dgm:if name="Name24" func="var" arg="dir" op="equ" val="norm">
                    <dgm:alg type="lin">
                      <dgm:param type="linDir" val="fromT"/>
                      <dgm:param type="nodeHorzAlign" val="l"/>
                    </dgm:alg>
                  </dgm:if>
                  <dgm:else name="Name25">
                    <dgm:alg type="lin">
                      <dgm:param type="linDir" val="fromT"/>
                      <dgm:param type="nodeHorzAlign" val="r"/>
                    </dgm:alg>
                  </dgm:else>
                </dgm:choose>
                <dgm:shape xmlns:r="http://schemas.openxmlformats.org/officeDocument/2006/relationships" r:blip="">
                  <dgm:adjLst/>
                </dgm:shape>
                <dgm:presOf/>
                <dgm:forEach name="Name26" axis="ch" ptType="node">
                  <dgm:layoutNode name="horz3">
                    <dgm:choose name="Name27">
                      <dgm:if name="Name28" func="var" arg="dir" op="equ" val="norm">
                        <dgm:alg type="lin">
                          <dgm:param type="linDir" val="fromL"/>
                          <dgm:param type="nodeVertAlign" val="t"/>
                        </dgm:alg>
                      </dgm:if>
                      <dgm:else name="Name29">
                        <dgm:alg type="lin">
                          <dgm:param type="linDir" val="fromR"/>
                          <dgm:param type="nodeVertAlign" val="t"/>
                        </dgm:alg>
                      </dgm:else>
                    </dgm:choose>
                    <dgm:shape xmlns:r="http://schemas.openxmlformats.org/officeDocument/2006/relationships" r:blip="">
                      <dgm:adjLst/>
                    </dgm:shape>
                    <dgm:presOf/>
                    <dgm:layoutNode name="horzSpace3">
                      <dgm:alg type="sp"/>
                      <dgm:shape xmlns:r="http://schemas.openxmlformats.org/officeDocument/2006/relationships" r:blip="">
                        <dgm:adjLst/>
                      </dgm:shape>
                      <dgm:presOf/>
                    </dgm:layoutNode>
                    <dgm:layoutNode name="tx3"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3">
                      <dgm:choose name="Name30">
                        <dgm:if name="Name31" func="var" arg="dir" op="equ" val="norm">
                          <dgm:alg type="lin">
                            <dgm:param type="linDir" val="fromT"/>
                            <dgm:param type="nodeHorzAlign" val="l"/>
                          </dgm:alg>
                        </dgm:if>
                        <dgm:else name="Name32">
                          <dgm:alg type="lin">
                            <dgm:param type="linDir" val="fromT"/>
                            <dgm:param type="nodeHorzAlign" val="r"/>
                          </dgm:alg>
                        </dgm:else>
                      </dgm:choose>
                      <dgm:shape xmlns:r="http://schemas.openxmlformats.org/officeDocument/2006/relationships" r:blip="">
                        <dgm:adjLst/>
                      </dgm:shape>
                      <dgm:presOf/>
                      <dgm:forEach name="Name33" axis="ch" ptType="node">
                        <dgm:layoutNode name="horz4">
                          <dgm:choose name="Name34">
                            <dgm:if name="Name35" func="var" arg="dir" op="equ" val="norm">
                              <dgm:alg type="lin">
                                <dgm:param type="linDir" val="fromL"/>
                                <dgm:param type="nodeVertAlign" val="t"/>
                              </dgm:alg>
                            </dgm:if>
                            <dgm:else name="Name36">
                              <dgm:alg type="lin">
                                <dgm:param type="linDir" val="fromR"/>
                                <dgm:param type="nodeVertAlign" val="t"/>
                              </dgm:alg>
                            </dgm:else>
                          </dgm:choose>
                          <dgm:shape xmlns:r="http://schemas.openxmlformats.org/officeDocument/2006/relationships" r:blip="">
                            <dgm:adjLst/>
                          </dgm:shape>
                          <dgm:presOf/>
                          <dgm:layoutNode name="horzSpace4">
                            <dgm:alg type="sp"/>
                            <dgm:shape xmlns:r="http://schemas.openxmlformats.org/officeDocument/2006/relationships" r:blip="">
                              <dgm:adjLst/>
                            </dgm:shape>
                            <dgm:presOf/>
                          </dgm:layoutNode>
                          <dgm:layoutNode name="tx4" styleLbl="revTx">
                            <dgm:varLst>
                              <dgm:bulletEnabled val="1"/>
                            </dgm:varLst>
                            <dgm:alg type="tx">
                              <dgm:param type="parTxLTRAlign" val="l"/>
                              <dgm:param type="parTxRTLAlign" val="r"/>
                              <dgm:param type="txAnchorVert" val="t"/>
                            </dgm:alg>
                            <dgm:shape xmlns:r="http://schemas.openxmlformats.org/officeDocument/2006/relationships" type="rect" r:blip="">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dgm:layoutNode>
                  </dgm:layoutNode>
                  <dgm:forEach name="Name37" axis="followSib" ptType="sibTrans" cnt="1">
                    <dgm:layoutNode name="thinLine3" styleLbl="callout">
                      <dgm:alg type="sp"/>
                      <dgm:shape xmlns:r="http://schemas.openxmlformats.org/officeDocument/2006/relationships" type="line" r:blip="">
                        <dgm:adjLst/>
                      </dgm:shape>
                      <dgm:presOf/>
                    </dgm:layoutNode>
                  </dgm:forEach>
                </dgm:forEach>
              </dgm:layoutNode>
            </dgm:layoutNode>
            <dgm:layoutNode name="thinLine2b" styleLbl="callout">
              <dgm:alg type="sp"/>
              <dgm:shape xmlns:r="http://schemas.openxmlformats.org/officeDocument/2006/relationships" type="line" r:blip="">
                <dgm:adjLst/>
              </dgm:shape>
              <dgm:presOf/>
            </dgm:layoutNode>
            <dgm:layoutNode name="vertSpace2b">
              <dgm:alg type="sp"/>
              <dgm:shape xmlns:r="http://schemas.openxmlformats.org/officeDocument/2006/relationships" r:blip="">
                <dgm:adjLst/>
              </dgm:shape>
              <dgm:presOf/>
            </dgm:layoutNode>
          </dgm:forEach>
        </dgm:layoutNode>
      </dgm:layoutNode>
    </dgm:forEach>
  </dgm:layoutNode>
</dgm:layoutDef>
</file>

<file path=xl/diagrams/layout3.xml><?xml version="1.0" encoding="utf-8"?>
<dgm:layoutDef xmlns:dgm="http://schemas.openxmlformats.org/drawingml/2006/diagram" xmlns:a="http://schemas.openxmlformats.org/drawingml/2006/main" uniqueId="urn:microsoft.com/office/officeart/2008/layout/LinedList">
  <dgm:title val=""/>
  <dgm:desc val=""/>
  <dgm:catLst>
    <dgm:cat type="hierarchy" pri="8000"/>
    <dgm:cat type="list" pri="25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clrData>
  <dgm:layoutNode name="vert0">
    <dgm:varLst>
      <dgm:dir/>
      <dgm:animOne val="branch"/>
      <dgm:animLvl val="lvl"/>
    </dgm:varLst>
    <dgm:choose name="Name0">
      <dgm:if name="Name1" func="var" arg="dir" op="equ" val="norm">
        <dgm:alg type="lin">
          <dgm:param type="linDir" val="fromT"/>
          <dgm:param type="nodeHorzAlign" val="l"/>
        </dgm:alg>
      </dgm:if>
      <dgm:else name="Name2">
        <dgm:alg type="lin">
          <dgm:param type="linDir" val="fromT"/>
          <dgm:param type="nodeHorzAlign" val="r"/>
        </dgm:alg>
      </dgm:else>
    </dgm:choose>
    <dgm:shape xmlns:r="http://schemas.openxmlformats.org/officeDocument/2006/relationships" r:blip="">
      <dgm:adjLst/>
    </dgm:shape>
    <dgm:presOf/>
    <dgm:constrLst>
      <dgm:constr type="w" for="ch" forName="horz1" refType="w"/>
      <dgm:constr type="h" for="ch" forName="horz1" refType="h"/>
      <dgm:constr type="h" for="des" forName="vert1" refType="h"/>
      <dgm:constr type="h" for="des" forName="tx1" refType="h"/>
      <dgm:constr type="h" for="des" forName="horz2" refType="h"/>
      <dgm:constr type="h" for="des" forName="vert2" refType="h"/>
      <dgm:constr type="h" for="des" forName="horz3" refType="h"/>
      <dgm:constr type="h" for="des" forName="vert3" refType="h"/>
      <dgm:constr type="h" for="des" forName="horz4" refType="h"/>
      <dgm:constr type="h" for="des" ptType="node" refType="h"/>
      <dgm:constr type="primFontSz" for="des" forName="tx1" op="equ" val="65"/>
      <dgm:constr type="primFontSz" for="des" forName="tx2" op="equ" val="65"/>
      <dgm:constr type="primFontSz" for="des" forName="tx3" op="equ" val="65"/>
      <dgm:constr type="primFontSz" for="des" forName="tx4" op="equ" val="65"/>
      <dgm:constr type="w" for="des" forName="thickLine" refType="w"/>
      <dgm:constr type="h" for="des" forName="thickLine"/>
      <dgm:constr type="h" for="des" forName="thinLine1"/>
      <dgm:constr type="h" for="des" forName="thinLine2b"/>
      <dgm:constr type="h" for="des" forName="thinLine3"/>
      <dgm:constr type="h" for="des" forName="vertSpace2a" refType="h" fact="0.05"/>
      <dgm:constr type="h" for="des" forName="vertSpace2b" refType="h" refFor="des" refForName="vertSpace2a"/>
    </dgm:constrLst>
    <dgm:forEach name="Name3" axis="ch" ptType="node">
      <dgm:layoutNode name="thickLine" styleLbl="alignNode1">
        <dgm:alg type="sp"/>
        <dgm:shape xmlns:r="http://schemas.openxmlformats.org/officeDocument/2006/relationships" type="line" r:blip="">
          <dgm:adjLst/>
        </dgm:shape>
        <dgm:presOf/>
      </dgm:layoutNode>
      <dgm:layoutNode name="horz1">
        <dgm:choose name="Name4">
          <dgm:if name="Name5" func="var" arg="dir" op="equ" val="norm">
            <dgm:alg type="lin">
              <dgm:param type="linDir" val="fromL"/>
              <dgm:param type="nodeVertAlign" val="t"/>
            </dgm:alg>
          </dgm:if>
          <dgm:else name="Name6">
            <dgm:alg type="lin">
              <dgm:param type="linDir" val="fromR"/>
              <dgm:param type="nodeVertAlign" val="t"/>
            </dgm:alg>
          </dgm:else>
        </dgm:choose>
        <dgm:shape xmlns:r="http://schemas.openxmlformats.org/officeDocument/2006/relationships" r:blip="">
          <dgm:adjLst/>
        </dgm:shape>
        <dgm:presOf/>
        <dgm:choose name="Name7">
          <dgm:if name="Name8" axis="root des" func="maxDepth" op="equ" val="1">
            <dgm:constrLst>
              <dgm:constr type="w" for="ch" forName="tx1" refType="w"/>
            </dgm:constrLst>
          </dgm:if>
          <dgm:if name="Name9" axis="root des" func="maxDepth" op="equ" val="2">
            <dgm:constrLst>
              <dgm:constr type="w" for="ch" forName="tx1" refType="w" fact="0.2"/>
              <dgm:constr type="w" for="des" forName="tx2" refType="w" fact="0.785"/>
              <dgm:constr type="w" for="des" forName="horzSpace2" refType="w" fact="0.015"/>
              <dgm:constr type="w" for="des" forName="thinLine2b" refType="w" fact="0.8"/>
            </dgm:constrLst>
          </dgm:if>
          <dgm:if name="Name10" axis="root des" func="maxDepth" op="equ" val="3">
            <dgm:constrLst>
              <dgm:constr type="w" for="ch" forName="tx1" refType="w" fact="0.2"/>
              <dgm:constr type="w" for="des" forName="tx2" refType="w" fact="0.385"/>
              <dgm:constr type="w" for="des" forName="tx3" refType="w" fact="0.385"/>
              <dgm:constr type="w" for="des" forName="horzSpace2" refType="w" fact="0.015"/>
              <dgm:constr type="w" for="des" forName="horzSpace3" refType="w" fact="0.015"/>
              <dgm:constr type="w" for="des" forName="thinLine2b" refType="w" fact="0.8"/>
              <dgm:constr type="w" for="des" forName="thinLine3" refType="w" fact="0.385"/>
            </dgm:constrLst>
          </dgm:if>
          <dgm:if name="Name11" axis="root des" func="maxDepth" op="gte" val="4">
            <dgm:constrLst>
              <dgm:constr type="w" for="ch" forName="tx1" refType="w" fact="0.2"/>
              <dgm:constr type="w" for="des" forName="tx2" refType="w" fact="0.2516"/>
              <dgm:constr type="w" for="des" forName="tx3" refType="w" fact="0.2516"/>
              <dgm:constr type="w" for="des" forName="tx4" refType="w" fact="0.2516"/>
              <dgm:constr type="w" for="des" forName="horzSpace2" refType="w" fact="0.015"/>
              <dgm:constr type="w" for="des" forName="horzSpace3" refType="w" fact="0.015"/>
              <dgm:constr type="w" for="des" forName="horzSpace4" refType="w" fact="0.015"/>
              <dgm:constr type="w" for="des" forName="thinLine2b" refType="w" fact="0.8"/>
              <dgm:constr type="w" for="des" forName="thinLine3" refType="w" fact="0.5332"/>
            </dgm:constrLst>
          </dgm:if>
          <dgm:else name="Name12"/>
        </dgm:choose>
        <dgm:layoutNode name="tx1"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1">
          <dgm:choose name="Name13">
            <dgm:if name="Name14" func="var" arg="dir" op="equ" val="norm">
              <dgm:alg type="lin">
                <dgm:param type="linDir" val="fromT"/>
                <dgm:param type="nodeHorzAlign" val="l"/>
              </dgm:alg>
            </dgm:if>
            <dgm:else name="Name15">
              <dgm:alg type="lin">
                <dgm:param type="linDir" val="fromT"/>
                <dgm:param type="nodeHorzAlign" val="r"/>
              </dgm:alg>
            </dgm:else>
          </dgm:choose>
          <dgm:shape xmlns:r="http://schemas.openxmlformats.org/officeDocument/2006/relationships" r:blip="">
            <dgm:adjLst/>
          </dgm:shape>
          <dgm:presOf/>
          <dgm:forEach name="Name16" axis="ch" ptType="node">
            <dgm:choose name="Name17">
              <dgm:if name="Name18" axis="self" ptType="node" func="pos" op="equ" val="1">
                <dgm:layoutNode name="vertSpace2a">
                  <dgm:alg type="sp"/>
                  <dgm:shape xmlns:r="http://schemas.openxmlformats.org/officeDocument/2006/relationships" r:blip="">
                    <dgm:adjLst/>
                  </dgm:shape>
                  <dgm:presOf/>
                </dgm:layoutNode>
              </dgm:if>
              <dgm:else name="Name19"/>
            </dgm:choose>
            <dgm:layoutNode name="horz2">
              <dgm:choose name="Name20">
                <dgm:if name="Name21" func="var" arg="dir" op="equ" val="norm">
                  <dgm:alg type="lin">
                    <dgm:param type="linDir" val="fromL"/>
                    <dgm:param type="nodeVertAlign" val="t"/>
                  </dgm:alg>
                </dgm:if>
                <dgm:else name="Name22">
                  <dgm:alg type="lin">
                    <dgm:param type="linDir" val="fromR"/>
                    <dgm:param type="nodeVertAlign" val="t"/>
                  </dgm:alg>
                </dgm:else>
              </dgm:choose>
              <dgm:shape xmlns:r="http://schemas.openxmlformats.org/officeDocument/2006/relationships" r:blip="">
                <dgm:adjLst/>
              </dgm:shape>
              <dgm:presOf/>
              <dgm:layoutNode name="horzSpace2">
                <dgm:alg type="sp"/>
                <dgm:shape xmlns:r="http://schemas.openxmlformats.org/officeDocument/2006/relationships" r:blip="">
                  <dgm:adjLst/>
                </dgm:shape>
                <dgm:presOf/>
              </dgm:layoutNode>
              <dgm:layoutNode name="tx2"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2">
                <dgm:choose name="Name23">
                  <dgm:if name="Name24" func="var" arg="dir" op="equ" val="norm">
                    <dgm:alg type="lin">
                      <dgm:param type="linDir" val="fromT"/>
                      <dgm:param type="nodeHorzAlign" val="l"/>
                    </dgm:alg>
                  </dgm:if>
                  <dgm:else name="Name25">
                    <dgm:alg type="lin">
                      <dgm:param type="linDir" val="fromT"/>
                      <dgm:param type="nodeHorzAlign" val="r"/>
                    </dgm:alg>
                  </dgm:else>
                </dgm:choose>
                <dgm:shape xmlns:r="http://schemas.openxmlformats.org/officeDocument/2006/relationships" r:blip="">
                  <dgm:adjLst/>
                </dgm:shape>
                <dgm:presOf/>
                <dgm:forEach name="Name26" axis="ch" ptType="node">
                  <dgm:layoutNode name="horz3">
                    <dgm:choose name="Name27">
                      <dgm:if name="Name28" func="var" arg="dir" op="equ" val="norm">
                        <dgm:alg type="lin">
                          <dgm:param type="linDir" val="fromL"/>
                          <dgm:param type="nodeVertAlign" val="t"/>
                        </dgm:alg>
                      </dgm:if>
                      <dgm:else name="Name29">
                        <dgm:alg type="lin">
                          <dgm:param type="linDir" val="fromR"/>
                          <dgm:param type="nodeVertAlign" val="t"/>
                        </dgm:alg>
                      </dgm:else>
                    </dgm:choose>
                    <dgm:shape xmlns:r="http://schemas.openxmlformats.org/officeDocument/2006/relationships" r:blip="">
                      <dgm:adjLst/>
                    </dgm:shape>
                    <dgm:presOf/>
                    <dgm:layoutNode name="horzSpace3">
                      <dgm:alg type="sp"/>
                      <dgm:shape xmlns:r="http://schemas.openxmlformats.org/officeDocument/2006/relationships" r:blip="">
                        <dgm:adjLst/>
                      </dgm:shape>
                      <dgm:presOf/>
                    </dgm:layoutNode>
                    <dgm:layoutNode name="tx3"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3">
                      <dgm:choose name="Name30">
                        <dgm:if name="Name31" func="var" arg="dir" op="equ" val="norm">
                          <dgm:alg type="lin">
                            <dgm:param type="linDir" val="fromT"/>
                            <dgm:param type="nodeHorzAlign" val="l"/>
                          </dgm:alg>
                        </dgm:if>
                        <dgm:else name="Name32">
                          <dgm:alg type="lin">
                            <dgm:param type="linDir" val="fromT"/>
                            <dgm:param type="nodeHorzAlign" val="r"/>
                          </dgm:alg>
                        </dgm:else>
                      </dgm:choose>
                      <dgm:shape xmlns:r="http://schemas.openxmlformats.org/officeDocument/2006/relationships" r:blip="">
                        <dgm:adjLst/>
                      </dgm:shape>
                      <dgm:presOf/>
                      <dgm:forEach name="Name33" axis="ch" ptType="node">
                        <dgm:layoutNode name="horz4">
                          <dgm:choose name="Name34">
                            <dgm:if name="Name35" func="var" arg="dir" op="equ" val="norm">
                              <dgm:alg type="lin">
                                <dgm:param type="linDir" val="fromL"/>
                                <dgm:param type="nodeVertAlign" val="t"/>
                              </dgm:alg>
                            </dgm:if>
                            <dgm:else name="Name36">
                              <dgm:alg type="lin">
                                <dgm:param type="linDir" val="fromR"/>
                                <dgm:param type="nodeVertAlign" val="t"/>
                              </dgm:alg>
                            </dgm:else>
                          </dgm:choose>
                          <dgm:shape xmlns:r="http://schemas.openxmlformats.org/officeDocument/2006/relationships" r:blip="">
                            <dgm:adjLst/>
                          </dgm:shape>
                          <dgm:presOf/>
                          <dgm:layoutNode name="horzSpace4">
                            <dgm:alg type="sp"/>
                            <dgm:shape xmlns:r="http://schemas.openxmlformats.org/officeDocument/2006/relationships" r:blip="">
                              <dgm:adjLst/>
                            </dgm:shape>
                            <dgm:presOf/>
                          </dgm:layoutNode>
                          <dgm:layoutNode name="tx4" styleLbl="revTx">
                            <dgm:varLst>
                              <dgm:bulletEnabled val="1"/>
                            </dgm:varLst>
                            <dgm:alg type="tx">
                              <dgm:param type="parTxLTRAlign" val="l"/>
                              <dgm:param type="parTxRTLAlign" val="r"/>
                              <dgm:param type="txAnchorVert" val="t"/>
                            </dgm:alg>
                            <dgm:shape xmlns:r="http://schemas.openxmlformats.org/officeDocument/2006/relationships" type="rect" r:blip="">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dgm:layoutNode>
                  </dgm:layoutNode>
                  <dgm:forEach name="Name37" axis="followSib" ptType="sibTrans" cnt="1">
                    <dgm:layoutNode name="thinLine3" styleLbl="callout">
                      <dgm:alg type="sp"/>
                      <dgm:shape xmlns:r="http://schemas.openxmlformats.org/officeDocument/2006/relationships" type="line" r:blip="">
                        <dgm:adjLst/>
                      </dgm:shape>
                      <dgm:presOf/>
                    </dgm:layoutNode>
                  </dgm:forEach>
                </dgm:forEach>
              </dgm:layoutNode>
            </dgm:layoutNode>
            <dgm:layoutNode name="thinLine2b" styleLbl="callout">
              <dgm:alg type="sp"/>
              <dgm:shape xmlns:r="http://schemas.openxmlformats.org/officeDocument/2006/relationships" type="line" r:blip="">
                <dgm:adjLst/>
              </dgm:shape>
              <dgm:presOf/>
            </dgm:layoutNode>
            <dgm:layoutNode name="vertSpace2b">
              <dgm:alg type="sp"/>
              <dgm:shape xmlns:r="http://schemas.openxmlformats.org/officeDocument/2006/relationships" r:blip="">
                <dgm:adjLst/>
              </dgm:shape>
              <dgm:presOf/>
            </dgm:layoutNode>
          </dgm:forEach>
        </dgm:layoutNode>
      </dgm:layoutNode>
    </dgm:forEach>
  </dgm:layoutNode>
</dgm:layoutDef>
</file>

<file path=xl/diagrams/layout4.xml><?xml version="1.0" encoding="utf-8"?>
<dgm:layoutDef xmlns:dgm="http://schemas.openxmlformats.org/drawingml/2006/diagram" xmlns:a="http://schemas.openxmlformats.org/drawingml/2006/main" uniqueId="urn:microsoft.com/office/officeart/2008/layout/LinedList">
  <dgm:title val=""/>
  <dgm:desc val=""/>
  <dgm:catLst>
    <dgm:cat type="hierarchy" pri="8000"/>
    <dgm:cat type="list" pri="25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clrData>
  <dgm:layoutNode name="vert0">
    <dgm:varLst>
      <dgm:dir/>
      <dgm:animOne val="branch"/>
      <dgm:animLvl val="lvl"/>
    </dgm:varLst>
    <dgm:choose name="Name0">
      <dgm:if name="Name1" func="var" arg="dir" op="equ" val="norm">
        <dgm:alg type="lin">
          <dgm:param type="linDir" val="fromT"/>
          <dgm:param type="nodeHorzAlign" val="l"/>
        </dgm:alg>
      </dgm:if>
      <dgm:else name="Name2">
        <dgm:alg type="lin">
          <dgm:param type="linDir" val="fromT"/>
          <dgm:param type="nodeHorzAlign" val="r"/>
        </dgm:alg>
      </dgm:else>
    </dgm:choose>
    <dgm:shape xmlns:r="http://schemas.openxmlformats.org/officeDocument/2006/relationships" r:blip="">
      <dgm:adjLst/>
    </dgm:shape>
    <dgm:presOf/>
    <dgm:constrLst>
      <dgm:constr type="w" for="ch" forName="horz1" refType="w"/>
      <dgm:constr type="h" for="ch" forName="horz1" refType="h"/>
      <dgm:constr type="h" for="des" forName="vert1" refType="h"/>
      <dgm:constr type="h" for="des" forName="tx1" refType="h"/>
      <dgm:constr type="h" for="des" forName="horz2" refType="h"/>
      <dgm:constr type="h" for="des" forName="vert2" refType="h"/>
      <dgm:constr type="h" for="des" forName="horz3" refType="h"/>
      <dgm:constr type="h" for="des" forName="vert3" refType="h"/>
      <dgm:constr type="h" for="des" forName="horz4" refType="h"/>
      <dgm:constr type="h" for="des" ptType="node" refType="h"/>
      <dgm:constr type="primFontSz" for="des" forName="tx1" op="equ" val="65"/>
      <dgm:constr type="primFontSz" for="des" forName="tx2" op="equ" val="65"/>
      <dgm:constr type="primFontSz" for="des" forName="tx3" op="equ" val="65"/>
      <dgm:constr type="primFontSz" for="des" forName="tx4" op="equ" val="65"/>
      <dgm:constr type="w" for="des" forName="thickLine" refType="w"/>
      <dgm:constr type="h" for="des" forName="thickLine"/>
      <dgm:constr type="h" for="des" forName="thinLine1"/>
      <dgm:constr type="h" for="des" forName="thinLine2b"/>
      <dgm:constr type="h" for="des" forName="thinLine3"/>
      <dgm:constr type="h" for="des" forName="vertSpace2a" refType="h" fact="0.05"/>
      <dgm:constr type="h" for="des" forName="vertSpace2b" refType="h" refFor="des" refForName="vertSpace2a"/>
    </dgm:constrLst>
    <dgm:forEach name="Name3" axis="ch" ptType="node">
      <dgm:layoutNode name="thickLine" styleLbl="alignNode1">
        <dgm:alg type="sp"/>
        <dgm:shape xmlns:r="http://schemas.openxmlformats.org/officeDocument/2006/relationships" type="line" r:blip="">
          <dgm:adjLst/>
        </dgm:shape>
        <dgm:presOf/>
      </dgm:layoutNode>
      <dgm:layoutNode name="horz1">
        <dgm:choose name="Name4">
          <dgm:if name="Name5" func="var" arg="dir" op="equ" val="norm">
            <dgm:alg type="lin">
              <dgm:param type="linDir" val="fromL"/>
              <dgm:param type="nodeVertAlign" val="t"/>
            </dgm:alg>
          </dgm:if>
          <dgm:else name="Name6">
            <dgm:alg type="lin">
              <dgm:param type="linDir" val="fromR"/>
              <dgm:param type="nodeVertAlign" val="t"/>
            </dgm:alg>
          </dgm:else>
        </dgm:choose>
        <dgm:shape xmlns:r="http://schemas.openxmlformats.org/officeDocument/2006/relationships" r:blip="">
          <dgm:adjLst/>
        </dgm:shape>
        <dgm:presOf/>
        <dgm:choose name="Name7">
          <dgm:if name="Name8" axis="root des" func="maxDepth" op="equ" val="1">
            <dgm:constrLst>
              <dgm:constr type="w" for="ch" forName="tx1" refType="w"/>
            </dgm:constrLst>
          </dgm:if>
          <dgm:if name="Name9" axis="root des" func="maxDepth" op="equ" val="2">
            <dgm:constrLst>
              <dgm:constr type="w" for="ch" forName="tx1" refType="w" fact="0.2"/>
              <dgm:constr type="w" for="des" forName="tx2" refType="w" fact="0.785"/>
              <dgm:constr type="w" for="des" forName="horzSpace2" refType="w" fact="0.015"/>
              <dgm:constr type="w" for="des" forName="thinLine2b" refType="w" fact="0.8"/>
            </dgm:constrLst>
          </dgm:if>
          <dgm:if name="Name10" axis="root des" func="maxDepth" op="equ" val="3">
            <dgm:constrLst>
              <dgm:constr type="w" for="ch" forName="tx1" refType="w" fact="0.2"/>
              <dgm:constr type="w" for="des" forName="tx2" refType="w" fact="0.385"/>
              <dgm:constr type="w" for="des" forName="tx3" refType="w" fact="0.385"/>
              <dgm:constr type="w" for="des" forName="horzSpace2" refType="w" fact="0.015"/>
              <dgm:constr type="w" for="des" forName="horzSpace3" refType="w" fact="0.015"/>
              <dgm:constr type="w" for="des" forName="thinLine2b" refType="w" fact="0.8"/>
              <dgm:constr type="w" for="des" forName="thinLine3" refType="w" fact="0.385"/>
            </dgm:constrLst>
          </dgm:if>
          <dgm:if name="Name11" axis="root des" func="maxDepth" op="gte" val="4">
            <dgm:constrLst>
              <dgm:constr type="w" for="ch" forName="tx1" refType="w" fact="0.2"/>
              <dgm:constr type="w" for="des" forName="tx2" refType="w" fact="0.2516"/>
              <dgm:constr type="w" for="des" forName="tx3" refType="w" fact="0.2516"/>
              <dgm:constr type="w" for="des" forName="tx4" refType="w" fact="0.2516"/>
              <dgm:constr type="w" for="des" forName="horzSpace2" refType="w" fact="0.015"/>
              <dgm:constr type="w" for="des" forName="horzSpace3" refType="w" fact="0.015"/>
              <dgm:constr type="w" for="des" forName="horzSpace4" refType="w" fact="0.015"/>
              <dgm:constr type="w" for="des" forName="thinLine2b" refType="w" fact="0.8"/>
              <dgm:constr type="w" for="des" forName="thinLine3" refType="w" fact="0.5332"/>
            </dgm:constrLst>
          </dgm:if>
          <dgm:else name="Name12"/>
        </dgm:choose>
        <dgm:layoutNode name="tx1"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1">
          <dgm:choose name="Name13">
            <dgm:if name="Name14" func="var" arg="dir" op="equ" val="norm">
              <dgm:alg type="lin">
                <dgm:param type="linDir" val="fromT"/>
                <dgm:param type="nodeHorzAlign" val="l"/>
              </dgm:alg>
            </dgm:if>
            <dgm:else name="Name15">
              <dgm:alg type="lin">
                <dgm:param type="linDir" val="fromT"/>
                <dgm:param type="nodeHorzAlign" val="r"/>
              </dgm:alg>
            </dgm:else>
          </dgm:choose>
          <dgm:shape xmlns:r="http://schemas.openxmlformats.org/officeDocument/2006/relationships" r:blip="">
            <dgm:adjLst/>
          </dgm:shape>
          <dgm:presOf/>
          <dgm:forEach name="Name16" axis="ch" ptType="node">
            <dgm:choose name="Name17">
              <dgm:if name="Name18" axis="self" ptType="node" func="pos" op="equ" val="1">
                <dgm:layoutNode name="vertSpace2a">
                  <dgm:alg type="sp"/>
                  <dgm:shape xmlns:r="http://schemas.openxmlformats.org/officeDocument/2006/relationships" r:blip="">
                    <dgm:adjLst/>
                  </dgm:shape>
                  <dgm:presOf/>
                </dgm:layoutNode>
              </dgm:if>
              <dgm:else name="Name19"/>
            </dgm:choose>
            <dgm:layoutNode name="horz2">
              <dgm:choose name="Name20">
                <dgm:if name="Name21" func="var" arg="dir" op="equ" val="norm">
                  <dgm:alg type="lin">
                    <dgm:param type="linDir" val="fromL"/>
                    <dgm:param type="nodeVertAlign" val="t"/>
                  </dgm:alg>
                </dgm:if>
                <dgm:else name="Name22">
                  <dgm:alg type="lin">
                    <dgm:param type="linDir" val="fromR"/>
                    <dgm:param type="nodeVertAlign" val="t"/>
                  </dgm:alg>
                </dgm:else>
              </dgm:choose>
              <dgm:shape xmlns:r="http://schemas.openxmlformats.org/officeDocument/2006/relationships" r:blip="">
                <dgm:adjLst/>
              </dgm:shape>
              <dgm:presOf/>
              <dgm:layoutNode name="horzSpace2">
                <dgm:alg type="sp"/>
                <dgm:shape xmlns:r="http://schemas.openxmlformats.org/officeDocument/2006/relationships" r:blip="">
                  <dgm:adjLst/>
                </dgm:shape>
                <dgm:presOf/>
              </dgm:layoutNode>
              <dgm:layoutNode name="tx2"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2">
                <dgm:choose name="Name23">
                  <dgm:if name="Name24" func="var" arg="dir" op="equ" val="norm">
                    <dgm:alg type="lin">
                      <dgm:param type="linDir" val="fromT"/>
                      <dgm:param type="nodeHorzAlign" val="l"/>
                    </dgm:alg>
                  </dgm:if>
                  <dgm:else name="Name25">
                    <dgm:alg type="lin">
                      <dgm:param type="linDir" val="fromT"/>
                      <dgm:param type="nodeHorzAlign" val="r"/>
                    </dgm:alg>
                  </dgm:else>
                </dgm:choose>
                <dgm:shape xmlns:r="http://schemas.openxmlformats.org/officeDocument/2006/relationships" r:blip="">
                  <dgm:adjLst/>
                </dgm:shape>
                <dgm:presOf/>
                <dgm:forEach name="Name26" axis="ch" ptType="node">
                  <dgm:layoutNode name="horz3">
                    <dgm:choose name="Name27">
                      <dgm:if name="Name28" func="var" arg="dir" op="equ" val="norm">
                        <dgm:alg type="lin">
                          <dgm:param type="linDir" val="fromL"/>
                          <dgm:param type="nodeVertAlign" val="t"/>
                        </dgm:alg>
                      </dgm:if>
                      <dgm:else name="Name29">
                        <dgm:alg type="lin">
                          <dgm:param type="linDir" val="fromR"/>
                          <dgm:param type="nodeVertAlign" val="t"/>
                        </dgm:alg>
                      </dgm:else>
                    </dgm:choose>
                    <dgm:shape xmlns:r="http://schemas.openxmlformats.org/officeDocument/2006/relationships" r:blip="">
                      <dgm:adjLst/>
                    </dgm:shape>
                    <dgm:presOf/>
                    <dgm:layoutNode name="horzSpace3">
                      <dgm:alg type="sp"/>
                      <dgm:shape xmlns:r="http://schemas.openxmlformats.org/officeDocument/2006/relationships" r:blip="">
                        <dgm:adjLst/>
                      </dgm:shape>
                      <dgm:presOf/>
                    </dgm:layoutNode>
                    <dgm:layoutNode name="tx3"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3">
                      <dgm:choose name="Name30">
                        <dgm:if name="Name31" func="var" arg="dir" op="equ" val="norm">
                          <dgm:alg type="lin">
                            <dgm:param type="linDir" val="fromT"/>
                            <dgm:param type="nodeHorzAlign" val="l"/>
                          </dgm:alg>
                        </dgm:if>
                        <dgm:else name="Name32">
                          <dgm:alg type="lin">
                            <dgm:param type="linDir" val="fromT"/>
                            <dgm:param type="nodeHorzAlign" val="r"/>
                          </dgm:alg>
                        </dgm:else>
                      </dgm:choose>
                      <dgm:shape xmlns:r="http://schemas.openxmlformats.org/officeDocument/2006/relationships" r:blip="">
                        <dgm:adjLst/>
                      </dgm:shape>
                      <dgm:presOf/>
                      <dgm:forEach name="Name33" axis="ch" ptType="node">
                        <dgm:layoutNode name="horz4">
                          <dgm:choose name="Name34">
                            <dgm:if name="Name35" func="var" arg="dir" op="equ" val="norm">
                              <dgm:alg type="lin">
                                <dgm:param type="linDir" val="fromL"/>
                                <dgm:param type="nodeVertAlign" val="t"/>
                              </dgm:alg>
                            </dgm:if>
                            <dgm:else name="Name36">
                              <dgm:alg type="lin">
                                <dgm:param type="linDir" val="fromR"/>
                                <dgm:param type="nodeVertAlign" val="t"/>
                              </dgm:alg>
                            </dgm:else>
                          </dgm:choose>
                          <dgm:shape xmlns:r="http://schemas.openxmlformats.org/officeDocument/2006/relationships" r:blip="">
                            <dgm:adjLst/>
                          </dgm:shape>
                          <dgm:presOf/>
                          <dgm:layoutNode name="horzSpace4">
                            <dgm:alg type="sp"/>
                            <dgm:shape xmlns:r="http://schemas.openxmlformats.org/officeDocument/2006/relationships" r:blip="">
                              <dgm:adjLst/>
                            </dgm:shape>
                            <dgm:presOf/>
                          </dgm:layoutNode>
                          <dgm:layoutNode name="tx4" styleLbl="revTx">
                            <dgm:varLst>
                              <dgm:bulletEnabled val="1"/>
                            </dgm:varLst>
                            <dgm:alg type="tx">
                              <dgm:param type="parTxLTRAlign" val="l"/>
                              <dgm:param type="parTxRTLAlign" val="r"/>
                              <dgm:param type="txAnchorVert" val="t"/>
                            </dgm:alg>
                            <dgm:shape xmlns:r="http://schemas.openxmlformats.org/officeDocument/2006/relationships" type="rect" r:blip="">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dgm:layoutNode>
                  </dgm:layoutNode>
                  <dgm:forEach name="Name37" axis="followSib" ptType="sibTrans" cnt="1">
                    <dgm:layoutNode name="thinLine3" styleLbl="callout">
                      <dgm:alg type="sp"/>
                      <dgm:shape xmlns:r="http://schemas.openxmlformats.org/officeDocument/2006/relationships" type="line" r:blip="">
                        <dgm:adjLst/>
                      </dgm:shape>
                      <dgm:presOf/>
                    </dgm:layoutNode>
                  </dgm:forEach>
                </dgm:forEach>
              </dgm:layoutNode>
            </dgm:layoutNode>
            <dgm:layoutNode name="thinLine2b" styleLbl="callout">
              <dgm:alg type="sp"/>
              <dgm:shape xmlns:r="http://schemas.openxmlformats.org/officeDocument/2006/relationships" type="line" r:blip="">
                <dgm:adjLst/>
              </dgm:shape>
              <dgm:presOf/>
            </dgm:layoutNode>
            <dgm:layoutNode name="vertSpace2b">
              <dgm:alg type="sp"/>
              <dgm:shape xmlns:r="http://schemas.openxmlformats.org/officeDocument/2006/relationships" r:blip="">
                <dgm:adjLst/>
              </dgm:shape>
              <dgm:presOf/>
            </dgm:layoutNode>
          </dgm:forEach>
        </dgm:layoutNode>
      </dgm:layoutNode>
    </dgm:forEach>
  </dgm:layoutNode>
</dgm:layoutDef>
</file>

<file path=xl/diagrams/layout5.xml><?xml version="1.0" encoding="utf-8"?>
<dgm:layoutDef xmlns:dgm="http://schemas.openxmlformats.org/drawingml/2006/diagram" xmlns:a="http://schemas.openxmlformats.org/drawingml/2006/main" uniqueId="urn:microsoft.com/office/officeart/2005/8/layout/chevron1">
  <dgm:title val=""/>
  <dgm:desc val=""/>
  <dgm:catLst>
    <dgm:cat type="process" pri="9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hoose name="Name4">
      <dgm:if name="Name5" axis="des" func="maxDepth" op="gte" val="2">
        <dgm:constrLst>
          <dgm:constr type="h" for="ch" forName="composite" refType="h"/>
          <dgm:constr type="w" for="ch" forName="composite" refType="w"/>
          <dgm:constr type="w" for="des" forName="parTx"/>
          <dgm:constr type="h" for="des" forName="parTx" op="equ"/>
          <dgm:constr type="w" for="des" forName="desTx"/>
          <dgm:constr type="h" for="des" forName="desTx" op="equ"/>
          <dgm:constr type="primFontSz" for="des" forName="parTx" val="65"/>
          <dgm:constr type="secFontSz" for="des" forName="desTx" refType="primFontSz" refFor="des" refForName="parTx" op="equ"/>
          <dgm:constr type="h" for="des" forName="parTx" refType="primFontSz" refFor="des" refForName="parTx" fact="1.5"/>
          <dgm:constr type="h" for="des" forName="desTx" refType="primFontSz" refFor="des" refForName="parTx" fact="0.5"/>
          <dgm:constr type="w" for="ch" forName="space" op="equ" val="-6"/>
        </dgm:constrLst>
        <dgm:ruleLst>
          <dgm:rule type="w" for="ch" forName="composite" val="0" fact="NaN" max="NaN"/>
          <dgm:rule type="primFontSz" for="des" forName="parTx" val="5" fact="NaN" max="NaN"/>
        </dgm:ruleLst>
        <dgm:forEach name="Name6" axis="ch" ptType="node">
          <dgm:layoutNode name="composite">
            <dgm:alg type="composite"/>
            <dgm:shape xmlns:r="http://schemas.openxmlformats.org/officeDocument/2006/relationships" r:blip="">
              <dgm:adjLst/>
            </dgm:shape>
            <dgm:presOf/>
            <dgm:choose name="Name7">
              <dgm:if name="Name8" func="var" arg="dir" op="equ" val="norm">
                <dgm:constrLst>
                  <dgm:constr type="l" for="ch" forName="parTx"/>
                  <dgm:constr type="w" for="ch" forName="parTx" refType="w"/>
                  <dgm:constr type="t" for="ch" forName="parTx"/>
                  <dgm:constr type="l" for="ch" forName="desTx"/>
                  <dgm:constr type="w" for="ch" forName="desTx" refType="w" refFor="ch" refForName="parTx" fact="0.8"/>
                  <dgm:constr type="t" for="ch" forName="desTx" refType="h" refFor="ch" refForName="parTx" fact="1.125"/>
                </dgm:constrLst>
              </dgm:if>
              <dgm:else name="Name9">
                <dgm:constrLst>
                  <dgm:constr type="l" for="ch" forName="parTx"/>
                  <dgm:constr type="w" for="ch" forName="parTx" refType="w"/>
                  <dgm:constr type="t" for="ch" forName="parTx"/>
                  <dgm:constr type="l" for="ch" forName="desTx" refType="w" fact="0.2"/>
                  <dgm:constr type="w" for="ch" forName="desTx" refType="w" refFor="ch" refForName="parTx" fact="0.8"/>
                  <dgm:constr type="t" for="ch" forName="desTx" refType="h" refFor="ch" refForName="parTx" fact="1.125"/>
                </dgm:constrLst>
              </dgm:else>
            </dgm:choose>
            <dgm:ruleLst>
              <dgm:rule type="h" val="INF" fact="NaN" max="NaN"/>
            </dgm:ruleLst>
            <dgm:layoutNode name="parTx">
              <dgm:varLst>
                <dgm:chMax val="0"/>
                <dgm:chPref val="0"/>
                <dgm:bulletEnabled val="1"/>
              </dgm:varLst>
              <dgm:alg type="tx"/>
              <dgm:choose name="Name10">
                <dgm:if name="Name11" func="var" arg="dir" op="equ" val="norm">
                  <dgm:shape xmlns:r="http://schemas.openxmlformats.org/officeDocument/2006/relationships" type="chevron" r:blip="">
                    <dgm:adjLst/>
                  </dgm:shape>
                </dgm:if>
                <dgm:else name="Name12">
                  <dgm:shape xmlns:r="http://schemas.openxmlformats.org/officeDocument/2006/relationships" rot="180" type="chevron" r:blip="">
                    <dgm:adjLst/>
                  </dgm:shape>
                </dgm:else>
              </dgm:choose>
              <dgm:presOf axis="self" ptType="node"/>
              <dgm:choose name="Name13">
                <dgm:if name="Name14" func="var" arg="dir" op="equ" val="norm">
                  <dgm:constrLst>
                    <dgm:constr type="h" refType="w" op="lte" fact="0.4"/>
                    <dgm:constr type="h"/>
                    <dgm:constr type="tMarg" refType="primFontSz" fact="0.105"/>
                    <dgm:constr type="bMarg" refType="primFontSz" fact="0.105"/>
                    <dgm:constr type="lMarg" refType="primFontSz" fact="0.315"/>
                    <dgm:constr type="rMarg" refType="primFontSz" fact="0.105"/>
                  </dgm:constrLst>
                </dgm:if>
                <dgm:else name="Name15">
                  <dgm:constrLst>
                    <dgm:constr type="h" refType="w" op="lte" fact="0.4"/>
                    <dgm:constr type="h"/>
                    <dgm:constr type="tMarg" refType="primFontSz" fact="0.105"/>
                    <dgm:constr type="bMarg" refType="primFontSz" fact="0.105"/>
                    <dgm:constr type="lMarg" refType="primFontSz" fact="0.105"/>
                    <dgm:constr type="rMarg" refType="primFontSz" fact="0.315"/>
                  </dgm:constrLst>
                </dgm:else>
              </dgm:choose>
              <dgm:ruleLst>
                <dgm:rule type="h" val="INF" fact="NaN" max="NaN"/>
              </dgm:ruleLst>
            </dgm:layoutNode>
            <dgm:layoutNode name="desTx" styleLbl="revTx">
              <dgm:varLst>
                <dgm:bulletEnabled val="1"/>
              </dgm:varLst>
              <dgm:alg type="tx">
                <dgm:param type="stBulletLvl" val="1"/>
              </dgm:alg>
              <dgm:choose name="Name16">
                <dgm:if name="Name17" axis="ch" ptType="node" func="cnt" op="gte" val="1">
                  <dgm:shape xmlns:r="http://schemas.openxmlformats.org/officeDocument/2006/relationships" type="rect" r:blip="">
                    <dgm:adjLst/>
                  </dgm:shape>
                </dgm:if>
                <dgm:else name="Name18">
                  <dgm:shape xmlns:r="http://schemas.openxmlformats.org/officeDocument/2006/relationships" type="rect" r:blip="" hideGeom="1">
                    <dgm:adjLst/>
                  </dgm:shape>
                </dgm:else>
              </dgm:choose>
              <dgm:presOf axis="des" ptType="node"/>
              <dgm:constrLst>
                <dgm:constr type="secFontSz" val="65"/>
                <dgm:constr type="primFontSz" refType="secFontSz"/>
                <dgm:constr type="h"/>
                <dgm:constr type="tMarg"/>
                <dgm:constr type="bMarg"/>
                <dgm:constr type="rMarg"/>
                <dgm:constr type="lMarg"/>
              </dgm:constrLst>
              <dgm:ruleLst>
                <dgm:rule type="h" val="INF"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if>
      <dgm:else name="Name20">
        <dgm:constrLst>
          <dgm:constr type="w" for="ch" forName="parTxOnly" refType="w"/>
          <dgm:constr type="h" for="des" forName="parTxOnly" op="equ"/>
          <dgm:constr type="primFontSz" for="des" forName="parTxOnly" op="equ" val="65"/>
          <dgm:constr type="w" for="ch" forName="parTxOnlySpace" refType="w" refFor="ch" refForName="parTxOnly" fact="-0.1"/>
        </dgm:constrLst>
        <dgm:ruleLst/>
        <dgm:forEach name="Name21" axis="ch" ptType="node">
          <dgm:layoutNode name="parTxOnly">
            <dgm:varLst>
              <dgm:chMax val="0"/>
              <dgm:chPref val="0"/>
              <dgm:bulletEnabled val="1"/>
            </dgm:varLst>
            <dgm:alg type="tx"/>
            <dgm:choose name="Name22">
              <dgm:if name="Name23" func="var" arg="dir" op="equ" val="norm">
                <dgm:shape xmlns:r="http://schemas.openxmlformats.org/officeDocument/2006/relationships" type="chevron" r:blip="">
                  <dgm:adjLst/>
                </dgm:shape>
              </dgm:if>
              <dgm:else name="Name24">
                <dgm:shape xmlns:r="http://schemas.openxmlformats.org/officeDocument/2006/relationships" rot="180" type="chevron" r:blip="">
                  <dgm:adjLst/>
                </dgm:shape>
              </dgm:else>
            </dgm:choose>
            <dgm:presOf axis="self" ptType="node"/>
            <dgm:choose name="Name25">
              <dgm:if name="Name26" func="var" arg="dir" op="equ" val="norm">
                <dgm:constrLst>
                  <dgm:constr type="h" refType="w" op="equ" fact="0.4"/>
                  <dgm:constr type="tMarg" refType="primFontSz" fact="0.105"/>
                  <dgm:constr type="bMarg" refType="primFontSz" fact="0.105"/>
                  <dgm:constr type="lMarg" refType="primFontSz" fact="0.315"/>
                  <dgm:constr type="rMarg" refType="primFontSz" fact="0.105"/>
                </dgm:constrLst>
              </dgm:if>
              <dgm:else name="Name27">
                <dgm:constrLst>
                  <dgm:constr type="h" refType="w" op="equ" fact="0.4"/>
                  <dgm:constr type="tMarg" refType="primFontSz" fact="0.105"/>
                  <dgm:constr type="bMarg" refType="primFontSz" fact="0.105"/>
                  <dgm:constr type="lMarg" refType="primFontSz" fact="0.105"/>
                  <dgm:constr type="rMarg" refType="primFontSz" fact="0.315"/>
                </dgm:constrLst>
              </dgm:else>
            </dgm:choose>
            <dgm:ruleLst>
              <dgm:rule type="primFontSz" val="5" fact="NaN" max="NaN"/>
            </dgm:ruleLst>
          </dgm:layoutNode>
          <dgm:forEach name="Name28" axis="followSib" ptType="sibTrans" cnt="1">
            <dgm:layoutNode name="parTxOnlySpace">
              <dgm:alg type="sp"/>
              <dgm:shape xmlns:r="http://schemas.openxmlformats.org/officeDocument/2006/relationships" r:blip="">
                <dgm:adjLst/>
              </dgm:shape>
              <dgm:presOf/>
              <dgm:constrLst/>
              <dgm:ruleLst/>
            </dgm:layoutNode>
          </dgm:forEach>
        </dgm:forEach>
      </dgm:else>
    </dgm:choose>
  </dgm:layoutNode>
</dgm:layoutDef>
</file>

<file path=xl/diagrams/layout6.xml><?xml version="1.0" encoding="utf-8"?>
<dgm:layoutDef xmlns:dgm="http://schemas.openxmlformats.org/drawingml/2006/diagram" xmlns:a="http://schemas.openxmlformats.org/drawingml/2006/main" uniqueId="urn:microsoft.com/office/officeart/2008/layout/LinedList">
  <dgm:title val=""/>
  <dgm:desc val=""/>
  <dgm:catLst>
    <dgm:cat type="hierarchy" pri="8000"/>
    <dgm:cat type="list" pri="25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clrData>
  <dgm:layoutNode name="vert0">
    <dgm:varLst>
      <dgm:dir/>
      <dgm:animOne val="branch"/>
      <dgm:animLvl val="lvl"/>
    </dgm:varLst>
    <dgm:choose name="Name0">
      <dgm:if name="Name1" func="var" arg="dir" op="equ" val="norm">
        <dgm:alg type="lin">
          <dgm:param type="linDir" val="fromT"/>
          <dgm:param type="nodeHorzAlign" val="l"/>
        </dgm:alg>
      </dgm:if>
      <dgm:else name="Name2">
        <dgm:alg type="lin">
          <dgm:param type="linDir" val="fromT"/>
          <dgm:param type="nodeHorzAlign" val="r"/>
        </dgm:alg>
      </dgm:else>
    </dgm:choose>
    <dgm:shape xmlns:r="http://schemas.openxmlformats.org/officeDocument/2006/relationships" r:blip="">
      <dgm:adjLst/>
    </dgm:shape>
    <dgm:presOf/>
    <dgm:constrLst>
      <dgm:constr type="w" for="ch" forName="horz1" refType="w"/>
      <dgm:constr type="h" for="ch" forName="horz1" refType="h"/>
      <dgm:constr type="h" for="des" forName="vert1" refType="h"/>
      <dgm:constr type="h" for="des" forName="tx1" refType="h"/>
      <dgm:constr type="h" for="des" forName="horz2" refType="h"/>
      <dgm:constr type="h" for="des" forName="vert2" refType="h"/>
      <dgm:constr type="h" for="des" forName="horz3" refType="h"/>
      <dgm:constr type="h" for="des" forName="vert3" refType="h"/>
      <dgm:constr type="h" for="des" forName="horz4" refType="h"/>
      <dgm:constr type="h" for="des" ptType="node" refType="h"/>
      <dgm:constr type="primFontSz" for="des" forName="tx1" op="equ" val="65"/>
      <dgm:constr type="primFontSz" for="des" forName="tx2" op="equ" val="65"/>
      <dgm:constr type="primFontSz" for="des" forName="tx3" op="equ" val="65"/>
      <dgm:constr type="primFontSz" for="des" forName="tx4" op="equ" val="65"/>
      <dgm:constr type="w" for="des" forName="thickLine" refType="w"/>
      <dgm:constr type="h" for="des" forName="thickLine"/>
      <dgm:constr type="h" for="des" forName="thinLine1"/>
      <dgm:constr type="h" for="des" forName="thinLine2b"/>
      <dgm:constr type="h" for="des" forName="thinLine3"/>
      <dgm:constr type="h" for="des" forName="vertSpace2a" refType="h" fact="0.05"/>
      <dgm:constr type="h" for="des" forName="vertSpace2b" refType="h" refFor="des" refForName="vertSpace2a"/>
    </dgm:constrLst>
    <dgm:forEach name="Name3" axis="ch" ptType="node">
      <dgm:layoutNode name="thickLine" styleLbl="alignNode1">
        <dgm:alg type="sp"/>
        <dgm:shape xmlns:r="http://schemas.openxmlformats.org/officeDocument/2006/relationships" type="line" r:blip="">
          <dgm:adjLst/>
        </dgm:shape>
        <dgm:presOf/>
      </dgm:layoutNode>
      <dgm:layoutNode name="horz1">
        <dgm:choose name="Name4">
          <dgm:if name="Name5" func="var" arg="dir" op="equ" val="norm">
            <dgm:alg type="lin">
              <dgm:param type="linDir" val="fromL"/>
              <dgm:param type="nodeVertAlign" val="t"/>
            </dgm:alg>
          </dgm:if>
          <dgm:else name="Name6">
            <dgm:alg type="lin">
              <dgm:param type="linDir" val="fromR"/>
              <dgm:param type="nodeVertAlign" val="t"/>
            </dgm:alg>
          </dgm:else>
        </dgm:choose>
        <dgm:shape xmlns:r="http://schemas.openxmlformats.org/officeDocument/2006/relationships" r:blip="">
          <dgm:adjLst/>
        </dgm:shape>
        <dgm:presOf/>
        <dgm:choose name="Name7">
          <dgm:if name="Name8" axis="root des" func="maxDepth" op="equ" val="1">
            <dgm:constrLst>
              <dgm:constr type="w" for="ch" forName="tx1" refType="w"/>
            </dgm:constrLst>
          </dgm:if>
          <dgm:if name="Name9" axis="root des" func="maxDepth" op="equ" val="2">
            <dgm:constrLst>
              <dgm:constr type="w" for="ch" forName="tx1" refType="w" fact="0.2"/>
              <dgm:constr type="w" for="des" forName="tx2" refType="w" fact="0.785"/>
              <dgm:constr type="w" for="des" forName="horzSpace2" refType="w" fact="0.015"/>
              <dgm:constr type="w" for="des" forName="thinLine2b" refType="w" fact="0.8"/>
            </dgm:constrLst>
          </dgm:if>
          <dgm:if name="Name10" axis="root des" func="maxDepth" op="equ" val="3">
            <dgm:constrLst>
              <dgm:constr type="w" for="ch" forName="tx1" refType="w" fact="0.2"/>
              <dgm:constr type="w" for="des" forName="tx2" refType="w" fact="0.385"/>
              <dgm:constr type="w" for="des" forName="tx3" refType="w" fact="0.385"/>
              <dgm:constr type="w" for="des" forName="horzSpace2" refType="w" fact="0.015"/>
              <dgm:constr type="w" for="des" forName="horzSpace3" refType="w" fact="0.015"/>
              <dgm:constr type="w" for="des" forName="thinLine2b" refType="w" fact="0.8"/>
              <dgm:constr type="w" for="des" forName="thinLine3" refType="w" fact="0.385"/>
            </dgm:constrLst>
          </dgm:if>
          <dgm:if name="Name11" axis="root des" func="maxDepth" op="gte" val="4">
            <dgm:constrLst>
              <dgm:constr type="w" for="ch" forName="tx1" refType="w" fact="0.2"/>
              <dgm:constr type="w" for="des" forName="tx2" refType="w" fact="0.2516"/>
              <dgm:constr type="w" for="des" forName="tx3" refType="w" fact="0.2516"/>
              <dgm:constr type="w" for="des" forName="tx4" refType="w" fact="0.2516"/>
              <dgm:constr type="w" for="des" forName="horzSpace2" refType="w" fact="0.015"/>
              <dgm:constr type="w" for="des" forName="horzSpace3" refType="w" fact="0.015"/>
              <dgm:constr type="w" for="des" forName="horzSpace4" refType="w" fact="0.015"/>
              <dgm:constr type="w" for="des" forName="thinLine2b" refType="w" fact="0.8"/>
              <dgm:constr type="w" for="des" forName="thinLine3" refType="w" fact="0.5332"/>
            </dgm:constrLst>
          </dgm:if>
          <dgm:else name="Name12"/>
        </dgm:choose>
        <dgm:layoutNode name="tx1"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1">
          <dgm:choose name="Name13">
            <dgm:if name="Name14" func="var" arg="dir" op="equ" val="norm">
              <dgm:alg type="lin">
                <dgm:param type="linDir" val="fromT"/>
                <dgm:param type="nodeHorzAlign" val="l"/>
              </dgm:alg>
            </dgm:if>
            <dgm:else name="Name15">
              <dgm:alg type="lin">
                <dgm:param type="linDir" val="fromT"/>
                <dgm:param type="nodeHorzAlign" val="r"/>
              </dgm:alg>
            </dgm:else>
          </dgm:choose>
          <dgm:shape xmlns:r="http://schemas.openxmlformats.org/officeDocument/2006/relationships" r:blip="">
            <dgm:adjLst/>
          </dgm:shape>
          <dgm:presOf/>
          <dgm:forEach name="Name16" axis="ch" ptType="node">
            <dgm:choose name="Name17">
              <dgm:if name="Name18" axis="self" ptType="node" func="pos" op="equ" val="1">
                <dgm:layoutNode name="vertSpace2a">
                  <dgm:alg type="sp"/>
                  <dgm:shape xmlns:r="http://schemas.openxmlformats.org/officeDocument/2006/relationships" r:blip="">
                    <dgm:adjLst/>
                  </dgm:shape>
                  <dgm:presOf/>
                </dgm:layoutNode>
              </dgm:if>
              <dgm:else name="Name19"/>
            </dgm:choose>
            <dgm:layoutNode name="horz2">
              <dgm:choose name="Name20">
                <dgm:if name="Name21" func="var" arg="dir" op="equ" val="norm">
                  <dgm:alg type="lin">
                    <dgm:param type="linDir" val="fromL"/>
                    <dgm:param type="nodeVertAlign" val="t"/>
                  </dgm:alg>
                </dgm:if>
                <dgm:else name="Name22">
                  <dgm:alg type="lin">
                    <dgm:param type="linDir" val="fromR"/>
                    <dgm:param type="nodeVertAlign" val="t"/>
                  </dgm:alg>
                </dgm:else>
              </dgm:choose>
              <dgm:shape xmlns:r="http://schemas.openxmlformats.org/officeDocument/2006/relationships" r:blip="">
                <dgm:adjLst/>
              </dgm:shape>
              <dgm:presOf/>
              <dgm:layoutNode name="horzSpace2">
                <dgm:alg type="sp"/>
                <dgm:shape xmlns:r="http://schemas.openxmlformats.org/officeDocument/2006/relationships" r:blip="">
                  <dgm:adjLst/>
                </dgm:shape>
                <dgm:presOf/>
              </dgm:layoutNode>
              <dgm:layoutNode name="tx2"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2">
                <dgm:choose name="Name23">
                  <dgm:if name="Name24" func="var" arg="dir" op="equ" val="norm">
                    <dgm:alg type="lin">
                      <dgm:param type="linDir" val="fromT"/>
                      <dgm:param type="nodeHorzAlign" val="l"/>
                    </dgm:alg>
                  </dgm:if>
                  <dgm:else name="Name25">
                    <dgm:alg type="lin">
                      <dgm:param type="linDir" val="fromT"/>
                      <dgm:param type="nodeHorzAlign" val="r"/>
                    </dgm:alg>
                  </dgm:else>
                </dgm:choose>
                <dgm:shape xmlns:r="http://schemas.openxmlformats.org/officeDocument/2006/relationships" r:blip="">
                  <dgm:adjLst/>
                </dgm:shape>
                <dgm:presOf/>
                <dgm:forEach name="Name26" axis="ch" ptType="node">
                  <dgm:layoutNode name="horz3">
                    <dgm:choose name="Name27">
                      <dgm:if name="Name28" func="var" arg="dir" op="equ" val="norm">
                        <dgm:alg type="lin">
                          <dgm:param type="linDir" val="fromL"/>
                          <dgm:param type="nodeVertAlign" val="t"/>
                        </dgm:alg>
                      </dgm:if>
                      <dgm:else name="Name29">
                        <dgm:alg type="lin">
                          <dgm:param type="linDir" val="fromR"/>
                          <dgm:param type="nodeVertAlign" val="t"/>
                        </dgm:alg>
                      </dgm:else>
                    </dgm:choose>
                    <dgm:shape xmlns:r="http://schemas.openxmlformats.org/officeDocument/2006/relationships" r:blip="">
                      <dgm:adjLst/>
                    </dgm:shape>
                    <dgm:presOf/>
                    <dgm:layoutNode name="horzSpace3">
                      <dgm:alg type="sp"/>
                      <dgm:shape xmlns:r="http://schemas.openxmlformats.org/officeDocument/2006/relationships" r:blip="">
                        <dgm:adjLst/>
                      </dgm:shape>
                      <dgm:presOf/>
                    </dgm:layoutNode>
                    <dgm:layoutNode name="tx3"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3">
                      <dgm:choose name="Name30">
                        <dgm:if name="Name31" func="var" arg="dir" op="equ" val="norm">
                          <dgm:alg type="lin">
                            <dgm:param type="linDir" val="fromT"/>
                            <dgm:param type="nodeHorzAlign" val="l"/>
                          </dgm:alg>
                        </dgm:if>
                        <dgm:else name="Name32">
                          <dgm:alg type="lin">
                            <dgm:param type="linDir" val="fromT"/>
                            <dgm:param type="nodeHorzAlign" val="r"/>
                          </dgm:alg>
                        </dgm:else>
                      </dgm:choose>
                      <dgm:shape xmlns:r="http://schemas.openxmlformats.org/officeDocument/2006/relationships" r:blip="">
                        <dgm:adjLst/>
                      </dgm:shape>
                      <dgm:presOf/>
                      <dgm:forEach name="Name33" axis="ch" ptType="node">
                        <dgm:layoutNode name="horz4">
                          <dgm:choose name="Name34">
                            <dgm:if name="Name35" func="var" arg="dir" op="equ" val="norm">
                              <dgm:alg type="lin">
                                <dgm:param type="linDir" val="fromL"/>
                                <dgm:param type="nodeVertAlign" val="t"/>
                              </dgm:alg>
                            </dgm:if>
                            <dgm:else name="Name36">
                              <dgm:alg type="lin">
                                <dgm:param type="linDir" val="fromR"/>
                                <dgm:param type="nodeVertAlign" val="t"/>
                              </dgm:alg>
                            </dgm:else>
                          </dgm:choose>
                          <dgm:shape xmlns:r="http://schemas.openxmlformats.org/officeDocument/2006/relationships" r:blip="">
                            <dgm:adjLst/>
                          </dgm:shape>
                          <dgm:presOf/>
                          <dgm:layoutNode name="horzSpace4">
                            <dgm:alg type="sp"/>
                            <dgm:shape xmlns:r="http://schemas.openxmlformats.org/officeDocument/2006/relationships" r:blip="">
                              <dgm:adjLst/>
                            </dgm:shape>
                            <dgm:presOf/>
                          </dgm:layoutNode>
                          <dgm:layoutNode name="tx4" styleLbl="revTx">
                            <dgm:varLst>
                              <dgm:bulletEnabled val="1"/>
                            </dgm:varLst>
                            <dgm:alg type="tx">
                              <dgm:param type="parTxLTRAlign" val="l"/>
                              <dgm:param type="parTxRTLAlign" val="r"/>
                              <dgm:param type="txAnchorVert" val="t"/>
                            </dgm:alg>
                            <dgm:shape xmlns:r="http://schemas.openxmlformats.org/officeDocument/2006/relationships" type="rect" r:blip="">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dgm:layoutNode>
                  </dgm:layoutNode>
                  <dgm:forEach name="Name37" axis="followSib" ptType="sibTrans" cnt="1">
                    <dgm:layoutNode name="thinLine3" styleLbl="callout">
                      <dgm:alg type="sp"/>
                      <dgm:shape xmlns:r="http://schemas.openxmlformats.org/officeDocument/2006/relationships" type="line" r:blip="">
                        <dgm:adjLst/>
                      </dgm:shape>
                      <dgm:presOf/>
                    </dgm:layoutNode>
                  </dgm:forEach>
                </dgm:forEach>
              </dgm:layoutNode>
            </dgm:layoutNode>
            <dgm:layoutNode name="thinLine2b" styleLbl="callout">
              <dgm:alg type="sp"/>
              <dgm:shape xmlns:r="http://schemas.openxmlformats.org/officeDocument/2006/relationships" type="line" r:blip="">
                <dgm:adjLst/>
              </dgm:shape>
              <dgm:presOf/>
            </dgm:layoutNode>
            <dgm:layoutNode name="vertSpace2b">
              <dgm:alg type="sp"/>
              <dgm:shape xmlns:r="http://schemas.openxmlformats.org/officeDocument/2006/relationships" r:blip="">
                <dgm:adjLst/>
              </dgm:shape>
              <dgm:presOf/>
            </dgm:layoutNode>
          </dgm:forEach>
        </dgm:layoutNode>
      </dgm:layoutNode>
    </dgm:forEach>
  </dgm:layoutNode>
</dgm:layoutDef>
</file>

<file path=xl/diagrams/layout7.xml><?xml version="1.0" encoding="utf-8"?>
<dgm:layoutDef xmlns:dgm="http://schemas.openxmlformats.org/drawingml/2006/diagram" xmlns:a="http://schemas.openxmlformats.org/drawingml/2006/main" uniqueId="urn:microsoft.com/office/officeart/2008/layout/LinedList">
  <dgm:title val=""/>
  <dgm:desc val=""/>
  <dgm:catLst>
    <dgm:cat type="hierarchy" pri="8000"/>
    <dgm:cat type="list" pri="25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clrData>
  <dgm:layoutNode name="vert0">
    <dgm:varLst>
      <dgm:dir/>
      <dgm:animOne val="branch"/>
      <dgm:animLvl val="lvl"/>
    </dgm:varLst>
    <dgm:choose name="Name0">
      <dgm:if name="Name1" func="var" arg="dir" op="equ" val="norm">
        <dgm:alg type="lin">
          <dgm:param type="linDir" val="fromT"/>
          <dgm:param type="nodeHorzAlign" val="l"/>
        </dgm:alg>
      </dgm:if>
      <dgm:else name="Name2">
        <dgm:alg type="lin">
          <dgm:param type="linDir" val="fromT"/>
          <dgm:param type="nodeHorzAlign" val="r"/>
        </dgm:alg>
      </dgm:else>
    </dgm:choose>
    <dgm:shape xmlns:r="http://schemas.openxmlformats.org/officeDocument/2006/relationships" r:blip="">
      <dgm:adjLst/>
    </dgm:shape>
    <dgm:presOf/>
    <dgm:constrLst>
      <dgm:constr type="w" for="ch" forName="horz1" refType="w"/>
      <dgm:constr type="h" for="ch" forName="horz1" refType="h"/>
      <dgm:constr type="h" for="des" forName="vert1" refType="h"/>
      <dgm:constr type="h" for="des" forName="tx1" refType="h"/>
      <dgm:constr type="h" for="des" forName="horz2" refType="h"/>
      <dgm:constr type="h" for="des" forName="vert2" refType="h"/>
      <dgm:constr type="h" for="des" forName="horz3" refType="h"/>
      <dgm:constr type="h" for="des" forName="vert3" refType="h"/>
      <dgm:constr type="h" for="des" forName="horz4" refType="h"/>
      <dgm:constr type="h" for="des" ptType="node" refType="h"/>
      <dgm:constr type="primFontSz" for="des" forName="tx1" op="equ" val="65"/>
      <dgm:constr type="primFontSz" for="des" forName="tx2" op="equ" val="65"/>
      <dgm:constr type="primFontSz" for="des" forName="tx3" op="equ" val="65"/>
      <dgm:constr type="primFontSz" for="des" forName="tx4" op="equ" val="65"/>
      <dgm:constr type="w" for="des" forName="thickLine" refType="w"/>
      <dgm:constr type="h" for="des" forName="thickLine"/>
      <dgm:constr type="h" for="des" forName="thinLine1"/>
      <dgm:constr type="h" for="des" forName="thinLine2b"/>
      <dgm:constr type="h" for="des" forName="thinLine3"/>
      <dgm:constr type="h" for="des" forName="vertSpace2a" refType="h" fact="0.05"/>
      <dgm:constr type="h" for="des" forName="vertSpace2b" refType="h" refFor="des" refForName="vertSpace2a"/>
    </dgm:constrLst>
    <dgm:forEach name="Name3" axis="ch" ptType="node">
      <dgm:layoutNode name="thickLine" styleLbl="alignNode1">
        <dgm:alg type="sp"/>
        <dgm:shape xmlns:r="http://schemas.openxmlformats.org/officeDocument/2006/relationships" type="line" r:blip="">
          <dgm:adjLst/>
        </dgm:shape>
        <dgm:presOf/>
      </dgm:layoutNode>
      <dgm:layoutNode name="horz1">
        <dgm:choose name="Name4">
          <dgm:if name="Name5" func="var" arg="dir" op="equ" val="norm">
            <dgm:alg type="lin">
              <dgm:param type="linDir" val="fromL"/>
              <dgm:param type="nodeVertAlign" val="t"/>
            </dgm:alg>
          </dgm:if>
          <dgm:else name="Name6">
            <dgm:alg type="lin">
              <dgm:param type="linDir" val="fromR"/>
              <dgm:param type="nodeVertAlign" val="t"/>
            </dgm:alg>
          </dgm:else>
        </dgm:choose>
        <dgm:shape xmlns:r="http://schemas.openxmlformats.org/officeDocument/2006/relationships" r:blip="">
          <dgm:adjLst/>
        </dgm:shape>
        <dgm:presOf/>
        <dgm:choose name="Name7">
          <dgm:if name="Name8" axis="root des" func="maxDepth" op="equ" val="1">
            <dgm:constrLst>
              <dgm:constr type="w" for="ch" forName="tx1" refType="w"/>
            </dgm:constrLst>
          </dgm:if>
          <dgm:if name="Name9" axis="root des" func="maxDepth" op="equ" val="2">
            <dgm:constrLst>
              <dgm:constr type="w" for="ch" forName="tx1" refType="w" fact="0.2"/>
              <dgm:constr type="w" for="des" forName="tx2" refType="w" fact="0.785"/>
              <dgm:constr type="w" for="des" forName="horzSpace2" refType="w" fact="0.015"/>
              <dgm:constr type="w" for="des" forName="thinLine2b" refType="w" fact="0.8"/>
            </dgm:constrLst>
          </dgm:if>
          <dgm:if name="Name10" axis="root des" func="maxDepth" op="equ" val="3">
            <dgm:constrLst>
              <dgm:constr type="w" for="ch" forName="tx1" refType="w" fact="0.2"/>
              <dgm:constr type="w" for="des" forName="tx2" refType="w" fact="0.385"/>
              <dgm:constr type="w" for="des" forName="tx3" refType="w" fact="0.385"/>
              <dgm:constr type="w" for="des" forName="horzSpace2" refType="w" fact="0.015"/>
              <dgm:constr type="w" for="des" forName="horzSpace3" refType="w" fact="0.015"/>
              <dgm:constr type="w" for="des" forName="thinLine2b" refType="w" fact="0.8"/>
              <dgm:constr type="w" for="des" forName="thinLine3" refType="w" fact="0.385"/>
            </dgm:constrLst>
          </dgm:if>
          <dgm:if name="Name11" axis="root des" func="maxDepth" op="gte" val="4">
            <dgm:constrLst>
              <dgm:constr type="w" for="ch" forName="tx1" refType="w" fact="0.2"/>
              <dgm:constr type="w" for="des" forName="tx2" refType="w" fact="0.2516"/>
              <dgm:constr type="w" for="des" forName="tx3" refType="w" fact="0.2516"/>
              <dgm:constr type="w" for="des" forName="tx4" refType="w" fact="0.2516"/>
              <dgm:constr type="w" for="des" forName="horzSpace2" refType="w" fact="0.015"/>
              <dgm:constr type="w" for="des" forName="horzSpace3" refType="w" fact="0.015"/>
              <dgm:constr type="w" for="des" forName="horzSpace4" refType="w" fact="0.015"/>
              <dgm:constr type="w" for="des" forName="thinLine2b" refType="w" fact="0.8"/>
              <dgm:constr type="w" for="des" forName="thinLine3" refType="w" fact="0.5332"/>
            </dgm:constrLst>
          </dgm:if>
          <dgm:else name="Name12"/>
        </dgm:choose>
        <dgm:layoutNode name="tx1"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1">
          <dgm:choose name="Name13">
            <dgm:if name="Name14" func="var" arg="dir" op="equ" val="norm">
              <dgm:alg type="lin">
                <dgm:param type="linDir" val="fromT"/>
                <dgm:param type="nodeHorzAlign" val="l"/>
              </dgm:alg>
            </dgm:if>
            <dgm:else name="Name15">
              <dgm:alg type="lin">
                <dgm:param type="linDir" val="fromT"/>
                <dgm:param type="nodeHorzAlign" val="r"/>
              </dgm:alg>
            </dgm:else>
          </dgm:choose>
          <dgm:shape xmlns:r="http://schemas.openxmlformats.org/officeDocument/2006/relationships" r:blip="">
            <dgm:adjLst/>
          </dgm:shape>
          <dgm:presOf/>
          <dgm:forEach name="Name16" axis="ch" ptType="node">
            <dgm:choose name="Name17">
              <dgm:if name="Name18" axis="self" ptType="node" func="pos" op="equ" val="1">
                <dgm:layoutNode name="vertSpace2a">
                  <dgm:alg type="sp"/>
                  <dgm:shape xmlns:r="http://schemas.openxmlformats.org/officeDocument/2006/relationships" r:blip="">
                    <dgm:adjLst/>
                  </dgm:shape>
                  <dgm:presOf/>
                </dgm:layoutNode>
              </dgm:if>
              <dgm:else name="Name19"/>
            </dgm:choose>
            <dgm:layoutNode name="horz2">
              <dgm:choose name="Name20">
                <dgm:if name="Name21" func="var" arg="dir" op="equ" val="norm">
                  <dgm:alg type="lin">
                    <dgm:param type="linDir" val="fromL"/>
                    <dgm:param type="nodeVertAlign" val="t"/>
                  </dgm:alg>
                </dgm:if>
                <dgm:else name="Name22">
                  <dgm:alg type="lin">
                    <dgm:param type="linDir" val="fromR"/>
                    <dgm:param type="nodeVertAlign" val="t"/>
                  </dgm:alg>
                </dgm:else>
              </dgm:choose>
              <dgm:shape xmlns:r="http://schemas.openxmlformats.org/officeDocument/2006/relationships" r:blip="">
                <dgm:adjLst/>
              </dgm:shape>
              <dgm:presOf/>
              <dgm:layoutNode name="horzSpace2">
                <dgm:alg type="sp"/>
                <dgm:shape xmlns:r="http://schemas.openxmlformats.org/officeDocument/2006/relationships" r:blip="">
                  <dgm:adjLst/>
                </dgm:shape>
                <dgm:presOf/>
              </dgm:layoutNode>
              <dgm:layoutNode name="tx2"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2">
                <dgm:choose name="Name23">
                  <dgm:if name="Name24" func="var" arg="dir" op="equ" val="norm">
                    <dgm:alg type="lin">
                      <dgm:param type="linDir" val="fromT"/>
                      <dgm:param type="nodeHorzAlign" val="l"/>
                    </dgm:alg>
                  </dgm:if>
                  <dgm:else name="Name25">
                    <dgm:alg type="lin">
                      <dgm:param type="linDir" val="fromT"/>
                      <dgm:param type="nodeHorzAlign" val="r"/>
                    </dgm:alg>
                  </dgm:else>
                </dgm:choose>
                <dgm:shape xmlns:r="http://schemas.openxmlformats.org/officeDocument/2006/relationships" r:blip="">
                  <dgm:adjLst/>
                </dgm:shape>
                <dgm:presOf/>
                <dgm:forEach name="Name26" axis="ch" ptType="node">
                  <dgm:layoutNode name="horz3">
                    <dgm:choose name="Name27">
                      <dgm:if name="Name28" func="var" arg="dir" op="equ" val="norm">
                        <dgm:alg type="lin">
                          <dgm:param type="linDir" val="fromL"/>
                          <dgm:param type="nodeVertAlign" val="t"/>
                        </dgm:alg>
                      </dgm:if>
                      <dgm:else name="Name29">
                        <dgm:alg type="lin">
                          <dgm:param type="linDir" val="fromR"/>
                          <dgm:param type="nodeVertAlign" val="t"/>
                        </dgm:alg>
                      </dgm:else>
                    </dgm:choose>
                    <dgm:shape xmlns:r="http://schemas.openxmlformats.org/officeDocument/2006/relationships" r:blip="">
                      <dgm:adjLst/>
                    </dgm:shape>
                    <dgm:presOf/>
                    <dgm:layoutNode name="horzSpace3">
                      <dgm:alg type="sp"/>
                      <dgm:shape xmlns:r="http://schemas.openxmlformats.org/officeDocument/2006/relationships" r:blip="">
                        <dgm:adjLst/>
                      </dgm:shape>
                      <dgm:presOf/>
                    </dgm:layoutNode>
                    <dgm:layoutNode name="tx3"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3">
                      <dgm:choose name="Name30">
                        <dgm:if name="Name31" func="var" arg="dir" op="equ" val="norm">
                          <dgm:alg type="lin">
                            <dgm:param type="linDir" val="fromT"/>
                            <dgm:param type="nodeHorzAlign" val="l"/>
                          </dgm:alg>
                        </dgm:if>
                        <dgm:else name="Name32">
                          <dgm:alg type="lin">
                            <dgm:param type="linDir" val="fromT"/>
                            <dgm:param type="nodeHorzAlign" val="r"/>
                          </dgm:alg>
                        </dgm:else>
                      </dgm:choose>
                      <dgm:shape xmlns:r="http://schemas.openxmlformats.org/officeDocument/2006/relationships" r:blip="">
                        <dgm:adjLst/>
                      </dgm:shape>
                      <dgm:presOf/>
                      <dgm:forEach name="Name33" axis="ch" ptType="node">
                        <dgm:layoutNode name="horz4">
                          <dgm:choose name="Name34">
                            <dgm:if name="Name35" func="var" arg="dir" op="equ" val="norm">
                              <dgm:alg type="lin">
                                <dgm:param type="linDir" val="fromL"/>
                                <dgm:param type="nodeVertAlign" val="t"/>
                              </dgm:alg>
                            </dgm:if>
                            <dgm:else name="Name36">
                              <dgm:alg type="lin">
                                <dgm:param type="linDir" val="fromR"/>
                                <dgm:param type="nodeVertAlign" val="t"/>
                              </dgm:alg>
                            </dgm:else>
                          </dgm:choose>
                          <dgm:shape xmlns:r="http://schemas.openxmlformats.org/officeDocument/2006/relationships" r:blip="">
                            <dgm:adjLst/>
                          </dgm:shape>
                          <dgm:presOf/>
                          <dgm:layoutNode name="horzSpace4">
                            <dgm:alg type="sp"/>
                            <dgm:shape xmlns:r="http://schemas.openxmlformats.org/officeDocument/2006/relationships" r:blip="">
                              <dgm:adjLst/>
                            </dgm:shape>
                            <dgm:presOf/>
                          </dgm:layoutNode>
                          <dgm:layoutNode name="tx4" styleLbl="revTx">
                            <dgm:varLst>
                              <dgm:bulletEnabled val="1"/>
                            </dgm:varLst>
                            <dgm:alg type="tx">
                              <dgm:param type="parTxLTRAlign" val="l"/>
                              <dgm:param type="parTxRTLAlign" val="r"/>
                              <dgm:param type="txAnchorVert" val="t"/>
                            </dgm:alg>
                            <dgm:shape xmlns:r="http://schemas.openxmlformats.org/officeDocument/2006/relationships" type="rect" r:blip="">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dgm:layoutNode>
                  </dgm:layoutNode>
                  <dgm:forEach name="Name37" axis="followSib" ptType="sibTrans" cnt="1">
                    <dgm:layoutNode name="thinLine3" styleLbl="callout">
                      <dgm:alg type="sp"/>
                      <dgm:shape xmlns:r="http://schemas.openxmlformats.org/officeDocument/2006/relationships" type="line" r:blip="">
                        <dgm:adjLst/>
                      </dgm:shape>
                      <dgm:presOf/>
                    </dgm:layoutNode>
                  </dgm:forEach>
                </dgm:forEach>
              </dgm:layoutNode>
            </dgm:layoutNode>
            <dgm:layoutNode name="thinLine2b" styleLbl="callout">
              <dgm:alg type="sp"/>
              <dgm:shape xmlns:r="http://schemas.openxmlformats.org/officeDocument/2006/relationships" type="line" r:blip="">
                <dgm:adjLst/>
              </dgm:shape>
              <dgm:presOf/>
            </dgm:layoutNode>
            <dgm:layoutNode name="vertSpace2b">
              <dgm:alg type="sp"/>
              <dgm:shape xmlns:r="http://schemas.openxmlformats.org/officeDocument/2006/relationships" r:blip="">
                <dgm:adjLst/>
              </dgm:shape>
              <dgm:presOf/>
            </dgm:layoutNode>
          </dgm:forEach>
        </dgm:layoutNode>
      </dgm:layoutNode>
    </dgm:forEach>
  </dgm:layoutNode>
</dgm:layoutDef>
</file>

<file path=xl/diagrams/layout8.xml><?xml version="1.0" encoding="utf-8"?>
<dgm:layoutDef xmlns:dgm="http://schemas.openxmlformats.org/drawingml/2006/diagram" xmlns:a="http://schemas.openxmlformats.org/drawingml/2006/main" uniqueId="urn:microsoft.com/office/officeart/2008/layout/LinedList">
  <dgm:title val=""/>
  <dgm:desc val=""/>
  <dgm:catLst>
    <dgm:cat type="hierarchy" pri="8000"/>
    <dgm:cat type="list" pri="25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clrData>
  <dgm:layoutNode name="vert0">
    <dgm:varLst>
      <dgm:dir/>
      <dgm:animOne val="branch"/>
      <dgm:animLvl val="lvl"/>
    </dgm:varLst>
    <dgm:choose name="Name0">
      <dgm:if name="Name1" func="var" arg="dir" op="equ" val="norm">
        <dgm:alg type="lin">
          <dgm:param type="linDir" val="fromT"/>
          <dgm:param type="nodeHorzAlign" val="l"/>
        </dgm:alg>
      </dgm:if>
      <dgm:else name="Name2">
        <dgm:alg type="lin">
          <dgm:param type="linDir" val="fromT"/>
          <dgm:param type="nodeHorzAlign" val="r"/>
        </dgm:alg>
      </dgm:else>
    </dgm:choose>
    <dgm:shape xmlns:r="http://schemas.openxmlformats.org/officeDocument/2006/relationships" r:blip="">
      <dgm:adjLst/>
    </dgm:shape>
    <dgm:presOf/>
    <dgm:constrLst>
      <dgm:constr type="w" for="ch" forName="horz1" refType="w"/>
      <dgm:constr type="h" for="ch" forName="horz1" refType="h"/>
      <dgm:constr type="h" for="des" forName="vert1" refType="h"/>
      <dgm:constr type="h" for="des" forName="tx1" refType="h"/>
      <dgm:constr type="h" for="des" forName="horz2" refType="h"/>
      <dgm:constr type="h" for="des" forName="vert2" refType="h"/>
      <dgm:constr type="h" for="des" forName="horz3" refType="h"/>
      <dgm:constr type="h" for="des" forName="vert3" refType="h"/>
      <dgm:constr type="h" for="des" forName="horz4" refType="h"/>
      <dgm:constr type="h" for="des" ptType="node" refType="h"/>
      <dgm:constr type="primFontSz" for="des" forName="tx1" op="equ" val="65"/>
      <dgm:constr type="primFontSz" for="des" forName="tx2" op="equ" val="65"/>
      <dgm:constr type="primFontSz" for="des" forName="tx3" op="equ" val="65"/>
      <dgm:constr type="primFontSz" for="des" forName="tx4" op="equ" val="65"/>
      <dgm:constr type="w" for="des" forName="thickLine" refType="w"/>
      <dgm:constr type="h" for="des" forName="thickLine"/>
      <dgm:constr type="h" for="des" forName="thinLine1"/>
      <dgm:constr type="h" for="des" forName="thinLine2b"/>
      <dgm:constr type="h" for="des" forName="thinLine3"/>
      <dgm:constr type="h" for="des" forName="vertSpace2a" refType="h" fact="0.05"/>
      <dgm:constr type="h" for="des" forName="vertSpace2b" refType="h" refFor="des" refForName="vertSpace2a"/>
    </dgm:constrLst>
    <dgm:forEach name="Name3" axis="ch" ptType="node">
      <dgm:layoutNode name="thickLine" styleLbl="alignNode1">
        <dgm:alg type="sp"/>
        <dgm:shape xmlns:r="http://schemas.openxmlformats.org/officeDocument/2006/relationships" type="line" r:blip="">
          <dgm:adjLst/>
        </dgm:shape>
        <dgm:presOf/>
      </dgm:layoutNode>
      <dgm:layoutNode name="horz1">
        <dgm:choose name="Name4">
          <dgm:if name="Name5" func="var" arg="dir" op="equ" val="norm">
            <dgm:alg type="lin">
              <dgm:param type="linDir" val="fromL"/>
              <dgm:param type="nodeVertAlign" val="t"/>
            </dgm:alg>
          </dgm:if>
          <dgm:else name="Name6">
            <dgm:alg type="lin">
              <dgm:param type="linDir" val="fromR"/>
              <dgm:param type="nodeVertAlign" val="t"/>
            </dgm:alg>
          </dgm:else>
        </dgm:choose>
        <dgm:shape xmlns:r="http://schemas.openxmlformats.org/officeDocument/2006/relationships" r:blip="">
          <dgm:adjLst/>
        </dgm:shape>
        <dgm:presOf/>
        <dgm:choose name="Name7">
          <dgm:if name="Name8" axis="root des" func="maxDepth" op="equ" val="1">
            <dgm:constrLst>
              <dgm:constr type="w" for="ch" forName="tx1" refType="w"/>
            </dgm:constrLst>
          </dgm:if>
          <dgm:if name="Name9" axis="root des" func="maxDepth" op="equ" val="2">
            <dgm:constrLst>
              <dgm:constr type="w" for="ch" forName="tx1" refType="w" fact="0.2"/>
              <dgm:constr type="w" for="des" forName="tx2" refType="w" fact="0.785"/>
              <dgm:constr type="w" for="des" forName="horzSpace2" refType="w" fact="0.015"/>
              <dgm:constr type="w" for="des" forName="thinLine2b" refType="w" fact="0.8"/>
            </dgm:constrLst>
          </dgm:if>
          <dgm:if name="Name10" axis="root des" func="maxDepth" op="equ" val="3">
            <dgm:constrLst>
              <dgm:constr type="w" for="ch" forName="tx1" refType="w" fact="0.2"/>
              <dgm:constr type="w" for="des" forName="tx2" refType="w" fact="0.385"/>
              <dgm:constr type="w" for="des" forName="tx3" refType="w" fact="0.385"/>
              <dgm:constr type="w" for="des" forName="horzSpace2" refType="w" fact="0.015"/>
              <dgm:constr type="w" for="des" forName="horzSpace3" refType="w" fact="0.015"/>
              <dgm:constr type="w" for="des" forName="thinLine2b" refType="w" fact="0.8"/>
              <dgm:constr type="w" for="des" forName="thinLine3" refType="w" fact="0.385"/>
            </dgm:constrLst>
          </dgm:if>
          <dgm:if name="Name11" axis="root des" func="maxDepth" op="gte" val="4">
            <dgm:constrLst>
              <dgm:constr type="w" for="ch" forName="tx1" refType="w" fact="0.2"/>
              <dgm:constr type="w" for="des" forName="tx2" refType="w" fact="0.2516"/>
              <dgm:constr type="w" for="des" forName="tx3" refType="w" fact="0.2516"/>
              <dgm:constr type="w" for="des" forName="tx4" refType="w" fact="0.2516"/>
              <dgm:constr type="w" for="des" forName="horzSpace2" refType="w" fact="0.015"/>
              <dgm:constr type="w" for="des" forName="horzSpace3" refType="w" fact="0.015"/>
              <dgm:constr type="w" for="des" forName="horzSpace4" refType="w" fact="0.015"/>
              <dgm:constr type="w" for="des" forName="thinLine2b" refType="w" fact="0.8"/>
              <dgm:constr type="w" for="des" forName="thinLine3" refType="w" fact="0.5332"/>
            </dgm:constrLst>
          </dgm:if>
          <dgm:else name="Name12"/>
        </dgm:choose>
        <dgm:layoutNode name="tx1"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1">
          <dgm:choose name="Name13">
            <dgm:if name="Name14" func="var" arg="dir" op="equ" val="norm">
              <dgm:alg type="lin">
                <dgm:param type="linDir" val="fromT"/>
                <dgm:param type="nodeHorzAlign" val="l"/>
              </dgm:alg>
            </dgm:if>
            <dgm:else name="Name15">
              <dgm:alg type="lin">
                <dgm:param type="linDir" val="fromT"/>
                <dgm:param type="nodeHorzAlign" val="r"/>
              </dgm:alg>
            </dgm:else>
          </dgm:choose>
          <dgm:shape xmlns:r="http://schemas.openxmlformats.org/officeDocument/2006/relationships" r:blip="">
            <dgm:adjLst/>
          </dgm:shape>
          <dgm:presOf/>
          <dgm:forEach name="Name16" axis="ch" ptType="node">
            <dgm:choose name="Name17">
              <dgm:if name="Name18" axis="self" ptType="node" func="pos" op="equ" val="1">
                <dgm:layoutNode name="vertSpace2a">
                  <dgm:alg type="sp"/>
                  <dgm:shape xmlns:r="http://schemas.openxmlformats.org/officeDocument/2006/relationships" r:blip="">
                    <dgm:adjLst/>
                  </dgm:shape>
                  <dgm:presOf/>
                </dgm:layoutNode>
              </dgm:if>
              <dgm:else name="Name19"/>
            </dgm:choose>
            <dgm:layoutNode name="horz2">
              <dgm:choose name="Name20">
                <dgm:if name="Name21" func="var" arg="dir" op="equ" val="norm">
                  <dgm:alg type="lin">
                    <dgm:param type="linDir" val="fromL"/>
                    <dgm:param type="nodeVertAlign" val="t"/>
                  </dgm:alg>
                </dgm:if>
                <dgm:else name="Name22">
                  <dgm:alg type="lin">
                    <dgm:param type="linDir" val="fromR"/>
                    <dgm:param type="nodeVertAlign" val="t"/>
                  </dgm:alg>
                </dgm:else>
              </dgm:choose>
              <dgm:shape xmlns:r="http://schemas.openxmlformats.org/officeDocument/2006/relationships" r:blip="">
                <dgm:adjLst/>
              </dgm:shape>
              <dgm:presOf/>
              <dgm:layoutNode name="horzSpace2">
                <dgm:alg type="sp"/>
                <dgm:shape xmlns:r="http://schemas.openxmlformats.org/officeDocument/2006/relationships" r:blip="">
                  <dgm:adjLst/>
                </dgm:shape>
                <dgm:presOf/>
              </dgm:layoutNode>
              <dgm:layoutNode name="tx2"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2">
                <dgm:choose name="Name23">
                  <dgm:if name="Name24" func="var" arg="dir" op="equ" val="norm">
                    <dgm:alg type="lin">
                      <dgm:param type="linDir" val="fromT"/>
                      <dgm:param type="nodeHorzAlign" val="l"/>
                    </dgm:alg>
                  </dgm:if>
                  <dgm:else name="Name25">
                    <dgm:alg type="lin">
                      <dgm:param type="linDir" val="fromT"/>
                      <dgm:param type="nodeHorzAlign" val="r"/>
                    </dgm:alg>
                  </dgm:else>
                </dgm:choose>
                <dgm:shape xmlns:r="http://schemas.openxmlformats.org/officeDocument/2006/relationships" r:blip="">
                  <dgm:adjLst/>
                </dgm:shape>
                <dgm:presOf/>
                <dgm:forEach name="Name26" axis="ch" ptType="node">
                  <dgm:layoutNode name="horz3">
                    <dgm:choose name="Name27">
                      <dgm:if name="Name28" func="var" arg="dir" op="equ" val="norm">
                        <dgm:alg type="lin">
                          <dgm:param type="linDir" val="fromL"/>
                          <dgm:param type="nodeVertAlign" val="t"/>
                        </dgm:alg>
                      </dgm:if>
                      <dgm:else name="Name29">
                        <dgm:alg type="lin">
                          <dgm:param type="linDir" val="fromR"/>
                          <dgm:param type="nodeVertAlign" val="t"/>
                        </dgm:alg>
                      </dgm:else>
                    </dgm:choose>
                    <dgm:shape xmlns:r="http://schemas.openxmlformats.org/officeDocument/2006/relationships" r:blip="">
                      <dgm:adjLst/>
                    </dgm:shape>
                    <dgm:presOf/>
                    <dgm:layoutNode name="horzSpace3">
                      <dgm:alg type="sp"/>
                      <dgm:shape xmlns:r="http://schemas.openxmlformats.org/officeDocument/2006/relationships" r:blip="">
                        <dgm:adjLst/>
                      </dgm:shape>
                      <dgm:presOf/>
                    </dgm:layoutNode>
                    <dgm:layoutNode name="tx3" styleLbl="revTx">
                      <dgm:alg type="tx">
                        <dgm:param type="parTxLTRAlign" val="l"/>
                        <dgm:param type="parTxRTLAlign" val="r"/>
                        <dgm:param type="txAnchorVert" val="t"/>
                      </dgm:alg>
                      <dgm:shape xmlns:r="http://schemas.openxmlformats.org/officeDocument/2006/relationships" type="rect" r:blip="">
                        <dgm:adjLst/>
                      </dgm:shape>
                      <dgm:presOf axis="self"/>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vert3">
                      <dgm:choose name="Name30">
                        <dgm:if name="Name31" func="var" arg="dir" op="equ" val="norm">
                          <dgm:alg type="lin">
                            <dgm:param type="linDir" val="fromT"/>
                            <dgm:param type="nodeHorzAlign" val="l"/>
                          </dgm:alg>
                        </dgm:if>
                        <dgm:else name="Name32">
                          <dgm:alg type="lin">
                            <dgm:param type="linDir" val="fromT"/>
                            <dgm:param type="nodeHorzAlign" val="r"/>
                          </dgm:alg>
                        </dgm:else>
                      </dgm:choose>
                      <dgm:shape xmlns:r="http://schemas.openxmlformats.org/officeDocument/2006/relationships" r:blip="">
                        <dgm:adjLst/>
                      </dgm:shape>
                      <dgm:presOf/>
                      <dgm:forEach name="Name33" axis="ch" ptType="node">
                        <dgm:layoutNode name="horz4">
                          <dgm:choose name="Name34">
                            <dgm:if name="Name35" func="var" arg="dir" op="equ" val="norm">
                              <dgm:alg type="lin">
                                <dgm:param type="linDir" val="fromL"/>
                                <dgm:param type="nodeVertAlign" val="t"/>
                              </dgm:alg>
                            </dgm:if>
                            <dgm:else name="Name36">
                              <dgm:alg type="lin">
                                <dgm:param type="linDir" val="fromR"/>
                                <dgm:param type="nodeVertAlign" val="t"/>
                              </dgm:alg>
                            </dgm:else>
                          </dgm:choose>
                          <dgm:shape xmlns:r="http://schemas.openxmlformats.org/officeDocument/2006/relationships" r:blip="">
                            <dgm:adjLst/>
                          </dgm:shape>
                          <dgm:presOf/>
                          <dgm:layoutNode name="horzSpace4">
                            <dgm:alg type="sp"/>
                            <dgm:shape xmlns:r="http://schemas.openxmlformats.org/officeDocument/2006/relationships" r:blip="">
                              <dgm:adjLst/>
                            </dgm:shape>
                            <dgm:presOf/>
                          </dgm:layoutNode>
                          <dgm:layoutNode name="tx4" styleLbl="revTx">
                            <dgm:varLst>
                              <dgm:bulletEnabled val="1"/>
                            </dgm:varLst>
                            <dgm:alg type="tx">
                              <dgm:param type="parTxLTRAlign" val="l"/>
                              <dgm:param type="parTxRTLAlign" val="r"/>
                              <dgm:param type="txAnchorVert" val="t"/>
                            </dgm:alg>
                            <dgm:shape xmlns:r="http://schemas.openxmlformats.org/officeDocument/2006/relationships" type="rect" r:blip="">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dgm:layoutNode>
                  </dgm:layoutNode>
                  <dgm:forEach name="Name37" axis="followSib" ptType="sibTrans" cnt="1">
                    <dgm:layoutNode name="thinLine3" styleLbl="callout">
                      <dgm:alg type="sp"/>
                      <dgm:shape xmlns:r="http://schemas.openxmlformats.org/officeDocument/2006/relationships" type="line" r:blip="">
                        <dgm:adjLst/>
                      </dgm:shape>
                      <dgm:presOf/>
                    </dgm:layoutNode>
                  </dgm:forEach>
                </dgm:forEach>
              </dgm:layoutNode>
            </dgm:layoutNode>
            <dgm:layoutNode name="thinLine2b" styleLbl="callout">
              <dgm:alg type="sp"/>
              <dgm:shape xmlns:r="http://schemas.openxmlformats.org/officeDocument/2006/relationships" type="line" r:blip="">
                <dgm:adjLst/>
              </dgm:shape>
              <dgm:presOf/>
            </dgm:layoutNode>
            <dgm:layoutNode name="vertSpace2b">
              <dgm:alg type="sp"/>
              <dgm:shape xmlns:r="http://schemas.openxmlformats.org/officeDocument/2006/relationships" r:blip="">
                <dgm:adjLst/>
              </dgm:shape>
              <dgm:presOf/>
            </dgm:layoutNode>
          </dgm:forEach>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5.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6.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7.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8.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Layout" Target="../diagrams/layout2.xml"/><Relationship Id="rId13" Type="http://schemas.openxmlformats.org/officeDocument/2006/relationships/diagramLayout" Target="../diagrams/layout3.xml"/><Relationship Id="rId18" Type="http://schemas.openxmlformats.org/officeDocument/2006/relationships/diagramLayout" Target="../diagrams/layout4.xml"/><Relationship Id="rId3" Type="http://schemas.openxmlformats.org/officeDocument/2006/relationships/diagramQuickStyle" Target="../diagrams/quickStyle1.xml"/><Relationship Id="rId21" Type="http://schemas.microsoft.com/office/2007/relationships/diagramDrawing" Target="../diagrams/drawing4.xml"/><Relationship Id="rId7" Type="http://schemas.openxmlformats.org/officeDocument/2006/relationships/diagramData" Target="../diagrams/data2.xml"/><Relationship Id="rId12" Type="http://schemas.openxmlformats.org/officeDocument/2006/relationships/diagramData" Target="../diagrams/data3.xml"/><Relationship Id="rId17" Type="http://schemas.openxmlformats.org/officeDocument/2006/relationships/diagramData" Target="../diagrams/data4.xml"/><Relationship Id="rId2" Type="http://schemas.openxmlformats.org/officeDocument/2006/relationships/diagramLayout" Target="../diagrams/layout1.xml"/><Relationship Id="rId16" Type="http://schemas.microsoft.com/office/2007/relationships/diagramDrawing" Target="../diagrams/drawing3.xml"/><Relationship Id="rId20" Type="http://schemas.openxmlformats.org/officeDocument/2006/relationships/diagramColors" Target="../diagrams/colors4.xml"/><Relationship Id="rId1" Type="http://schemas.openxmlformats.org/officeDocument/2006/relationships/diagramData" Target="../diagrams/data1.xml"/><Relationship Id="rId6" Type="http://schemas.openxmlformats.org/officeDocument/2006/relationships/image" Target="../media/image1.png"/><Relationship Id="rId11" Type="http://schemas.microsoft.com/office/2007/relationships/diagramDrawing" Target="../diagrams/drawing2.xml"/><Relationship Id="rId5" Type="http://schemas.microsoft.com/office/2007/relationships/diagramDrawing" Target="../diagrams/drawing1.xml"/><Relationship Id="rId15" Type="http://schemas.openxmlformats.org/officeDocument/2006/relationships/diagramColors" Target="../diagrams/colors3.xml"/><Relationship Id="rId10" Type="http://schemas.openxmlformats.org/officeDocument/2006/relationships/diagramColors" Target="../diagrams/colors2.xml"/><Relationship Id="rId19" Type="http://schemas.openxmlformats.org/officeDocument/2006/relationships/diagramQuickStyle" Target="../diagrams/quickStyle4.xml"/><Relationship Id="rId4" Type="http://schemas.openxmlformats.org/officeDocument/2006/relationships/diagramColors" Target="../diagrams/colors1.xml"/><Relationship Id="rId9" Type="http://schemas.openxmlformats.org/officeDocument/2006/relationships/diagramQuickStyle" Target="../diagrams/quickStyle2.xml"/><Relationship Id="rId14" Type="http://schemas.openxmlformats.org/officeDocument/2006/relationships/diagramQuickStyle" Target="../diagrams/quickStyle3.xml"/></Relationships>
</file>

<file path=xl/drawings/_rels/drawing2.xml.rels><?xml version="1.0" encoding="UTF-8" standalone="yes"?>
<Relationships xmlns="http://schemas.openxmlformats.org/package/2006/relationships"><Relationship Id="rId8" Type="http://schemas.openxmlformats.org/officeDocument/2006/relationships/diagramLayout" Target="../diagrams/layout6.xml"/><Relationship Id="rId13" Type="http://schemas.openxmlformats.org/officeDocument/2006/relationships/diagramLayout" Target="../diagrams/layout7.xml"/><Relationship Id="rId18" Type="http://schemas.openxmlformats.org/officeDocument/2006/relationships/diagramLayout" Target="../diagrams/layout8.xml"/><Relationship Id="rId3" Type="http://schemas.openxmlformats.org/officeDocument/2006/relationships/diagramQuickStyle" Target="../diagrams/quickStyle5.xml"/><Relationship Id="rId21" Type="http://schemas.microsoft.com/office/2007/relationships/diagramDrawing" Target="../diagrams/drawing8.xml"/><Relationship Id="rId7" Type="http://schemas.openxmlformats.org/officeDocument/2006/relationships/diagramData" Target="../diagrams/data6.xml"/><Relationship Id="rId12" Type="http://schemas.openxmlformats.org/officeDocument/2006/relationships/diagramData" Target="../diagrams/data7.xml"/><Relationship Id="rId17" Type="http://schemas.openxmlformats.org/officeDocument/2006/relationships/diagramData" Target="../diagrams/data8.xml"/><Relationship Id="rId2" Type="http://schemas.openxmlformats.org/officeDocument/2006/relationships/diagramLayout" Target="../diagrams/layout5.xml"/><Relationship Id="rId16" Type="http://schemas.microsoft.com/office/2007/relationships/diagramDrawing" Target="../diagrams/drawing7.xml"/><Relationship Id="rId20" Type="http://schemas.openxmlformats.org/officeDocument/2006/relationships/diagramColors" Target="../diagrams/colors8.xml"/><Relationship Id="rId1" Type="http://schemas.openxmlformats.org/officeDocument/2006/relationships/diagramData" Target="../diagrams/data5.xml"/><Relationship Id="rId6" Type="http://schemas.openxmlformats.org/officeDocument/2006/relationships/image" Target="../media/image1.png"/><Relationship Id="rId11" Type="http://schemas.microsoft.com/office/2007/relationships/diagramDrawing" Target="../diagrams/drawing6.xml"/><Relationship Id="rId5" Type="http://schemas.microsoft.com/office/2007/relationships/diagramDrawing" Target="../diagrams/drawing5.xml"/><Relationship Id="rId15" Type="http://schemas.openxmlformats.org/officeDocument/2006/relationships/diagramColors" Target="../diagrams/colors7.xml"/><Relationship Id="rId10" Type="http://schemas.openxmlformats.org/officeDocument/2006/relationships/diagramColors" Target="../diagrams/colors6.xml"/><Relationship Id="rId19" Type="http://schemas.openxmlformats.org/officeDocument/2006/relationships/diagramQuickStyle" Target="../diagrams/quickStyle8.xml"/><Relationship Id="rId4" Type="http://schemas.openxmlformats.org/officeDocument/2006/relationships/diagramColors" Target="../diagrams/colors5.xml"/><Relationship Id="rId9" Type="http://schemas.openxmlformats.org/officeDocument/2006/relationships/diagramQuickStyle" Target="../diagrams/quickStyle6.xml"/><Relationship Id="rId14" Type="http://schemas.openxmlformats.org/officeDocument/2006/relationships/diagramQuickStyle" Target="../diagrams/quickStyle7.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209549</xdr:colOff>
      <xdr:row>8</xdr:row>
      <xdr:rowOff>133351</xdr:rowOff>
    </xdr:from>
    <xdr:to>
      <xdr:col>21</xdr:col>
      <xdr:colOff>228600</xdr:colOff>
      <xdr:row>13</xdr:row>
      <xdr:rowOff>171451</xdr:rowOff>
    </xdr:to>
    <xdr:graphicFrame macro="">
      <xdr:nvGraphicFramePr>
        <xdr:cNvPr id="2" name="Diagram 1">
          <a:extLst>
            <a:ext uri="{FF2B5EF4-FFF2-40B4-BE49-F238E27FC236}">
              <a16:creationId xmlns:a16="http://schemas.microsoft.com/office/drawing/2014/main" id="{C9EA4626-47A4-44C7-8B17-91226274F306}"/>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1</xdr:col>
      <xdr:colOff>285750</xdr:colOff>
      <xdr:row>0</xdr:row>
      <xdr:rowOff>142875</xdr:rowOff>
    </xdr:from>
    <xdr:to>
      <xdr:col>20</xdr:col>
      <xdr:colOff>535519</xdr:colOff>
      <xdr:row>3</xdr:row>
      <xdr:rowOff>19112</xdr:rowOff>
    </xdr:to>
    <xdr:pic>
      <xdr:nvPicPr>
        <xdr:cNvPr id="3" name="Picture 2">
          <a:extLst>
            <a:ext uri="{FF2B5EF4-FFF2-40B4-BE49-F238E27FC236}">
              <a16:creationId xmlns:a16="http://schemas.microsoft.com/office/drawing/2014/main" id="{3AB694CD-DCAE-43D9-A490-98FEC2629F76}"/>
            </a:ext>
          </a:extLst>
        </xdr:cNvPr>
        <xdr:cNvPicPr>
          <a:picLocks noChangeAspect="1"/>
        </xdr:cNvPicPr>
      </xdr:nvPicPr>
      <xdr:blipFill>
        <a:blip xmlns:r="http://schemas.openxmlformats.org/officeDocument/2006/relationships" r:embed="rId6"/>
        <a:stretch>
          <a:fillRect/>
        </a:stretch>
      </xdr:blipFill>
      <xdr:spPr>
        <a:xfrm>
          <a:off x="895350" y="142875"/>
          <a:ext cx="15184969" cy="447737"/>
        </a:xfrm>
        <a:prstGeom prst="rect">
          <a:avLst/>
        </a:prstGeom>
      </xdr:spPr>
    </xdr:pic>
    <xdr:clientData/>
  </xdr:twoCellAnchor>
  <xdr:twoCellAnchor>
    <xdr:from>
      <xdr:col>7</xdr:col>
      <xdr:colOff>57152</xdr:colOff>
      <xdr:row>14</xdr:row>
      <xdr:rowOff>157162</xdr:rowOff>
    </xdr:from>
    <xdr:to>
      <xdr:col>9</xdr:col>
      <xdr:colOff>361950</xdr:colOff>
      <xdr:row>19</xdr:row>
      <xdr:rowOff>66675</xdr:rowOff>
    </xdr:to>
    <xdr:graphicFrame macro="">
      <xdr:nvGraphicFramePr>
        <xdr:cNvPr id="4" name="Diagram 3">
          <a:extLst>
            <a:ext uri="{FF2B5EF4-FFF2-40B4-BE49-F238E27FC236}">
              <a16:creationId xmlns:a16="http://schemas.microsoft.com/office/drawing/2014/main" id="{9124ACEA-453A-4154-8DA9-9BD95BFDFE4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7" r:lo="rId8" r:qs="rId9" r:cs="rId10"/>
        </a:graphicData>
      </a:graphic>
    </xdr:graphicFrame>
    <xdr:clientData/>
  </xdr:twoCellAnchor>
  <xdr:twoCellAnchor>
    <xdr:from>
      <xdr:col>9</xdr:col>
      <xdr:colOff>485776</xdr:colOff>
      <xdr:row>14</xdr:row>
      <xdr:rowOff>157162</xdr:rowOff>
    </xdr:from>
    <xdr:to>
      <xdr:col>13</xdr:col>
      <xdr:colOff>38100</xdr:colOff>
      <xdr:row>19</xdr:row>
      <xdr:rowOff>71437</xdr:rowOff>
    </xdr:to>
    <xdr:graphicFrame macro="">
      <xdr:nvGraphicFramePr>
        <xdr:cNvPr id="5" name="Diagram 4">
          <a:extLst>
            <a:ext uri="{FF2B5EF4-FFF2-40B4-BE49-F238E27FC236}">
              <a16:creationId xmlns:a16="http://schemas.microsoft.com/office/drawing/2014/main" id="{5118087C-545E-4EA0-8644-48CA3C917851}"/>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2" r:lo="rId13" r:qs="rId14" r:cs="rId15"/>
        </a:graphicData>
      </a:graphic>
    </xdr:graphicFrame>
    <xdr:clientData/>
  </xdr:twoCellAnchor>
  <xdr:twoCellAnchor>
    <xdr:from>
      <xdr:col>18</xdr:col>
      <xdr:colOff>180973</xdr:colOff>
      <xdr:row>14</xdr:row>
      <xdr:rowOff>157162</xdr:rowOff>
    </xdr:from>
    <xdr:to>
      <xdr:col>20</xdr:col>
      <xdr:colOff>590550</xdr:colOff>
      <xdr:row>19</xdr:row>
      <xdr:rowOff>66675</xdr:rowOff>
    </xdr:to>
    <xdr:graphicFrame macro="">
      <xdr:nvGraphicFramePr>
        <xdr:cNvPr id="6" name="Diagram 5">
          <a:extLst>
            <a:ext uri="{FF2B5EF4-FFF2-40B4-BE49-F238E27FC236}">
              <a16:creationId xmlns:a16="http://schemas.microsoft.com/office/drawing/2014/main" id="{0C34DAAE-1A1B-41FD-91A7-C9E326C8221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7" r:lo="rId18" r:qs="rId19" r:cs="rId2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209549</xdr:colOff>
      <xdr:row>6</xdr:row>
      <xdr:rowOff>57150</xdr:rowOff>
    </xdr:from>
    <xdr:to>
      <xdr:col>20</xdr:col>
      <xdr:colOff>228600</xdr:colOff>
      <xdr:row>17</xdr:row>
      <xdr:rowOff>85727</xdr:rowOff>
    </xdr:to>
    <xdr:graphicFrame macro="">
      <xdr:nvGraphicFramePr>
        <xdr:cNvPr id="2" name="Diagram 1">
          <a:extLst>
            <a:ext uri="{FF2B5EF4-FFF2-40B4-BE49-F238E27FC236}">
              <a16:creationId xmlns:a16="http://schemas.microsoft.com/office/drawing/2014/main" id="{F40D3E2D-505B-D54F-8E7F-66E04E015376}"/>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0</xdr:col>
      <xdr:colOff>276225</xdr:colOff>
      <xdr:row>1</xdr:row>
      <xdr:rowOff>104775</xdr:rowOff>
    </xdr:from>
    <xdr:to>
      <xdr:col>19</xdr:col>
      <xdr:colOff>525994</xdr:colOff>
      <xdr:row>3</xdr:row>
      <xdr:rowOff>171512</xdr:rowOff>
    </xdr:to>
    <xdr:pic>
      <xdr:nvPicPr>
        <xdr:cNvPr id="3" name="Picture 2">
          <a:extLst>
            <a:ext uri="{FF2B5EF4-FFF2-40B4-BE49-F238E27FC236}">
              <a16:creationId xmlns:a16="http://schemas.microsoft.com/office/drawing/2014/main" id="{E7987B8B-A193-8A31-40B8-03C9FD90730A}"/>
            </a:ext>
          </a:extLst>
        </xdr:cNvPr>
        <xdr:cNvPicPr>
          <a:picLocks noChangeAspect="1"/>
        </xdr:cNvPicPr>
      </xdr:nvPicPr>
      <xdr:blipFill>
        <a:blip xmlns:r="http://schemas.openxmlformats.org/officeDocument/2006/relationships" r:embed="rId6"/>
        <a:stretch>
          <a:fillRect/>
        </a:stretch>
      </xdr:blipFill>
      <xdr:spPr>
        <a:xfrm>
          <a:off x="276225" y="295275"/>
          <a:ext cx="15184969" cy="447737"/>
        </a:xfrm>
        <a:prstGeom prst="rect">
          <a:avLst/>
        </a:prstGeom>
      </xdr:spPr>
    </xdr:pic>
    <xdr:clientData/>
  </xdr:twoCellAnchor>
  <xdr:twoCellAnchor>
    <xdr:from>
      <xdr:col>6</xdr:col>
      <xdr:colOff>57152</xdr:colOff>
      <xdr:row>14</xdr:row>
      <xdr:rowOff>157162</xdr:rowOff>
    </xdr:from>
    <xdr:to>
      <xdr:col>8</xdr:col>
      <xdr:colOff>361950</xdr:colOff>
      <xdr:row>19</xdr:row>
      <xdr:rowOff>66675</xdr:rowOff>
    </xdr:to>
    <xdr:graphicFrame macro="">
      <xdr:nvGraphicFramePr>
        <xdr:cNvPr id="6" name="Diagram 5">
          <a:extLst>
            <a:ext uri="{FF2B5EF4-FFF2-40B4-BE49-F238E27FC236}">
              <a16:creationId xmlns:a16="http://schemas.microsoft.com/office/drawing/2014/main" id="{AE8A3BE8-BA12-1C70-28E1-4790729EE4A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7" r:lo="rId8" r:qs="rId9" r:cs="rId10"/>
        </a:graphicData>
      </a:graphic>
    </xdr:graphicFrame>
    <xdr:clientData/>
  </xdr:twoCellAnchor>
  <xdr:twoCellAnchor>
    <xdr:from>
      <xdr:col>8</xdr:col>
      <xdr:colOff>485776</xdr:colOff>
      <xdr:row>14</xdr:row>
      <xdr:rowOff>157162</xdr:rowOff>
    </xdr:from>
    <xdr:to>
      <xdr:col>12</xdr:col>
      <xdr:colOff>38100</xdr:colOff>
      <xdr:row>19</xdr:row>
      <xdr:rowOff>71437</xdr:rowOff>
    </xdr:to>
    <xdr:graphicFrame macro="">
      <xdr:nvGraphicFramePr>
        <xdr:cNvPr id="12" name="Diagram 11">
          <a:extLst>
            <a:ext uri="{FF2B5EF4-FFF2-40B4-BE49-F238E27FC236}">
              <a16:creationId xmlns:a16="http://schemas.microsoft.com/office/drawing/2014/main" id="{31615392-9BCD-4A59-A21C-1799AFE5984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2" r:lo="rId13" r:qs="rId14" r:cs="rId15"/>
        </a:graphicData>
      </a:graphic>
    </xdr:graphicFrame>
    <xdr:clientData/>
  </xdr:twoCellAnchor>
  <xdr:twoCellAnchor>
    <xdr:from>
      <xdr:col>17</xdr:col>
      <xdr:colOff>180973</xdr:colOff>
      <xdr:row>14</xdr:row>
      <xdr:rowOff>157162</xdr:rowOff>
    </xdr:from>
    <xdr:to>
      <xdr:col>19</xdr:col>
      <xdr:colOff>590550</xdr:colOff>
      <xdr:row>19</xdr:row>
      <xdr:rowOff>66675</xdr:rowOff>
    </xdr:to>
    <xdr:graphicFrame macro="">
      <xdr:nvGraphicFramePr>
        <xdr:cNvPr id="13" name="Diagram 12">
          <a:extLst>
            <a:ext uri="{FF2B5EF4-FFF2-40B4-BE49-F238E27FC236}">
              <a16:creationId xmlns:a16="http://schemas.microsoft.com/office/drawing/2014/main" id="{74EE0B76-AAB9-411D-9A49-375EB1C39B9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7" r:lo="rId18" r:qs="rId19" r:cs="rId2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449865</xdr:colOff>
      <xdr:row>6</xdr:row>
      <xdr:rowOff>47791</xdr:rowOff>
    </xdr:to>
    <xdr:pic>
      <xdr:nvPicPr>
        <xdr:cNvPr id="2" name="Picture 1">
          <a:extLst>
            <a:ext uri="{FF2B5EF4-FFF2-40B4-BE49-F238E27FC236}">
              <a16:creationId xmlns:a16="http://schemas.microsoft.com/office/drawing/2014/main" id="{8D71C302-2A71-D8D4-B15C-D1BEA4C4E917}"/>
            </a:ext>
          </a:extLst>
        </xdr:cNvPr>
        <xdr:cNvPicPr>
          <a:picLocks noChangeAspect="1"/>
        </xdr:cNvPicPr>
      </xdr:nvPicPr>
      <xdr:blipFill>
        <a:blip xmlns:r="http://schemas.openxmlformats.org/officeDocument/2006/relationships" r:embed="rId1"/>
        <a:stretch>
          <a:fillRect/>
        </a:stretch>
      </xdr:blipFill>
      <xdr:spPr>
        <a:xfrm>
          <a:off x="0" y="0"/>
          <a:ext cx="15689865" cy="1190791"/>
        </a:xfrm>
        <a:prstGeom prst="rect">
          <a:avLst/>
        </a:prstGeom>
      </xdr:spPr>
    </xdr:pic>
    <xdr:clientData/>
  </xdr:twoCellAnchor>
  <xdr:twoCellAnchor>
    <xdr:from>
      <xdr:col>20</xdr:col>
      <xdr:colOff>514350</xdr:colOff>
      <xdr:row>0</xdr:row>
      <xdr:rowOff>76200</xdr:rowOff>
    </xdr:from>
    <xdr:to>
      <xdr:col>22</xdr:col>
      <xdr:colOff>361950</xdr:colOff>
      <xdr:row>1</xdr:row>
      <xdr:rowOff>161925</xdr:rowOff>
    </xdr:to>
    <xdr:sp macro="" textlink="">
      <xdr:nvSpPr>
        <xdr:cNvPr id="3" name="Rectangle 2">
          <a:extLst>
            <a:ext uri="{FF2B5EF4-FFF2-40B4-BE49-F238E27FC236}">
              <a16:creationId xmlns:a16="http://schemas.microsoft.com/office/drawing/2014/main" id="{E68F8665-CE6E-7176-25CA-D357E0986458}"/>
            </a:ext>
          </a:extLst>
        </xdr:cNvPr>
        <xdr:cNvSpPr/>
      </xdr:nvSpPr>
      <xdr:spPr>
        <a:xfrm>
          <a:off x="12706350" y="76200"/>
          <a:ext cx="1066800" cy="276225"/>
        </a:xfrm>
        <a:prstGeom prst="rect">
          <a:avLst/>
        </a:prstGeom>
        <a:noFill/>
        <a:ln w="2857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GB" sz="1100"/>
        </a:p>
      </xdr:txBody>
    </xdr:sp>
    <xdr:clientData/>
  </xdr:twoCellAnchor>
  <xdr:twoCellAnchor>
    <xdr:from>
      <xdr:col>20</xdr:col>
      <xdr:colOff>304800</xdr:colOff>
      <xdr:row>20</xdr:row>
      <xdr:rowOff>66675</xdr:rowOff>
    </xdr:from>
    <xdr:to>
      <xdr:col>22</xdr:col>
      <xdr:colOff>152400</xdr:colOff>
      <xdr:row>21</xdr:row>
      <xdr:rowOff>152400</xdr:rowOff>
    </xdr:to>
    <xdr:sp macro="" textlink="">
      <xdr:nvSpPr>
        <xdr:cNvPr id="4" name="Rectangle 3">
          <a:extLst>
            <a:ext uri="{FF2B5EF4-FFF2-40B4-BE49-F238E27FC236}">
              <a16:creationId xmlns:a16="http://schemas.microsoft.com/office/drawing/2014/main" id="{84111826-B93E-4F56-85A0-386B0EDF88E9}"/>
            </a:ext>
          </a:extLst>
        </xdr:cNvPr>
        <xdr:cNvSpPr/>
      </xdr:nvSpPr>
      <xdr:spPr>
        <a:xfrm>
          <a:off x="12496800" y="3876675"/>
          <a:ext cx="1066800" cy="276225"/>
        </a:xfrm>
        <a:prstGeom prst="rect">
          <a:avLst/>
        </a:prstGeom>
        <a:noFill/>
        <a:ln w="2857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person displayName="Nikki Papenfus" id="{D420DE5F-9C3E-4B38-8E10-C020AC63C212}" userId="S::npapenfus@openboxsoftware.com::2a405823-0c8b-419b-afb6-8159926c2e1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57" dT="2024-12-02T07:52:20.13" personId="{D420DE5F-9C3E-4B38-8E10-C020AC63C212}" id="{9DAF4AA9-1547-450E-9D3C-2D4F811EE71A}">
    <text>9?</text>
  </threadedComment>
  <threadedComment ref="E68" dT="2024-11-19T11:05:35.37" personId="{D420DE5F-9C3E-4B38-8E10-C020AC63C212}" id="{A6A9AAD5-D558-43E7-8AB4-EB9139D84877}">
    <text>Options in Qube:
Bank of England, Barclays, LIBOR, Lloyds, Midlands, NatWest, RPI Figures, Sales System RPI Figures, Standard Bank Rates</text>
  </threadedComment>
  <threadedComment ref="B103" dT="2024-11-08T13:42:13.51" personId="{D420DE5F-9C3E-4B38-8E10-C020AC63C212}" id="{8038F7A4-CA63-4357-95EC-FE8AA2E2C7D9}">
    <text xml:space="preserve"> (Meter Point Administration Number)</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hyperlink" Target="https://graingerplc--uat.sandbox.lightning.force.com/lightning/r/PricebookEntry/01u4J000001z9iPQAQ/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50383-4CE9-4815-8F78-2C4404B5C96A}">
  <dimension ref="E7:O20"/>
  <sheetViews>
    <sheetView zoomScaleNormal="100" workbookViewId="0">
      <selection activeCell="E26" sqref="E26"/>
    </sheetView>
  </sheetViews>
  <sheetFormatPr defaultColWidth="9.140625" defaultRowHeight="15" x14ac:dyDescent="0.25"/>
  <cols>
    <col min="1" max="2" width="9.140625" style="1"/>
    <col min="3" max="3" width="18.5703125" style="1" customWidth="1"/>
    <col min="4" max="4" width="14.5703125" style="1" customWidth="1"/>
    <col min="5" max="5" width="38.85546875" style="1" customWidth="1"/>
    <col min="6" max="7" width="12" style="1" customWidth="1"/>
    <col min="8" max="16384" width="9.140625" style="1"/>
  </cols>
  <sheetData>
    <row r="7" spans="5:6" x14ac:dyDescent="0.25">
      <c r="E7" s="17"/>
      <c r="F7" s="17"/>
    </row>
    <row r="8" spans="5:6" x14ac:dyDescent="0.25">
      <c r="E8" s="17"/>
      <c r="F8" s="17"/>
    </row>
    <row r="9" spans="5:6" x14ac:dyDescent="0.25">
      <c r="E9" s="17"/>
      <c r="F9" s="17"/>
    </row>
    <row r="17" spans="12:15" x14ac:dyDescent="0.25">
      <c r="L17" s="13"/>
      <c r="N17" s="18"/>
      <c r="O17" s="13"/>
    </row>
    <row r="20" spans="12:15" ht="14.25"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9481-2B8B-4786-A12F-0A31307B114C}">
  <dimension ref="K17:N20"/>
  <sheetViews>
    <sheetView zoomScaleNormal="100" workbookViewId="0">
      <selection activeCell="H31" sqref="H31"/>
    </sheetView>
  </sheetViews>
  <sheetFormatPr defaultColWidth="9.140625" defaultRowHeight="15" x14ac:dyDescent="0.25"/>
  <cols>
    <col min="1" max="1" width="9.140625" style="1"/>
    <col min="2" max="2" width="18.5703125" style="1" customWidth="1"/>
    <col min="3" max="3" width="14.5703125" style="1" customWidth="1"/>
    <col min="4" max="4" width="38.85546875" style="1" customWidth="1"/>
    <col min="5" max="6" width="12" style="1" customWidth="1"/>
    <col min="7" max="16384" width="9.140625" style="1"/>
  </cols>
  <sheetData>
    <row r="17" spans="11:14" x14ac:dyDescent="0.25">
      <c r="K17" s="13"/>
      <c r="N17" s="13"/>
    </row>
    <row r="20" spans="11:14" ht="14.25"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E38F1-B41E-4D4F-9E91-B1E484DDA292}">
  <sheetPr>
    <tabColor theme="1" tint="0.499984740745262"/>
  </sheetPr>
  <dimension ref="A1:N36"/>
  <sheetViews>
    <sheetView workbookViewId="0">
      <selection activeCell="H35" sqref="H35"/>
    </sheetView>
  </sheetViews>
  <sheetFormatPr defaultColWidth="9.140625" defaultRowHeight="15" x14ac:dyDescent="0.25"/>
  <cols>
    <col min="1" max="1" width="2.7109375" style="196" customWidth="1"/>
    <col min="2" max="2" width="16" style="200" customWidth="1"/>
    <col min="3" max="3" width="13.5703125" style="200" customWidth="1"/>
    <col min="4" max="4" width="11.140625" style="200" customWidth="1"/>
    <col min="5" max="5" width="18" style="200" customWidth="1"/>
    <col min="6" max="6" width="16.5703125" style="200" bestFit="1" customWidth="1"/>
    <col min="7" max="7" width="18.7109375" style="200" bestFit="1" customWidth="1"/>
    <col min="8" max="8" width="26.42578125" style="200" bestFit="1" customWidth="1"/>
    <col min="9" max="9" width="8.140625" style="196" customWidth="1"/>
    <col min="10" max="12" width="20.140625" style="200" customWidth="1"/>
    <col min="13" max="13" width="5.42578125" style="196" customWidth="1"/>
    <col min="14" max="14" width="40.42578125" style="196" customWidth="1"/>
    <col min="15" max="16384" width="9.140625" style="200"/>
  </cols>
  <sheetData>
    <row r="1" spans="2:14" s="196" customFormat="1" x14ac:dyDescent="0.25"/>
    <row r="2" spans="2:14" x14ac:dyDescent="0.25">
      <c r="B2" s="279" t="s">
        <v>0</v>
      </c>
      <c r="C2" s="280"/>
      <c r="D2" s="280"/>
      <c r="E2" s="280"/>
      <c r="F2" s="280"/>
      <c r="G2" s="281"/>
      <c r="H2" s="196"/>
      <c r="J2" s="279" t="s">
        <v>1</v>
      </c>
      <c r="K2" s="280"/>
      <c r="L2" s="281"/>
    </row>
    <row r="3" spans="2:14" x14ac:dyDescent="0.25">
      <c r="B3" s="201" t="s">
        <v>2</v>
      </c>
      <c r="C3" s="202" t="s">
        <v>3</v>
      </c>
      <c r="D3" s="202" t="s">
        <v>4</v>
      </c>
      <c r="E3" s="202" t="s">
        <v>5</v>
      </c>
      <c r="F3" s="202" t="s">
        <v>6</v>
      </c>
      <c r="G3" s="203" t="s">
        <v>7</v>
      </c>
      <c r="H3" s="196"/>
      <c r="J3" s="201" t="s">
        <v>8</v>
      </c>
      <c r="K3" s="204" t="s">
        <v>9</v>
      </c>
      <c r="L3" s="205" t="s">
        <v>4</v>
      </c>
    </row>
    <row r="4" spans="2:14" x14ac:dyDescent="0.25">
      <c r="B4" s="206" t="s">
        <v>10</v>
      </c>
      <c r="C4" s="200">
        <v>5</v>
      </c>
      <c r="D4" s="207">
        <f>C4*100</f>
        <v>500</v>
      </c>
      <c r="E4" s="207"/>
      <c r="F4" s="207"/>
      <c r="G4" s="208">
        <f>D4/$D$7</f>
        <v>7.6923076923076927E-2</v>
      </c>
      <c r="H4" s="196"/>
      <c r="J4" s="209" t="s">
        <v>11</v>
      </c>
      <c r="K4" s="200">
        <v>10</v>
      </c>
      <c r="L4" s="210">
        <v>50005</v>
      </c>
    </row>
    <row r="5" spans="2:14" x14ac:dyDescent="0.25">
      <c r="B5" s="275" t="s">
        <v>12</v>
      </c>
      <c r="C5" s="244">
        <v>10</v>
      </c>
      <c r="D5" s="243">
        <f t="shared" ref="D5:D6" si="0">C5*100</f>
        <v>1000</v>
      </c>
      <c r="E5" s="276">
        <v>25</v>
      </c>
      <c r="F5" s="207">
        <v>25</v>
      </c>
      <c r="G5" s="208">
        <f>D5/$D$7</f>
        <v>0.15384615384615385</v>
      </c>
      <c r="H5" s="277" t="s">
        <v>13</v>
      </c>
      <c r="J5" s="209" t="s">
        <v>14</v>
      </c>
      <c r="K5" s="200">
        <v>2</v>
      </c>
      <c r="L5" s="210">
        <v>10000</v>
      </c>
    </row>
    <row r="6" spans="2:14" x14ac:dyDescent="0.25">
      <c r="B6" s="206" t="s">
        <v>15</v>
      </c>
      <c r="C6" s="244">
        <v>50</v>
      </c>
      <c r="D6" s="264">
        <f t="shared" si="0"/>
        <v>5000</v>
      </c>
      <c r="E6" s="207"/>
      <c r="F6" s="207"/>
      <c r="G6" s="208">
        <f>D6/$D$7</f>
        <v>0.76923076923076927</v>
      </c>
      <c r="H6" s="196"/>
      <c r="J6" s="209" t="s">
        <v>16</v>
      </c>
      <c r="K6" s="200">
        <v>1</v>
      </c>
      <c r="L6" s="210">
        <v>1548</v>
      </c>
    </row>
    <row r="7" spans="2:14" x14ac:dyDescent="0.25">
      <c r="B7" s="211" t="s">
        <v>17</v>
      </c>
      <c r="C7" s="212">
        <f>SUM(C4:C6)</f>
        <v>65</v>
      </c>
      <c r="D7" s="213">
        <f t="shared" ref="D7:E7" si="1">SUM(D4:D6)</f>
        <v>6500</v>
      </c>
      <c r="E7" s="213">
        <f t="shared" si="1"/>
        <v>25</v>
      </c>
      <c r="F7" s="213">
        <f t="shared" ref="F7" si="2">SUM(F4:F6)</f>
        <v>25</v>
      </c>
      <c r="G7" s="214">
        <f>SUM(G4:G6)</f>
        <v>1</v>
      </c>
      <c r="H7" s="196"/>
      <c r="J7" s="209" t="s">
        <v>18</v>
      </c>
      <c r="K7" s="200">
        <v>1</v>
      </c>
      <c r="L7" s="210">
        <v>1548</v>
      </c>
    </row>
    <row r="8" spans="2:14" x14ac:dyDescent="0.25">
      <c r="B8" s="196"/>
      <c r="C8" s="196"/>
      <c r="D8" s="196"/>
      <c r="E8" s="196"/>
      <c r="F8" s="196"/>
      <c r="G8" s="196"/>
      <c r="H8" s="196"/>
      <c r="J8" s="209" t="s">
        <v>19</v>
      </c>
      <c r="K8" s="200">
        <v>5</v>
      </c>
      <c r="L8" s="210">
        <v>55744</v>
      </c>
    </row>
    <row r="9" spans="2:14" x14ac:dyDescent="0.25">
      <c r="B9" s="196"/>
      <c r="C9" s="196"/>
      <c r="D9" s="196"/>
      <c r="E9" s="196"/>
      <c r="F9" s="196"/>
      <c r="G9" s="196"/>
      <c r="H9" s="196"/>
      <c r="J9" s="215" t="s">
        <v>20</v>
      </c>
      <c r="K9" s="207">
        <v>0</v>
      </c>
      <c r="L9" s="210">
        <v>0</v>
      </c>
    </row>
    <row r="10" spans="2:14" x14ac:dyDescent="0.25">
      <c r="B10" s="279" t="s">
        <v>21</v>
      </c>
      <c r="C10" s="280"/>
      <c r="D10" s="280"/>
      <c r="E10" s="280"/>
      <c r="F10" s="280"/>
      <c r="G10" s="282"/>
      <c r="H10" s="283"/>
      <c r="J10" s="209" t="s">
        <v>22</v>
      </c>
      <c r="K10" s="200">
        <v>1</v>
      </c>
      <c r="L10" s="210">
        <v>1548</v>
      </c>
    </row>
    <row r="11" spans="2:14" x14ac:dyDescent="0.25">
      <c r="B11" s="201" t="s">
        <v>23</v>
      </c>
      <c r="C11" s="202" t="s">
        <v>24</v>
      </c>
      <c r="D11" s="202" t="s">
        <v>25</v>
      </c>
      <c r="E11" s="202" t="s">
        <v>26</v>
      </c>
      <c r="F11" s="202" t="s">
        <v>27</v>
      </c>
      <c r="G11" s="202" t="s">
        <v>2</v>
      </c>
      <c r="H11" s="218" t="s">
        <v>28</v>
      </c>
      <c r="J11" s="209" t="s">
        <v>29</v>
      </c>
      <c r="K11" s="200">
        <v>1</v>
      </c>
      <c r="L11" s="210">
        <v>1548</v>
      </c>
    </row>
    <row r="12" spans="2:14" x14ac:dyDescent="0.25">
      <c r="B12" s="219" t="s">
        <v>30</v>
      </c>
      <c r="H12" s="220"/>
      <c r="J12" s="209" t="s">
        <v>31</v>
      </c>
      <c r="K12" s="200">
        <v>1</v>
      </c>
      <c r="L12" s="210">
        <v>1548</v>
      </c>
      <c r="N12" s="196" t="s">
        <v>32</v>
      </c>
    </row>
    <row r="13" spans="2:14" x14ac:dyDescent="0.25">
      <c r="B13" s="219"/>
      <c r="C13" s="200" t="s">
        <v>33</v>
      </c>
      <c r="D13" s="273" t="s">
        <v>34</v>
      </c>
      <c r="E13" s="207">
        <v>1500</v>
      </c>
      <c r="F13" s="200">
        <v>10</v>
      </c>
      <c r="G13" s="200" t="s">
        <v>10</v>
      </c>
      <c r="H13" s="220"/>
      <c r="J13" s="211" t="s">
        <v>17</v>
      </c>
      <c r="K13" s="212">
        <f>SUM(K4:K12)</f>
        <v>22</v>
      </c>
      <c r="L13" s="221">
        <f>SUM(L4:L12)</f>
        <v>123489</v>
      </c>
    </row>
    <row r="14" spans="2:14" x14ac:dyDescent="0.25">
      <c r="B14" s="219"/>
      <c r="C14" s="200" t="s">
        <v>33</v>
      </c>
      <c r="D14" s="273" t="s">
        <v>35</v>
      </c>
      <c r="E14" s="207">
        <v>1500</v>
      </c>
      <c r="F14" s="200">
        <v>25</v>
      </c>
      <c r="G14" s="271" t="s">
        <v>12</v>
      </c>
      <c r="H14" s="248">
        <v>20</v>
      </c>
      <c r="J14" s="242" t="s">
        <v>36</v>
      </c>
      <c r="K14" s="196"/>
      <c r="L14" s="196"/>
    </row>
    <row r="15" spans="2:14" x14ac:dyDescent="0.25">
      <c r="B15" s="219"/>
      <c r="C15" s="223"/>
      <c r="D15" s="245">
        <v>2</v>
      </c>
      <c r="E15" s="246">
        <f>SUM(E13:E14)</f>
        <v>3000</v>
      </c>
      <c r="F15" s="225">
        <f>AVERAGE(F13:F14)</f>
        <v>17.5</v>
      </c>
      <c r="G15" s="224"/>
      <c r="H15" s="226">
        <f t="shared" ref="H15" si="3">AVERAGE(H13:H14)</f>
        <v>20</v>
      </c>
      <c r="J15" s="196"/>
      <c r="K15" s="196"/>
      <c r="L15" s="196"/>
    </row>
    <row r="16" spans="2:14" x14ac:dyDescent="0.25">
      <c r="B16" s="219" t="s">
        <v>37</v>
      </c>
      <c r="H16" s="220"/>
      <c r="J16" s="197" t="s">
        <v>38</v>
      </c>
      <c r="K16" s="198"/>
      <c r="L16" s="199"/>
    </row>
    <row r="17" spans="2:12" x14ac:dyDescent="0.25">
      <c r="B17" s="219"/>
      <c r="C17" s="200" t="s">
        <v>33</v>
      </c>
      <c r="D17" s="273" t="s">
        <v>39</v>
      </c>
      <c r="E17" s="207">
        <v>1500</v>
      </c>
      <c r="F17" s="200">
        <v>66</v>
      </c>
      <c r="G17" s="200" t="s">
        <v>10</v>
      </c>
      <c r="H17" s="220"/>
      <c r="J17" s="201" t="s">
        <v>8</v>
      </c>
      <c r="K17" s="247" t="s">
        <v>40</v>
      </c>
      <c r="L17" s="205"/>
    </row>
    <row r="18" spans="2:12" x14ac:dyDescent="0.25">
      <c r="B18" s="219"/>
      <c r="C18" s="200" t="s">
        <v>33</v>
      </c>
      <c r="D18" s="273" t="s">
        <v>41</v>
      </c>
      <c r="E18" s="207">
        <v>1500</v>
      </c>
      <c r="F18" s="200">
        <v>10</v>
      </c>
      <c r="G18" s="271" t="s">
        <v>12</v>
      </c>
      <c r="H18" s="248">
        <v>5</v>
      </c>
      <c r="J18" s="209" t="s">
        <v>11</v>
      </c>
      <c r="K18" s="233">
        <v>32</v>
      </c>
      <c r="L18" s="210"/>
    </row>
    <row r="19" spans="2:12" x14ac:dyDescent="0.25">
      <c r="B19" s="206"/>
      <c r="C19" s="227"/>
      <c r="D19" s="228">
        <v>2</v>
      </c>
      <c r="E19" s="229">
        <f>SUM(E17:E18)</f>
        <v>3000</v>
      </c>
      <c r="F19" s="225">
        <f>AVERAGE(F17:F18)</f>
        <v>38</v>
      </c>
      <c r="G19" s="224"/>
      <c r="H19" s="226">
        <f t="shared" ref="H19" si="4">AVERAGE(H17:H18)</f>
        <v>5</v>
      </c>
      <c r="J19" s="209" t="s">
        <v>14</v>
      </c>
      <c r="K19" s="233">
        <v>5</v>
      </c>
      <c r="L19" s="210"/>
    </row>
    <row r="20" spans="2:12" x14ac:dyDescent="0.25">
      <c r="B20" s="211" t="s">
        <v>17</v>
      </c>
      <c r="C20" s="212"/>
      <c r="D20" s="270">
        <v>4</v>
      </c>
      <c r="E20" s="274">
        <f>E19+E15</f>
        <v>6000</v>
      </c>
      <c r="F20" s="230">
        <f>(F19+F15)/2</f>
        <v>27.75</v>
      </c>
      <c r="G20" s="213"/>
      <c r="H20" s="231">
        <f>(H19+H15)</f>
        <v>25</v>
      </c>
      <c r="J20" s="209" t="s">
        <v>16</v>
      </c>
      <c r="K20" s="233">
        <v>2.5</v>
      </c>
      <c r="L20" s="210"/>
    </row>
    <row r="21" spans="2:12" x14ac:dyDescent="0.25">
      <c r="B21" s="196"/>
      <c r="C21" s="196"/>
      <c r="D21" s="196"/>
      <c r="E21" s="232"/>
      <c r="F21" s="196"/>
      <c r="G21" s="196"/>
      <c r="H21" s="196"/>
      <c r="J21" s="209" t="s">
        <v>18</v>
      </c>
      <c r="K21" s="233">
        <v>55.96</v>
      </c>
      <c r="L21" s="210"/>
    </row>
    <row r="22" spans="2:12" x14ac:dyDescent="0.25">
      <c r="B22" s="196"/>
      <c r="C22" s="196"/>
      <c r="D22" s="196"/>
      <c r="E22" s="196"/>
      <c r="F22" s="196"/>
      <c r="G22" s="196"/>
      <c r="H22" s="196"/>
      <c r="J22" s="209" t="s">
        <v>19</v>
      </c>
      <c r="K22" s="233">
        <v>23</v>
      </c>
      <c r="L22" s="210"/>
    </row>
    <row r="23" spans="2:12" x14ac:dyDescent="0.25">
      <c r="B23" s="197" t="s">
        <v>42</v>
      </c>
      <c r="C23" s="198"/>
      <c r="D23" s="198"/>
      <c r="E23" s="198"/>
      <c r="F23" s="198"/>
      <c r="G23" s="216"/>
      <c r="H23" s="217"/>
      <c r="J23" s="215" t="s">
        <v>20</v>
      </c>
      <c r="K23" s="237">
        <v>5</v>
      </c>
      <c r="L23" s="210"/>
    </row>
    <row r="24" spans="2:12" x14ac:dyDescent="0.25">
      <c r="B24" s="201" t="s">
        <v>43</v>
      </c>
      <c r="C24" s="202" t="s">
        <v>25</v>
      </c>
      <c r="D24" s="202" t="s">
        <v>26</v>
      </c>
      <c r="E24" s="202" t="s">
        <v>44</v>
      </c>
      <c r="F24" s="202" t="s">
        <v>45</v>
      </c>
      <c r="G24" s="202" t="s">
        <v>46</v>
      </c>
      <c r="H24" s="234" t="s">
        <v>47</v>
      </c>
      <c r="I24" s="235"/>
      <c r="J24" s="209" t="s">
        <v>22</v>
      </c>
      <c r="K24" s="233">
        <v>15</v>
      </c>
      <c r="L24" s="210"/>
    </row>
    <row r="25" spans="2:12" x14ac:dyDescent="0.25">
      <c r="B25" s="265" t="s">
        <v>33</v>
      </c>
      <c r="C25" s="200">
        <v>1</v>
      </c>
      <c r="D25" s="207">
        <v>1500</v>
      </c>
      <c r="E25" s="266" t="s">
        <v>48</v>
      </c>
      <c r="F25" s="267">
        <v>45413</v>
      </c>
      <c r="G25" s="264" t="s">
        <v>49</v>
      </c>
      <c r="H25" s="268">
        <v>96000</v>
      </c>
      <c r="I25" s="235"/>
      <c r="J25" s="209" t="s">
        <v>29</v>
      </c>
      <c r="K25" s="233">
        <v>2.7</v>
      </c>
      <c r="L25" s="210"/>
    </row>
    <row r="26" spans="2:12" x14ac:dyDescent="0.25">
      <c r="B26" s="265" t="s">
        <v>33</v>
      </c>
      <c r="C26" s="200">
        <v>11</v>
      </c>
      <c r="D26" s="207">
        <v>1500</v>
      </c>
      <c r="E26" s="266" t="s">
        <v>48</v>
      </c>
      <c r="F26" s="267">
        <v>45413</v>
      </c>
      <c r="G26" s="264" t="s">
        <v>50</v>
      </c>
      <c r="H26" s="268">
        <v>100000</v>
      </c>
      <c r="I26" s="235"/>
      <c r="J26" s="209" t="s">
        <v>31</v>
      </c>
      <c r="K26" s="233">
        <v>16</v>
      </c>
      <c r="L26" s="210"/>
    </row>
    <row r="27" spans="2:12" x14ac:dyDescent="0.25">
      <c r="B27" s="211" t="s">
        <v>51</v>
      </c>
      <c r="C27" s="212"/>
      <c r="D27" s="213">
        <f>SUM(D25:D26)</f>
        <v>3000</v>
      </c>
      <c r="E27" s="212"/>
      <c r="F27" s="238"/>
      <c r="G27" s="213"/>
      <c r="H27" s="269">
        <f>SUM(H25:H26)</f>
        <v>196000</v>
      </c>
      <c r="I27" s="235"/>
      <c r="J27" s="211" t="s">
        <v>52</v>
      </c>
      <c r="K27" s="241">
        <f>SUM(K18:K26)</f>
        <v>157.16</v>
      </c>
      <c r="L27" s="231"/>
    </row>
    <row r="28" spans="2:12" x14ac:dyDescent="0.25">
      <c r="B28" s="222" t="s">
        <v>53</v>
      </c>
      <c r="C28" s="196"/>
      <c r="D28" s="196"/>
      <c r="E28" s="196"/>
      <c r="F28" s="196"/>
      <c r="G28" s="196"/>
      <c r="H28" s="272" t="s">
        <v>54</v>
      </c>
      <c r="I28" s="235"/>
      <c r="J28" s="196"/>
      <c r="K28" s="196"/>
      <c r="L28" s="196"/>
    </row>
    <row r="29" spans="2:12" x14ac:dyDescent="0.25">
      <c r="B29" s="196"/>
      <c r="C29" s="196"/>
      <c r="D29" s="196"/>
      <c r="E29" s="196"/>
      <c r="F29" s="196"/>
      <c r="G29" s="196"/>
      <c r="H29" s="196"/>
      <c r="I29" s="235"/>
      <c r="J29" s="197" t="s">
        <v>55</v>
      </c>
      <c r="K29" s="198"/>
      <c r="L29" s="199"/>
    </row>
    <row r="30" spans="2:12" x14ac:dyDescent="0.25">
      <c r="B30" s="279" t="s">
        <v>56</v>
      </c>
      <c r="C30" s="280"/>
      <c r="D30" s="280"/>
      <c r="E30" s="280"/>
      <c r="F30" s="280"/>
      <c r="G30" s="282"/>
      <c r="H30" s="283"/>
      <c r="I30" s="235"/>
      <c r="J30" s="201" t="s">
        <v>8</v>
      </c>
      <c r="K30" s="204" t="s">
        <v>40</v>
      </c>
      <c r="L30" s="205"/>
    </row>
    <row r="31" spans="2:12" x14ac:dyDescent="0.25">
      <c r="B31" s="201" t="s">
        <v>24</v>
      </c>
      <c r="C31" s="202" t="s">
        <v>25</v>
      </c>
      <c r="D31" s="202" t="s">
        <v>26</v>
      </c>
      <c r="E31" s="202" t="s">
        <v>44</v>
      </c>
      <c r="F31" s="202" t="s">
        <v>57</v>
      </c>
      <c r="G31" s="202" t="s">
        <v>58</v>
      </c>
      <c r="H31" s="234" t="s">
        <v>59</v>
      </c>
      <c r="I31" s="235"/>
      <c r="J31" s="209" t="s">
        <v>11</v>
      </c>
      <c r="K31" s="233">
        <v>50</v>
      </c>
      <c r="L31" s="210"/>
    </row>
    <row r="32" spans="2:12" s="196" customFormat="1" x14ac:dyDescent="0.25">
      <c r="B32" s="206" t="s">
        <v>33</v>
      </c>
      <c r="C32" s="200">
        <v>1</v>
      </c>
      <c r="D32" s="207">
        <v>1500</v>
      </c>
      <c r="E32" s="200" t="s">
        <v>48</v>
      </c>
      <c r="F32" s="236">
        <v>45413</v>
      </c>
      <c r="G32" s="200" t="s">
        <v>60</v>
      </c>
      <c r="H32" s="220" t="s">
        <v>61</v>
      </c>
      <c r="J32" s="209" t="s">
        <v>14</v>
      </c>
      <c r="K32" s="233">
        <v>5</v>
      </c>
      <c r="L32" s="210"/>
    </row>
    <row r="33" spans="2:12" s="196" customFormat="1" x14ac:dyDescent="0.25">
      <c r="B33" s="206" t="s">
        <v>33</v>
      </c>
      <c r="C33" s="200">
        <v>5</v>
      </c>
      <c r="D33" s="207">
        <v>1500</v>
      </c>
      <c r="E33" s="200" t="s">
        <v>62</v>
      </c>
      <c r="F33" s="236">
        <v>45414</v>
      </c>
      <c r="G33" s="200" t="s">
        <v>63</v>
      </c>
      <c r="H33" s="220" t="s">
        <v>64</v>
      </c>
      <c r="J33" s="209" t="s">
        <v>16</v>
      </c>
      <c r="K33" s="233">
        <v>2.5</v>
      </c>
      <c r="L33" s="210"/>
    </row>
    <row r="34" spans="2:12" s="196" customFormat="1" x14ac:dyDescent="0.25">
      <c r="B34" s="211" t="s">
        <v>51</v>
      </c>
      <c r="C34" s="212"/>
      <c r="D34" s="213">
        <f>SUM(D32:D33)</f>
        <v>3000</v>
      </c>
      <c r="E34" s="212"/>
      <c r="F34" s="238"/>
      <c r="G34" s="239"/>
      <c r="H34" s="240"/>
      <c r="J34" s="209" t="s">
        <v>18</v>
      </c>
      <c r="K34" s="233">
        <v>2</v>
      </c>
      <c r="L34" s="210"/>
    </row>
    <row r="35" spans="2:12" s="196" customFormat="1" x14ac:dyDescent="0.25">
      <c r="B35" s="242" t="s">
        <v>65</v>
      </c>
      <c r="H35" s="278" t="s">
        <v>66</v>
      </c>
      <c r="J35" s="209" t="s">
        <v>19</v>
      </c>
      <c r="K35" s="233">
        <v>1</v>
      </c>
      <c r="L35" s="210"/>
    </row>
    <row r="36" spans="2:12" x14ac:dyDescent="0.25">
      <c r="J36" s="211" t="s">
        <v>52</v>
      </c>
      <c r="K36" s="241">
        <f>SUM(K31:K35)</f>
        <v>60.5</v>
      </c>
      <c r="L36" s="231"/>
    </row>
  </sheetData>
  <phoneticPr fontId="1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9051E-05FE-4BA6-A32B-C14FE25863D4}">
  <sheetPr>
    <tabColor theme="9"/>
  </sheetPr>
  <dimension ref="A1:H46"/>
  <sheetViews>
    <sheetView topLeftCell="A15" zoomScale="85" zoomScaleNormal="85" workbookViewId="0">
      <selection activeCell="G20" sqref="G20"/>
    </sheetView>
  </sheetViews>
  <sheetFormatPr defaultColWidth="9.140625" defaultRowHeight="15" x14ac:dyDescent="0.25"/>
  <cols>
    <col min="1" max="1" width="31.42578125" style="6" customWidth="1"/>
    <col min="2" max="2" width="13.140625" style="6" customWidth="1"/>
    <col min="3" max="3" width="43" style="6" customWidth="1"/>
    <col min="4" max="4" width="33.28515625" style="4" customWidth="1"/>
    <col min="5" max="6" width="9.140625" style="6"/>
    <col min="7" max="7" width="32" style="6" customWidth="1"/>
    <col min="8" max="8" width="37.5703125" style="6" customWidth="1"/>
    <col min="9" max="16384" width="9.140625" style="6"/>
  </cols>
  <sheetData>
    <row r="1" spans="1:8" ht="30" x14ac:dyDescent="0.25">
      <c r="A1" s="2" t="s">
        <v>67</v>
      </c>
      <c r="B1" s="2" t="s">
        <v>68</v>
      </c>
      <c r="C1" s="2" t="s">
        <v>69</v>
      </c>
      <c r="D1" s="2" t="s">
        <v>70</v>
      </c>
      <c r="E1" s="2" t="s">
        <v>71</v>
      </c>
      <c r="F1" s="2" t="s">
        <v>72</v>
      </c>
      <c r="G1" s="2" t="s">
        <v>73</v>
      </c>
      <c r="H1" s="2" t="s">
        <v>74</v>
      </c>
    </row>
    <row r="2" spans="1:8" x14ac:dyDescent="0.25">
      <c r="A2" s="5" t="s">
        <v>75</v>
      </c>
      <c r="B2" s="50" t="s">
        <v>76</v>
      </c>
      <c r="C2" s="51"/>
      <c r="D2" s="188" t="s">
        <v>77</v>
      </c>
      <c r="E2" s="5" t="s">
        <v>78</v>
      </c>
      <c r="F2" s="5" t="s">
        <v>79</v>
      </c>
      <c r="G2" s="5"/>
      <c r="H2" s="5"/>
    </row>
    <row r="3" spans="1:8" x14ac:dyDescent="0.25">
      <c r="A3" s="5" t="s">
        <v>80</v>
      </c>
      <c r="B3" s="50" t="s">
        <v>76</v>
      </c>
      <c r="C3" s="51"/>
      <c r="D3" s="4" t="s">
        <v>81</v>
      </c>
      <c r="E3" s="5" t="s">
        <v>78</v>
      </c>
      <c r="F3" s="5" t="s">
        <v>79</v>
      </c>
      <c r="G3" s="5"/>
      <c r="H3" s="5"/>
    </row>
    <row r="4" spans="1:8" x14ac:dyDescent="0.25">
      <c r="A4" s="5" t="s">
        <v>82</v>
      </c>
      <c r="B4" s="50" t="s">
        <v>76</v>
      </c>
      <c r="D4" s="4" t="s">
        <v>83</v>
      </c>
      <c r="E4" s="5" t="s">
        <v>79</v>
      </c>
      <c r="F4" s="5" t="s">
        <v>78</v>
      </c>
    </row>
    <row r="5" spans="1:8" x14ac:dyDescent="0.25">
      <c r="A5" s="5" t="s">
        <v>84</v>
      </c>
      <c r="B5" s="50" t="s">
        <v>76</v>
      </c>
      <c r="D5" s="4" t="s">
        <v>84</v>
      </c>
      <c r="E5" s="5" t="s">
        <v>79</v>
      </c>
      <c r="F5" s="5" t="s">
        <v>79</v>
      </c>
    </row>
    <row r="6" spans="1:8" ht="30" x14ac:dyDescent="0.25">
      <c r="A6" s="5" t="s">
        <v>85</v>
      </c>
      <c r="B6" s="50" t="s">
        <v>76</v>
      </c>
      <c r="D6" s="4" t="s">
        <v>85</v>
      </c>
      <c r="E6" s="5" t="s">
        <v>79</v>
      </c>
      <c r="F6" s="5" t="s">
        <v>78</v>
      </c>
      <c r="H6" s="189" t="s">
        <v>86</v>
      </c>
    </row>
    <row r="7" spans="1:8" x14ac:dyDescent="0.25">
      <c r="A7" s="5" t="s">
        <v>87</v>
      </c>
      <c r="B7" s="50" t="s">
        <v>76</v>
      </c>
      <c r="C7" s="51"/>
      <c r="D7" s="4" t="s">
        <v>88</v>
      </c>
      <c r="E7" s="5" t="s">
        <v>79</v>
      </c>
      <c r="F7" s="5" t="s">
        <v>78</v>
      </c>
    </row>
    <row r="8" spans="1:8" x14ac:dyDescent="0.25">
      <c r="A8" s="5" t="s">
        <v>89</v>
      </c>
      <c r="B8" s="50" t="s">
        <v>76</v>
      </c>
      <c r="D8" s="4" t="s">
        <v>89</v>
      </c>
      <c r="E8" s="5" t="s">
        <v>79</v>
      </c>
      <c r="F8" s="5" t="s">
        <v>78</v>
      </c>
    </row>
    <row r="9" spans="1:8" x14ac:dyDescent="0.25">
      <c r="A9" s="5" t="s">
        <v>90</v>
      </c>
      <c r="B9" s="50" t="s">
        <v>76</v>
      </c>
      <c r="C9" s="188" t="s">
        <v>91</v>
      </c>
      <c r="D9" s="4" t="s">
        <v>90</v>
      </c>
      <c r="E9" s="5" t="s">
        <v>79</v>
      </c>
      <c r="F9" s="5" t="s">
        <v>78</v>
      </c>
    </row>
    <row r="10" spans="1:8" ht="30" x14ac:dyDescent="0.25">
      <c r="A10" s="5" t="s">
        <v>92</v>
      </c>
      <c r="B10" s="50" t="s">
        <v>76</v>
      </c>
      <c r="C10" s="189" t="s">
        <v>93</v>
      </c>
      <c r="D10" s="4" t="s">
        <v>94</v>
      </c>
      <c r="E10" s="5" t="s">
        <v>79</v>
      </c>
      <c r="F10" s="5" t="s">
        <v>78</v>
      </c>
    </row>
    <row r="11" spans="1:8" ht="30" x14ac:dyDescent="0.25">
      <c r="A11" s="5" t="s">
        <v>95</v>
      </c>
      <c r="B11" s="50" t="s">
        <v>96</v>
      </c>
      <c r="C11" s="189" t="s">
        <v>97</v>
      </c>
      <c r="D11" s="6"/>
      <c r="E11" s="5" t="s">
        <v>78</v>
      </c>
      <c r="F11" s="5" t="s">
        <v>78</v>
      </c>
    </row>
    <row r="12" spans="1:8" x14ac:dyDescent="0.25">
      <c r="A12" s="5" t="s">
        <v>98</v>
      </c>
      <c r="B12" s="50" t="s">
        <v>76</v>
      </c>
      <c r="C12" s="189"/>
      <c r="D12" s="4" t="s">
        <v>99</v>
      </c>
      <c r="E12" s="5" t="s">
        <v>79</v>
      </c>
      <c r="F12" s="5" t="s">
        <v>78</v>
      </c>
    </row>
    <row r="13" spans="1:8" x14ac:dyDescent="0.25">
      <c r="A13" s="5" t="s">
        <v>100</v>
      </c>
      <c r="B13" s="50" t="s">
        <v>96</v>
      </c>
      <c r="D13" s="4" t="s">
        <v>100</v>
      </c>
      <c r="E13" s="5" t="s">
        <v>79</v>
      </c>
      <c r="F13" s="5" t="s">
        <v>78</v>
      </c>
    </row>
    <row r="14" spans="1:8" x14ac:dyDescent="0.25">
      <c r="A14" s="5" t="s">
        <v>101</v>
      </c>
      <c r="B14" s="50" t="s">
        <v>76</v>
      </c>
      <c r="C14" s="189"/>
      <c r="D14" s="4" t="s">
        <v>101</v>
      </c>
      <c r="E14" s="5" t="s">
        <v>79</v>
      </c>
      <c r="F14" s="5" t="s">
        <v>78</v>
      </c>
    </row>
    <row r="15" spans="1:8" x14ac:dyDescent="0.25">
      <c r="A15" s="5" t="s">
        <v>102</v>
      </c>
      <c r="B15" s="50" t="s">
        <v>76</v>
      </c>
      <c r="C15" s="189"/>
      <c r="D15" s="4" t="s">
        <v>103</v>
      </c>
      <c r="E15" s="5" t="s">
        <v>79</v>
      </c>
      <c r="F15" s="5" t="s">
        <v>78</v>
      </c>
    </row>
    <row r="16" spans="1:8" ht="45" x14ac:dyDescent="0.25">
      <c r="A16" s="5" t="s">
        <v>104</v>
      </c>
      <c r="B16" s="50" t="s">
        <v>76</v>
      </c>
      <c r="C16" s="5" t="s">
        <v>105</v>
      </c>
      <c r="E16" s="5" t="s">
        <v>79</v>
      </c>
      <c r="F16" s="5" t="s">
        <v>78</v>
      </c>
      <c r="H16" s="188" t="s">
        <v>106</v>
      </c>
    </row>
    <row r="17" spans="1:8" x14ac:dyDescent="0.25">
      <c r="A17" s="5" t="s">
        <v>107</v>
      </c>
      <c r="B17" s="50" t="s">
        <v>76</v>
      </c>
      <c r="C17" s="5" t="s">
        <v>108</v>
      </c>
      <c r="E17" s="5" t="s">
        <v>79</v>
      </c>
      <c r="F17" s="5" t="s">
        <v>78</v>
      </c>
    </row>
    <row r="18" spans="1:8" ht="30" x14ac:dyDescent="0.25">
      <c r="A18" s="187" t="s">
        <v>109</v>
      </c>
      <c r="B18" s="187" t="s">
        <v>96</v>
      </c>
      <c r="C18" s="188" t="s">
        <v>110</v>
      </c>
      <c r="D18" s="187" t="s">
        <v>109</v>
      </c>
      <c r="E18" s="5" t="s">
        <v>79</v>
      </c>
      <c r="F18" s="5" t="s">
        <v>78</v>
      </c>
    </row>
    <row r="19" spans="1:8" ht="30" x14ac:dyDescent="0.25">
      <c r="A19" s="5" t="s">
        <v>111</v>
      </c>
      <c r="B19" s="50" t="s">
        <v>76</v>
      </c>
      <c r="C19" s="189" t="s">
        <v>112</v>
      </c>
      <c r="D19" s="4" t="s">
        <v>111</v>
      </c>
      <c r="E19" s="5" t="s">
        <v>79</v>
      </c>
      <c r="F19" s="5" t="s">
        <v>79</v>
      </c>
    </row>
    <row r="20" spans="1:8" ht="45" x14ac:dyDescent="0.25">
      <c r="A20" s="19" t="s">
        <v>113</v>
      </c>
      <c r="B20" s="187" t="s">
        <v>96</v>
      </c>
      <c r="C20" s="188" t="s">
        <v>114</v>
      </c>
      <c r="D20" s="19" t="s">
        <v>113</v>
      </c>
      <c r="E20" s="187" t="s">
        <v>78</v>
      </c>
      <c r="F20" s="187" t="s">
        <v>78</v>
      </c>
      <c r="G20" s="188" t="s">
        <v>115</v>
      </c>
      <c r="H20" s="5"/>
    </row>
    <row r="21" spans="1:8" ht="45" x14ac:dyDescent="0.25">
      <c r="A21" s="19" t="s">
        <v>116</v>
      </c>
      <c r="B21" s="187" t="s">
        <v>96</v>
      </c>
      <c r="C21" s="188" t="s">
        <v>93</v>
      </c>
      <c r="D21" s="19" t="s">
        <v>116</v>
      </c>
      <c r="E21" s="187" t="s">
        <v>78</v>
      </c>
      <c r="F21" s="187" t="s">
        <v>78</v>
      </c>
      <c r="G21" s="188" t="s">
        <v>115</v>
      </c>
      <c r="H21" s="187"/>
    </row>
    <row r="22" spans="1:8" x14ac:dyDescent="0.25">
      <c r="A22" s="25" t="s">
        <v>117</v>
      </c>
      <c r="B22" s="9"/>
      <c r="C22" s="9"/>
      <c r="D22" s="25"/>
      <c r="E22" s="9"/>
      <c r="F22" s="9"/>
      <c r="G22" s="9"/>
      <c r="H22" s="9"/>
    </row>
    <row r="23" spans="1:8" x14ac:dyDescent="0.25">
      <c r="A23" s="187" t="s">
        <v>118</v>
      </c>
      <c r="B23" s="187" t="s">
        <v>96</v>
      </c>
      <c r="C23" s="193" t="s">
        <v>93</v>
      </c>
      <c r="D23" s="187" t="s">
        <v>118</v>
      </c>
      <c r="E23" s="187" t="s">
        <v>79</v>
      </c>
      <c r="F23" s="187" t="s">
        <v>78</v>
      </c>
      <c r="G23" s="187"/>
    </row>
    <row r="24" spans="1:8" x14ac:dyDescent="0.25">
      <c r="A24" s="187" t="s">
        <v>119</v>
      </c>
      <c r="B24" s="187" t="s">
        <v>96</v>
      </c>
      <c r="C24" s="188" t="s">
        <v>120</v>
      </c>
      <c r="D24" s="187" t="s">
        <v>119</v>
      </c>
      <c r="E24" s="187" t="s">
        <v>79</v>
      </c>
      <c r="F24" s="187" t="s">
        <v>78</v>
      </c>
      <c r="G24" s="187"/>
      <c r="H24" s="21"/>
    </row>
    <row r="25" spans="1:8" x14ac:dyDescent="0.25">
      <c r="A25" s="187" t="s">
        <v>121</v>
      </c>
      <c r="B25" s="187" t="s">
        <v>96</v>
      </c>
      <c r="C25" s="188" t="s">
        <v>122</v>
      </c>
      <c r="D25" s="187" t="s">
        <v>121</v>
      </c>
      <c r="E25" s="187" t="s">
        <v>79</v>
      </c>
      <c r="F25" s="187" t="s">
        <v>78</v>
      </c>
      <c r="G25" s="187"/>
      <c r="H25" s="21"/>
    </row>
    <row r="26" spans="1:8" ht="30" x14ac:dyDescent="0.25">
      <c r="A26" s="187" t="s">
        <v>123</v>
      </c>
      <c r="B26" s="187" t="s">
        <v>96</v>
      </c>
      <c r="C26" s="188" t="s">
        <v>124</v>
      </c>
      <c r="D26" s="187" t="s">
        <v>123</v>
      </c>
      <c r="E26" s="187" t="s">
        <v>79</v>
      </c>
      <c r="F26" s="187" t="s">
        <v>78</v>
      </c>
      <c r="G26" s="188" t="s">
        <v>125</v>
      </c>
    </row>
    <row r="27" spans="1:8" ht="30" x14ac:dyDescent="0.25">
      <c r="A27" s="187" t="s">
        <v>126</v>
      </c>
      <c r="B27" s="187" t="s">
        <v>96</v>
      </c>
      <c r="C27" s="188" t="s">
        <v>124</v>
      </c>
      <c r="D27" s="187" t="s">
        <v>126</v>
      </c>
      <c r="E27" s="187" t="s">
        <v>79</v>
      </c>
      <c r="F27" s="187" t="s">
        <v>78</v>
      </c>
      <c r="G27" s="188" t="s">
        <v>125</v>
      </c>
    </row>
    <row r="28" spans="1:8" x14ac:dyDescent="0.25">
      <c r="A28" s="25" t="s">
        <v>127</v>
      </c>
      <c r="B28" s="9"/>
      <c r="C28" s="9"/>
      <c r="D28" s="25"/>
      <c r="E28" s="9"/>
      <c r="F28" s="9"/>
      <c r="G28" s="9"/>
      <c r="H28" s="9"/>
    </row>
    <row r="29" spans="1:8" s="195" customFormat="1" x14ac:dyDescent="0.25">
      <c r="A29" s="187" t="s">
        <v>128</v>
      </c>
      <c r="B29" s="187" t="s">
        <v>96</v>
      </c>
      <c r="C29" s="188" t="s">
        <v>129</v>
      </c>
      <c r="D29" s="187" t="s">
        <v>128</v>
      </c>
      <c r="E29" s="187" t="s">
        <v>79</v>
      </c>
      <c r="F29" s="187" t="s">
        <v>78</v>
      </c>
    </row>
    <row r="30" spans="1:8" x14ac:dyDescent="0.25">
      <c r="A30" s="187" t="s">
        <v>130</v>
      </c>
      <c r="B30" s="187" t="s">
        <v>96</v>
      </c>
      <c r="C30" s="187" t="s">
        <v>131</v>
      </c>
      <c r="D30" s="187" t="s">
        <v>130</v>
      </c>
      <c r="E30" s="187" t="s">
        <v>79</v>
      </c>
      <c r="F30" s="187" t="s">
        <v>78</v>
      </c>
    </row>
    <row r="31" spans="1:8" s="195" customFormat="1" x14ac:dyDescent="0.25">
      <c r="A31" s="187" t="s">
        <v>132</v>
      </c>
      <c r="B31" s="187" t="s">
        <v>96</v>
      </c>
      <c r="C31" s="187" t="s">
        <v>93</v>
      </c>
      <c r="D31" s="187" t="s">
        <v>132</v>
      </c>
      <c r="E31" s="187" t="s">
        <v>79</v>
      </c>
      <c r="F31" s="187" t="s">
        <v>78</v>
      </c>
    </row>
    <row r="32" spans="1:8" x14ac:dyDescent="0.25">
      <c r="A32" s="187" t="s">
        <v>133</v>
      </c>
      <c r="B32" s="187" t="s">
        <v>96</v>
      </c>
      <c r="C32" s="187" t="s">
        <v>134</v>
      </c>
      <c r="D32" s="187" t="s">
        <v>133</v>
      </c>
      <c r="E32" s="187" t="s">
        <v>79</v>
      </c>
      <c r="F32" s="187" t="s">
        <v>78</v>
      </c>
    </row>
    <row r="33" spans="1:8" ht="30" x14ac:dyDescent="0.25">
      <c r="A33" s="187" t="s">
        <v>135</v>
      </c>
      <c r="B33" s="187" t="s">
        <v>96</v>
      </c>
      <c r="C33" s="188" t="s">
        <v>136</v>
      </c>
      <c r="D33" s="187" t="s">
        <v>135</v>
      </c>
      <c r="E33" s="187" t="s">
        <v>79</v>
      </c>
      <c r="F33" s="187" t="s">
        <v>78</v>
      </c>
    </row>
    <row r="34" spans="1:8" x14ac:dyDescent="0.25">
      <c r="A34" s="187" t="s">
        <v>137</v>
      </c>
      <c r="B34" s="187" t="s">
        <v>96</v>
      </c>
      <c r="C34" s="187" t="s">
        <v>138</v>
      </c>
      <c r="D34" s="187" t="s">
        <v>137</v>
      </c>
      <c r="E34" s="187" t="s">
        <v>79</v>
      </c>
      <c r="F34" s="187" t="s">
        <v>78</v>
      </c>
    </row>
    <row r="35" spans="1:8" x14ac:dyDescent="0.25">
      <c r="A35" s="187" t="s">
        <v>139</v>
      </c>
      <c r="B35" s="187" t="s">
        <v>96</v>
      </c>
      <c r="C35" s="187" t="s">
        <v>140</v>
      </c>
      <c r="D35" s="187" t="s">
        <v>139</v>
      </c>
      <c r="E35" s="187" t="s">
        <v>79</v>
      </c>
      <c r="F35" s="187" t="s">
        <v>78</v>
      </c>
    </row>
    <row r="36" spans="1:8" x14ac:dyDescent="0.25">
      <c r="A36" s="187" t="s">
        <v>141</v>
      </c>
      <c r="B36" s="187" t="s">
        <v>96</v>
      </c>
      <c r="C36" s="187" t="s">
        <v>124</v>
      </c>
      <c r="D36" s="187" t="s">
        <v>141</v>
      </c>
      <c r="E36" s="187" t="s">
        <v>79</v>
      </c>
      <c r="F36" s="187" t="s">
        <v>78</v>
      </c>
    </row>
    <row r="37" spans="1:8" x14ac:dyDescent="0.25">
      <c r="A37" s="187" t="s">
        <v>142</v>
      </c>
      <c r="B37" s="187" t="s">
        <v>96</v>
      </c>
      <c r="C37" s="187" t="s">
        <v>138</v>
      </c>
      <c r="D37" s="187" t="s">
        <v>142</v>
      </c>
      <c r="E37" s="187" t="s">
        <v>79</v>
      </c>
      <c r="F37" s="187" t="s">
        <v>78</v>
      </c>
    </row>
    <row r="38" spans="1:8" s="195" customFormat="1" x14ac:dyDescent="0.25">
      <c r="A38" s="5" t="s">
        <v>143</v>
      </c>
      <c r="B38" s="6" t="s">
        <v>76</v>
      </c>
      <c r="C38" s="6"/>
      <c r="D38" s="187" t="s">
        <v>144</v>
      </c>
      <c r="E38" s="187" t="s">
        <v>79</v>
      </c>
      <c r="F38" s="187" t="s">
        <v>78</v>
      </c>
    </row>
    <row r="39" spans="1:8" x14ac:dyDescent="0.25">
      <c r="A39" s="25" t="s">
        <v>145</v>
      </c>
      <c r="B39" s="9"/>
      <c r="C39" s="9"/>
      <c r="D39" s="25"/>
      <c r="E39" s="9"/>
      <c r="F39" s="9"/>
      <c r="G39" s="9"/>
      <c r="H39" s="9"/>
    </row>
    <row r="40" spans="1:8" s="195" customFormat="1" x14ac:dyDescent="0.25">
      <c r="A40" s="5" t="s">
        <v>146</v>
      </c>
      <c r="B40" s="6" t="s">
        <v>76</v>
      </c>
      <c r="C40" s="6"/>
      <c r="D40" s="4"/>
      <c r="E40" s="6"/>
      <c r="F40" s="5" t="s">
        <v>79</v>
      </c>
    </row>
    <row r="41" spans="1:8" s="195" customFormat="1" x14ac:dyDescent="0.25">
      <c r="A41" s="5" t="s">
        <v>147</v>
      </c>
      <c r="B41" s="6" t="s">
        <v>76</v>
      </c>
      <c r="C41" s="6"/>
      <c r="D41" s="4"/>
      <c r="E41" s="5"/>
      <c r="F41" s="5" t="s">
        <v>79</v>
      </c>
      <c r="G41" s="11"/>
      <c r="H41" s="11"/>
    </row>
    <row r="42" spans="1:8" s="195" customFormat="1" x14ac:dyDescent="0.25">
      <c r="A42" s="5" t="s">
        <v>148</v>
      </c>
      <c r="B42" s="6" t="s">
        <v>96</v>
      </c>
      <c r="C42" s="21" t="s">
        <v>149</v>
      </c>
      <c r="D42" s="21" t="s">
        <v>150</v>
      </c>
      <c r="E42" s="5"/>
      <c r="F42" s="5" t="s">
        <v>79</v>
      </c>
      <c r="G42" s="11"/>
      <c r="H42" s="11"/>
    </row>
    <row r="43" spans="1:8" s="195" customFormat="1" x14ac:dyDescent="0.25">
      <c r="A43" s="5" t="s">
        <v>151</v>
      </c>
      <c r="B43" s="50" t="s">
        <v>76</v>
      </c>
      <c r="C43" s="51"/>
      <c r="D43" s="4" t="s">
        <v>88</v>
      </c>
      <c r="E43" s="6"/>
      <c r="F43" s="6" t="s">
        <v>79</v>
      </c>
    </row>
    <row r="44" spans="1:8" x14ac:dyDescent="0.25">
      <c r="A44" s="5"/>
    </row>
    <row r="45" spans="1:8" x14ac:dyDescent="0.25">
      <c r="A45" s="5"/>
    </row>
    <row r="46" spans="1:8" x14ac:dyDescent="0.25">
      <c r="A46" s="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AEC5E-8F7F-4BE8-B36B-C873EDC395DF}">
  <sheetPr>
    <tabColor theme="9"/>
  </sheetPr>
  <dimension ref="A1:O136"/>
  <sheetViews>
    <sheetView tabSelected="1" topLeftCell="B1" zoomScale="85" zoomScaleNormal="85" workbookViewId="0">
      <pane ySplit="1" topLeftCell="A26" activePane="bottomLeft" state="frozen"/>
      <selection activeCell="M22" sqref="M22:M23"/>
      <selection pane="bottomLeft" activeCell="E47" sqref="E47"/>
    </sheetView>
  </sheetViews>
  <sheetFormatPr defaultColWidth="9.140625" defaultRowHeight="17.25" customHeight="1" outlineLevelRow="1" outlineLevelCol="1" x14ac:dyDescent="0.25"/>
  <cols>
    <col min="1" max="1" width="6" style="158" hidden="1" customWidth="1" outlineLevel="1"/>
    <col min="2" max="2" width="35.7109375" style="5" customWidth="1" collapsed="1"/>
    <col min="3" max="3" width="19.28515625" style="5" customWidth="1"/>
    <col min="4" max="4" width="11.85546875" style="5" customWidth="1" outlineLevel="1"/>
    <col min="5" max="5" width="72.85546875" style="5" customWidth="1"/>
    <col min="6" max="6" width="17.7109375" style="4" customWidth="1"/>
    <col min="7" max="8" width="6.28515625" style="5" customWidth="1"/>
    <col min="9" max="9" width="28.140625" style="5" customWidth="1" outlineLevel="1"/>
    <col min="10" max="10" width="50.140625" style="5" customWidth="1" outlineLevel="1"/>
    <col min="11" max="11" width="39.85546875" style="5" customWidth="1" outlineLevel="1"/>
    <col min="12" max="12" width="20.7109375" style="35" customWidth="1"/>
    <col min="13" max="13" width="15.42578125" style="5" customWidth="1"/>
    <col min="14" max="14" width="28" style="170" customWidth="1"/>
    <col min="15" max="15" width="17.7109375" style="171" customWidth="1"/>
    <col min="16" max="16384" width="9.140625" style="5"/>
  </cols>
  <sheetData>
    <row r="1" spans="1:15" s="3" customFormat="1" ht="17.25" customHeight="1" x14ac:dyDescent="0.25">
      <c r="A1" s="155" t="s">
        <v>152</v>
      </c>
      <c r="B1" s="2" t="s">
        <v>67</v>
      </c>
      <c r="C1" s="56" t="s">
        <v>153</v>
      </c>
      <c r="D1" s="2" t="s">
        <v>68</v>
      </c>
      <c r="E1" s="2" t="s">
        <v>69</v>
      </c>
      <c r="F1" s="2" t="s">
        <v>154</v>
      </c>
      <c r="G1" s="2" t="s">
        <v>71</v>
      </c>
      <c r="H1" s="2" t="s">
        <v>72</v>
      </c>
      <c r="I1" s="2" t="s">
        <v>73</v>
      </c>
      <c r="J1" s="2" t="s">
        <v>74</v>
      </c>
      <c r="K1" s="32" t="s">
        <v>155</v>
      </c>
      <c r="L1" s="32" t="s">
        <v>156</v>
      </c>
      <c r="M1" s="2" t="s">
        <v>157</v>
      </c>
      <c r="N1" s="166" t="s">
        <v>158</v>
      </c>
      <c r="O1" s="167" t="s">
        <v>159</v>
      </c>
    </row>
    <row r="2" spans="1:15" s="9" customFormat="1" ht="17.25" customHeight="1" x14ac:dyDescent="0.25">
      <c r="A2" s="156"/>
      <c r="B2" s="43" t="s">
        <v>160</v>
      </c>
      <c r="F2" s="25"/>
      <c r="L2" s="33"/>
      <c r="M2" s="10"/>
      <c r="N2" s="168"/>
      <c r="O2" s="169"/>
    </row>
    <row r="3" spans="1:15" ht="17.25" hidden="1" customHeight="1" outlineLevel="1" x14ac:dyDescent="0.25">
      <c r="A3" s="157" t="s">
        <v>78</v>
      </c>
      <c r="B3" s="5" t="s">
        <v>161</v>
      </c>
      <c r="C3" s="5" t="s">
        <v>162</v>
      </c>
      <c r="D3" s="50" t="s">
        <v>76</v>
      </c>
      <c r="E3" s="51" t="s">
        <v>163</v>
      </c>
      <c r="F3" s="4" t="s">
        <v>84</v>
      </c>
      <c r="G3" s="5" t="s">
        <v>79</v>
      </c>
      <c r="H3" s="5" t="s">
        <v>79</v>
      </c>
      <c r="L3" s="34"/>
      <c r="N3" s="170" t="s">
        <v>164</v>
      </c>
      <c r="O3" s="171" t="s">
        <v>78</v>
      </c>
    </row>
    <row r="4" spans="1:15" ht="17.25" hidden="1" customHeight="1" outlineLevel="1" x14ac:dyDescent="0.25">
      <c r="A4" s="157" t="s">
        <v>78</v>
      </c>
      <c r="B4" s="5" t="s">
        <v>77</v>
      </c>
      <c r="C4" s="5" t="s">
        <v>165</v>
      </c>
      <c r="D4" s="50" t="s">
        <v>76</v>
      </c>
      <c r="E4" s="51" t="s">
        <v>166</v>
      </c>
      <c r="F4" s="4" t="s">
        <v>167</v>
      </c>
      <c r="G4" s="5" t="s">
        <v>79</v>
      </c>
      <c r="H4" s="5" t="s">
        <v>79</v>
      </c>
      <c r="L4" s="34"/>
      <c r="N4" s="170" t="s">
        <v>168</v>
      </c>
      <c r="O4" s="171" t="s">
        <v>78</v>
      </c>
    </row>
    <row r="5" spans="1:15" ht="17.25" hidden="1" customHeight="1" outlineLevel="1" x14ac:dyDescent="0.25">
      <c r="A5" s="157" t="s">
        <v>79</v>
      </c>
      <c r="B5" s="5" t="s">
        <v>84</v>
      </c>
      <c r="C5" s="57" t="s">
        <v>169</v>
      </c>
      <c r="D5" s="50" t="s">
        <v>76</v>
      </c>
      <c r="E5" s="51" t="s">
        <v>170</v>
      </c>
      <c r="G5" s="5" t="s">
        <v>79</v>
      </c>
      <c r="H5" s="5" t="s">
        <v>79</v>
      </c>
      <c r="J5" s="5" t="s">
        <v>171</v>
      </c>
      <c r="L5" s="34"/>
      <c r="N5" s="170" t="s">
        <v>168</v>
      </c>
      <c r="O5" s="171" t="s">
        <v>79</v>
      </c>
    </row>
    <row r="6" spans="1:15" ht="17.25" hidden="1" customHeight="1" outlineLevel="1" x14ac:dyDescent="0.25">
      <c r="A6" s="157" t="s">
        <v>78</v>
      </c>
      <c r="B6" s="5" t="s">
        <v>172</v>
      </c>
      <c r="C6" s="57" t="s">
        <v>173</v>
      </c>
      <c r="D6" s="50" t="s">
        <v>76</v>
      </c>
      <c r="E6" s="51" t="s">
        <v>174</v>
      </c>
      <c r="F6" s="4" t="s">
        <v>175</v>
      </c>
      <c r="G6" s="5" t="s">
        <v>79</v>
      </c>
      <c r="H6" s="5" t="s">
        <v>79</v>
      </c>
      <c r="L6" s="34"/>
      <c r="N6" s="170" t="s">
        <v>168</v>
      </c>
      <c r="O6" s="171" t="s">
        <v>79</v>
      </c>
    </row>
    <row r="7" spans="1:15" ht="17.25" hidden="1" customHeight="1" outlineLevel="1" x14ac:dyDescent="0.25">
      <c r="A7" s="157" t="s">
        <v>78</v>
      </c>
      <c r="B7" s="5" t="s">
        <v>58</v>
      </c>
      <c r="C7" s="57" t="s">
        <v>176</v>
      </c>
      <c r="D7" s="50" t="s">
        <v>76</v>
      </c>
      <c r="E7" s="51" t="s">
        <v>177</v>
      </c>
      <c r="G7" s="5" t="s">
        <v>79</v>
      </c>
      <c r="H7" s="4" t="s">
        <v>78</v>
      </c>
      <c r="I7" s="4"/>
      <c r="N7" s="170" t="s">
        <v>168</v>
      </c>
      <c r="O7" s="171" t="s">
        <v>79</v>
      </c>
    </row>
    <row r="8" spans="1:15" ht="17.25" hidden="1" customHeight="1" outlineLevel="1" x14ac:dyDescent="0.25">
      <c r="A8" s="157" t="s">
        <v>79</v>
      </c>
      <c r="B8" s="5" t="s">
        <v>89</v>
      </c>
      <c r="C8" s="58" t="s">
        <v>96</v>
      </c>
      <c r="D8" s="50" t="s">
        <v>76</v>
      </c>
      <c r="E8" s="15" t="s">
        <v>178</v>
      </c>
      <c r="F8" s="4" t="s">
        <v>179</v>
      </c>
      <c r="G8" s="5" t="s">
        <v>79</v>
      </c>
      <c r="H8" s="4" t="s">
        <v>79</v>
      </c>
      <c r="I8" s="4"/>
      <c r="N8" s="170" t="s">
        <v>168</v>
      </c>
      <c r="O8" s="171" t="s">
        <v>78</v>
      </c>
    </row>
    <row r="9" spans="1:15" ht="17.25" hidden="1" customHeight="1" outlineLevel="1" x14ac:dyDescent="0.25">
      <c r="A9" s="157" t="s">
        <v>79</v>
      </c>
      <c r="B9" s="5" t="s">
        <v>90</v>
      </c>
      <c r="C9" s="57" t="s">
        <v>180</v>
      </c>
      <c r="D9" s="50" t="s">
        <v>76</v>
      </c>
      <c r="E9" s="4" t="s">
        <v>181</v>
      </c>
      <c r="G9" s="5" t="s">
        <v>79</v>
      </c>
      <c r="H9" s="5" t="s">
        <v>79</v>
      </c>
      <c r="M9" s="5" t="s">
        <v>79</v>
      </c>
      <c r="N9" s="170" t="s">
        <v>182</v>
      </c>
      <c r="O9" s="171" t="s">
        <v>78</v>
      </c>
    </row>
    <row r="10" spans="1:15" ht="17.25" hidden="1" customHeight="1" outlineLevel="1" x14ac:dyDescent="0.25">
      <c r="A10" s="157" t="s">
        <v>79</v>
      </c>
      <c r="B10" s="5" t="s">
        <v>128</v>
      </c>
      <c r="C10" s="49" t="s">
        <v>183</v>
      </c>
      <c r="D10" s="5" t="s">
        <v>96</v>
      </c>
      <c r="E10" s="22" t="s">
        <v>129</v>
      </c>
      <c r="G10" s="5" t="s">
        <v>79</v>
      </c>
      <c r="H10" s="5" t="s">
        <v>78</v>
      </c>
    </row>
    <row r="11" spans="1:15" s="9" customFormat="1" ht="17.25" customHeight="1" collapsed="1" x14ac:dyDescent="0.25">
      <c r="A11" s="156"/>
      <c r="B11" s="43" t="s">
        <v>184</v>
      </c>
      <c r="F11" s="25"/>
      <c r="L11" s="33"/>
      <c r="M11" s="10"/>
      <c r="N11" s="168"/>
      <c r="O11" s="169"/>
    </row>
    <row r="12" spans="1:15" ht="17.25" hidden="1" customHeight="1" outlineLevel="1" x14ac:dyDescent="0.25">
      <c r="A12" s="157" t="s">
        <v>78</v>
      </c>
      <c r="B12" s="5" t="s">
        <v>185</v>
      </c>
      <c r="C12" s="49" t="s">
        <v>186</v>
      </c>
      <c r="D12" s="5" t="s">
        <v>96</v>
      </c>
      <c r="E12" s="22" t="s">
        <v>187</v>
      </c>
      <c r="G12" s="5" t="s">
        <v>79</v>
      </c>
      <c r="H12" s="5" t="s">
        <v>78</v>
      </c>
      <c r="L12" s="34"/>
    </row>
    <row r="13" spans="1:15" ht="17.25" hidden="1" customHeight="1" outlineLevel="1" x14ac:dyDescent="0.25">
      <c r="A13" s="157" t="s">
        <v>78</v>
      </c>
      <c r="B13" s="5" t="s">
        <v>188</v>
      </c>
      <c r="C13" s="49"/>
      <c r="D13" s="5" t="s">
        <v>96</v>
      </c>
      <c r="E13" s="51" t="s">
        <v>170</v>
      </c>
      <c r="G13" s="5" t="s">
        <v>79</v>
      </c>
      <c r="H13" s="5" t="s">
        <v>78</v>
      </c>
    </row>
    <row r="14" spans="1:15" ht="17.25" hidden="1" customHeight="1" outlineLevel="1" x14ac:dyDescent="0.25">
      <c r="A14" s="157" t="s">
        <v>78</v>
      </c>
      <c r="B14" s="5" t="s">
        <v>189</v>
      </c>
      <c r="C14" s="49" t="s">
        <v>190</v>
      </c>
      <c r="D14" s="5" t="s">
        <v>96</v>
      </c>
      <c r="E14" s="22" t="s">
        <v>170</v>
      </c>
      <c r="G14" s="5" t="s">
        <v>79</v>
      </c>
      <c r="H14" s="5" t="s">
        <v>78</v>
      </c>
    </row>
    <row r="15" spans="1:15" ht="17.25" hidden="1" customHeight="1" outlineLevel="1" x14ac:dyDescent="0.25">
      <c r="A15" s="157" t="s">
        <v>78</v>
      </c>
      <c r="B15" s="5" t="s">
        <v>191</v>
      </c>
      <c r="C15" s="49" t="s">
        <v>186</v>
      </c>
      <c r="D15" s="5" t="s">
        <v>96</v>
      </c>
      <c r="E15" s="22" t="s">
        <v>187</v>
      </c>
      <c r="G15" s="5" t="s">
        <v>79</v>
      </c>
      <c r="H15" s="5" t="s">
        <v>78</v>
      </c>
    </row>
    <row r="16" spans="1:15" ht="17.25" hidden="1" customHeight="1" outlineLevel="1" x14ac:dyDescent="0.25">
      <c r="A16" s="157" t="s">
        <v>78</v>
      </c>
      <c r="B16" s="5" t="s">
        <v>192</v>
      </c>
      <c r="C16" s="49" t="s">
        <v>193</v>
      </c>
      <c r="D16" s="5" t="s">
        <v>96</v>
      </c>
      <c r="E16" s="22" t="s">
        <v>170</v>
      </c>
      <c r="G16" s="5" t="s">
        <v>79</v>
      </c>
      <c r="H16" s="5" t="s">
        <v>78</v>
      </c>
    </row>
    <row r="17" spans="1:15" ht="17.25" hidden="1" customHeight="1" outlineLevel="1" x14ac:dyDescent="0.25">
      <c r="A17" s="157" t="s">
        <v>78</v>
      </c>
      <c r="B17" s="5" t="s">
        <v>194</v>
      </c>
      <c r="C17" s="49" t="s">
        <v>195</v>
      </c>
      <c r="D17" s="5" t="s">
        <v>96</v>
      </c>
      <c r="E17" s="22" t="s">
        <v>187</v>
      </c>
      <c r="G17" s="5" t="s">
        <v>79</v>
      </c>
      <c r="H17" s="5" t="s">
        <v>78</v>
      </c>
    </row>
    <row r="18" spans="1:15" ht="17.25" hidden="1" customHeight="1" outlineLevel="1" x14ac:dyDescent="0.25">
      <c r="A18" s="157" t="s">
        <v>78</v>
      </c>
      <c r="B18" s="5" t="s">
        <v>196</v>
      </c>
      <c r="C18" s="49" t="s">
        <v>197</v>
      </c>
      <c r="D18" s="5" t="s">
        <v>96</v>
      </c>
      <c r="E18" s="22" t="s">
        <v>170</v>
      </c>
      <c r="G18" s="5" t="s">
        <v>79</v>
      </c>
      <c r="H18" s="5" t="s">
        <v>78</v>
      </c>
    </row>
    <row r="19" spans="1:15" ht="17.25" hidden="1" customHeight="1" outlineLevel="1" x14ac:dyDescent="0.25">
      <c r="A19" s="157" t="s">
        <v>78</v>
      </c>
      <c r="B19" s="5" t="s">
        <v>198</v>
      </c>
      <c r="C19" s="49" t="s">
        <v>199</v>
      </c>
      <c r="D19" s="5" t="s">
        <v>96</v>
      </c>
      <c r="E19" s="22" t="s">
        <v>187</v>
      </c>
      <c r="G19" s="5" t="s">
        <v>79</v>
      </c>
      <c r="H19" s="5" t="s">
        <v>78</v>
      </c>
    </row>
    <row r="20" spans="1:15" s="9" customFormat="1" ht="17.25" customHeight="1" collapsed="1" x14ac:dyDescent="0.25">
      <c r="A20" s="156"/>
      <c r="B20" s="43" t="s">
        <v>200</v>
      </c>
      <c r="F20" s="25"/>
      <c r="L20" s="33"/>
      <c r="M20" s="10"/>
      <c r="N20" s="168"/>
      <c r="O20" s="169"/>
    </row>
    <row r="21" spans="1:15" ht="45" outlineLevel="1" x14ac:dyDescent="0.25">
      <c r="A21" s="158" t="s">
        <v>78</v>
      </c>
      <c r="B21" s="19" t="s">
        <v>201</v>
      </c>
      <c r="C21" s="141"/>
      <c r="D21" s="19" t="s">
        <v>76</v>
      </c>
      <c r="E21" s="19" t="s">
        <v>202</v>
      </c>
      <c r="F21" s="5"/>
      <c r="G21" s="5" t="s">
        <v>78</v>
      </c>
      <c r="H21" s="5" t="s">
        <v>78</v>
      </c>
      <c r="J21" s="24"/>
      <c r="K21" s="21" t="s">
        <v>203</v>
      </c>
    </row>
    <row r="22" spans="1:15" ht="16.5" customHeight="1" outlineLevel="1" x14ac:dyDescent="0.25">
      <c r="A22" s="191" t="s">
        <v>79</v>
      </c>
      <c r="B22" s="19" t="s">
        <v>204</v>
      </c>
      <c r="C22" s="141" t="s">
        <v>205</v>
      </c>
      <c r="D22" s="19" t="s">
        <v>76</v>
      </c>
      <c r="E22" s="19" t="s">
        <v>206</v>
      </c>
      <c r="F22" s="5"/>
      <c r="G22" s="5" t="s">
        <v>78</v>
      </c>
      <c r="H22" s="5" t="s">
        <v>78</v>
      </c>
      <c r="J22" s="24" t="s">
        <v>207</v>
      </c>
      <c r="K22" s="21" t="s">
        <v>208</v>
      </c>
      <c r="N22" s="170" t="s">
        <v>209</v>
      </c>
      <c r="O22" s="171" t="s">
        <v>79</v>
      </c>
    </row>
    <row r="23" spans="1:15" s="15" customFormat="1" ht="16.5" customHeight="1" outlineLevel="1" x14ac:dyDescent="0.25">
      <c r="A23" s="191" t="s">
        <v>79</v>
      </c>
      <c r="B23" s="5" t="s">
        <v>210</v>
      </c>
      <c r="C23" s="141" t="s">
        <v>211</v>
      </c>
      <c r="D23" s="50" t="s">
        <v>96</v>
      </c>
      <c r="E23" s="5" t="s">
        <v>212</v>
      </c>
      <c r="F23" s="5"/>
      <c r="G23" s="5" t="s">
        <v>78</v>
      </c>
      <c r="H23" s="5" t="s">
        <v>78</v>
      </c>
      <c r="K23" s="21" t="s">
        <v>213</v>
      </c>
      <c r="L23" s="36"/>
      <c r="N23" s="172"/>
      <c r="O23" s="173"/>
    </row>
    <row r="24" spans="1:15" ht="16.5" customHeight="1" outlineLevel="1" x14ac:dyDescent="0.25">
      <c r="A24" s="157" t="s">
        <v>78</v>
      </c>
      <c r="B24" s="5" t="s">
        <v>43</v>
      </c>
      <c r="C24" s="58" t="s">
        <v>214</v>
      </c>
      <c r="D24" s="5" t="s">
        <v>96</v>
      </c>
      <c r="G24" s="5" t="s">
        <v>78</v>
      </c>
      <c r="H24" s="5" t="s">
        <v>78</v>
      </c>
      <c r="K24" s="19"/>
    </row>
    <row r="25" spans="1:15" ht="16.5" customHeight="1" outlineLevel="1" x14ac:dyDescent="0.25">
      <c r="A25" s="194" t="s">
        <v>78</v>
      </c>
      <c r="B25" s="5" t="s">
        <v>215</v>
      </c>
      <c r="C25" s="59">
        <v>4266</v>
      </c>
      <c r="D25" s="5" t="s">
        <v>96</v>
      </c>
      <c r="E25" s="22"/>
      <c r="G25" s="5" t="s">
        <v>78</v>
      </c>
      <c r="H25" s="5" t="s">
        <v>78</v>
      </c>
      <c r="K25" s="21" t="s">
        <v>216</v>
      </c>
    </row>
    <row r="26" spans="1:15" s="26" customFormat="1" ht="16.5" customHeight="1" outlineLevel="1" x14ac:dyDescent="0.25">
      <c r="A26" s="164" t="s">
        <v>79</v>
      </c>
      <c r="B26" s="68" t="s">
        <v>217</v>
      </c>
      <c r="C26" s="140" t="s">
        <v>49</v>
      </c>
      <c r="D26" s="68" t="s">
        <v>76</v>
      </c>
      <c r="E26" s="190" t="s">
        <v>218</v>
      </c>
      <c r="F26" s="69"/>
      <c r="G26" s="68" t="s">
        <v>78</v>
      </c>
      <c r="H26" s="68" t="s">
        <v>78</v>
      </c>
      <c r="L26" s="37"/>
      <c r="M26" s="26" t="s">
        <v>79</v>
      </c>
      <c r="N26" s="174" t="s">
        <v>182</v>
      </c>
      <c r="O26" s="175" t="s">
        <v>79</v>
      </c>
    </row>
    <row r="27" spans="1:15" s="15" customFormat="1" ht="16.5" customHeight="1" outlineLevel="1" x14ac:dyDescent="0.25">
      <c r="A27" s="163" t="s">
        <v>79</v>
      </c>
      <c r="B27" s="4" t="s">
        <v>99</v>
      </c>
      <c r="C27" s="54">
        <v>45474</v>
      </c>
      <c r="D27" s="5" t="s">
        <v>76</v>
      </c>
      <c r="E27" s="5" t="s">
        <v>114</v>
      </c>
      <c r="F27" s="24"/>
      <c r="G27" s="5" t="s">
        <v>79</v>
      </c>
      <c r="H27" s="5" t="s">
        <v>78</v>
      </c>
      <c r="J27" s="4" t="s">
        <v>219</v>
      </c>
      <c r="L27" s="36"/>
      <c r="N27" s="172" t="s">
        <v>182</v>
      </c>
      <c r="O27" s="173" t="s">
        <v>79</v>
      </c>
    </row>
    <row r="28" spans="1:15" s="27" customFormat="1" ht="16.5" customHeight="1" outlineLevel="1" x14ac:dyDescent="0.25">
      <c r="A28" s="165" t="s">
        <v>79</v>
      </c>
      <c r="B28" s="70" t="s">
        <v>101</v>
      </c>
      <c r="C28" s="107">
        <v>50948</v>
      </c>
      <c r="D28" s="70" t="s">
        <v>76</v>
      </c>
      <c r="E28" s="70" t="s">
        <v>114</v>
      </c>
      <c r="F28" s="74"/>
      <c r="G28" s="70" t="s">
        <v>79</v>
      </c>
      <c r="H28" s="70" t="s">
        <v>78</v>
      </c>
      <c r="K28" s="118" t="s">
        <v>220</v>
      </c>
      <c r="L28" s="38"/>
      <c r="N28" s="185" t="s">
        <v>182</v>
      </c>
      <c r="O28" s="186" t="s">
        <v>79</v>
      </c>
    </row>
    <row r="29" spans="1:15" s="26" customFormat="1" ht="16.5" customHeight="1" outlineLevel="1" x14ac:dyDescent="0.25">
      <c r="A29" s="159" t="s">
        <v>78</v>
      </c>
      <c r="B29" s="68" t="s">
        <v>221</v>
      </c>
      <c r="C29" s="29">
        <v>100000</v>
      </c>
      <c r="D29" s="68" t="s">
        <v>96</v>
      </c>
      <c r="E29" s="69" t="s">
        <v>222</v>
      </c>
      <c r="F29" s="4"/>
      <c r="G29" s="68" t="s">
        <v>78</v>
      </c>
      <c r="H29" s="68" t="s">
        <v>78</v>
      </c>
      <c r="J29" s="68" t="s">
        <v>223</v>
      </c>
      <c r="K29" s="71" t="s">
        <v>224</v>
      </c>
      <c r="L29" s="37"/>
      <c r="N29" s="174"/>
      <c r="O29" s="175"/>
    </row>
    <row r="30" spans="1:15" s="15" customFormat="1" ht="16.5" customHeight="1" outlineLevel="1" x14ac:dyDescent="0.25">
      <c r="A30" s="163" t="s">
        <v>79</v>
      </c>
      <c r="B30" s="5" t="s">
        <v>225</v>
      </c>
      <c r="C30" s="60">
        <v>120000</v>
      </c>
      <c r="D30" s="5" t="s">
        <v>76</v>
      </c>
      <c r="E30" s="22" t="s">
        <v>226</v>
      </c>
      <c r="F30" s="24"/>
      <c r="G30" s="5" t="s">
        <v>78</v>
      </c>
      <c r="H30" s="5" t="s">
        <v>78</v>
      </c>
      <c r="I30" s="72"/>
      <c r="J30" s="4" t="s">
        <v>106</v>
      </c>
      <c r="K30" s="153"/>
      <c r="L30" s="35"/>
      <c r="N30" s="172"/>
      <c r="O30" s="173"/>
    </row>
    <row r="31" spans="1:15" ht="16.5" customHeight="1" outlineLevel="1" x14ac:dyDescent="0.25">
      <c r="A31" s="157" t="s">
        <v>78</v>
      </c>
      <c r="B31" s="5" t="s">
        <v>227</v>
      </c>
      <c r="C31" s="60">
        <f>C30/C25</f>
        <v>28.129395218002813</v>
      </c>
      <c r="D31" s="5" t="s">
        <v>96</v>
      </c>
      <c r="E31" s="4" t="s">
        <v>228</v>
      </c>
      <c r="G31" s="5" t="s">
        <v>78</v>
      </c>
      <c r="H31" s="5" t="s">
        <v>78</v>
      </c>
      <c r="K31" s="19"/>
    </row>
    <row r="32" spans="1:15" s="11" customFormat="1" ht="16.5" customHeight="1" outlineLevel="1" x14ac:dyDescent="0.25">
      <c r="A32" s="249" t="s">
        <v>78</v>
      </c>
      <c r="B32" s="5" t="s">
        <v>229</v>
      </c>
      <c r="C32" s="250">
        <v>6</v>
      </c>
      <c r="D32" s="5" t="s">
        <v>96</v>
      </c>
      <c r="E32" s="4" t="s">
        <v>230</v>
      </c>
      <c r="F32" s="251"/>
      <c r="G32" s="5" t="s">
        <v>78</v>
      </c>
      <c r="H32" s="5" t="s">
        <v>78</v>
      </c>
      <c r="I32" s="5"/>
      <c r="J32" s="5"/>
      <c r="K32" s="19"/>
      <c r="L32" s="252"/>
      <c r="N32" s="253"/>
      <c r="O32" s="254"/>
    </row>
    <row r="33" spans="1:15" ht="16.5" customHeight="1" outlineLevel="1" x14ac:dyDescent="0.25">
      <c r="A33" s="194" t="s">
        <v>78</v>
      </c>
      <c r="B33" s="5" t="s">
        <v>231</v>
      </c>
      <c r="C33" s="60">
        <f>C30/12*C32</f>
        <v>60000</v>
      </c>
      <c r="D33" s="5" t="s">
        <v>96</v>
      </c>
      <c r="E33" s="4" t="s">
        <v>232</v>
      </c>
      <c r="G33" s="5" t="s">
        <v>78</v>
      </c>
      <c r="H33" s="5" t="s">
        <v>78</v>
      </c>
      <c r="I33" s="5">
        <f>170000/12*3</f>
        <v>42500</v>
      </c>
      <c r="K33" s="19"/>
    </row>
    <row r="34" spans="1:15" ht="16.5" customHeight="1" outlineLevel="1" x14ac:dyDescent="0.25">
      <c r="A34" s="194" t="s">
        <v>78</v>
      </c>
      <c r="B34" s="5" t="s">
        <v>233</v>
      </c>
      <c r="C34" s="55">
        <v>96000</v>
      </c>
      <c r="D34" s="5" t="s">
        <v>96</v>
      </c>
      <c r="E34" s="15" t="s">
        <v>134</v>
      </c>
      <c r="G34" s="5" t="s">
        <v>79</v>
      </c>
      <c r="H34" s="5" t="s">
        <v>78</v>
      </c>
      <c r="J34" s="4" t="s">
        <v>234</v>
      </c>
    </row>
    <row r="35" spans="1:15" ht="16.5" customHeight="1" outlineLevel="1" x14ac:dyDescent="0.25">
      <c r="A35" s="162" t="s">
        <v>79</v>
      </c>
      <c r="B35" s="73" t="s">
        <v>100</v>
      </c>
      <c r="C35" s="54">
        <v>45654</v>
      </c>
      <c r="D35" s="73" t="s">
        <v>96</v>
      </c>
      <c r="E35" s="5" t="s">
        <v>114</v>
      </c>
      <c r="F35" s="22"/>
      <c r="G35" s="5" t="s">
        <v>79</v>
      </c>
      <c r="H35" s="5" t="s">
        <v>78</v>
      </c>
      <c r="K35" s="21" t="s">
        <v>235</v>
      </c>
    </row>
    <row r="36" spans="1:15" ht="16.5" customHeight="1" outlineLevel="1" x14ac:dyDescent="0.25">
      <c r="A36" s="194" t="s">
        <v>78</v>
      </c>
      <c r="B36" s="5" t="s">
        <v>236</v>
      </c>
      <c r="C36" s="64" t="s">
        <v>237</v>
      </c>
      <c r="D36" s="5" t="s">
        <v>76</v>
      </c>
      <c r="E36" s="4" t="s">
        <v>238</v>
      </c>
      <c r="F36" s="24"/>
      <c r="G36" s="5" t="s">
        <v>78</v>
      </c>
      <c r="H36" s="5" t="s">
        <v>78</v>
      </c>
      <c r="I36" s="4"/>
      <c r="K36" s="21" t="s">
        <v>239</v>
      </c>
    </row>
    <row r="37" spans="1:15" s="9" customFormat="1" ht="17.25" customHeight="1" x14ac:dyDescent="0.25">
      <c r="A37" s="156"/>
      <c r="B37" s="43" t="s">
        <v>240</v>
      </c>
      <c r="F37" s="25"/>
      <c r="L37" s="33"/>
      <c r="M37" s="10"/>
      <c r="N37" s="168"/>
      <c r="O37" s="169"/>
    </row>
    <row r="38" spans="1:15" s="11" customFormat="1" ht="17.25" customHeight="1" outlineLevel="1" x14ac:dyDescent="0.25">
      <c r="A38" s="249" t="s">
        <v>78</v>
      </c>
      <c r="B38" s="5" t="s">
        <v>241</v>
      </c>
      <c r="C38" s="255">
        <v>20000</v>
      </c>
      <c r="D38" s="5" t="s">
        <v>96</v>
      </c>
      <c r="E38" s="4" t="s">
        <v>230</v>
      </c>
      <c r="F38" s="256"/>
      <c r="G38" s="5" t="s">
        <v>78</v>
      </c>
      <c r="H38" s="5" t="s">
        <v>78</v>
      </c>
      <c r="I38" s="5"/>
      <c r="J38" s="5" t="s">
        <v>242</v>
      </c>
      <c r="K38" s="21"/>
      <c r="L38" s="252"/>
      <c r="N38" s="253"/>
      <c r="O38" s="254"/>
    </row>
    <row r="39" spans="1:15" ht="17.25" customHeight="1" outlineLevel="1" x14ac:dyDescent="0.25">
      <c r="A39" s="157" t="s">
        <v>78</v>
      </c>
      <c r="B39" s="5" t="s">
        <v>243</v>
      </c>
      <c r="C39" s="28">
        <f>C38/C30*12</f>
        <v>2</v>
      </c>
      <c r="D39" s="5" t="s">
        <v>96</v>
      </c>
      <c r="E39" s="4" t="s">
        <v>244</v>
      </c>
      <c r="G39" s="5" t="s">
        <v>78</v>
      </c>
      <c r="H39" s="5" t="s">
        <v>78</v>
      </c>
      <c r="I39" s="151">
        <f>50000/170000*12</f>
        <v>3.5294117647058822</v>
      </c>
      <c r="J39" s="4" t="s">
        <v>245</v>
      </c>
    </row>
    <row r="40" spans="1:15" ht="51.75" customHeight="1" outlineLevel="1" x14ac:dyDescent="0.25">
      <c r="A40" s="162" t="s">
        <v>79</v>
      </c>
      <c r="B40" s="5" t="s">
        <v>111</v>
      </c>
      <c r="C40" s="142" t="s">
        <v>246</v>
      </c>
      <c r="D40" s="5" t="s">
        <v>76</v>
      </c>
      <c r="E40" s="188" t="s">
        <v>247</v>
      </c>
      <c r="G40" s="5" t="s">
        <v>78</v>
      </c>
      <c r="H40" s="5" t="s">
        <v>78</v>
      </c>
      <c r="J40" s="5" t="s">
        <v>242</v>
      </c>
    </row>
    <row r="41" spans="1:15" s="11" customFormat="1" ht="17.25" customHeight="1" outlineLevel="1" x14ac:dyDescent="0.25">
      <c r="A41" s="257" t="s">
        <v>79</v>
      </c>
      <c r="B41" s="19" t="s">
        <v>113</v>
      </c>
      <c r="C41" s="259">
        <v>47297</v>
      </c>
      <c r="D41" s="5" t="s">
        <v>96</v>
      </c>
      <c r="E41" s="4" t="s">
        <v>230</v>
      </c>
      <c r="F41" s="251"/>
      <c r="G41" s="5" t="s">
        <v>78</v>
      </c>
      <c r="H41" s="5" t="s">
        <v>78</v>
      </c>
      <c r="I41" s="4" t="s">
        <v>115</v>
      </c>
      <c r="J41" s="5" t="s">
        <v>242</v>
      </c>
      <c r="K41" s="21"/>
      <c r="L41" s="252"/>
      <c r="M41" s="11" t="s">
        <v>79</v>
      </c>
      <c r="N41" s="253"/>
      <c r="O41" s="254"/>
    </row>
    <row r="42" spans="1:15" ht="17.25" customHeight="1" outlineLevel="1" x14ac:dyDescent="0.25">
      <c r="A42" s="157" t="s">
        <v>78</v>
      </c>
      <c r="B42" s="19" t="s">
        <v>248</v>
      </c>
      <c r="C42" s="28">
        <v>5</v>
      </c>
      <c r="D42" s="5" t="s">
        <v>96</v>
      </c>
      <c r="E42" s="4" t="s">
        <v>249</v>
      </c>
      <c r="G42" s="5" t="s">
        <v>78</v>
      </c>
      <c r="H42" s="5" t="s">
        <v>78</v>
      </c>
      <c r="I42" s="4" t="s">
        <v>115</v>
      </c>
      <c r="J42" s="4" t="s">
        <v>250</v>
      </c>
      <c r="M42" s="4" t="s">
        <v>251</v>
      </c>
    </row>
    <row r="43" spans="1:15" s="11" customFormat="1" ht="17.25" customHeight="1" outlineLevel="1" x14ac:dyDescent="0.25">
      <c r="A43" s="257" t="s">
        <v>79</v>
      </c>
      <c r="B43" s="19" t="s">
        <v>116</v>
      </c>
      <c r="C43" s="258">
        <v>6</v>
      </c>
      <c r="D43" s="5" t="s">
        <v>96</v>
      </c>
      <c r="E43" s="4" t="s">
        <v>230</v>
      </c>
      <c r="F43" s="251"/>
      <c r="G43" s="5" t="s">
        <v>78</v>
      </c>
      <c r="H43" s="5" t="s">
        <v>78</v>
      </c>
      <c r="I43" s="4" t="s">
        <v>115</v>
      </c>
      <c r="J43" s="5" t="s">
        <v>242</v>
      </c>
      <c r="K43" s="21"/>
      <c r="L43" s="252"/>
      <c r="M43" s="11" t="s">
        <v>252</v>
      </c>
      <c r="N43" s="253"/>
      <c r="O43" s="254"/>
    </row>
    <row r="44" spans="1:15" s="68" customFormat="1" ht="17.25" customHeight="1" outlineLevel="1" x14ac:dyDescent="0.25">
      <c r="A44" s="157" t="s">
        <v>78</v>
      </c>
      <c r="B44" s="68" t="s">
        <v>253</v>
      </c>
      <c r="C44" s="152">
        <f>C39+C32</f>
        <v>8</v>
      </c>
      <c r="D44" s="68" t="s">
        <v>96</v>
      </c>
      <c r="E44" s="69" t="s">
        <v>254</v>
      </c>
      <c r="F44" s="69"/>
      <c r="G44" s="68" t="s">
        <v>78</v>
      </c>
      <c r="H44" s="68" t="s">
        <v>78</v>
      </c>
      <c r="I44" s="263"/>
      <c r="J44" s="69" t="s">
        <v>255</v>
      </c>
      <c r="L44" s="39"/>
      <c r="N44" s="176"/>
      <c r="O44" s="177"/>
    </row>
    <row r="45" spans="1:15" ht="17.25" customHeight="1" outlineLevel="1" x14ac:dyDescent="0.25">
      <c r="A45" s="157" t="s">
        <v>78</v>
      </c>
      <c r="B45" s="5" t="s">
        <v>256</v>
      </c>
      <c r="C45" s="60">
        <f>C38+C33</f>
        <v>80000</v>
      </c>
      <c r="D45" s="5" t="s">
        <v>96</v>
      </c>
      <c r="E45" s="4" t="s">
        <v>257</v>
      </c>
      <c r="G45" s="5" t="s">
        <v>78</v>
      </c>
      <c r="H45" s="5" t="s">
        <v>78</v>
      </c>
      <c r="I45" s="263"/>
      <c r="J45" s="4" t="s">
        <v>258</v>
      </c>
    </row>
    <row r="46" spans="1:15" ht="17.25" customHeight="1" outlineLevel="1" x14ac:dyDescent="0.25">
      <c r="A46" s="157" t="s">
        <v>78</v>
      </c>
      <c r="B46" s="5" t="s">
        <v>259</v>
      </c>
      <c r="C46" s="60">
        <f>C45/C25</f>
        <v>18.75293014533521</v>
      </c>
      <c r="D46" s="5" t="s">
        <v>96</v>
      </c>
      <c r="E46" s="4" t="s">
        <v>260</v>
      </c>
      <c r="G46" s="5" t="s">
        <v>78</v>
      </c>
      <c r="H46" s="5" t="s">
        <v>78</v>
      </c>
    </row>
    <row r="47" spans="1:15" ht="164.25" customHeight="1" outlineLevel="1" x14ac:dyDescent="0.25">
      <c r="A47" s="157" t="s">
        <v>78</v>
      </c>
      <c r="B47" s="5" t="s">
        <v>261</v>
      </c>
      <c r="C47" s="60">
        <f>(C42*C30+C45)/C42</f>
        <v>136000</v>
      </c>
      <c r="D47" s="5" t="s">
        <v>96</v>
      </c>
      <c r="E47" s="21" t="s">
        <v>262</v>
      </c>
      <c r="G47" s="5" t="s">
        <v>78</v>
      </c>
      <c r="H47" s="5" t="s">
        <v>78</v>
      </c>
      <c r="I47" s="261"/>
      <c r="J47" s="4"/>
    </row>
    <row r="48" spans="1:15" ht="17.25" customHeight="1" outlineLevel="1" x14ac:dyDescent="0.25">
      <c r="A48" s="157" t="s">
        <v>78</v>
      </c>
      <c r="B48" s="5" t="s">
        <v>263</v>
      </c>
      <c r="C48" s="60"/>
      <c r="D48" s="5" t="s">
        <v>264</v>
      </c>
      <c r="E48" s="21" t="s">
        <v>222</v>
      </c>
      <c r="G48" s="5" t="s">
        <v>79</v>
      </c>
      <c r="H48" s="5" t="s">
        <v>78</v>
      </c>
      <c r="J48" s="4" t="s">
        <v>265</v>
      </c>
      <c r="N48" s="178"/>
    </row>
    <row r="49" spans="1:15" s="9" customFormat="1" ht="17.25" customHeight="1" x14ac:dyDescent="0.25">
      <c r="A49" s="156"/>
      <c r="B49" s="43" t="s">
        <v>266</v>
      </c>
      <c r="F49" s="25"/>
      <c r="L49" s="33"/>
      <c r="M49" s="10"/>
      <c r="N49" s="168"/>
      <c r="O49" s="169"/>
    </row>
    <row r="50" spans="1:15" ht="17.25" hidden="1" customHeight="1" outlineLevel="1" x14ac:dyDescent="0.25">
      <c r="A50" s="162" t="s">
        <v>79</v>
      </c>
      <c r="B50" s="5" t="s">
        <v>118</v>
      </c>
      <c r="C50" s="5">
        <v>5</v>
      </c>
      <c r="D50" s="5" t="s">
        <v>96</v>
      </c>
      <c r="E50" s="6" t="s">
        <v>93</v>
      </c>
      <c r="G50" s="5" t="s">
        <v>79</v>
      </c>
      <c r="H50" s="5" t="s">
        <v>78</v>
      </c>
      <c r="M50" s="5" t="s">
        <v>79</v>
      </c>
    </row>
    <row r="51" spans="1:15" ht="17.25" hidden="1" customHeight="1" outlineLevel="1" x14ac:dyDescent="0.25">
      <c r="A51" s="162" t="s">
        <v>79</v>
      </c>
      <c r="B51" s="5" t="s">
        <v>119</v>
      </c>
      <c r="C51" s="54">
        <v>47297</v>
      </c>
      <c r="D51" s="5" t="s">
        <v>96</v>
      </c>
      <c r="E51" s="4" t="s">
        <v>120</v>
      </c>
      <c r="F51" s="22"/>
      <c r="G51" s="5" t="s">
        <v>79</v>
      </c>
      <c r="H51" s="5" t="s">
        <v>78</v>
      </c>
      <c r="K51" s="21" t="s">
        <v>267</v>
      </c>
      <c r="M51" s="5" t="s">
        <v>79</v>
      </c>
    </row>
    <row r="52" spans="1:15" ht="17.25" hidden="1" customHeight="1" outlineLevel="1" x14ac:dyDescent="0.25">
      <c r="A52" s="162" t="s">
        <v>79</v>
      </c>
      <c r="B52" s="5" t="s">
        <v>121</v>
      </c>
      <c r="C52" s="61" t="s">
        <v>268</v>
      </c>
      <c r="D52" s="5" t="s">
        <v>96</v>
      </c>
      <c r="E52" s="4" t="s">
        <v>122</v>
      </c>
      <c r="F52" s="22"/>
      <c r="G52" s="5" t="s">
        <v>79</v>
      </c>
      <c r="H52" s="5" t="s">
        <v>78</v>
      </c>
    </row>
    <row r="53" spans="1:15" ht="17.25" hidden="1" customHeight="1" outlineLevel="1" x14ac:dyDescent="0.25">
      <c r="A53" s="162" t="s">
        <v>79</v>
      </c>
      <c r="B53" s="5" t="s">
        <v>123</v>
      </c>
      <c r="C53" s="62">
        <v>0.01</v>
      </c>
      <c r="D53" s="5" t="s">
        <v>96</v>
      </c>
      <c r="E53" s="4" t="s">
        <v>124</v>
      </c>
      <c r="F53" s="22"/>
      <c r="G53" s="5" t="s">
        <v>79</v>
      </c>
      <c r="H53" s="5" t="s">
        <v>78</v>
      </c>
      <c r="I53" s="4" t="s">
        <v>125</v>
      </c>
    </row>
    <row r="54" spans="1:15" ht="17.25" hidden="1" customHeight="1" outlineLevel="1" x14ac:dyDescent="0.25">
      <c r="A54" s="162" t="s">
        <v>79</v>
      </c>
      <c r="B54" s="5" t="s">
        <v>126</v>
      </c>
      <c r="C54" s="62">
        <v>0.03</v>
      </c>
      <c r="D54" s="5" t="s">
        <v>96</v>
      </c>
      <c r="E54" s="4" t="s">
        <v>124</v>
      </c>
      <c r="F54" s="22"/>
      <c r="G54" s="5" t="s">
        <v>79</v>
      </c>
      <c r="H54" s="5" t="s">
        <v>78</v>
      </c>
      <c r="I54" s="4" t="s">
        <v>125</v>
      </c>
    </row>
    <row r="55" spans="1:15" s="9" customFormat="1" ht="17.25" customHeight="1" collapsed="1" x14ac:dyDescent="0.25">
      <c r="A55" s="156"/>
      <c r="B55" s="43" t="s">
        <v>269</v>
      </c>
      <c r="F55" s="25"/>
      <c r="L55" s="33"/>
      <c r="M55" s="10"/>
      <c r="N55" s="168"/>
      <c r="O55" s="169"/>
    </row>
    <row r="56" spans="1:15" ht="17.25" hidden="1" customHeight="1" outlineLevel="1" x14ac:dyDescent="0.25">
      <c r="A56" s="162" t="s">
        <v>79</v>
      </c>
      <c r="B56" s="5" t="s">
        <v>130</v>
      </c>
      <c r="C56" s="61" t="s">
        <v>270</v>
      </c>
      <c r="D56" s="5" t="s">
        <v>96</v>
      </c>
      <c r="E56" s="5" t="s">
        <v>131</v>
      </c>
      <c r="G56" s="5" t="s">
        <v>79</v>
      </c>
      <c r="H56" s="5" t="s">
        <v>78</v>
      </c>
      <c r="L56" s="34"/>
      <c r="N56" s="170" t="s">
        <v>182</v>
      </c>
      <c r="O56" s="171" t="s">
        <v>79</v>
      </c>
    </row>
    <row r="57" spans="1:15" ht="17.25" hidden="1" customHeight="1" outlineLevel="1" x14ac:dyDescent="0.25">
      <c r="A57" s="162" t="s">
        <v>79</v>
      </c>
      <c r="B57" s="5" t="s">
        <v>132</v>
      </c>
      <c r="C57" s="61">
        <v>9</v>
      </c>
      <c r="D57" s="5" t="s">
        <v>96</v>
      </c>
      <c r="E57" s="5" t="s">
        <v>93</v>
      </c>
      <c r="G57" s="5" t="s">
        <v>79</v>
      </c>
      <c r="H57" s="5" t="s">
        <v>78</v>
      </c>
    </row>
    <row r="58" spans="1:15" ht="17.25" hidden="1" customHeight="1" outlineLevel="1" x14ac:dyDescent="0.25">
      <c r="A58" s="162" t="s">
        <v>79</v>
      </c>
      <c r="B58" s="5" t="s">
        <v>133</v>
      </c>
      <c r="C58" s="55">
        <v>1.84</v>
      </c>
      <c r="D58" s="5" t="s">
        <v>96</v>
      </c>
      <c r="E58" s="5" t="s">
        <v>134</v>
      </c>
      <c r="G58" s="5" t="s">
        <v>79</v>
      </c>
      <c r="H58" s="5" t="s">
        <v>78</v>
      </c>
      <c r="L58" s="34"/>
    </row>
    <row r="59" spans="1:15" s="4" customFormat="1" ht="17.25" hidden="1" customHeight="1" outlineLevel="1" x14ac:dyDescent="0.25">
      <c r="A59" s="162" t="s">
        <v>79</v>
      </c>
      <c r="B59" s="4" t="s">
        <v>271</v>
      </c>
      <c r="C59" s="147">
        <v>16000</v>
      </c>
      <c r="D59" s="4" t="s">
        <v>76</v>
      </c>
      <c r="E59" s="4" t="s">
        <v>134</v>
      </c>
      <c r="G59" s="4" t="s">
        <v>79</v>
      </c>
      <c r="H59" s="4" t="s">
        <v>78</v>
      </c>
      <c r="J59" s="4" t="s">
        <v>272</v>
      </c>
      <c r="L59" s="34"/>
      <c r="N59" s="178"/>
      <c r="O59" s="179"/>
    </row>
    <row r="60" spans="1:15" ht="17.25" hidden="1" customHeight="1" outlineLevel="1" x14ac:dyDescent="0.25">
      <c r="A60" s="192" t="s">
        <v>79</v>
      </c>
      <c r="B60" s="5" t="s">
        <v>109</v>
      </c>
      <c r="C60" s="55" t="s">
        <v>273</v>
      </c>
      <c r="D60" s="5" t="s">
        <v>96</v>
      </c>
      <c r="E60" s="4" t="s">
        <v>110</v>
      </c>
      <c r="G60" s="5" t="s">
        <v>79</v>
      </c>
      <c r="H60" s="5" t="s">
        <v>78</v>
      </c>
      <c r="L60" s="34"/>
    </row>
    <row r="61" spans="1:15" ht="17.25" hidden="1" customHeight="1" outlineLevel="1" x14ac:dyDescent="0.25">
      <c r="A61" s="194" t="s">
        <v>78</v>
      </c>
      <c r="B61" s="5" t="s">
        <v>274</v>
      </c>
      <c r="C61" s="61" t="s">
        <v>275</v>
      </c>
      <c r="D61" s="5" t="s">
        <v>96</v>
      </c>
      <c r="E61" s="5" t="s">
        <v>138</v>
      </c>
      <c r="G61" s="5" t="s">
        <v>79</v>
      </c>
      <c r="H61" s="5" t="s">
        <v>78</v>
      </c>
    </row>
    <row r="62" spans="1:15" ht="17.25" hidden="1" customHeight="1" outlineLevel="1" x14ac:dyDescent="0.25">
      <c r="A62" s="162" t="s">
        <v>79</v>
      </c>
      <c r="B62" s="5" t="s">
        <v>135</v>
      </c>
      <c r="C62" s="61" t="s">
        <v>276</v>
      </c>
      <c r="D62" s="5" t="s">
        <v>96</v>
      </c>
      <c r="E62" s="4" t="s">
        <v>136</v>
      </c>
      <c r="G62" s="5" t="s">
        <v>79</v>
      </c>
      <c r="H62" s="5" t="s">
        <v>78</v>
      </c>
      <c r="M62" s="5" t="s">
        <v>252</v>
      </c>
    </row>
    <row r="63" spans="1:15" ht="17.25" hidden="1" customHeight="1" outlineLevel="1" x14ac:dyDescent="0.25">
      <c r="A63" s="162" t="s">
        <v>79</v>
      </c>
      <c r="B63" s="5" t="s">
        <v>137</v>
      </c>
      <c r="C63" s="61" t="s">
        <v>275</v>
      </c>
      <c r="D63" s="5" t="s">
        <v>96</v>
      </c>
      <c r="E63" s="5" t="s">
        <v>138</v>
      </c>
      <c r="G63" s="5" t="s">
        <v>79</v>
      </c>
      <c r="H63" s="5" t="s">
        <v>78</v>
      </c>
    </row>
    <row r="64" spans="1:15" ht="17.25" hidden="1" customHeight="1" outlineLevel="1" x14ac:dyDescent="0.25">
      <c r="A64" s="162" t="s">
        <v>79</v>
      </c>
      <c r="B64" s="5" t="s">
        <v>139</v>
      </c>
      <c r="C64" s="62" t="s">
        <v>277</v>
      </c>
      <c r="D64" s="5" t="s">
        <v>96</v>
      </c>
      <c r="E64" s="5" t="s">
        <v>140</v>
      </c>
      <c r="G64" s="5" t="s">
        <v>79</v>
      </c>
      <c r="H64" s="5" t="s">
        <v>78</v>
      </c>
    </row>
    <row r="65" spans="1:15" ht="17.25" hidden="1" customHeight="1" outlineLevel="1" x14ac:dyDescent="0.25">
      <c r="A65" s="162" t="s">
        <v>79</v>
      </c>
      <c r="B65" s="5" t="s">
        <v>141</v>
      </c>
      <c r="C65" s="62">
        <v>0.1</v>
      </c>
      <c r="D65" s="5" t="s">
        <v>96</v>
      </c>
      <c r="E65" s="5" t="s">
        <v>124</v>
      </c>
      <c r="G65" s="5" t="s">
        <v>79</v>
      </c>
      <c r="H65" s="5" t="s">
        <v>78</v>
      </c>
      <c r="I65" s="4" t="s">
        <v>278</v>
      </c>
    </row>
    <row r="66" spans="1:15" ht="17.25" hidden="1" customHeight="1" outlineLevel="1" x14ac:dyDescent="0.25">
      <c r="A66" s="162" t="s">
        <v>79</v>
      </c>
      <c r="B66" s="5" t="s">
        <v>142</v>
      </c>
      <c r="C66" s="61" t="s">
        <v>275</v>
      </c>
      <c r="D66" s="5" t="s">
        <v>96</v>
      </c>
      <c r="E66" s="5" t="s">
        <v>138</v>
      </c>
      <c r="G66" s="5" t="s">
        <v>79</v>
      </c>
      <c r="H66" s="5" t="s">
        <v>78</v>
      </c>
    </row>
    <row r="67" spans="1:15" ht="17.25" hidden="1" customHeight="1" outlineLevel="1" x14ac:dyDescent="0.25">
      <c r="A67" s="194" t="s">
        <v>78</v>
      </c>
      <c r="B67" s="5" t="s">
        <v>279</v>
      </c>
      <c r="C67" s="62">
        <v>0.03</v>
      </c>
      <c r="D67" s="5" t="s">
        <v>96</v>
      </c>
      <c r="E67" s="5" t="s">
        <v>124</v>
      </c>
      <c r="G67" s="5" t="s">
        <v>79</v>
      </c>
      <c r="H67" s="5" t="s">
        <v>78</v>
      </c>
      <c r="J67" s="4" t="s">
        <v>280</v>
      </c>
    </row>
    <row r="68" spans="1:15" ht="17.25" hidden="1" customHeight="1" outlineLevel="1" x14ac:dyDescent="0.25">
      <c r="A68" s="194" t="s">
        <v>78</v>
      </c>
      <c r="B68" s="5" t="s">
        <v>281</v>
      </c>
      <c r="C68" s="62" t="s">
        <v>282</v>
      </c>
      <c r="D68" s="5" t="s">
        <v>96</v>
      </c>
      <c r="E68" s="4" t="s">
        <v>283</v>
      </c>
      <c r="G68" s="5" t="s">
        <v>79</v>
      </c>
      <c r="H68" s="5" t="s">
        <v>78</v>
      </c>
    </row>
    <row r="69" spans="1:15" ht="17.25" hidden="1" customHeight="1" outlineLevel="1" x14ac:dyDescent="0.25">
      <c r="A69" s="194" t="s">
        <v>78</v>
      </c>
      <c r="B69" s="5" t="s">
        <v>284</v>
      </c>
      <c r="C69" s="62" t="s">
        <v>285</v>
      </c>
      <c r="D69" s="5" t="s">
        <v>96</v>
      </c>
      <c r="E69" s="4" t="s">
        <v>286</v>
      </c>
      <c r="G69" s="5" t="s">
        <v>79</v>
      </c>
      <c r="H69" s="5" t="s">
        <v>78</v>
      </c>
    </row>
    <row r="70" spans="1:15" ht="17.25" hidden="1" customHeight="1" outlineLevel="1" x14ac:dyDescent="0.25">
      <c r="A70" s="162" t="s">
        <v>79</v>
      </c>
      <c r="B70" s="5" t="s">
        <v>287</v>
      </c>
      <c r="C70" s="62"/>
      <c r="D70" s="5" t="s">
        <v>96</v>
      </c>
      <c r="E70" s="5" t="s">
        <v>288</v>
      </c>
      <c r="G70" s="5" t="s">
        <v>79</v>
      </c>
      <c r="H70" s="5" t="s">
        <v>78</v>
      </c>
      <c r="J70" s="4" t="s">
        <v>289</v>
      </c>
    </row>
    <row r="71" spans="1:15" s="9" customFormat="1" ht="17.25" customHeight="1" collapsed="1" x14ac:dyDescent="0.25">
      <c r="A71" s="156"/>
      <c r="B71" s="43" t="s">
        <v>290</v>
      </c>
      <c r="E71" s="25"/>
      <c r="F71" s="25"/>
      <c r="L71" s="33"/>
      <c r="M71" s="10"/>
      <c r="N71" s="168"/>
      <c r="O71" s="169"/>
    </row>
    <row r="72" spans="1:15" ht="17.25" hidden="1" customHeight="1" outlineLevel="1" x14ac:dyDescent="0.25">
      <c r="A72" s="157" t="s">
        <v>78</v>
      </c>
      <c r="B72" s="5" t="s">
        <v>291</v>
      </c>
      <c r="C72" s="63">
        <v>0.1</v>
      </c>
      <c r="D72" s="5" t="s">
        <v>96</v>
      </c>
      <c r="E72" s="4" t="s">
        <v>230</v>
      </c>
      <c r="F72" s="24"/>
      <c r="G72" s="5" t="s">
        <v>78</v>
      </c>
      <c r="H72" s="5" t="s">
        <v>78</v>
      </c>
      <c r="I72" s="261"/>
      <c r="J72" s="5" t="s">
        <v>242</v>
      </c>
      <c r="K72" s="21"/>
    </row>
    <row r="73" spans="1:15" ht="17.25" hidden="1" customHeight="1" outlineLevel="1" x14ac:dyDescent="0.25">
      <c r="A73" s="157" t="s">
        <v>78</v>
      </c>
      <c r="B73" s="5" t="s">
        <v>292</v>
      </c>
      <c r="C73" s="60">
        <v>5000</v>
      </c>
      <c r="D73" s="5" t="s">
        <v>96</v>
      </c>
      <c r="E73" s="4" t="s">
        <v>293</v>
      </c>
      <c r="G73" s="5" t="s">
        <v>78</v>
      </c>
      <c r="H73" s="5" t="s">
        <v>78</v>
      </c>
      <c r="I73" s="262"/>
      <c r="J73" s="4" t="s">
        <v>294</v>
      </c>
    </row>
    <row r="74" spans="1:15" ht="17.25" hidden="1" customHeight="1" outlineLevel="1" x14ac:dyDescent="0.25">
      <c r="A74" s="157" t="s">
        <v>78</v>
      </c>
      <c r="B74" s="5" t="s">
        <v>290</v>
      </c>
      <c r="C74" s="60">
        <v>5000</v>
      </c>
      <c r="D74" s="5" t="s">
        <v>76</v>
      </c>
      <c r="E74" s="4" t="s">
        <v>295</v>
      </c>
      <c r="G74" s="5" t="s">
        <v>78</v>
      </c>
      <c r="H74" s="5" t="s">
        <v>78</v>
      </c>
      <c r="I74" s="261"/>
      <c r="J74" s="4" t="s">
        <v>296</v>
      </c>
      <c r="L74" s="40"/>
    </row>
    <row r="75" spans="1:15" s="9" customFormat="1" ht="17.25" customHeight="1" collapsed="1" x14ac:dyDescent="0.25">
      <c r="A75" s="156"/>
      <c r="B75" s="43" t="s">
        <v>297</v>
      </c>
      <c r="F75" s="25"/>
      <c r="L75" s="33"/>
      <c r="M75" s="10"/>
      <c r="N75" s="168"/>
      <c r="O75" s="169"/>
    </row>
    <row r="76" spans="1:15" ht="17.25" hidden="1" customHeight="1" outlineLevel="1" x14ac:dyDescent="0.25">
      <c r="A76" s="157" t="s">
        <v>78</v>
      </c>
      <c r="B76" s="4" t="s">
        <v>298</v>
      </c>
      <c r="C76" s="54">
        <v>45444</v>
      </c>
      <c r="D76" s="5" t="s">
        <v>96</v>
      </c>
      <c r="E76" s="5" t="s">
        <v>114</v>
      </c>
      <c r="G76" s="5" t="s">
        <v>79</v>
      </c>
      <c r="H76" s="5" t="s">
        <v>78</v>
      </c>
      <c r="L76" s="40"/>
    </row>
    <row r="77" spans="1:15" ht="17.25" hidden="1" customHeight="1" outlineLevel="1" x14ac:dyDescent="0.25">
      <c r="A77" s="157" t="s">
        <v>78</v>
      </c>
      <c r="B77" s="5" t="s">
        <v>299</v>
      </c>
      <c r="C77" s="5" t="s">
        <v>300</v>
      </c>
      <c r="D77" s="5" t="s">
        <v>96</v>
      </c>
      <c r="E77" s="5" t="s">
        <v>301</v>
      </c>
      <c r="G77" s="5" t="s">
        <v>79</v>
      </c>
      <c r="H77" s="5" t="s">
        <v>78</v>
      </c>
      <c r="L77" s="40"/>
    </row>
    <row r="78" spans="1:15" ht="17.25" hidden="1" customHeight="1" outlineLevel="1" x14ac:dyDescent="0.25">
      <c r="A78" s="157" t="s">
        <v>78</v>
      </c>
      <c r="B78" s="5" t="s">
        <v>302</v>
      </c>
      <c r="C78" s="5" t="s">
        <v>300</v>
      </c>
      <c r="D78" s="5" t="s">
        <v>96</v>
      </c>
      <c r="E78" s="5" t="s">
        <v>301</v>
      </c>
      <c r="G78" s="5" t="s">
        <v>79</v>
      </c>
      <c r="H78" s="5" t="s">
        <v>78</v>
      </c>
      <c r="L78" s="34"/>
    </row>
    <row r="79" spans="1:15" ht="17.25" hidden="1" customHeight="1" outlineLevel="1" x14ac:dyDescent="0.25">
      <c r="A79" s="157" t="s">
        <v>78</v>
      </c>
      <c r="B79" s="5" t="s">
        <v>303</v>
      </c>
      <c r="C79" s="5" t="s">
        <v>300</v>
      </c>
      <c r="D79" s="5" t="s">
        <v>96</v>
      </c>
      <c r="E79" s="5" t="s">
        <v>301</v>
      </c>
      <c r="G79" s="5" t="s">
        <v>79</v>
      </c>
      <c r="H79" s="5" t="s">
        <v>78</v>
      </c>
      <c r="L79" s="34"/>
    </row>
    <row r="80" spans="1:15" ht="17.25" hidden="1" customHeight="1" outlineLevel="1" x14ac:dyDescent="0.25">
      <c r="A80" s="157" t="s">
        <v>78</v>
      </c>
      <c r="B80" s="5" t="s">
        <v>304</v>
      </c>
      <c r="C80" s="5" t="s">
        <v>305</v>
      </c>
      <c r="D80" s="5" t="s">
        <v>96</v>
      </c>
      <c r="E80" s="5" t="s">
        <v>301</v>
      </c>
      <c r="G80" s="5" t="s">
        <v>79</v>
      </c>
      <c r="H80" s="5" t="s">
        <v>78</v>
      </c>
      <c r="L80" s="34"/>
    </row>
    <row r="81" spans="1:15" s="9" customFormat="1" ht="17.25" customHeight="1" collapsed="1" x14ac:dyDescent="0.25">
      <c r="A81" s="156"/>
      <c r="B81" s="43" t="s">
        <v>306</v>
      </c>
      <c r="D81" s="8"/>
      <c r="F81" s="25"/>
      <c r="L81" s="33"/>
      <c r="M81" s="10"/>
      <c r="N81" s="168"/>
      <c r="O81" s="169"/>
    </row>
    <row r="82" spans="1:15" ht="17.25" hidden="1" customHeight="1" outlineLevel="1" x14ac:dyDescent="0.25">
      <c r="A82" s="157" t="s">
        <v>78</v>
      </c>
      <c r="B82" s="4" t="s">
        <v>307</v>
      </c>
      <c r="C82" s="64" t="s">
        <v>308</v>
      </c>
      <c r="D82" s="5" t="s">
        <v>96</v>
      </c>
      <c r="E82" s="4" t="s">
        <v>309</v>
      </c>
      <c r="G82" s="5" t="s">
        <v>78</v>
      </c>
      <c r="H82" s="5" t="s">
        <v>78</v>
      </c>
      <c r="J82" s="4" t="s">
        <v>310</v>
      </c>
      <c r="K82" s="21" t="s">
        <v>311</v>
      </c>
    </row>
    <row r="83" spans="1:15" ht="17.25" hidden="1" customHeight="1" outlineLevel="1" x14ac:dyDescent="0.25">
      <c r="A83" s="157" t="s">
        <v>78</v>
      </c>
      <c r="B83" s="4" t="s">
        <v>312</v>
      </c>
      <c r="C83" s="45" t="s">
        <v>313</v>
      </c>
      <c r="D83" s="5" t="s">
        <v>96</v>
      </c>
      <c r="E83" s="5" t="s">
        <v>114</v>
      </c>
      <c r="G83" s="5" t="s">
        <v>78</v>
      </c>
      <c r="H83" s="5" t="s">
        <v>78</v>
      </c>
      <c r="K83" s="21" t="s">
        <v>314</v>
      </c>
    </row>
    <row r="84" spans="1:15" ht="17.25" hidden="1" customHeight="1" outlineLevel="1" x14ac:dyDescent="0.25">
      <c r="A84" s="157" t="s">
        <v>78</v>
      </c>
      <c r="B84" s="5" t="s">
        <v>315</v>
      </c>
      <c r="C84" s="45">
        <v>45444</v>
      </c>
      <c r="D84" s="5" t="s">
        <v>96</v>
      </c>
      <c r="E84" s="5" t="s">
        <v>114</v>
      </c>
      <c r="G84" s="5" t="s">
        <v>78</v>
      </c>
      <c r="H84" s="5" t="s">
        <v>78</v>
      </c>
      <c r="J84" s="4" t="s">
        <v>316</v>
      </c>
      <c r="K84" s="21" t="s">
        <v>317</v>
      </c>
    </row>
    <row r="85" spans="1:15" ht="17.25" hidden="1" customHeight="1" outlineLevel="1" x14ac:dyDescent="0.25">
      <c r="A85" s="157" t="s">
        <v>78</v>
      </c>
      <c r="B85" s="5" t="s">
        <v>318</v>
      </c>
      <c r="C85" s="4" t="s">
        <v>319</v>
      </c>
      <c r="D85" s="5" t="s">
        <v>76</v>
      </c>
      <c r="E85" s="4" t="s">
        <v>320</v>
      </c>
      <c r="G85" s="5" t="s">
        <v>79</v>
      </c>
      <c r="H85" s="5" t="s">
        <v>78</v>
      </c>
      <c r="I85" s="4"/>
      <c r="J85" s="4"/>
      <c r="K85" s="19"/>
      <c r="L85" s="40" t="s">
        <v>321</v>
      </c>
    </row>
    <row r="86" spans="1:15" ht="17.25" hidden="1" customHeight="1" outlineLevel="1" x14ac:dyDescent="0.25">
      <c r="A86" s="157" t="s">
        <v>78</v>
      </c>
      <c r="B86" s="5" t="s">
        <v>322</v>
      </c>
      <c r="C86" s="45" t="s">
        <v>313</v>
      </c>
      <c r="D86" s="5" t="s">
        <v>76</v>
      </c>
      <c r="E86" s="5" t="s">
        <v>114</v>
      </c>
      <c r="F86" s="119"/>
      <c r="G86" s="5" t="s">
        <v>78</v>
      </c>
      <c r="H86" s="5" t="s">
        <v>78</v>
      </c>
      <c r="I86" s="4" t="s">
        <v>323</v>
      </c>
      <c r="J86" s="4" t="s">
        <v>324</v>
      </c>
      <c r="K86" s="21" t="s">
        <v>325</v>
      </c>
      <c r="L86" s="40"/>
    </row>
    <row r="87" spans="1:15" s="9" customFormat="1" ht="17.25" customHeight="1" collapsed="1" x14ac:dyDescent="0.25">
      <c r="A87" s="156"/>
      <c r="B87" s="43" t="s">
        <v>326</v>
      </c>
      <c r="F87" s="25"/>
      <c r="L87" s="33"/>
      <c r="M87" s="10"/>
      <c r="N87" s="168"/>
      <c r="O87" s="169"/>
    </row>
    <row r="88" spans="1:15" s="4" customFormat="1" ht="17.25" hidden="1" customHeight="1" outlineLevel="1" x14ac:dyDescent="0.25">
      <c r="A88" s="157" t="s">
        <v>78</v>
      </c>
      <c r="B88" s="4" t="s">
        <v>327</v>
      </c>
      <c r="C88" s="5" t="s">
        <v>30</v>
      </c>
      <c r="D88" s="5" t="s">
        <v>96</v>
      </c>
      <c r="E88" s="4" t="s">
        <v>328</v>
      </c>
      <c r="G88" s="5" t="s">
        <v>79</v>
      </c>
      <c r="H88" s="5" t="s">
        <v>78</v>
      </c>
      <c r="L88" s="40"/>
      <c r="N88" s="178"/>
      <c r="O88" s="179"/>
    </row>
    <row r="89" spans="1:15" s="4" customFormat="1" ht="17.25" hidden="1" customHeight="1" outlineLevel="1" x14ac:dyDescent="0.25">
      <c r="A89" s="157" t="s">
        <v>78</v>
      </c>
      <c r="B89" s="4" t="s">
        <v>329</v>
      </c>
      <c r="C89" s="5" t="s">
        <v>79</v>
      </c>
      <c r="D89" s="5" t="s">
        <v>96</v>
      </c>
      <c r="E89" s="4" t="s">
        <v>330</v>
      </c>
      <c r="G89" s="5" t="s">
        <v>79</v>
      </c>
      <c r="H89" s="5" t="s">
        <v>78</v>
      </c>
      <c r="L89" s="40"/>
      <c r="N89" s="178"/>
      <c r="O89" s="179"/>
    </row>
    <row r="90" spans="1:15" s="4" customFormat="1" ht="17.25" hidden="1" customHeight="1" outlineLevel="1" x14ac:dyDescent="0.25">
      <c r="A90" s="157" t="s">
        <v>78</v>
      </c>
      <c r="B90" s="4" t="s">
        <v>331</v>
      </c>
      <c r="C90" s="54">
        <v>45459</v>
      </c>
      <c r="D90" s="5" t="s">
        <v>96</v>
      </c>
      <c r="E90" s="4" t="s">
        <v>114</v>
      </c>
      <c r="G90" s="5" t="s">
        <v>79</v>
      </c>
      <c r="H90" s="5" t="s">
        <v>78</v>
      </c>
      <c r="I90" s="4" t="s">
        <v>332</v>
      </c>
      <c r="L90" s="40"/>
      <c r="N90" s="178"/>
      <c r="O90" s="179"/>
    </row>
    <row r="91" spans="1:15" s="4" customFormat="1" ht="17.25" hidden="1" customHeight="1" outlineLevel="1" x14ac:dyDescent="0.25">
      <c r="A91" s="157" t="s">
        <v>78</v>
      </c>
      <c r="B91" s="4" t="s">
        <v>333</v>
      </c>
      <c r="C91" s="54">
        <v>45459</v>
      </c>
      <c r="D91" s="5" t="s">
        <v>96</v>
      </c>
      <c r="E91" s="4" t="s">
        <v>114</v>
      </c>
      <c r="G91" s="5" t="s">
        <v>79</v>
      </c>
      <c r="H91" s="5" t="s">
        <v>78</v>
      </c>
      <c r="I91" s="4" t="s">
        <v>332</v>
      </c>
      <c r="L91" s="40"/>
      <c r="N91" s="178"/>
      <c r="O91" s="179"/>
    </row>
    <row r="92" spans="1:15" s="4" customFormat="1" ht="17.25" hidden="1" customHeight="1" outlineLevel="1" x14ac:dyDescent="0.25">
      <c r="A92" s="157" t="s">
        <v>78</v>
      </c>
      <c r="B92" s="4" t="s">
        <v>334</v>
      </c>
      <c r="C92" s="5" t="s">
        <v>79</v>
      </c>
      <c r="D92" s="5" t="s">
        <v>96</v>
      </c>
      <c r="E92" s="4" t="s">
        <v>330</v>
      </c>
      <c r="G92" s="5" t="s">
        <v>79</v>
      </c>
      <c r="H92" s="5" t="s">
        <v>78</v>
      </c>
      <c r="L92" s="40"/>
      <c r="N92" s="178"/>
      <c r="O92" s="179"/>
    </row>
    <row r="93" spans="1:15" s="4" customFormat="1" ht="17.25" hidden="1" customHeight="1" outlineLevel="1" x14ac:dyDescent="0.25">
      <c r="A93" s="157" t="s">
        <v>78</v>
      </c>
      <c r="B93" s="4" t="s">
        <v>335</v>
      </c>
      <c r="C93" s="54">
        <v>45459</v>
      </c>
      <c r="D93" s="5" t="s">
        <v>96</v>
      </c>
      <c r="E93" s="4" t="s">
        <v>114</v>
      </c>
      <c r="G93" s="5" t="s">
        <v>79</v>
      </c>
      <c r="H93" s="5" t="s">
        <v>78</v>
      </c>
      <c r="I93" s="4" t="s">
        <v>336</v>
      </c>
      <c r="L93" s="40"/>
      <c r="N93" s="178"/>
      <c r="O93" s="179"/>
    </row>
    <row r="94" spans="1:15" s="4" customFormat="1" ht="17.25" hidden="1" customHeight="1" outlineLevel="1" x14ac:dyDescent="0.25">
      <c r="A94" s="157" t="s">
        <v>78</v>
      </c>
      <c r="B94" s="4" t="s">
        <v>337</v>
      </c>
      <c r="C94" s="54">
        <v>45459</v>
      </c>
      <c r="D94" s="5" t="s">
        <v>96</v>
      </c>
      <c r="E94" s="4" t="s">
        <v>114</v>
      </c>
      <c r="G94" s="5" t="s">
        <v>79</v>
      </c>
      <c r="H94" s="5" t="s">
        <v>78</v>
      </c>
      <c r="I94" s="4" t="s">
        <v>336</v>
      </c>
      <c r="L94" s="40"/>
      <c r="N94" s="178"/>
      <c r="O94" s="179"/>
    </row>
    <row r="95" spans="1:15" s="4" customFormat="1" ht="17.25" hidden="1" customHeight="1" outlineLevel="1" x14ac:dyDescent="0.25">
      <c r="A95" s="157" t="s">
        <v>78</v>
      </c>
      <c r="B95" s="4" t="s">
        <v>338</v>
      </c>
      <c r="C95" s="5" t="s">
        <v>79</v>
      </c>
      <c r="D95" s="5" t="s">
        <v>96</v>
      </c>
      <c r="E95" s="4" t="s">
        <v>330</v>
      </c>
      <c r="G95" s="5" t="s">
        <v>79</v>
      </c>
      <c r="H95" s="5" t="s">
        <v>78</v>
      </c>
      <c r="L95" s="40"/>
      <c r="N95" s="178"/>
      <c r="O95" s="179"/>
    </row>
    <row r="96" spans="1:15" s="4" customFormat="1" ht="17.25" hidden="1" customHeight="1" outlineLevel="1" x14ac:dyDescent="0.25">
      <c r="A96" s="157" t="s">
        <v>78</v>
      </c>
      <c r="B96" s="4" t="s">
        <v>339</v>
      </c>
      <c r="C96" s="54">
        <v>45459</v>
      </c>
      <c r="D96" s="5" t="s">
        <v>96</v>
      </c>
      <c r="E96" s="4" t="s">
        <v>114</v>
      </c>
      <c r="G96" s="5" t="s">
        <v>79</v>
      </c>
      <c r="H96" s="5" t="s">
        <v>78</v>
      </c>
      <c r="I96" s="4" t="s">
        <v>340</v>
      </c>
      <c r="L96" s="40"/>
      <c r="N96" s="178"/>
      <c r="O96" s="179"/>
    </row>
    <row r="97" spans="1:15" s="4" customFormat="1" ht="17.25" hidden="1" customHeight="1" outlineLevel="1" x14ac:dyDescent="0.25">
      <c r="A97" s="157" t="s">
        <v>78</v>
      </c>
      <c r="B97" s="4" t="s">
        <v>341</v>
      </c>
      <c r="C97" s="5" t="s">
        <v>79</v>
      </c>
      <c r="D97" s="5" t="s">
        <v>96</v>
      </c>
      <c r="E97" s="4" t="s">
        <v>330</v>
      </c>
      <c r="G97" s="5" t="s">
        <v>79</v>
      </c>
      <c r="H97" s="5" t="s">
        <v>78</v>
      </c>
      <c r="L97" s="40"/>
      <c r="N97" s="178"/>
      <c r="O97" s="179"/>
    </row>
    <row r="98" spans="1:15" s="4" customFormat="1" ht="17.25" hidden="1" customHeight="1" outlineLevel="1" x14ac:dyDescent="0.25">
      <c r="A98" s="157" t="s">
        <v>78</v>
      </c>
      <c r="B98" s="4" t="s">
        <v>342</v>
      </c>
      <c r="C98" s="54">
        <v>45459</v>
      </c>
      <c r="D98" s="5" t="s">
        <v>96</v>
      </c>
      <c r="E98" s="4" t="s">
        <v>114</v>
      </c>
      <c r="G98" s="5" t="s">
        <v>79</v>
      </c>
      <c r="H98" s="5" t="s">
        <v>78</v>
      </c>
      <c r="I98" s="4" t="s">
        <v>343</v>
      </c>
      <c r="L98" s="40"/>
      <c r="N98" s="178"/>
      <c r="O98" s="179"/>
    </row>
    <row r="99" spans="1:15" s="4" customFormat="1" ht="17.25" hidden="1" customHeight="1" outlineLevel="1" x14ac:dyDescent="0.25">
      <c r="A99" s="157" t="s">
        <v>78</v>
      </c>
      <c r="B99" s="4" t="s">
        <v>344</v>
      </c>
      <c r="C99" s="5" t="s">
        <v>79</v>
      </c>
      <c r="D99" s="5" t="s">
        <v>96</v>
      </c>
      <c r="E99" s="4" t="s">
        <v>330</v>
      </c>
      <c r="G99" s="5" t="s">
        <v>79</v>
      </c>
      <c r="H99" s="5" t="s">
        <v>78</v>
      </c>
      <c r="L99" s="40"/>
      <c r="N99" s="178"/>
      <c r="O99" s="179"/>
    </row>
    <row r="100" spans="1:15" s="4" customFormat="1" ht="17.25" hidden="1" customHeight="1" outlineLevel="1" x14ac:dyDescent="0.25">
      <c r="A100" s="157" t="s">
        <v>78</v>
      </c>
      <c r="B100" s="4" t="s">
        <v>345</v>
      </c>
      <c r="C100" s="54">
        <v>45459</v>
      </c>
      <c r="D100" s="5" t="s">
        <v>96</v>
      </c>
      <c r="E100" s="4" t="s">
        <v>114</v>
      </c>
      <c r="G100" s="5" t="s">
        <v>79</v>
      </c>
      <c r="H100" s="5" t="s">
        <v>78</v>
      </c>
      <c r="I100" s="4" t="s">
        <v>346</v>
      </c>
      <c r="L100" s="40"/>
      <c r="N100" s="178"/>
      <c r="O100" s="179"/>
    </row>
    <row r="101" spans="1:15" s="4" customFormat="1" ht="17.25" hidden="1" customHeight="1" outlineLevel="1" x14ac:dyDescent="0.25">
      <c r="A101" s="157" t="s">
        <v>78</v>
      </c>
      <c r="B101" s="4" t="s">
        <v>347</v>
      </c>
      <c r="C101" s="5" t="s">
        <v>79</v>
      </c>
      <c r="D101" s="5" t="s">
        <v>96</v>
      </c>
      <c r="E101" s="4" t="s">
        <v>330</v>
      </c>
      <c r="G101" s="5" t="s">
        <v>79</v>
      </c>
      <c r="H101" s="5" t="s">
        <v>78</v>
      </c>
      <c r="L101" s="35"/>
      <c r="N101" s="178"/>
      <c r="O101" s="179"/>
    </row>
    <row r="102" spans="1:15" s="4" customFormat="1" ht="17.25" hidden="1" customHeight="1" outlineLevel="1" x14ac:dyDescent="0.25">
      <c r="A102" s="157" t="s">
        <v>78</v>
      </c>
      <c r="B102" s="4" t="s">
        <v>348</v>
      </c>
      <c r="C102" s="54">
        <v>45459</v>
      </c>
      <c r="D102" s="5" t="s">
        <v>96</v>
      </c>
      <c r="E102" s="4" t="s">
        <v>114</v>
      </c>
      <c r="G102" s="5" t="s">
        <v>79</v>
      </c>
      <c r="H102" s="5" t="s">
        <v>78</v>
      </c>
      <c r="I102" s="4" t="s">
        <v>349</v>
      </c>
      <c r="L102" s="35"/>
      <c r="N102" s="178"/>
      <c r="O102" s="179"/>
    </row>
    <row r="103" spans="1:15" s="4" customFormat="1" ht="17.25" hidden="1" customHeight="1" outlineLevel="1" x14ac:dyDescent="0.25">
      <c r="A103" s="157" t="s">
        <v>78</v>
      </c>
      <c r="B103" s="4" t="s">
        <v>350</v>
      </c>
      <c r="C103" s="5" t="s">
        <v>79</v>
      </c>
      <c r="D103" s="5" t="s">
        <v>96</v>
      </c>
      <c r="E103" s="4" t="s">
        <v>330</v>
      </c>
      <c r="G103" s="5" t="s">
        <v>79</v>
      </c>
      <c r="H103" s="5" t="s">
        <v>78</v>
      </c>
      <c r="L103" s="35"/>
      <c r="N103" s="178"/>
      <c r="O103" s="179"/>
    </row>
    <row r="104" spans="1:15" s="4" customFormat="1" ht="17.25" hidden="1" customHeight="1" outlineLevel="1" x14ac:dyDescent="0.25">
      <c r="A104" s="157" t="s">
        <v>78</v>
      </c>
      <c r="B104" s="4" t="s">
        <v>351</v>
      </c>
      <c r="C104" s="54">
        <v>45459</v>
      </c>
      <c r="D104" s="5" t="s">
        <v>96</v>
      </c>
      <c r="E104" s="4" t="s">
        <v>114</v>
      </c>
      <c r="G104" s="5" t="s">
        <v>79</v>
      </c>
      <c r="H104" s="5" t="s">
        <v>78</v>
      </c>
      <c r="I104" s="4" t="s">
        <v>352</v>
      </c>
      <c r="L104" s="35"/>
      <c r="N104" s="178"/>
      <c r="O104" s="179"/>
    </row>
    <row r="105" spans="1:15" s="9" customFormat="1" ht="17.25" customHeight="1" collapsed="1" x14ac:dyDescent="0.25">
      <c r="A105" s="156"/>
      <c r="B105" s="43" t="s">
        <v>353</v>
      </c>
      <c r="F105" s="25"/>
      <c r="L105" s="33"/>
      <c r="M105" s="10"/>
      <c r="N105" s="168"/>
      <c r="O105" s="169"/>
    </row>
    <row r="106" spans="1:15" s="15" customFormat="1" ht="17.25" hidden="1" customHeight="1" outlineLevel="1" x14ac:dyDescent="0.25">
      <c r="A106" s="157" t="s">
        <v>78</v>
      </c>
      <c r="B106" s="15" t="s">
        <v>354</v>
      </c>
      <c r="C106" s="5" t="s">
        <v>79</v>
      </c>
      <c r="D106" s="15" t="s">
        <v>96</v>
      </c>
      <c r="E106" s="15" t="s">
        <v>330</v>
      </c>
      <c r="F106" s="24"/>
      <c r="G106" s="5" t="s">
        <v>79</v>
      </c>
      <c r="H106" s="5" t="s">
        <v>78</v>
      </c>
      <c r="L106" s="36"/>
      <c r="N106" s="172"/>
      <c r="O106" s="173"/>
    </row>
    <row r="107" spans="1:15" ht="17.25" hidden="1" customHeight="1" outlineLevel="1" x14ac:dyDescent="0.25">
      <c r="A107" s="157" t="s">
        <v>78</v>
      </c>
      <c r="B107" s="5" t="s">
        <v>355</v>
      </c>
      <c r="C107" s="54">
        <v>45459</v>
      </c>
      <c r="D107" s="5" t="s">
        <v>96</v>
      </c>
      <c r="E107" s="5" t="s">
        <v>114</v>
      </c>
      <c r="G107" s="5" t="s">
        <v>79</v>
      </c>
      <c r="H107" s="5" t="s">
        <v>78</v>
      </c>
    </row>
    <row r="108" spans="1:15" s="9" customFormat="1" ht="17.25" customHeight="1" collapsed="1" x14ac:dyDescent="0.25">
      <c r="A108" s="156"/>
      <c r="B108" s="43" t="s">
        <v>356</v>
      </c>
      <c r="F108" s="25"/>
      <c r="L108" s="33"/>
      <c r="M108" s="10"/>
      <c r="N108" s="168"/>
      <c r="O108" s="169"/>
    </row>
    <row r="109" spans="1:15" ht="17.25" hidden="1" customHeight="1" outlineLevel="1" x14ac:dyDescent="0.25">
      <c r="A109" s="157" t="s">
        <v>78</v>
      </c>
      <c r="B109" s="4" t="s">
        <v>357</v>
      </c>
      <c r="C109" s="54">
        <v>45444</v>
      </c>
      <c r="D109" s="5" t="s">
        <v>96</v>
      </c>
      <c r="E109" s="5" t="s">
        <v>114</v>
      </c>
      <c r="G109" s="5" t="s">
        <v>79</v>
      </c>
      <c r="H109" s="5" t="s">
        <v>78</v>
      </c>
      <c r="K109" s="21" t="s">
        <v>358</v>
      </c>
    </row>
    <row r="110" spans="1:15" ht="17.25" hidden="1" customHeight="1" outlineLevel="1" x14ac:dyDescent="0.25">
      <c r="A110" s="157" t="s">
        <v>78</v>
      </c>
      <c r="B110" s="4" t="s">
        <v>359</v>
      </c>
      <c r="C110" s="54">
        <v>45446</v>
      </c>
      <c r="D110" s="5" t="s">
        <v>96</v>
      </c>
      <c r="E110" s="5" t="s">
        <v>114</v>
      </c>
      <c r="G110" s="5" t="s">
        <v>79</v>
      </c>
      <c r="H110" s="5" t="s">
        <v>78</v>
      </c>
    </row>
    <row r="111" spans="1:15" ht="17.25" hidden="1" customHeight="1" outlineLevel="1" x14ac:dyDescent="0.25">
      <c r="A111" s="157" t="s">
        <v>78</v>
      </c>
      <c r="B111" s="4" t="s">
        <v>360</v>
      </c>
      <c r="C111" s="54">
        <v>45457</v>
      </c>
      <c r="D111" s="5" t="s">
        <v>96</v>
      </c>
      <c r="E111" s="5" t="s">
        <v>114</v>
      </c>
      <c r="G111" s="5" t="s">
        <v>79</v>
      </c>
      <c r="H111" s="5" t="s">
        <v>78</v>
      </c>
    </row>
    <row r="112" spans="1:15" ht="17.25" hidden="1" customHeight="1" outlineLevel="1" x14ac:dyDescent="0.25">
      <c r="A112" s="157" t="s">
        <v>78</v>
      </c>
      <c r="B112" s="4" t="s">
        <v>361</v>
      </c>
      <c r="C112" s="54">
        <v>45459</v>
      </c>
      <c r="D112" s="5" t="s">
        <v>76</v>
      </c>
      <c r="E112" s="5" t="s">
        <v>114</v>
      </c>
      <c r="G112" s="5" t="s">
        <v>79</v>
      </c>
      <c r="H112" s="5" t="s">
        <v>78</v>
      </c>
    </row>
    <row r="113" spans="1:15" ht="17.25" hidden="1" customHeight="1" outlineLevel="1" x14ac:dyDescent="0.25">
      <c r="A113" s="157" t="s">
        <v>78</v>
      </c>
      <c r="B113" s="4" t="s">
        <v>362</v>
      </c>
      <c r="C113" s="54" t="s">
        <v>79</v>
      </c>
      <c r="D113" s="5" t="s">
        <v>96</v>
      </c>
      <c r="E113" s="5" t="s">
        <v>330</v>
      </c>
      <c r="G113" s="5" t="s">
        <v>79</v>
      </c>
      <c r="H113" s="5" t="s">
        <v>78</v>
      </c>
    </row>
    <row r="114" spans="1:15" s="15" customFormat="1" ht="17.25" hidden="1" customHeight="1" outlineLevel="1" x14ac:dyDescent="0.25">
      <c r="A114" s="157" t="s">
        <v>78</v>
      </c>
      <c r="B114" s="4" t="s">
        <v>363</v>
      </c>
      <c r="C114" s="54" t="s">
        <v>79</v>
      </c>
      <c r="D114" s="5" t="s">
        <v>96</v>
      </c>
      <c r="E114" s="5" t="s">
        <v>330</v>
      </c>
      <c r="G114" s="5" t="s">
        <v>79</v>
      </c>
      <c r="H114" s="5" t="s">
        <v>78</v>
      </c>
      <c r="I114" s="5"/>
      <c r="J114" s="4" t="s">
        <v>364</v>
      </c>
      <c r="L114" s="35"/>
      <c r="N114" s="172"/>
      <c r="O114" s="173"/>
    </row>
    <row r="115" spans="1:15" ht="17.25" hidden="1" customHeight="1" outlineLevel="1" x14ac:dyDescent="0.25">
      <c r="A115" s="157" t="s">
        <v>78</v>
      </c>
      <c r="B115" s="4" t="s">
        <v>365</v>
      </c>
      <c r="C115" s="54">
        <v>45463</v>
      </c>
      <c r="D115" s="5" t="s">
        <v>76</v>
      </c>
      <c r="E115" s="5" t="s">
        <v>114</v>
      </c>
      <c r="G115" s="5" t="s">
        <v>79</v>
      </c>
      <c r="H115" s="5" t="s">
        <v>78</v>
      </c>
    </row>
    <row r="116" spans="1:15" ht="17.25" hidden="1" customHeight="1" outlineLevel="1" x14ac:dyDescent="0.25">
      <c r="A116" s="157" t="s">
        <v>78</v>
      </c>
      <c r="B116" s="4" t="s">
        <v>366</v>
      </c>
      <c r="C116" s="54">
        <v>45465</v>
      </c>
      <c r="D116" s="5" t="s">
        <v>76</v>
      </c>
      <c r="E116" s="5" t="s">
        <v>114</v>
      </c>
      <c r="G116" s="5" t="s">
        <v>79</v>
      </c>
      <c r="H116" s="5" t="s">
        <v>78</v>
      </c>
    </row>
    <row r="117" spans="1:15" ht="17.25" hidden="1" customHeight="1" outlineLevel="1" x14ac:dyDescent="0.25">
      <c r="A117" s="157" t="s">
        <v>78</v>
      </c>
      <c r="B117" s="4" t="s">
        <v>367</v>
      </c>
      <c r="C117" s="30">
        <f>C116</f>
        <v>45465</v>
      </c>
      <c r="D117" s="5" t="s">
        <v>96</v>
      </c>
      <c r="E117" s="4" t="s">
        <v>368</v>
      </c>
      <c r="G117" s="5" t="s">
        <v>78</v>
      </c>
      <c r="H117" s="5" t="s">
        <v>78</v>
      </c>
      <c r="I117" s="260">
        <f>69/3</f>
        <v>23</v>
      </c>
    </row>
    <row r="118" spans="1:15" ht="17.25" hidden="1" customHeight="1" outlineLevel="1" x14ac:dyDescent="0.25">
      <c r="A118" s="157" t="s">
        <v>78</v>
      </c>
      <c r="B118" s="4" t="s">
        <v>369</v>
      </c>
      <c r="C118" s="65">
        <v>5.5</v>
      </c>
      <c r="D118" s="5" t="s">
        <v>96</v>
      </c>
      <c r="E118" s="4" t="s">
        <v>370</v>
      </c>
      <c r="G118" s="5" t="s">
        <v>78</v>
      </c>
      <c r="H118" s="5" t="s">
        <v>78</v>
      </c>
    </row>
    <row r="119" spans="1:15" s="9" customFormat="1" ht="17.25" customHeight="1" collapsed="1" x14ac:dyDescent="0.25">
      <c r="A119" s="156"/>
      <c r="B119" s="43" t="s">
        <v>31</v>
      </c>
      <c r="F119" s="25"/>
      <c r="L119" s="33"/>
      <c r="M119" s="10"/>
      <c r="N119" s="168"/>
      <c r="O119" s="169"/>
    </row>
    <row r="120" spans="1:15" ht="17.25" hidden="1" customHeight="1" outlineLevel="1" x14ac:dyDescent="0.25">
      <c r="A120" s="157" t="s">
        <v>78</v>
      </c>
      <c r="B120" s="5" t="s">
        <v>371</v>
      </c>
      <c r="C120" s="5" t="s">
        <v>30</v>
      </c>
      <c r="D120" s="5" t="s">
        <v>96</v>
      </c>
      <c r="E120" s="15" t="s">
        <v>328</v>
      </c>
      <c r="G120" s="5" t="s">
        <v>79</v>
      </c>
      <c r="H120" s="5" t="s">
        <v>78</v>
      </c>
      <c r="L120" s="40"/>
    </row>
    <row r="121" spans="1:15" ht="17.25" hidden="1" customHeight="1" outlineLevel="1" x14ac:dyDescent="0.25">
      <c r="A121" s="157" t="s">
        <v>78</v>
      </c>
      <c r="B121" s="5" t="s">
        <v>372</v>
      </c>
      <c r="C121" s="54">
        <v>45459</v>
      </c>
      <c r="D121" s="5" t="s">
        <v>96</v>
      </c>
      <c r="E121" s="5" t="s">
        <v>373</v>
      </c>
      <c r="G121" s="5" t="s">
        <v>79</v>
      </c>
      <c r="H121" s="5" t="s">
        <v>78</v>
      </c>
      <c r="L121" s="40"/>
    </row>
    <row r="122" spans="1:15" s="9" customFormat="1" ht="17.25" customHeight="1" collapsed="1" x14ac:dyDescent="0.25">
      <c r="A122" s="156"/>
      <c r="B122" s="8" t="s">
        <v>374</v>
      </c>
      <c r="F122" s="25"/>
      <c r="L122" s="42"/>
      <c r="M122" s="10"/>
      <c r="N122" s="168"/>
      <c r="O122" s="169"/>
    </row>
    <row r="123" spans="1:15" ht="17.25" hidden="1" customHeight="1" outlineLevel="1" x14ac:dyDescent="0.25">
      <c r="A123" s="157" t="s">
        <v>78</v>
      </c>
      <c r="B123" s="5" t="s">
        <v>375</v>
      </c>
      <c r="C123" s="66" t="s">
        <v>376</v>
      </c>
      <c r="D123" s="5" t="s">
        <v>76</v>
      </c>
      <c r="E123" s="5" t="s">
        <v>377</v>
      </c>
      <c r="F123" s="5"/>
      <c r="G123" s="5" t="s">
        <v>78</v>
      </c>
      <c r="H123" s="5" t="s">
        <v>78</v>
      </c>
      <c r="K123" s="4" t="s">
        <v>378</v>
      </c>
      <c r="L123" s="40"/>
    </row>
    <row r="124" spans="1:15" ht="17.25" hidden="1" customHeight="1" outlineLevel="1" x14ac:dyDescent="0.25">
      <c r="A124" s="157" t="s">
        <v>78</v>
      </c>
      <c r="B124" s="5" t="s">
        <v>379</v>
      </c>
      <c r="C124" s="66" t="s">
        <v>380</v>
      </c>
      <c r="D124" s="5" t="s">
        <v>76</v>
      </c>
      <c r="G124" s="5" t="s">
        <v>78</v>
      </c>
      <c r="H124" s="5" t="s">
        <v>78</v>
      </c>
      <c r="K124" s="4" t="s">
        <v>378</v>
      </c>
      <c r="L124" s="40"/>
    </row>
    <row r="125" spans="1:15" ht="17.25" hidden="1" customHeight="1" outlineLevel="1" x14ac:dyDescent="0.25">
      <c r="A125" s="157" t="s">
        <v>78</v>
      </c>
      <c r="B125" s="19" t="s">
        <v>148</v>
      </c>
      <c r="C125" s="67" t="s">
        <v>381</v>
      </c>
      <c r="D125" s="50" t="s">
        <v>96</v>
      </c>
      <c r="E125" s="51" t="s">
        <v>149</v>
      </c>
      <c r="F125" s="51" t="s">
        <v>150</v>
      </c>
      <c r="G125" s="5" t="s">
        <v>78</v>
      </c>
      <c r="H125" s="5" t="s">
        <v>79</v>
      </c>
      <c r="L125" s="34"/>
      <c r="N125" s="170" t="s">
        <v>168</v>
      </c>
      <c r="O125" s="171" t="s">
        <v>78</v>
      </c>
    </row>
    <row r="126" spans="1:15" ht="17.25" hidden="1" customHeight="1" outlineLevel="1" x14ac:dyDescent="0.25">
      <c r="A126" s="161" t="s">
        <v>78</v>
      </c>
      <c r="B126" s="4" t="s">
        <v>382</v>
      </c>
      <c r="C126" s="49"/>
      <c r="D126" s="50" t="s">
        <v>76</v>
      </c>
      <c r="E126" s="5" t="s">
        <v>114</v>
      </c>
      <c r="F126" s="143" t="s">
        <v>383</v>
      </c>
      <c r="H126" s="5" t="s">
        <v>79</v>
      </c>
      <c r="I126" s="15"/>
      <c r="L126" s="41"/>
      <c r="N126" s="170" t="s">
        <v>182</v>
      </c>
      <c r="O126" s="171" t="s">
        <v>78</v>
      </c>
    </row>
    <row r="127" spans="1:15" ht="17.25" hidden="1" customHeight="1" outlineLevel="1" x14ac:dyDescent="0.25">
      <c r="A127" s="157" t="s">
        <v>78</v>
      </c>
      <c r="B127" s="5" t="s">
        <v>146</v>
      </c>
      <c r="C127" s="67" t="s">
        <v>384</v>
      </c>
      <c r="D127" s="5" t="s">
        <v>76</v>
      </c>
      <c r="G127" s="5" t="s">
        <v>78</v>
      </c>
      <c r="H127" s="5" t="s">
        <v>79</v>
      </c>
      <c r="L127" s="40"/>
      <c r="N127" s="170" t="s">
        <v>182</v>
      </c>
      <c r="O127" s="171" t="s">
        <v>78</v>
      </c>
    </row>
    <row r="128" spans="1:15" ht="17.25" hidden="1" customHeight="1" outlineLevel="1" x14ac:dyDescent="0.25">
      <c r="A128" s="157" t="s">
        <v>78</v>
      </c>
      <c r="B128" s="5" t="s">
        <v>147</v>
      </c>
      <c r="C128" s="67" t="s">
        <v>384</v>
      </c>
      <c r="D128" s="5" t="s">
        <v>76</v>
      </c>
      <c r="G128" s="5" t="s">
        <v>78</v>
      </c>
      <c r="H128" s="5" t="s">
        <v>79</v>
      </c>
      <c r="L128" s="40"/>
      <c r="N128" s="170" t="s">
        <v>182</v>
      </c>
      <c r="O128" s="171" t="s">
        <v>78</v>
      </c>
    </row>
    <row r="129" spans="1:15" s="144" customFormat="1" ht="17.25" customHeight="1" collapsed="1" x14ac:dyDescent="0.25">
      <c r="A129" s="160"/>
      <c r="B129" s="154" t="s">
        <v>385</v>
      </c>
      <c r="F129" s="145"/>
      <c r="L129" s="146"/>
      <c r="N129" s="180"/>
      <c r="O129" s="181"/>
    </row>
    <row r="130" spans="1:15" s="19" customFormat="1" ht="17.25" hidden="1" customHeight="1" outlineLevel="1" x14ac:dyDescent="0.25">
      <c r="A130" s="161" t="s">
        <v>78</v>
      </c>
      <c r="B130" s="19" t="s">
        <v>386</v>
      </c>
      <c r="C130" s="49" t="s">
        <v>387</v>
      </c>
      <c r="D130" s="19" t="s">
        <v>96</v>
      </c>
      <c r="E130" s="23" t="s">
        <v>309</v>
      </c>
      <c r="F130" s="21" t="s">
        <v>388</v>
      </c>
      <c r="G130" s="19" t="s">
        <v>78</v>
      </c>
      <c r="H130" s="19" t="s">
        <v>78</v>
      </c>
      <c r="I130" s="19" t="s">
        <v>389</v>
      </c>
      <c r="L130" s="40"/>
      <c r="N130" s="31"/>
      <c r="O130" s="182"/>
    </row>
    <row r="131" spans="1:15" ht="17.25" hidden="1" customHeight="1" outlineLevel="1" x14ac:dyDescent="0.25">
      <c r="A131" s="161" t="s">
        <v>78</v>
      </c>
      <c r="B131" s="19" t="s">
        <v>390</v>
      </c>
      <c r="C131" s="49"/>
      <c r="D131" s="19" t="s">
        <v>76</v>
      </c>
      <c r="E131" s="23" t="s">
        <v>391</v>
      </c>
      <c r="F131" s="21" t="s">
        <v>392</v>
      </c>
      <c r="G131" s="19"/>
      <c r="H131" s="19" t="s">
        <v>79</v>
      </c>
      <c r="I131" s="19"/>
      <c r="J131" s="19"/>
      <c r="N131" s="170" t="s">
        <v>182</v>
      </c>
      <c r="O131" s="171" t="s">
        <v>78</v>
      </c>
    </row>
    <row r="132" spans="1:15" s="15" customFormat="1" ht="17.25" hidden="1" customHeight="1" outlineLevel="1" x14ac:dyDescent="0.25">
      <c r="A132" s="161" t="s">
        <v>78</v>
      </c>
      <c r="B132" s="4" t="s">
        <v>393</v>
      </c>
      <c r="C132" s="49" t="s">
        <v>205</v>
      </c>
      <c r="D132" s="50" t="s">
        <v>76</v>
      </c>
      <c r="E132" s="4" t="s">
        <v>394</v>
      </c>
      <c r="F132" s="24"/>
      <c r="G132" s="5" t="s">
        <v>389</v>
      </c>
      <c r="H132" s="5" t="s">
        <v>78</v>
      </c>
      <c r="L132" s="36"/>
      <c r="N132" s="172"/>
      <c r="O132" s="173"/>
    </row>
    <row r="133" spans="1:15" s="15" customFormat="1" ht="17.25" hidden="1" customHeight="1" outlineLevel="1" x14ac:dyDescent="0.25">
      <c r="A133" s="161"/>
      <c r="B133" s="4" t="s">
        <v>395</v>
      </c>
      <c r="C133" s="49"/>
      <c r="D133" s="50" t="s">
        <v>76</v>
      </c>
      <c r="E133" s="4"/>
      <c r="F133" s="24"/>
      <c r="G133" s="5"/>
      <c r="H133" s="5"/>
      <c r="L133" s="36"/>
      <c r="N133" s="172" t="s">
        <v>396</v>
      </c>
      <c r="O133" s="173" t="s">
        <v>78</v>
      </c>
    </row>
    <row r="134" spans="1:15" s="15" customFormat="1" ht="17.25" hidden="1" customHeight="1" outlineLevel="1" x14ac:dyDescent="0.25">
      <c r="A134" s="161"/>
      <c r="B134" s="4" t="s">
        <v>397</v>
      </c>
      <c r="C134" s="49"/>
      <c r="D134" s="50"/>
      <c r="E134" s="4"/>
      <c r="F134" s="24"/>
      <c r="G134" s="5"/>
      <c r="H134" s="5"/>
      <c r="L134" s="36"/>
      <c r="N134" s="172"/>
      <c r="O134" s="173"/>
    </row>
    <row r="135" spans="1:15" s="15" customFormat="1" ht="17.25" hidden="1" customHeight="1" outlineLevel="1" x14ac:dyDescent="0.25">
      <c r="A135" s="161"/>
      <c r="B135" s="4" t="s">
        <v>398</v>
      </c>
      <c r="C135" s="49"/>
      <c r="D135" s="50"/>
      <c r="E135" s="4"/>
      <c r="F135" s="24"/>
      <c r="G135" s="5"/>
      <c r="H135" s="5"/>
      <c r="L135" s="36"/>
      <c r="N135" s="172"/>
      <c r="O135" s="173"/>
    </row>
    <row r="136" spans="1:15" ht="17.25" customHeight="1" collapsed="1" x14ac:dyDescent="0.25"/>
  </sheetData>
  <autoFilter ref="A1:O135" xr:uid="{FFEAEC5E-8F7F-4BE8-B36B-C873EDC395DF}"/>
  <phoneticPr fontId="16"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268C8-35FD-43C7-897D-9980B43D593E}">
  <sheetPr>
    <tabColor theme="9"/>
  </sheetPr>
  <dimension ref="A1"/>
  <sheetViews>
    <sheetView workbookViewId="0">
      <selection activeCell="Y27" sqref="Y27"/>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3FD96-9B51-486C-911B-796DBFEABFF2}">
  <sheetPr>
    <tabColor theme="9"/>
  </sheetPr>
  <dimension ref="A1:Z41"/>
  <sheetViews>
    <sheetView workbookViewId="0">
      <pane ySplit="1" topLeftCell="A2" activePane="bottomLeft" state="frozen"/>
      <selection pane="bottomLeft" activeCell="C9" sqref="C9"/>
    </sheetView>
  </sheetViews>
  <sheetFormatPr defaultColWidth="9.140625" defaultRowHeight="12.75" outlineLevelRow="1" x14ac:dyDescent="0.25"/>
  <cols>
    <col min="1" max="1" width="15" style="124" customWidth="1"/>
    <col min="2" max="2" width="23.28515625" style="124" customWidth="1"/>
    <col min="3" max="3" width="26.140625" style="124" bestFit="1" customWidth="1"/>
    <col min="4" max="4" width="10.7109375" style="125" customWidth="1"/>
    <col min="5" max="5" width="8.7109375" style="124" customWidth="1"/>
    <col min="6" max="6" width="29" style="124" customWidth="1"/>
    <col min="7" max="7" width="33" style="125" customWidth="1"/>
    <col min="8" max="8" width="5.28515625" style="134" bestFit="1" customWidth="1"/>
    <col min="9" max="9" width="5.7109375" style="134" bestFit="1" customWidth="1"/>
    <col min="10" max="10" width="25.5703125" style="124" customWidth="1"/>
    <col min="11" max="11" width="19.42578125" style="124" customWidth="1"/>
    <col min="12" max="12" width="32.42578125" style="124" customWidth="1"/>
    <col min="13" max="13" width="10.140625" style="134" customWidth="1"/>
    <col min="14" max="16384" width="9.140625" style="124"/>
  </cols>
  <sheetData>
    <row r="1" spans="1:14" s="123" customFormat="1" ht="45.6" customHeight="1" x14ac:dyDescent="0.25">
      <c r="A1" s="120" t="s">
        <v>399</v>
      </c>
      <c r="B1" s="120" t="s">
        <v>400</v>
      </c>
      <c r="C1" s="121" t="s">
        <v>67</v>
      </c>
      <c r="D1" s="121" t="s">
        <v>401</v>
      </c>
      <c r="E1" s="121" t="s">
        <v>68</v>
      </c>
      <c r="F1" s="121" t="s">
        <v>402</v>
      </c>
      <c r="G1" s="121" t="s">
        <v>403</v>
      </c>
      <c r="H1" s="122" t="s">
        <v>71</v>
      </c>
      <c r="I1" s="122" t="s">
        <v>72</v>
      </c>
      <c r="J1" s="121" t="s">
        <v>73</v>
      </c>
      <c r="K1" s="121" t="s">
        <v>404</v>
      </c>
      <c r="L1" s="121" t="s">
        <v>405</v>
      </c>
      <c r="M1" s="122" t="s">
        <v>406</v>
      </c>
    </row>
    <row r="2" spans="1:14" outlineLevel="1" x14ac:dyDescent="0.25">
      <c r="C2" s="125" t="s">
        <v>407</v>
      </c>
      <c r="E2" s="124" t="s">
        <v>76</v>
      </c>
      <c r="F2" s="124" t="s">
        <v>163</v>
      </c>
      <c r="G2" s="125" t="s">
        <v>408</v>
      </c>
      <c r="H2" s="134" t="s">
        <v>79</v>
      </c>
      <c r="I2" s="134" t="s">
        <v>79</v>
      </c>
    </row>
    <row r="3" spans="1:14" outlineLevel="1" x14ac:dyDescent="0.25">
      <c r="C3" s="125" t="s">
        <v>161</v>
      </c>
      <c r="E3" s="124" t="s">
        <v>76</v>
      </c>
      <c r="G3" s="125" t="s">
        <v>409</v>
      </c>
      <c r="H3" s="134" t="s">
        <v>78</v>
      </c>
      <c r="I3" s="134" t="s">
        <v>79</v>
      </c>
    </row>
    <row r="4" spans="1:14" ht="25.5" outlineLevel="1" x14ac:dyDescent="0.25">
      <c r="C4" s="125" t="s">
        <v>151</v>
      </c>
      <c r="E4" s="124" t="s">
        <v>76</v>
      </c>
      <c r="F4" s="125" t="s">
        <v>410</v>
      </c>
      <c r="G4" s="125" t="s">
        <v>411</v>
      </c>
      <c r="H4" s="134" t="s">
        <v>252</v>
      </c>
      <c r="I4" s="134" t="s">
        <v>252</v>
      </c>
      <c r="K4" s="125" t="s">
        <v>412</v>
      </c>
    </row>
    <row r="5" spans="1:14" outlineLevel="1" x14ac:dyDescent="0.25">
      <c r="C5" s="124" t="s">
        <v>84</v>
      </c>
      <c r="E5" s="124" t="s">
        <v>76</v>
      </c>
      <c r="G5" s="125" t="s">
        <v>413</v>
      </c>
      <c r="H5" s="134" t="s">
        <v>78</v>
      </c>
      <c r="I5" s="134" t="s">
        <v>79</v>
      </c>
    </row>
    <row r="6" spans="1:14" outlineLevel="1" x14ac:dyDescent="0.25">
      <c r="C6" s="124" t="s">
        <v>414</v>
      </c>
      <c r="E6" s="124" t="s">
        <v>76</v>
      </c>
      <c r="G6" s="125" t="b">
        <v>1</v>
      </c>
      <c r="H6" s="134" t="s">
        <v>79</v>
      </c>
      <c r="I6" s="134" t="s">
        <v>78</v>
      </c>
    </row>
    <row r="7" spans="1:14" ht="25.5" outlineLevel="1" x14ac:dyDescent="0.25">
      <c r="C7" s="124" t="s">
        <v>85</v>
      </c>
      <c r="E7" s="124" t="s">
        <v>76</v>
      </c>
      <c r="F7" s="124" t="s">
        <v>415</v>
      </c>
      <c r="G7" s="125" t="s">
        <v>416</v>
      </c>
      <c r="H7" s="134" t="s">
        <v>79</v>
      </c>
      <c r="I7" s="134" t="s">
        <v>78</v>
      </c>
      <c r="L7" s="125" t="s">
        <v>417</v>
      </c>
    </row>
    <row r="8" spans="1:14" outlineLevel="1" x14ac:dyDescent="0.25">
      <c r="C8" s="124" t="s">
        <v>418</v>
      </c>
      <c r="E8" s="124" t="s">
        <v>76</v>
      </c>
      <c r="F8" s="127" t="s">
        <v>419</v>
      </c>
      <c r="H8" s="134" t="s">
        <v>78</v>
      </c>
    </row>
    <row r="9" spans="1:14" ht="38.25" outlineLevel="1" x14ac:dyDescent="0.25">
      <c r="A9" s="126" t="s">
        <v>420</v>
      </c>
      <c r="B9" s="126"/>
      <c r="C9" s="124" t="s">
        <v>421</v>
      </c>
      <c r="E9" s="124" t="s">
        <v>76</v>
      </c>
      <c r="F9" s="125" t="s">
        <v>422</v>
      </c>
      <c r="H9" s="134" t="s">
        <v>79</v>
      </c>
      <c r="I9" s="134" t="s">
        <v>79</v>
      </c>
      <c r="K9" s="125" t="s">
        <v>423</v>
      </c>
      <c r="M9" s="134" t="s">
        <v>79</v>
      </c>
    </row>
    <row r="10" spans="1:14" ht="38.25" outlineLevel="1" x14ac:dyDescent="0.25">
      <c r="A10" s="126" t="s">
        <v>420</v>
      </c>
      <c r="C10" s="124" t="s">
        <v>424</v>
      </c>
      <c r="D10" s="125" t="s">
        <v>425</v>
      </c>
      <c r="E10" s="124" t="s">
        <v>76</v>
      </c>
      <c r="F10" s="125" t="s">
        <v>426</v>
      </c>
      <c r="H10" s="134" t="s">
        <v>78</v>
      </c>
      <c r="I10" s="134" t="s">
        <v>78</v>
      </c>
      <c r="L10" s="125" t="s">
        <v>427</v>
      </c>
      <c r="M10" s="134" t="s">
        <v>428</v>
      </c>
    </row>
    <row r="11" spans="1:14" outlineLevel="1" x14ac:dyDescent="0.25">
      <c r="A11" s="126" t="s">
        <v>420</v>
      </c>
      <c r="B11" s="126"/>
      <c r="C11" s="124" t="s">
        <v>229</v>
      </c>
      <c r="E11" s="124" t="s">
        <v>96</v>
      </c>
      <c r="F11" s="125" t="s">
        <v>429</v>
      </c>
      <c r="H11" s="134" t="s">
        <v>79</v>
      </c>
      <c r="I11" s="134" t="s">
        <v>78</v>
      </c>
      <c r="M11" s="134" t="s">
        <v>79</v>
      </c>
    </row>
    <row r="12" spans="1:14" ht="38.25" outlineLevel="1" x14ac:dyDescent="0.25">
      <c r="C12" s="124" t="s">
        <v>236</v>
      </c>
      <c r="E12" s="124" t="s">
        <v>76</v>
      </c>
      <c r="F12" s="125" t="s">
        <v>430</v>
      </c>
      <c r="G12" s="124"/>
      <c r="H12" s="134" t="s">
        <v>79</v>
      </c>
      <c r="I12" s="134" t="s">
        <v>79</v>
      </c>
      <c r="K12" s="125" t="s">
        <v>431</v>
      </c>
    </row>
    <row r="13" spans="1:14" s="128" customFormat="1" ht="13.5" x14ac:dyDescent="0.25">
      <c r="B13" s="128" t="s">
        <v>240</v>
      </c>
      <c r="D13" s="129"/>
      <c r="E13" s="130"/>
      <c r="G13" s="129"/>
      <c r="H13" s="138"/>
      <c r="I13" s="138"/>
      <c r="M13" s="138"/>
    </row>
    <row r="14" spans="1:14" outlineLevel="1" x14ac:dyDescent="0.25">
      <c r="A14" s="126" t="s">
        <v>420</v>
      </c>
      <c r="B14" s="126"/>
      <c r="C14" s="124" t="s">
        <v>241</v>
      </c>
      <c r="E14" s="124" t="s">
        <v>96</v>
      </c>
      <c r="F14" s="125" t="s">
        <v>134</v>
      </c>
      <c r="H14" s="134" t="s">
        <v>79</v>
      </c>
      <c r="I14" s="134" t="s">
        <v>78</v>
      </c>
      <c r="M14" s="134" t="s">
        <v>79</v>
      </c>
    </row>
    <row r="15" spans="1:14" ht="38.25" outlineLevel="1" x14ac:dyDescent="0.25">
      <c r="A15" s="126" t="s">
        <v>420</v>
      </c>
      <c r="B15" s="126"/>
      <c r="C15" s="124" t="s">
        <v>111</v>
      </c>
      <c r="E15" s="124" t="s">
        <v>76</v>
      </c>
      <c r="F15" s="125" t="s">
        <v>432</v>
      </c>
      <c r="G15" s="125" t="s">
        <v>433</v>
      </c>
      <c r="H15" s="134" t="s">
        <v>79</v>
      </c>
      <c r="I15" s="134" t="s">
        <v>79</v>
      </c>
      <c r="K15" s="125" t="s">
        <v>434</v>
      </c>
      <c r="M15" s="134" t="s">
        <v>79</v>
      </c>
    </row>
    <row r="16" spans="1:14" s="5" customFormat="1" ht="38.25" outlineLevel="1" x14ac:dyDescent="0.25">
      <c r="A16" s="125"/>
      <c r="B16" s="125"/>
      <c r="C16" s="125" t="s">
        <v>113</v>
      </c>
      <c r="D16" s="125"/>
      <c r="E16" s="125" t="s">
        <v>96</v>
      </c>
      <c r="F16" s="125" t="s">
        <v>120</v>
      </c>
      <c r="G16" s="125"/>
      <c r="H16" s="134" t="s">
        <v>79</v>
      </c>
      <c r="I16" s="134" t="s">
        <v>78</v>
      </c>
      <c r="J16" s="125" t="s">
        <v>435</v>
      </c>
      <c r="K16" s="125"/>
      <c r="L16" s="125"/>
      <c r="M16" s="134" t="s">
        <v>428</v>
      </c>
      <c r="N16" s="4"/>
    </row>
    <row r="17" spans="1:26" s="70" customFormat="1" ht="38.25" outlineLevel="1" x14ac:dyDescent="0.25">
      <c r="A17" s="125"/>
      <c r="B17" s="125"/>
      <c r="C17" s="125" t="s">
        <v>116</v>
      </c>
      <c r="D17" s="125"/>
      <c r="E17" s="125" t="s">
        <v>96</v>
      </c>
      <c r="F17" s="125" t="s">
        <v>93</v>
      </c>
      <c r="G17" s="125"/>
      <c r="H17" s="134" t="s">
        <v>79</v>
      </c>
      <c r="I17" s="134" t="s">
        <v>78</v>
      </c>
      <c r="J17" s="125" t="s">
        <v>435</v>
      </c>
      <c r="K17" s="125"/>
      <c r="L17" s="125"/>
      <c r="M17" s="134" t="s">
        <v>428</v>
      </c>
      <c r="N17" s="4"/>
      <c r="O17" s="5"/>
      <c r="P17" s="5"/>
      <c r="Q17" s="5"/>
      <c r="R17" s="5"/>
      <c r="S17" s="5"/>
      <c r="T17" s="5"/>
      <c r="U17" s="5"/>
      <c r="V17" s="5"/>
      <c r="W17" s="5"/>
      <c r="X17" s="5"/>
      <c r="Y17" s="5"/>
      <c r="Z17" s="5"/>
    </row>
    <row r="18" spans="1:26" s="128" customFormat="1" ht="13.5" x14ac:dyDescent="0.25">
      <c r="B18" s="128" t="s">
        <v>436</v>
      </c>
      <c r="D18" s="129"/>
      <c r="E18" s="130"/>
      <c r="G18" s="129"/>
      <c r="H18" s="138"/>
      <c r="I18" s="138"/>
      <c r="M18" s="138"/>
    </row>
    <row r="19" spans="1:26" outlineLevel="1" x14ac:dyDescent="0.25">
      <c r="C19" s="124" t="s">
        <v>291</v>
      </c>
      <c r="E19" s="124" t="s">
        <v>76</v>
      </c>
      <c r="F19" s="125" t="s">
        <v>124</v>
      </c>
      <c r="H19" s="134" t="s">
        <v>79</v>
      </c>
      <c r="I19" s="134" t="s">
        <v>78</v>
      </c>
    </row>
    <row r="20" spans="1:26" s="128" customFormat="1" ht="13.5" x14ac:dyDescent="0.25">
      <c r="B20" s="128" t="s">
        <v>145</v>
      </c>
      <c r="D20" s="129"/>
      <c r="E20" s="130"/>
      <c r="G20" s="129"/>
      <c r="H20" s="138"/>
      <c r="I20" s="138"/>
      <c r="M20" s="138"/>
    </row>
    <row r="21" spans="1:26" outlineLevel="1" x14ac:dyDescent="0.25">
      <c r="A21" s="131"/>
      <c r="B21" s="131"/>
      <c r="C21" s="124" t="s">
        <v>146</v>
      </c>
      <c r="D21" s="132"/>
      <c r="E21" s="124" t="s">
        <v>76</v>
      </c>
      <c r="F21" s="133"/>
      <c r="G21" s="124"/>
      <c r="H21" s="134" t="s">
        <v>78</v>
      </c>
      <c r="I21" s="134" t="s">
        <v>79</v>
      </c>
      <c r="L21" s="125"/>
      <c r="O21" s="131"/>
    </row>
    <row r="22" spans="1:26" outlineLevel="1" x14ac:dyDescent="0.25">
      <c r="A22" s="131"/>
      <c r="B22" s="131"/>
      <c r="C22" s="124" t="s">
        <v>147</v>
      </c>
      <c r="D22" s="132"/>
      <c r="E22" s="124" t="s">
        <v>76</v>
      </c>
      <c r="F22" s="133"/>
      <c r="G22" s="124"/>
      <c r="H22" s="134" t="s">
        <v>78</v>
      </c>
      <c r="I22" s="134" t="s">
        <v>79</v>
      </c>
      <c r="L22" s="125"/>
      <c r="O22" s="131"/>
    </row>
    <row r="23" spans="1:26" s="128" customFormat="1" ht="13.5" x14ac:dyDescent="0.25">
      <c r="B23" s="128" t="s">
        <v>385</v>
      </c>
      <c r="D23" s="129"/>
      <c r="E23" s="130"/>
      <c r="G23" s="129"/>
      <c r="H23" s="138"/>
      <c r="I23" s="138"/>
      <c r="M23" s="138"/>
    </row>
    <row r="24" spans="1:26" ht="38.25" outlineLevel="1" x14ac:dyDescent="0.25">
      <c r="C24" s="124" t="s">
        <v>89</v>
      </c>
      <c r="E24" s="124" t="s">
        <v>76</v>
      </c>
      <c r="F24" s="125" t="s">
        <v>437</v>
      </c>
    </row>
    <row r="25" spans="1:26" outlineLevel="1" x14ac:dyDescent="0.25">
      <c r="C25" s="124" t="s">
        <v>90</v>
      </c>
      <c r="E25" s="124" t="s">
        <v>76</v>
      </c>
      <c r="F25" s="125"/>
      <c r="G25" s="125" t="s">
        <v>438</v>
      </c>
    </row>
    <row r="26" spans="1:26" outlineLevel="1" x14ac:dyDescent="0.25">
      <c r="C26" s="124" t="s">
        <v>439</v>
      </c>
      <c r="E26" s="124" t="s">
        <v>76</v>
      </c>
      <c r="G26" s="125" t="s">
        <v>103</v>
      </c>
    </row>
    <row r="27" spans="1:26" outlineLevel="1" x14ac:dyDescent="0.25">
      <c r="C27" s="124" t="s">
        <v>440</v>
      </c>
      <c r="E27" s="124" t="s">
        <v>76</v>
      </c>
      <c r="G27" s="125" t="s">
        <v>103</v>
      </c>
    </row>
    <row r="28" spans="1:26" outlineLevel="1" x14ac:dyDescent="0.25">
      <c r="C28" s="124" t="s">
        <v>441</v>
      </c>
      <c r="E28" s="124" t="s">
        <v>76</v>
      </c>
      <c r="G28" s="125" t="b">
        <v>1</v>
      </c>
    </row>
    <row r="29" spans="1:26" outlineLevel="1" x14ac:dyDescent="0.25">
      <c r="C29" s="124" t="s">
        <v>442</v>
      </c>
      <c r="E29" s="124" t="s">
        <v>76</v>
      </c>
      <c r="G29" s="125" t="s">
        <v>443</v>
      </c>
    </row>
    <row r="30" spans="1:26" s="135" customFormat="1" ht="36" customHeight="1" outlineLevel="1" x14ac:dyDescent="0.25">
      <c r="C30" s="135" t="s">
        <v>444</v>
      </c>
      <c r="D30" s="136" t="s">
        <v>445</v>
      </c>
      <c r="E30" s="135" t="s">
        <v>76</v>
      </c>
      <c r="F30" s="137" t="s">
        <v>446</v>
      </c>
      <c r="G30" s="136"/>
      <c r="H30" s="139"/>
      <c r="I30" s="139"/>
      <c r="M30" s="139"/>
    </row>
    <row r="31" spans="1:26" s="135" customFormat="1" outlineLevel="1" x14ac:dyDescent="0.25">
      <c r="C31" s="135" t="s">
        <v>447</v>
      </c>
      <c r="D31" s="136"/>
      <c r="E31" s="135" t="s">
        <v>76</v>
      </c>
      <c r="G31" s="136"/>
      <c r="H31" s="139"/>
      <c r="I31" s="139"/>
      <c r="M31" s="139"/>
    </row>
    <row r="32" spans="1:26" s="135" customFormat="1" outlineLevel="1" x14ac:dyDescent="0.25">
      <c r="C32" s="135" t="s">
        <v>448</v>
      </c>
      <c r="D32" s="136"/>
      <c r="E32" s="135" t="s">
        <v>76</v>
      </c>
      <c r="F32" s="137"/>
      <c r="G32" s="136"/>
      <c r="H32" s="139"/>
      <c r="I32" s="139"/>
      <c r="M32" s="139"/>
    </row>
    <row r="33" spans="1:13" s="135" customFormat="1" ht="76.5" outlineLevel="1" x14ac:dyDescent="0.25">
      <c r="C33" s="135" t="s">
        <v>290</v>
      </c>
      <c r="D33" s="136" t="s">
        <v>449</v>
      </c>
      <c r="E33" s="135" t="s">
        <v>76</v>
      </c>
      <c r="F33" s="137" t="s">
        <v>450</v>
      </c>
      <c r="G33" s="136">
        <v>0</v>
      </c>
      <c r="H33" s="139"/>
      <c r="I33" s="139"/>
      <c r="M33" s="139"/>
    </row>
    <row r="34" spans="1:13" s="123" customFormat="1" x14ac:dyDescent="0.25">
      <c r="A34" s="120"/>
      <c r="B34" s="120" t="s">
        <v>451</v>
      </c>
      <c r="C34" s="121"/>
      <c r="D34" s="121"/>
      <c r="E34" s="121"/>
      <c r="F34" s="121"/>
      <c r="G34" s="121"/>
      <c r="H34" s="122"/>
      <c r="I34" s="122"/>
      <c r="J34" s="121"/>
      <c r="K34" s="121"/>
      <c r="L34" s="121"/>
      <c r="M34" s="122"/>
    </row>
    <row r="35" spans="1:13" ht="38.25" outlineLevel="1" x14ac:dyDescent="0.25">
      <c r="C35" s="125" t="s">
        <v>452</v>
      </c>
      <c r="D35" s="125" t="s">
        <v>453</v>
      </c>
      <c r="E35" s="124" t="s">
        <v>76</v>
      </c>
      <c r="F35" s="124" t="s">
        <v>134</v>
      </c>
      <c r="G35" s="125" t="s">
        <v>454</v>
      </c>
      <c r="H35" s="134" t="s">
        <v>78</v>
      </c>
      <c r="L35" s="125" t="s">
        <v>455</v>
      </c>
    </row>
    <row r="36" spans="1:13" ht="25.5" outlineLevel="1" x14ac:dyDescent="0.25">
      <c r="C36" s="125" t="s">
        <v>456</v>
      </c>
      <c r="D36" s="125" t="s">
        <v>457</v>
      </c>
      <c r="E36" s="124" t="s">
        <v>76</v>
      </c>
      <c r="F36" s="124" t="s">
        <v>134</v>
      </c>
      <c r="G36" s="125" t="s">
        <v>454</v>
      </c>
      <c r="H36" s="134" t="s">
        <v>79</v>
      </c>
      <c r="I36" s="134" t="s">
        <v>79</v>
      </c>
      <c r="L36" s="125" t="s">
        <v>458</v>
      </c>
      <c r="M36" s="134" t="s">
        <v>79</v>
      </c>
    </row>
    <row r="37" spans="1:13" ht="25.5" outlineLevel="1" x14ac:dyDescent="0.25">
      <c r="C37" s="125" t="s">
        <v>459</v>
      </c>
      <c r="D37" s="125" t="s">
        <v>460</v>
      </c>
      <c r="E37" s="124" t="s">
        <v>76</v>
      </c>
      <c r="F37" s="127" t="s">
        <v>461</v>
      </c>
      <c r="H37" s="134" t="s">
        <v>78</v>
      </c>
      <c r="K37" s="125"/>
      <c r="L37" s="125" t="s">
        <v>458</v>
      </c>
    </row>
    <row r="38" spans="1:13" outlineLevel="1" x14ac:dyDescent="0.25">
      <c r="C38" s="124" t="s">
        <v>462</v>
      </c>
      <c r="E38" s="124" t="s">
        <v>76</v>
      </c>
      <c r="G38" s="151">
        <v>1</v>
      </c>
      <c r="H38" s="134" t="s">
        <v>78</v>
      </c>
      <c r="I38" s="134" t="s">
        <v>79</v>
      </c>
      <c r="L38" s="125"/>
    </row>
    <row r="39" spans="1:13" outlineLevel="1" x14ac:dyDescent="0.25">
      <c r="C39" s="124" t="s">
        <v>463</v>
      </c>
      <c r="E39" s="124" t="s">
        <v>96</v>
      </c>
      <c r="F39" s="124" t="s">
        <v>464</v>
      </c>
      <c r="G39" s="125" t="s">
        <v>465</v>
      </c>
      <c r="H39" s="134" t="s">
        <v>78</v>
      </c>
      <c r="L39" s="125"/>
    </row>
    <row r="40" spans="1:13" s="148" customFormat="1" outlineLevel="1" x14ac:dyDescent="0.25">
      <c r="C40" s="148" t="s">
        <v>466</v>
      </c>
      <c r="D40" s="149"/>
      <c r="E40" s="148" t="s">
        <v>96</v>
      </c>
      <c r="F40" s="148" t="s">
        <v>330</v>
      </c>
      <c r="G40" s="149"/>
      <c r="H40" s="150" t="s">
        <v>79</v>
      </c>
      <c r="I40" s="150"/>
      <c r="L40" s="149"/>
      <c r="M40" s="150"/>
    </row>
    <row r="41" spans="1:13" ht="38.25" outlineLevel="1" x14ac:dyDescent="0.25">
      <c r="C41" s="124" t="s">
        <v>467</v>
      </c>
      <c r="E41" s="124" t="s">
        <v>76</v>
      </c>
      <c r="F41" s="125" t="s">
        <v>468</v>
      </c>
      <c r="H41" s="134" t="s">
        <v>79</v>
      </c>
      <c r="I41" s="134" t="s">
        <v>78</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2C0AD-93C1-4350-ADA8-EA21FDE60FC4}">
  <sheetPr>
    <tabColor theme="9"/>
  </sheetPr>
  <dimension ref="A1:AO7"/>
  <sheetViews>
    <sheetView topLeftCell="F1" workbookViewId="0">
      <selection activeCell="Q18" sqref="Q18"/>
    </sheetView>
  </sheetViews>
  <sheetFormatPr defaultRowHeight="15" x14ac:dyDescent="0.25"/>
  <cols>
    <col min="1" max="1" width="14.42578125" customWidth="1"/>
    <col min="2" max="2" width="10.85546875" bestFit="1" customWidth="1"/>
    <col min="3" max="3" width="23.7109375" customWidth="1"/>
    <col min="4" max="4" width="22.140625" customWidth="1"/>
    <col min="5" max="5" width="8.42578125" customWidth="1"/>
    <col min="6" max="6" width="9.28515625" bestFit="1" customWidth="1"/>
    <col min="7" max="7" width="9" bestFit="1" customWidth="1"/>
    <col min="8" max="8" width="15.7109375" customWidth="1"/>
    <col min="11" max="11" width="10.7109375" customWidth="1"/>
    <col min="12" max="12" width="11" customWidth="1"/>
    <col min="14" max="14" width="9.140625" customWidth="1"/>
    <col min="15" max="15" width="10.85546875" customWidth="1"/>
    <col min="17" max="17" width="10.28515625" customWidth="1"/>
    <col min="18" max="18" width="12.42578125" customWidth="1"/>
    <col min="19" max="19" width="12.28515625" customWidth="1"/>
    <col min="20" max="20" width="11.7109375" customWidth="1"/>
    <col min="21" max="21" width="12.7109375" customWidth="1"/>
    <col min="23" max="23" width="11.42578125" bestFit="1" customWidth="1"/>
    <col min="24" max="25" width="12.5703125" customWidth="1"/>
    <col min="27" max="27" width="13.28515625" customWidth="1"/>
    <col min="29" max="29" width="11.5703125" customWidth="1"/>
    <col min="30" max="30" width="9.85546875" customWidth="1"/>
    <col min="31" max="31" width="11.7109375" customWidth="1"/>
    <col min="32" max="33" width="10.7109375" bestFit="1" customWidth="1"/>
    <col min="34" max="34" width="10.42578125" hidden="1" customWidth="1"/>
    <col min="35" max="35" width="10.7109375" customWidth="1"/>
    <col min="36" max="36" width="11.7109375" customWidth="1"/>
    <col min="37" max="37" width="11" customWidth="1"/>
    <col min="39" max="39" width="11.7109375" customWidth="1"/>
    <col min="40" max="40" width="27.7109375" customWidth="1"/>
    <col min="41" max="41" width="12.7109375" hidden="1" customWidth="1"/>
  </cols>
  <sheetData>
    <row r="1" spans="1:41" s="91" customFormat="1" ht="17.25" customHeight="1" x14ac:dyDescent="0.25">
      <c r="A1" s="90" t="s">
        <v>469</v>
      </c>
    </row>
    <row r="2" spans="1:41" s="106" customFormat="1" ht="40.5" x14ac:dyDescent="0.25">
      <c r="A2" s="105" t="s">
        <v>43</v>
      </c>
      <c r="B2" s="106" t="s">
        <v>470</v>
      </c>
      <c r="C2" s="106" t="s">
        <v>466</v>
      </c>
      <c r="D2" s="106" t="s">
        <v>161</v>
      </c>
      <c r="E2" s="106" t="s">
        <v>172</v>
      </c>
      <c r="F2" s="106" t="s">
        <v>215</v>
      </c>
      <c r="H2" s="106" t="s">
        <v>471</v>
      </c>
      <c r="I2" s="106" t="s">
        <v>189</v>
      </c>
      <c r="J2" s="106" t="s">
        <v>192</v>
      </c>
      <c r="K2" s="106" t="s">
        <v>188</v>
      </c>
      <c r="L2" s="106" t="s">
        <v>128</v>
      </c>
      <c r="M2" s="106" t="s">
        <v>472</v>
      </c>
      <c r="N2" s="106" t="s">
        <v>248</v>
      </c>
      <c r="O2" s="106" t="s">
        <v>118</v>
      </c>
      <c r="P2" s="106" t="s">
        <v>130</v>
      </c>
      <c r="Q2" s="106" t="s">
        <v>133</v>
      </c>
      <c r="R2" s="106" t="s">
        <v>473</v>
      </c>
      <c r="S2" s="106" t="s">
        <v>221</v>
      </c>
      <c r="T2" s="106" t="s">
        <v>47</v>
      </c>
      <c r="U2" s="106" t="s">
        <v>227</v>
      </c>
      <c r="V2" s="106" t="s">
        <v>229</v>
      </c>
      <c r="W2" s="106" t="s">
        <v>241</v>
      </c>
      <c r="X2" s="106" t="s">
        <v>231</v>
      </c>
      <c r="Y2" s="106" t="s">
        <v>243</v>
      </c>
      <c r="Z2" s="106" t="s">
        <v>474</v>
      </c>
      <c r="AA2" s="106" t="s">
        <v>256</v>
      </c>
      <c r="AB2" s="106" t="s">
        <v>475</v>
      </c>
      <c r="AC2" s="106" t="s">
        <v>261</v>
      </c>
      <c r="AD2" s="106" t="s">
        <v>327</v>
      </c>
      <c r="AE2" s="106" t="s">
        <v>371</v>
      </c>
      <c r="AF2" s="106" t="s">
        <v>476</v>
      </c>
      <c r="AG2" s="106" t="s">
        <v>477</v>
      </c>
      <c r="AI2" s="106" t="s">
        <v>478</v>
      </c>
      <c r="AJ2" s="106" t="s">
        <v>360</v>
      </c>
      <c r="AK2" s="106" t="s">
        <v>367</v>
      </c>
      <c r="AL2" s="106" t="s">
        <v>369</v>
      </c>
      <c r="AM2" s="106" t="s">
        <v>479</v>
      </c>
      <c r="AN2" s="106" t="s">
        <v>386</v>
      </c>
      <c r="AO2" s="106" t="s">
        <v>379</v>
      </c>
    </row>
    <row r="3" spans="1:41" s="75" customFormat="1" ht="28.5" customHeight="1" x14ac:dyDescent="0.25">
      <c r="A3" s="82" t="s">
        <v>480</v>
      </c>
      <c r="B3" s="79" t="s">
        <v>481</v>
      </c>
      <c r="C3" s="80" t="s">
        <v>482</v>
      </c>
      <c r="D3" s="81" t="s">
        <v>483</v>
      </c>
      <c r="E3" s="82" t="s">
        <v>31</v>
      </c>
      <c r="F3" s="82">
        <v>4266</v>
      </c>
      <c r="H3" s="80" t="s">
        <v>484</v>
      </c>
      <c r="I3" s="80" t="s">
        <v>193</v>
      </c>
      <c r="J3" s="80" t="s">
        <v>193</v>
      </c>
      <c r="K3" s="80"/>
      <c r="L3" s="75" t="s">
        <v>485</v>
      </c>
      <c r="M3" s="75" t="s">
        <v>49</v>
      </c>
      <c r="N3" s="75">
        <v>5</v>
      </c>
      <c r="O3" s="75">
        <v>5</v>
      </c>
      <c r="P3" s="75" t="s">
        <v>270</v>
      </c>
      <c r="Q3" s="76">
        <v>1.84</v>
      </c>
      <c r="R3" s="76">
        <v>16000</v>
      </c>
      <c r="S3" s="76">
        <v>100000</v>
      </c>
      <c r="T3" s="76">
        <v>96000</v>
      </c>
      <c r="U3" s="76">
        <v>11.25</v>
      </c>
      <c r="V3" s="77">
        <v>6</v>
      </c>
      <c r="W3" s="76">
        <v>16000</v>
      </c>
      <c r="X3" s="76">
        <v>48000</v>
      </c>
      <c r="Y3" s="77">
        <v>2</v>
      </c>
      <c r="Z3" s="77">
        <v>8</v>
      </c>
      <c r="AA3" s="76">
        <v>64000</v>
      </c>
      <c r="AB3" s="76">
        <v>11.25</v>
      </c>
      <c r="AC3" s="76">
        <v>108800</v>
      </c>
      <c r="AD3" s="79" t="s">
        <v>30</v>
      </c>
      <c r="AE3" s="79" t="s">
        <v>30</v>
      </c>
      <c r="AF3" s="79" t="s">
        <v>313</v>
      </c>
      <c r="AG3" s="79" t="s">
        <v>486</v>
      </c>
      <c r="AH3" s="79"/>
      <c r="AI3" s="79" t="s">
        <v>486</v>
      </c>
      <c r="AJ3" s="79" t="s">
        <v>486</v>
      </c>
      <c r="AK3" s="79" t="s">
        <v>486</v>
      </c>
      <c r="AL3" s="77">
        <v>5.5</v>
      </c>
      <c r="AM3" s="80" t="s">
        <v>487</v>
      </c>
      <c r="AN3" s="79" t="s">
        <v>387</v>
      </c>
      <c r="AO3" s="83" t="s">
        <v>380</v>
      </c>
    </row>
    <row r="4" spans="1:41" s="75" customFormat="1" ht="28.5" customHeight="1" x14ac:dyDescent="0.25">
      <c r="A4" s="78"/>
      <c r="B4" s="79" t="s">
        <v>481</v>
      </c>
      <c r="C4" s="80" t="s">
        <v>488</v>
      </c>
      <c r="D4" s="81" t="s">
        <v>489</v>
      </c>
      <c r="E4" s="82" t="s">
        <v>356</v>
      </c>
      <c r="F4" s="82">
        <v>4266</v>
      </c>
      <c r="H4" s="80" t="s">
        <v>490</v>
      </c>
      <c r="I4" s="80" t="s">
        <v>190</v>
      </c>
      <c r="J4" s="80" t="s">
        <v>190</v>
      </c>
      <c r="K4" s="80"/>
      <c r="L4" s="75" t="s">
        <v>485</v>
      </c>
      <c r="M4" s="75" t="s">
        <v>49</v>
      </c>
      <c r="N4" s="75">
        <v>5</v>
      </c>
      <c r="O4" s="75">
        <v>5</v>
      </c>
      <c r="P4" s="75" t="s">
        <v>491</v>
      </c>
      <c r="Q4" s="76">
        <v>1.84</v>
      </c>
      <c r="R4" s="76">
        <v>16000</v>
      </c>
      <c r="S4" s="76">
        <v>100000</v>
      </c>
      <c r="T4" s="76">
        <v>96000</v>
      </c>
      <c r="U4" s="76">
        <v>11.25</v>
      </c>
      <c r="V4" s="92">
        <v>6</v>
      </c>
      <c r="W4" s="76">
        <v>16000</v>
      </c>
      <c r="X4" s="76">
        <v>48000</v>
      </c>
      <c r="Y4" s="92">
        <v>2</v>
      </c>
      <c r="Z4" s="92">
        <v>8</v>
      </c>
      <c r="AA4" s="76">
        <v>64000</v>
      </c>
      <c r="AB4" s="76">
        <v>11.25</v>
      </c>
      <c r="AC4" s="76">
        <v>108800</v>
      </c>
      <c r="AD4" s="79" t="s">
        <v>30</v>
      </c>
      <c r="AE4" s="79" t="s">
        <v>30</v>
      </c>
      <c r="AF4" s="79" t="s">
        <v>313</v>
      </c>
      <c r="AG4" s="79" t="s">
        <v>486</v>
      </c>
      <c r="AH4" s="79"/>
      <c r="AI4" s="79" t="s">
        <v>486</v>
      </c>
      <c r="AJ4" s="79" t="s">
        <v>486</v>
      </c>
      <c r="AK4" s="79"/>
      <c r="AL4" s="92"/>
      <c r="AM4" s="80" t="s">
        <v>487</v>
      </c>
      <c r="AN4" s="79" t="s">
        <v>387</v>
      </c>
      <c r="AO4" s="83" t="s">
        <v>380</v>
      </c>
    </row>
    <row r="5" spans="1:41" s="93" customFormat="1" ht="28.5" customHeight="1" x14ac:dyDescent="0.25">
      <c r="A5" s="84"/>
      <c r="B5" s="85" t="s">
        <v>481</v>
      </c>
      <c r="C5" s="86" t="s">
        <v>492</v>
      </c>
      <c r="D5" s="87" t="s">
        <v>493</v>
      </c>
      <c r="E5" s="88" t="s">
        <v>14</v>
      </c>
      <c r="F5" s="88">
        <v>4266</v>
      </c>
      <c r="H5" s="86" t="s">
        <v>494</v>
      </c>
      <c r="I5" s="86" t="s">
        <v>193</v>
      </c>
      <c r="J5" s="86" t="s">
        <v>193</v>
      </c>
      <c r="K5" s="86"/>
      <c r="L5" s="93" t="s">
        <v>485</v>
      </c>
      <c r="M5" s="93" t="s">
        <v>49</v>
      </c>
      <c r="N5" s="93">
        <v>5</v>
      </c>
      <c r="O5" s="93">
        <v>5</v>
      </c>
      <c r="P5" s="93" t="s">
        <v>270</v>
      </c>
      <c r="Q5" s="94">
        <v>1.84</v>
      </c>
      <c r="R5" s="94">
        <v>16000</v>
      </c>
      <c r="S5" s="94">
        <v>100000</v>
      </c>
      <c r="T5" s="94">
        <v>96000</v>
      </c>
      <c r="U5" s="94">
        <v>11.25</v>
      </c>
      <c r="V5" s="95">
        <v>6</v>
      </c>
      <c r="W5" s="94">
        <v>16000</v>
      </c>
      <c r="X5" s="94">
        <v>48000</v>
      </c>
      <c r="Y5" s="95">
        <v>2</v>
      </c>
      <c r="Z5" s="95">
        <v>8</v>
      </c>
      <c r="AA5" s="94">
        <v>64000</v>
      </c>
      <c r="AB5" s="94">
        <v>11.25</v>
      </c>
      <c r="AC5" s="94">
        <v>108800</v>
      </c>
      <c r="AD5" s="85" t="s">
        <v>30</v>
      </c>
      <c r="AE5" s="85" t="s">
        <v>495</v>
      </c>
      <c r="AF5" s="85"/>
      <c r="AG5" s="85"/>
      <c r="AH5" s="85"/>
      <c r="AI5" s="85"/>
      <c r="AJ5" s="85"/>
      <c r="AK5" s="85"/>
      <c r="AL5" s="95"/>
      <c r="AM5" s="86" t="s">
        <v>487</v>
      </c>
      <c r="AN5" s="85" t="s">
        <v>387</v>
      </c>
      <c r="AO5" s="89" t="s">
        <v>380</v>
      </c>
    </row>
    <row r="6" spans="1:41" s="101" customFormat="1" ht="28.5" customHeight="1" x14ac:dyDescent="0.25">
      <c r="A6" s="96" t="s">
        <v>496</v>
      </c>
      <c r="B6" s="97" t="s">
        <v>481</v>
      </c>
      <c r="C6" s="98" t="s">
        <v>497</v>
      </c>
      <c r="D6" s="99" t="s">
        <v>498</v>
      </c>
      <c r="E6" s="100" t="s">
        <v>31</v>
      </c>
      <c r="F6" s="100">
        <v>4266</v>
      </c>
      <c r="H6" s="98" t="s">
        <v>484</v>
      </c>
      <c r="I6" s="98" t="s">
        <v>193</v>
      </c>
      <c r="J6" s="98" t="s">
        <v>193</v>
      </c>
      <c r="K6" s="98" t="s">
        <v>499</v>
      </c>
      <c r="L6" s="101" t="s">
        <v>485</v>
      </c>
      <c r="M6" s="101" t="s">
        <v>49</v>
      </c>
      <c r="N6" s="101">
        <v>5</v>
      </c>
      <c r="O6" s="101">
        <v>5</v>
      </c>
      <c r="P6" s="101" t="s">
        <v>270</v>
      </c>
      <c r="Q6" s="102">
        <v>1.84</v>
      </c>
      <c r="R6" s="102">
        <v>16000</v>
      </c>
      <c r="S6" s="102">
        <v>100000</v>
      </c>
      <c r="T6" s="102">
        <v>96000</v>
      </c>
      <c r="U6" s="102">
        <v>11.25</v>
      </c>
      <c r="V6" s="103">
        <v>6</v>
      </c>
      <c r="W6" s="102">
        <v>16000</v>
      </c>
      <c r="X6" s="102">
        <v>48000</v>
      </c>
      <c r="Y6" s="103">
        <v>2</v>
      </c>
      <c r="Z6" s="103">
        <v>8</v>
      </c>
      <c r="AA6" s="102">
        <v>64000</v>
      </c>
      <c r="AB6" s="102">
        <v>11.25</v>
      </c>
      <c r="AC6" s="102">
        <v>108800</v>
      </c>
      <c r="AD6" s="97" t="s">
        <v>30</v>
      </c>
      <c r="AE6" s="97" t="s">
        <v>30</v>
      </c>
      <c r="AF6" s="97" t="s">
        <v>313</v>
      </c>
      <c r="AG6" s="97" t="s">
        <v>486</v>
      </c>
      <c r="AH6" s="97"/>
      <c r="AI6" s="97" t="s">
        <v>486</v>
      </c>
      <c r="AJ6" s="97" t="s">
        <v>486</v>
      </c>
      <c r="AK6" s="97" t="s">
        <v>486</v>
      </c>
      <c r="AL6" s="103">
        <v>5.5</v>
      </c>
      <c r="AM6" s="98" t="s">
        <v>487</v>
      </c>
      <c r="AN6" s="97" t="s">
        <v>387</v>
      </c>
      <c r="AO6" s="104" t="s">
        <v>380</v>
      </c>
    </row>
    <row r="7" spans="1:41" s="101" customFormat="1" ht="13.5" x14ac:dyDescent="0.25">
      <c r="A7" s="117" t="s">
        <v>500</v>
      </c>
      <c r="B7" s="97"/>
      <c r="C7" s="98"/>
      <c r="D7" s="99"/>
      <c r="E7" s="100"/>
      <c r="F7" s="100">
        <f>SUM(F3:F6)</f>
        <v>17064</v>
      </c>
      <c r="H7" s="98"/>
      <c r="I7" s="98"/>
      <c r="J7" s="98"/>
      <c r="K7" s="98"/>
      <c r="Q7" s="102">
        <f t="shared" ref="Q7:V7" si="0">SUM(Q3:Q6)</f>
        <v>7.36</v>
      </c>
      <c r="R7" s="102">
        <f t="shared" si="0"/>
        <v>64000</v>
      </c>
      <c r="S7" s="102">
        <f t="shared" si="0"/>
        <v>400000</v>
      </c>
      <c r="T7" s="102">
        <f t="shared" si="0"/>
        <v>384000</v>
      </c>
      <c r="U7" s="102">
        <f t="shared" si="0"/>
        <v>45</v>
      </c>
      <c r="V7" s="100">
        <f t="shared" si="0"/>
        <v>24</v>
      </c>
      <c r="W7" s="102">
        <f t="shared" ref="W7" si="1">SUM(W3:W6)</f>
        <v>64000</v>
      </c>
      <c r="X7" s="102">
        <f t="shared" ref="X7" si="2">SUM(X3:X6)</f>
        <v>192000</v>
      </c>
      <c r="Y7" s="100">
        <f t="shared" ref="Y7" si="3">SUM(Y3:Y6)</f>
        <v>8</v>
      </c>
      <c r="Z7" s="100">
        <f t="shared" ref="Z7" si="4">SUM(Z3:Z6)</f>
        <v>32</v>
      </c>
      <c r="AA7" s="102">
        <f t="shared" ref="AA7" si="5">SUM(AA3:AA6)</f>
        <v>256000</v>
      </c>
      <c r="AB7" s="102">
        <f t="shared" ref="AB7" si="6">SUM(AB3:AB6)</f>
        <v>45</v>
      </c>
      <c r="AC7" s="102">
        <f t="shared" ref="AC7" si="7">SUM(AC3:AC6)</f>
        <v>435200</v>
      </c>
      <c r="AD7" s="97"/>
      <c r="AE7" s="97"/>
      <c r="AF7" s="97"/>
      <c r="AG7" s="97"/>
      <c r="AH7" s="97"/>
      <c r="AI7" s="97"/>
      <c r="AJ7" s="97"/>
      <c r="AK7" s="97"/>
      <c r="AL7" s="100">
        <f t="shared" ref="AL7" si="8">SUM(AL3:AL6)</f>
        <v>11</v>
      </c>
      <c r="AM7" s="98"/>
      <c r="AN7" s="97"/>
      <c r="AO7" s="104"/>
    </row>
  </sheetData>
  <phoneticPr fontId="1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C6D63-3277-4267-963E-02D5362456D0}">
  <sheetPr>
    <tabColor theme="1" tint="0.499984740745262"/>
  </sheetPr>
  <dimension ref="A1:I19"/>
  <sheetViews>
    <sheetView workbookViewId="0">
      <selection activeCell="E23" sqref="E23"/>
    </sheetView>
  </sheetViews>
  <sheetFormatPr defaultRowHeight="15" x14ac:dyDescent="0.25"/>
  <cols>
    <col min="1" max="1" width="21.5703125" customWidth="1"/>
    <col min="2" max="2" width="19.7109375" customWidth="1"/>
    <col min="3" max="4" width="13.85546875" customWidth="1"/>
    <col min="5" max="5" width="28.140625" customWidth="1"/>
    <col min="6" max="6" width="13.85546875" customWidth="1"/>
    <col min="7" max="7" width="52.140625" customWidth="1"/>
    <col min="8" max="9" width="13.85546875" customWidth="1"/>
  </cols>
  <sheetData>
    <row r="1" spans="1:9" s="3" customFormat="1" ht="19.5" customHeight="1" x14ac:dyDescent="0.25">
      <c r="A1" s="2" t="s">
        <v>67</v>
      </c>
      <c r="B1" s="2" t="s">
        <v>69</v>
      </c>
      <c r="C1" s="2" t="s">
        <v>501</v>
      </c>
      <c r="D1" s="2" t="s">
        <v>502</v>
      </c>
      <c r="E1" s="2" t="s">
        <v>154</v>
      </c>
      <c r="F1" s="2" t="s">
        <v>503</v>
      </c>
      <c r="G1" s="2" t="s">
        <v>404</v>
      </c>
      <c r="H1" s="2" t="s">
        <v>74</v>
      </c>
      <c r="I1" s="2" t="s">
        <v>156</v>
      </c>
    </row>
    <row r="2" spans="1:9" x14ac:dyDescent="0.25">
      <c r="A2" s="19" t="s">
        <v>504</v>
      </c>
      <c r="B2" s="14" t="s">
        <v>114</v>
      </c>
      <c r="C2" s="14" t="s">
        <v>79</v>
      </c>
      <c r="D2" s="14" t="s">
        <v>79</v>
      </c>
    </row>
    <row r="3" spans="1:9" x14ac:dyDescent="0.25">
      <c r="A3" s="19" t="s">
        <v>505</v>
      </c>
      <c r="B3" s="14" t="s">
        <v>506</v>
      </c>
      <c r="C3" s="14" t="s">
        <v>79</v>
      </c>
      <c r="D3" s="14" t="s">
        <v>79</v>
      </c>
    </row>
    <row r="4" spans="1:9" x14ac:dyDescent="0.25">
      <c r="A4" s="19" t="s">
        <v>85</v>
      </c>
      <c r="B4" s="14" t="s">
        <v>507</v>
      </c>
      <c r="C4" s="14" t="s">
        <v>79</v>
      </c>
      <c r="D4" s="14" t="s">
        <v>79</v>
      </c>
    </row>
    <row r="5" spans="1:9" ht="30" x14ac:dyDescent="0.25">
      <c r="A5" s="19" t="s">
        <v>508</v>
      </c>
      <c r="B5" s="14" t="s">
        <v>163</v>
      </c>
      <c r="C5" s="14" t="s">
        <v>79</v>
      </c>
      <c r="D5" s="14" t="s">
        <v>79</v>
      </c>
      <c r="G5" s="20" t="s">
        <v>509</v>
      </c>
    </row>
    <row r="6" spans="1:9" ht="60" x14ac:dyDescent="0.25">
      <c r="A6" s="19" t="s">
        <v>510</v>
      </c>
      <c r="B6" s="20" t="s">
        <v>511</v>
      </c>
      <c r="C6" s="14" t="s">
        <v>79</v>
      </c>
      <c r="D6" s="14"/>
    </row>
    <row r="7" spans="1:9" x14ac:dyDescent="0.25">
      <c r="A7" s="19" t="s">
        <v>512</v>
      </c>
      <c r="B7" s="14"/>
      <c r="C7" s="14" t="s">
        <v>79</v>
      </c>
      <c r="D7" s="14"/>
    </row>
    <row r="8" spans="1:9" x14ac:dyDescent="0.25">
      <c r="A8" s="19"/>
      <c r="B8" s="14"/>
      <c r="C8" s="14"/>
      <c r="D8" s="14"/>
    </row>
    <row r="9" spans="1:9" x14ac:dyDescent="0.25">
      <c r="A9" s="19"/>
      <c r="B9" s="14"/>
      <c r="C9" s="14"/>
      <c r="D9" s="14"/>
    </row>
    <row r="10" spans="1:9" x14ac:dyDescent="0.25">
      <c r="A10" s="19"/>
      <c r="B10" s="14"/>
      <c r="C10" s="14"/>
      <c r="D10" s="14"/>
    </row>
    <row r="11" spans="1:9" x14ac:dyDescent="0.25">
      <c r="A11" s="19"/>
      <c r="B11" s="14"/>
      <c r="C11" s="14"/>
      <c r="D11" s="14"/>
    </row>
    <row r="12" spans="1:9" x14ac:dyDescent="0.25">
      <c r="A12" s="19"/>
      <c r="B12" s="14"/>
      <c r="C12" s="14"/>
      <c r="D12" s="14"/>
    </row>
    <row r="13" spans="1:9" x14ac:dyDescent="0.25">
      <c r="A13" s="19"/>
      <c r="B13" s="14"/>
      <c r="C13" s="14"/>
      <c r="D13" s="14"/>
    </row>
    <row r="14" spans="1:9" x14ac:dyDescent="0.25">
      <c r="A14" s="19"/>
      <c r="B14" s="14"/>
      <c r="C14" s="14"/>
      <c r="D14" s="14"/>
    </row>
    <row r="15" spans="1:9" x14ac:dyDescent="0.25">
      <c r="A15" s="14"/>
      <c r="B15" s="14"/>
      <c r="C15" s="14"/>
      <c r="D15" s="14"/>
    </row>
    <row r="16" spans="1:9" x14ac:dyDescent="0.25">
      <c r="A16" s="14"/>
      <c r="B16" s="14"/>
      <c r="C16" s="14"/>
      <c r="D16" s="14"/>
    </row>
    <row r="17" spans="1:4" x14ac:dyDescent="0.25">
      <c r="A17" s="14"/>
      <c r="B17" s="14"/>
      <c r="C17" s="14"/>
      <c r="D17" s="14"/>
    </row>
    <row r="18" spans="1:4" x14ac:dyDescent="0.25">
      <c r="A18" s="14"/>
      <c r="B18" s="14"/>
      <c r="C18" s="14"/>
      <c r="D18" s="14"/>
    </row>
    <row r="19" spans="1:4" x14ac:dyDescent="0.25">
      <c r="A19" s="14"/>
      <c r="B19" s="14"/>
      <c r="C19" s="14"/>
      <c r="D19" s="1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0F61-EBED-4A3A-BECA-06EE7631E6A4}">
  <sheetPr>
    <tabColor theme="9"/>
  </sheetPr>
  <dimension ref="A1:D15"/>
  <sheetViews>
    <sheetView zoomScaleNormal="100" workbookViewId="0">
      <selection activeCell="A3" sqref="A3:B5"/>
    </sheetView>
  </sheetViews>
  <sheetFormatPr defaultColWidth="9.140625" defaultRowHeight="15" x14ac:dyDescent="0.25"/>
  <cols>
    <col min="1" max="1" width="24" style="14" customWidth="1"/>
    <col min="2" max="2" width="52.7109375" style="14" bestFit="1" customWidth="1"/>
    <col min="3" max="3" width="78.140625" style="14" bestFit="1" customWidth="1"/>
    <col min="4" max="16384" width="9.140625" style="14"/>
  </cols>
  <sheetData>
    <row r="1" spans="1:4" ht="18.75" customHeight="1" x14ac:dyDescent="0.25">
      <c r="A1" s="12" t="s">
        <v>513</v>
      </c>
      <c r="B1" s="2" t="s">
        <v>514</v>
      </c>
      <c r="C1" s="2" t="s">
        <v>515</v>
      </c>
    </row>
    <row r="2" spans="1:4" x14ac:dyDescent="0.25">
      <c r="A2" s="19" t="s">
        <v>11</v>
      </c>
      <c r="B2" s="22"/>
    </row>
    <row r="3" spans="1:4" ht="30" x14ac:dyDescent="0.25">
      <c r="A3" s="19" t="s">
        <v>14</v>
      </c>
      <c r="B3" s="184" t="s">
        <v>516</v>
      </c>
    </row>
    <row r="4" spans="1:4" x14ac:dyDescent="0.25">
      <c r="A4" s="19" t="s">
        <v>16</v>
      </c>
      <c r="B4" s="4"/>
    </row>
    <row r="5" spans="1:4" x14ac:dyDescent="0.25">
      <c r="A5" s="19" t="s">
        <v>18</v>
      </c>
      <c r="B5" s="4"/>
    </row>
    <row r="6" spans="1:4" x14ac:dyDescent="0.25">
      <c r="A6" s="19" t="s">
        <v>19</v>
      </c>
      <c r="B6" s="22"/>
    </row>
    <row r="7" spans="1:4" x14ac:dyDescent="0.25">
      <c r="A7" s="21" t="s">
        <v>20</v>
      </c>
    </row>
    <row r="8" spans="1:4" ht="55.5" customHeight="1" x14ac:dyDescent="0.25">
      <c r="A8" s="19" t="s">
        <v>22</v>
      </c>
      <c r="B8" s="22" t="s">
        <v>517</v>
      </c>
      <c r="C8" s="184" t="s">
        <v>518</v>
      </c>
    </row>
    <row r="9" spans="1:4" ht="55.5" customHeight="1" x14ac:dyDescent="0.25">
      <c r="A9" s="19" t="s">
        <v>29</v>
      </c>
      <c r="B9" s="22" t="s">
        <v>519</v>
      </c>
      <c r="C9" s="14" t="s">
        <v>520</v>
      </c>
    </row>
    <row r="10" spans="1:4" x14ac:dyDescent="0.25">
      <c r="A10" s="19" t="s">
        <v>31</v>
      </c>
      <c r="B10" s="22"/>
      <c r="D10" s="11"/>
    </row>
    <row r="11" spans="1:4" x14ac:dyDescent="0.25">
      <c r="A11" s="19" t="s">
        <v>521</v>
      </c>
      <c r="B11" s="183" t="s">
        <v>522</v>
      </c>
      <c r="D11" s="11"/>
    </row>
    <row r="12" spans="1:4" ht="48" customHeight="1" x14ac:dyDescent="0.25">
      <c r="A12" s="19" t="s">
        <v>173</v>
      </c>
      <c r="B12" s="23" t="s">
        <v>523</v>
      </c>
    </row>
    <row r="13" spans="1:4" x14ac:dyDescent="0.25">
      <c r="A13" s="19"/>
    </row>
    <row r="14" spans="1:4" x14ac:dyDescent="0.25">
      <c r="A14" s="19"/>
    </row>
    <row r="15" spans="1:4" x14ac:dyDescent="0.25">
      <c r="A15" s="1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04E40-5186-435D-9196-6029082DCA72}">
  <sheetPr>
    <tabColor theme="9"/>
  </sheetPr>
  <dimension ref="B1:H5"/>
  <sheetViews>
    <sheetView topLeftCell="B1" workbookViewId="0">
      <selection activeCell="F35" sqref="F35"/>
    </sheetView>
  </sheetViews>
  <sheetFormatPr defaultRowHeight="15" x14ac:dyDescent="0.25"/>
  <cols>
    <col min="1" max="1" width="0" hidden="1" customWidth="1"/>
    <col min="2" max="2" width="23" customWidth="1"/>
    <col min="3" max="3" width="28.42578125" customWidth="1"/>
    <col min="4" max="4" width="9.85546875" customWidth="1"/>
    <col min="5" max="5" width="10.7109375" customWidth="1"/>
    <col min="6" max="6" width="38.85546875" customWidth="1"/>
    <col min="7" max="7" width="15.42578125" customWidth="1"/>
  </cols>
  <sheetData>
    <row r="1" spans="2:8" s="3" customFormat="1" ht="19.5" customHeight="1" x14ac:dyDescent="0.25">
      <c r="B1" s="2" t="s">
        <v>67</v>
      </c>
      <c r="C1" s="2" t="s">
        <v>402</v>
      </c>
      <c r="D1" s="2" t="s">
        <v>501</v>
      </c>
      <c r="E1" s="2" t="s">
        <v>502</v>
      </c>
      <c r="F1" s="2" t="s">
        <v>73</v>
      </c>
    </row>
    <row r="2" spans="2:8" x14ac:dyDescent="0.25">
      <c r="B2" s="14" t="s">
        <v>524</v>
      </c>
      <c r="C2" s="20" t="s">
        <v>525</v>
      </c>
      <c r="D2" s="14" t="s">
        <v>79</v>
      </c>
      <c r="E2" s="14" t="s">
        <v>78</v>
      </c>
      <c r="F2" s="14"/>
      <c r="G2" s="14"/>
      <c r="H2" s="14"/>
    </row>
    <row r="3" spans="2:8" x14ac:dyDescent="0.25">
      <c r="B3" s="14" t="s">
        <v>526</v>
      </c>
      <c r="C3" s="14" t="s">
        <v>527</v>
      </c>
      <c r="D3" s="14" t="s">
        <v>79</v>
      </c>
      <c r="E3" s="14" t="s">
        <v>78</v>
      </c>
      <c r="F3" s="14"/>
      <c r="G3" s="14"/>
      <c r="H3" s="14"/>
    </row>
    <row r="4" spans="2:8" x14ac:dyDescent="0.25">
      <c r="B4" s="14" t="s">
        <v>528</v>
      </c>
      <c r="C4" s="14" t="s">
        <v>527</v>
      </c>
      <c r="D4" s="14" t="s">
        <v>79</v>
      </c>
      <c r="E4" s="14" t="s">
        <v>78</v>
      </c>
      <c r="F4" s="14"/>
      <c r="G4" s="14"/>
      <c r="H4" s="14"/>
    </row>
    <row r="5" spans="2:8" x14ac:dyDescent="0.25">
      <c r="B5" s="14" t="s">
        <v>529</v>
      </c>
      <c r="C5" s="14" t="s">
        <v>134</v>
      </c>
      <c r="D5" s="14" t="s">
        <v>79</v>
      </c>
      <c r="E5" s="14" t="s">
        <v>78</v>
      </c>
      <c r="F5" s="14" t="s">
        <v>530</v>
      </c>
      <c r="G5" s="14"/>
      <c r="H5" s="1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D3D93-27C6-4FED-9206-4CFF8A90F09E}">
  <sheetPr>
    <tabColor theme="9"/>
  </sheetPr>
  <dimension ref="A1:E11"/>
  <sheetViews>
    <sheetView workbookViewId="0">
      <selection activeCell="D29" sqref="D29"/>
    </sheetView>
  </sheetViews>
  <sheetFormatPr defaultRowHeight="15" x14ac:dyDescent="0.25"/>
  <cols>
    <col min="1" max="1" width="16.140625" customWidth="1"/>
    <col min="2" max="2" width="53.140625" customWidth="1"/>
    <col min="3" max="4" width="12.42578125" style="116" customWidth="1"/>
    <col min="5" max="5" width="20.5703125" customWidth="1"/>
  </cols>
  <sheetData>
    <row r="1" spans="1:5" s="3" customFormat="1" ht="19.5" customHeight="1" x14ac:dyDescent="0.25">
      <c r="A1" s="2" t="s">
        <v>67</v>
      </c>
      <c r="B1" s="2" t="s">
        <v>402</v>
      </c>
      <c r="C1" s="16" t="s">
        <v>501</v>
      </c>
      <c r="D1" s="16" t="s">
        <v>502</v>
      </c>
      <c r="E1" s="2" t="s">
        <v>403</v>
      </c>
    </row>
    <row r="2" spans="1:5" s="14" customFormat="1" x14ac:dyDescent="0.25">
      <c r="A2" s="14" t="s">
        <v>114</v>
      </c>
      <c r="B2" s="14" t="s">
        <v>120</v>
      </c>
      <c r="C2" s="115" t="s">
        <v>79</v>
      </c>
      <c r="D2" s="115" t="s">
        <v>79</v>
      </c>
      <c r="E2" s="14" t="s">
        <v>531</v>
      </c>
    </row>
    <row r="3" spans="1:5" ht="30" x14ac:dyDescent="0.25">
      <c r="A3" s="14" t="s">
        <v>532</v>
      </c>
      <c r="B3" s="114" t="s">
        <v>533</v>
      </c>
      <c r="C3" s="115" t="s">
        <v>79</v>
      </c>
      <c r="D3" s="115" t="s">
        <v>79</v>
      </c>
    </row>
    <row r="4" spans="1:5" x14ac:dyDescent="0.25">
      <c r="A4" s="14" t="s">
        <v>534</v>
      </c>
      <c r="B4" t="s">
        <v>309</v>
      </c>
      <c r="C4" s="115" t="s">
        <v>79</v>
      </c>
      <c r="D4" s="115" t="s">
        <v>79</v>
      </c>
    </row>
    <row r="5" spans="1:5" x14ac:dyDescent="0.25">
      <c r="A5" s="14" t="s">
        <v>535</v>
      </c>
      <c r="B5" t="s">
        <v>536</v>
      </c>
      <c r="C5" s="115"/>
      <c r="D5" s="115"/>
      <c r="E5" t="s">
        <v>537</v>
      </c>
    </row>
    <row r="6" spans="1:5" x14ac:dyDescent="0.25">
      <c r="A6" s="14" t="s">
        <v>538</v>
      </c>
      <c r="C6" s="115" t="s">
        <v>79</v>
      </c>
      <c r="D6" s="115" t="s">
        <v>79</v>
      </c>
      <c r="E6" t="s">
        <v>82</v>
      </c>
    </row>
    <row r="7" spans="1:5" x14ac:dyDescent="0.25">
      <c r="A7" s="14"/>
      <c r="C7" s="115"/>
      <c r="D7" s="115"/>
    </row>
    <row r="8" spans="1:5" x14ac:dyDescent="0.25">
      <c r="A8" s="14"/>
    </row>
    <row r="9" spans="1:5" x14ac:dyDescent="0.25">
      <c r="A9" s="14"/>
    </row>
    <row r="10" spans="1:5" x14ac:dyDescent="0.25">
      <c r="A10" s="14"/>
    </row>
    <row r="11" spans="1:5" x14ac:dyDescent="0.25">
      <c r="A11"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D7933-3008-4D00-9709-FCB1605C8483}">
  <sheetPr>
    <tabColor theme="9"/>
  </sheetPr>
  <dimension ref="A1:J20"/>
  <sheetViews>
    <sheetView zoomScaleNormal="100" workbookViewId="0">
      <selection activeCell="F25" sqref="F25"/>
    </sheetView>
  </sheetViews>
  <sheetFormatPr defaultColWidth="9.140625" defaultRowHeight="15" x14ac:dyDescent="0.25"/>
  <cols>
    <col min="1" max="1" width="27" style="6" customWidth="1"/>
    <col min="2" max="2" width="18.85546875" style="6" customWidth="1"/>
    <col min="3" max="3" width="9.85546875" style="6" customWidth="1"/>
    <col min="4" max="4" width="10.7109375" style="6" customWidth="1"/>
    <col min="5" max="5" width="47.85546875" style="6" customWidth="1"/>
    <col min="6" max="6" width="28" style="6" customWidth="1"/>
    <col min="7" max="7" width="20" style="6" customWidth="1"/>
    <col min="8" max="8" width="16.85546875" style="6" customWidth="1"/>
    <col min="9" max="9" width="51.85546875" style="6" customWidth="1"/>
    <col min="10" max="10" width="40.7109375" style="6" bestFit="1" customWidth="1"/>
    <col min="11" max="16384" width="9.140625" style="6"/>
  </cols>
  <sheetData>
    <row r="1" spans="1:10" s="3" customFormat="1" x14ac:dyDescent="0.25">
      <c r="A1" s="2" t="s">
        <v>67</v>
      </c>
      <c r="B1" s="2" t="s">
        <v>402</v>
      </c>
      <c r="C1" s="2" t="s">
        <v>501</v>
      </c>
      <c r="D1" s="2" t="s">
        <v>502</v>
      </c>
      <c r="E1" s="2" t="s">
        <v>539</v>
      </c>
      <c r="F1" s="2" t="s">
        <v>74</v>
      </c>
      <c r="G1" s="2" t="s">
        <v>503</v>
      </c>
      <c r="H1" s="2" t="s">
        <v>404</v>
      </c>
      <c r="I1" s="2" t="s">
        <v>156</v>
      </c>
    </row>
    <row r="2" spans="1:10" x14ac:dyDescent="0.25">
      <c r="A2" s="5" t="s">
        <v>540</v>
      </c>
      <c r="B2" s="5" t="s">
        <v>129</v>
      </c>
      <c r="C2" s="5" t="s">
        <v>30</v>
      </c>
      <c r="D2" s="5" t="s">
        <v>37</v>
      </c>
      <c r="E2" s="4" t="s">
        <v>541</v>
      </c>
      <c r="F2" s="5"/>
      <c r="G2" s="7" t="s">
        <v>542</v>
      </c>
      <c r="I2" s="7"/>
      <c r="J2" s="6" t="s">
        <v>543</v>
      </c>
    </row>
    <row r="3" spans="1:10" x14ac:dyDescent="0.25">
      <c r="A3" s="5" t="s">
        <v>544</v>
      </c>
      <c r="B3" s="5" t="s">
        <v>129</v>
      </c>
      <c r="C3" s="5" t="s">
        <v>30</v>
      </c>
      <c r="D3" s="5" t="s">
        <v>37</v>
      </c>
      <c r="E3" s="4" t="s">
        <v>545</v>
      </c>
      <c r="F3" s="5"/>
      <c r="I3" s="52" t="s">
        <v>546</v>
      </c>
    </row>
    <row r="4" spans="1:10" ht="30" x14ac:dyDescent="0.25">
      <c r="A4" s="5" t="s">
        <v>292</v>
      </c>
      <c r="B4" s="5" t="s">
        <v>134</v>
      </c>
      <c r="C4" s="5" t="s">
        <v>30</v>
      </c>
      <c r="D4" s="5" t="s">
        <v>37</v>
      </c>
      <c r="E4" s="4" t="s">
        <v>547</v>
      </c>
      <c r="F4" s="5"/>
    </row>
    <row r="5" spans="1:10" x14ac:dyDescent="0.25">
      <c r="A5" s="5" t="s">
        <v>548</v>
      </c>
      <c r="B5" s="5" t="s">
        <v>309</v>
      </c>
      <c r="C5" s="5" t="s">
        <v>30</v>
      </c>
      <c r="D5" s="5" t="s">
        <v>37</v>
      </c>
      <c r="E5" s="4" t="s">
        <v>549</v>
      </c>
      <c r="F5" s="5"/>
    </row>
    <row r="6" spans="1:10" x14ac:dyDescent="0.25">
      <c r="I6" s="6" t="s">
        <v>550</v>
      </c>
    </row>
    <row r="7" spans="1:10" x14ac:dyDescent="0.25">
      <c r="A7" s="5"/>
      <c r="B7" s="5"/>
      <c r="C7" s="5"/>
      <c r="D7" s="5"/>
      <c r="E7" s="4"/>
      <c r="F7" s="5"/>
      <c r="I7" s="7"/>
    </row>
    <row r="8" spans="1:10" x14ac:dyDescent="0.25">
      <c r="A8" s="5"/>
      <c r="B8" s="5"/>
      <c r="C8" s="5"/>
      <c r="D8" s="5"/>
      <c r="E8" s="4"/>
      <c r="F8" s="5"/>
      <c r="I8" s="7"/>
    </row>
    <row r="9" spans="1:10" s="110" customFormat="1" x14ac:dyDescent="0.25">
      <c r="A9" s="108" t="s">
        <v>551</v>
      </c>
      <c r="B9" s="108" t="s">
        <v>552</v>
      </c>
      <c r="C9" s="108" t="s">
        <v>30</v>
      </c>
      <c r="D9" s="108" t="s">
        <v>37</v>
      </c>
      <c r="E9" s="109" t="s">
        <v>553</v>
      </c>
      <c r="F9" s="108" t="s">
        <v>554</v>
      </c>
      <c r="I9" s="111"/>
    </row>
    <row r="10" spans="1:10" s="110" customFormat="1" x14ac:dyDescent="0.25">
      <c r="A10" s="108" t="s">
        <v>555</v>
      </c>
      <c r="B10" s="108" t="s">
        <v>556</v>
      </c>
      <c r="C10" s="108" t="s">
        <v>30</v>
      </c>
      <c r="D10" s="108" t="s">
        <v>37</v>
      </c>
      <c r="E10" s="109" t="s">
        <v>557</v>
      </c>
      <c r="F10" s="108"/>
      <c r="I10" s="111"/>
    </row>
    <row r="11" spans="1:10" x14ac:dyDescent="0.25">
      <c r="A11" s="5"/>
      <c r="B11" s="5"/>
      <c r="C11" s="5"/>
      <c r="D11" s="5"/>
      <c r="E11" s="4"/>
      <c r="F11" s="5"/>
      <c r="I11" s="7"/>
    </row>
    <row r="12" spans="1:10" x14ac:dyDescent="0.25">
      <c r="A12" s="5"/>
      <c r="B12" s="5"/>
      <c r="C12" s="5"/>
      <c r="D12" s="5"/>
      <c r="E12" s="4"/>
      <c r="F12" s="5"/>
      <c r="I12" s="7"/>
    </row>
    <row r="13" spans="1:10" x14ac:dyDescent="0.25">
      <c r="A13" s="5"/>
      <c r="B13" s="5"/>
      <c r="C13" s="5"/>
      <c r="D13" s="5"/>
      <c r="E13" s="5"/>
      <c r="F13" s="5"/>
      <c r="I13" s="7"/>
    </row>
    <row r="14" spans="1:10" x14ac:dyDescent="0.25">
      <c r="A14" s="5"/>
      <c r="B14" s="5"/>
      <c r="C14" s="5"/>
      <c r="D14" s="5"/>
      <c r="E14" s="5"/>
      <c r="F14" s="5"/>
      <c r="I14" s="7"/>
    </row>
    <row r="15" spans="1:10" x14ac:dyDescent="0.25">
      <c r="A15" s="5"/>
      <c r="B15" s="5"/>
      <c r="C15" s="5"/>
      <c r="D15" s="5"/>
      <c r="E15" s="5"/>
      <c r="F15" s="5"/>
      <c r="I15" s="7"/>
    </row>
    <row r="16" spans="1:10" x14ac:dyDescent="0.25">
      <c r="A16" s="5"/>
      <c r="B16" s="5"/>
      <c r="C16" s="5"/>
      <c r="D16" s="5"/>
      <c r="E16" s="5"/>
      <c r="F16" s="5"/>
      <c r="I16" s="7"/>
    </row>
    <row r="17" spans="9:9" x14ac:dyDescent="0.25">
      <c r="I17" s="7"/>
    </row>
    <row r="18" spans="9:9" x14ac:dyDescent="0.25">
      <c r="I18" s="7"/>
    </row>
    <row r="19" spans="9:9" x14ac:dyDescent="0.25">
      <c r="I19" s="7"/>
    </row>
    <row r="20" spans="9:9" x14ac:dyDescent="0.25">
      <c r="I20"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F3C2-9DF7-446B-A0C4-21152D405023}">
  <sheetPr>
    <tabColor theme="9"/>
  </sheetPr>
  <dimension ref="A1:R10"/>
  <sheetViews>
    <sheetView workbookViewId="0">
      <selection activeCell="A3" activeCellId="1" sqref="A5:XFD5 A3:XFD3"/>
    </sheetView>
  </sheetViews>
  <sheetFormatPr defaultColWidth="9.140625" defaultRowHeight="15" outlineLevelCol="1" x14ac:dyDescent="0.25"/>
  <cols>
    <col min="1" max="1" width="23.85546875" style="6" customWidth="1"/>
    <col min="2" max="2" width="9.28515625" style="6" customWidth="1"/>
    <col min="3" max="3" width="16.140625" style="6" customWidth="1"/>
    <col min="4" max="5" width="11.28515625" style="6" hidden="1" customWidth="1" outlineLevel="1"/>
    <col min="6" max="6" width="17" style="6" hidden="1" customWidth="1" outlineLevel="1"/>
    <col min="7" max="9" width="14.140625" style="6" hidden="1" customWidth="1" outlineLevel="1"/>
    <col min="10" max="10" width="33.5703125" style="44" customWidth="1" collapsed="1"/>
    <col min="11" max="16384" width="9.140625" style="6"/>
  </cols>
  <sheetData>
    <row r="1" spans="1:18" s="3" customFormat="1" ht="45.75" customHeight="1" x14ac:dyDescent="0.25">
      <c r="A1" s="2" t="s">
        <v>67</v>
      </c>
      <c r="B1" s="2" t="s">
        <v>68</v>
      </c>
      <c r="C1" s="2" t="s">
        <v>69</v>
      </c>
      <c r="D1" s="2" t="s">
        <v>501</v>
      </c>
      <c r="E1" s="2" t="s">
        <v>502</v>
      </c>
      <c r="F1" s="16" t="s">
        <v>406</v>
      </c>
      <c r="G1" s="2" t="s">
        <v>154</v>
      </c>
      <c r="H1" s="2" t="s">
        <v>503</v>
      </c>
      <c r="I1" s="2" t="s">
        <v>404</v>
      </c>
      <c r="J1" s="32" t="s">
        <v>156</v>
      </c>
    </row>
    <row r="2" spans="1:18" s="9" customFormat="1" x14ac:dyDescent="0.25">
      <c r="A2" s="8" t="s">
        <v>558</v>
      </c>
      <c r="B2" s="8"/>
      <c r="C2" s="43"/>
      <c r="D2" s="43"/>
      <c r="E2" s="43"/>
      <c r="F2" s="43"/>
      <c r="G2" s="43"/>
      <c r="H2" s="43"/>
      <c r="I2" s="43"/>
      <c r="J2" s="46"/>
      <c r="K2" s="43"/>
      <c r="L2" s="43"/>
      <c r="M2" s="43"/>
      <c r="N2" s="43"/>
      <c r="O2" s="43"/>
      <c r="P2" s="43"/>
      <c r="Q2" s="43"/>
      <c r="R2" s="43"/>
    </row>
    <row r="3" spans="1:18" s="110" customFormat="1" x14ac:dyDescent="0.25">
      <c r="A3" s="110" t="s">
        <v>559</v>
      </c>
      <c r="B3" s="110" t="s">
        <v>76</v>
      </c>
      <c r="C3" s="110" t="s">
        <v>114</v>
      </c>
      <c r="J3" s="113" t="s">
        <v>560</v>
      </c>
    </row>
    <row r="4" spans="1:18" x14ac:dyDescent="0.25">
      <c r="A4" s="6" t="s">
        <v>561</v>
      </c>
      <c r="B4" s="6" t="s">
        <v>96</v>
      </c>
      <c r="C4" s="6" t="s">
        <v>114</v>
      </c>
      <c r="J4" s="47"/>
    </row>
    <row r="5" spans="1:18" s="110" customFormat="1" ht="66" customHeight="1" x14ac:dyDescent="0.25">
      <c r="A5" s="108" t="s">
        <v>2</v>
      </c>
      <c r="B5" s="108" t="s">
        <v>76</v>
      </c>
      <c r="C5" s="108" t="s">
        <v>562</v>
      </c>
      <c r="J5" s="112" t="s">
        <v>563</v>
      </c>
    </row>
    <row r="6" spans="1:18" s="5" customFormat="1" x14ac:dyDescent="0.25">
      <c r="A6" s="4"/>
      <c r="B6" s="4"/>
      <c r="C6" s="4"/>
      <c r="D6" s="4"/>
      <c r="E6" s="4"/>
      <c r="G6" s="4"/>
      <c r="H6" s="4"/>
      <c r="I6" s="4"/>
      <c r="J6" s="48"/>
    </row>
    <row r="7" spans="1:18" s="5" customFormat="1" x14ac:dyDescent="0.25">
      <c r="A7" s="4"/>
      <c r="B7" s="4"/>
      <c r="C7" s="4"/>
      <c r="D7" s="4"/>
      <c r="E7" s="4"/>
      <c r="G7" s="4"/>
      <c r="H7" s="4"/>
      <c r="I7" s="4"/>
      <c r="J7" s="48"/>
    </row>
    <row r="8" spans="1:18" x14ac:dyDescent="0.25">
      <c r="J8" s="47"/>
    </row>
    <row r="9" spans="1:18" s="9" customFormat="1" x14ac:dyDescent="0.25">
      <c r="A9" s="8" t="s">
        <v>564</v>
      </c>
      <c r="B9" s="8"/>
      <c r="C9" s="43"/>
      <c r="D9" s="43"/>
      <c r="E9" s="43"/>
      <c r="F9" s="43"/>
      <c r="G9" s="43"/>
      <c r="H9" s="43"/>
      <c r="I9" s="43"/>
      <c r="J9" s="46"/>
      <c r="K9" s="43"/>
      <c r="L9" s="43"/>
      <c r="M9" s="43"/>
      <c r="N9" s="43"/>
      <c r="O9" s="43"/>
      <c r="P9" s="43"/>
      <c r="Q9" s="43"/>
      <c r="R9" s="43"/>
    </row>
    <row r="10" spans="1:18" x14ac:dyDescent="0.25">
      <c r="A10" s="53" t="s">
        <v>565</v>
      </c>
      <c r="J10" s="47"/>
    </row>
  </sheetData>
  <hyperlinks>
    <hyperlink ref="A10" r:id="rId1" xr:uid="{953E3612-4E7C-4980-9D8E-75A65A875C2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16A6982F-C816-4259-9D86-DB9829F231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B15784-A65F-4B98-A3D0-A9CD2A2413ED}">
  <ds:schemaRefs>
    <ds:schemaRef ds:uri="Microsoft.SharePoint.Taxonomy.ContentTypeSync"/>
  </ds:schemaRefs>
</ds:datastoreItem>
</file>

<file path=customXml/itemProps3.xml><?xml version="1.0" encoding="utf-8"?>
<ds:datastoreItem xmlns:ds="http://schemas.openxmlformats.org/officeDocument/2006/customXml" ds:itemID="{E1D6143A-FEC3-41B2-8A73-D53D97A62B01}">
  <ds:schemaRefs>
    <ds:schemaRef ds:uri="http://schemas.microsoft.com/sharepoint/v3/contenttype/forms"/>
  </ds:schemaRefs>
</ds:datastoreItem>
</file>

<file path=customXml/itemProps4.xml><?xml version="1.0" encoding="utf-8"?>
<ds:datastoreItem xmlns:ds="http://schemas.openxmlformats.org/officeDocument/2006/customXml" ds:itemID="{93209C8A-9783-4185-8AAA-4C1E0DE171CD}">
  <ds:schemaRefs>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http://purl.org/dc/elements/1.1/"/>
    <ds:schemaRef ds:uri="http://purl.org/dc/dcmitype/"/>
    <ds:schemaRef ds:uri="http://www.w3.org/XML/1998/namespace"/>
    <ds:schemaRef ds:uri="1ffbd5dc-7a64-4097-8396-87f6c90b212f"/>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Stages (2)</vt:lpstr>
      <vt:lpstr>Stages</vt:lpstr>
      <vt:lpstr>Dashboard</vt:lpstr>
      <vt:lpstr>Tenancy</vt:lpstr>
      <vt:lpstr>Opportunity</vt:lpstr>
      <vt:lpstr>Sheet1</vt:lpstr>
      <vt:lpstr>Offer</vt:lpstr>
      <vt:lpstr>Commercial Live Offer Tracker</vt:lpstr>
      <vt:lpstr>Feedback &amp; Enquiries</vt:lpstr>
      <vt:lpstr>Stage Detail</vt:lpstr>
      <vt:lpstr>Building</vt:lpstr>
      <vt:lpstr>Comments</vt:lpstr>
      <vt:lpstr>Account</vt:lpstr>
      <vt:lpstr>Unit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Nikki Papenfus</dc:creator>
  <cp:keywords/>
  <dc:description/>
  <cp:lastModifiedBy>Nikki Papenfus</cp:lastModifiedBy>
  <cp:revision/>
  <dcterms:created xsi:type="dcterms:W3CDTF">2024-11-07T12:25:37Z</dcterms:created>
  <dcterms:modified xsi:type="dcterms:W3CDTF">2025-10-05T20:06:18Z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MediaServiceImageTags">
    <vt:lpwstr/>
  </property>
  <property fmtid="{D5CDD505-2E9C-101B-9397-08002B2CF9AE}" pid="4" name="Project_x0020_Document_x0020_Type">
    <vt:lpwstr>4;#Generic Project Document|258c2ed6-b93b-4ffe-8901-a23f2dc98ec9</vt:lpwstr>
  </property>
  <property fmtid="{D5CDD505-2E9C-101B-9397-08002B2CF9AE}" pid="5" name="Division">
    <vt:lpwstr>5;#Enterprise Solutions|08c57b01-67e8-4a4f-abc6-ffb3392ace7f</vt:lpwstr>
  </property>
  <property fmtid="{D5CDD505-2E9C-101B-9397-08002B2CF9AE}" pid="6" name="Client_x0020_Project">
    <vt:lpwstr/>
  </property>
  <property fmtid="{D5CDD505-2E9C-101B-9397-08002B2CF9AE}" pid="7" name="Client">
    <vt:lpwstr>6;#Grainger PLC|a74f1cb5-e995-4f9e-8521-6d52e2c6bf08</vt:lpwstr>
  </property>
  <property fmtid="{D5CDD505-2E9C-101B-9397-08002B2CF9AE}" pid="8" name="lcf76f155ced4ddcb4097134ff3c332f">
    <vt:lpwstr/>
  </property>
  <property fmtid="{D5CDD505-2E9C-101B-9397-08002B2CF9AE}" pid="9" name="Project Document Type">
    <vt:lpwstr>4;#Generic Project Document|258c2ed6-b93b-4ffe-8901-a23f2dc98ec9</vt:lpwstr>
  </property>
  <property fmtid="{D5CDD505-2E9C-101B-9397-08002B2CF9AE}" pid="10" name="Client Project">
    <vt:lpwstr/>
  </property>
</Properties>
</file>