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2. Sprint 0 (Analysis)/"/>
    </mc:Choice>
  </mc:AlternateContent>
  <xr:revisionPtr revIDLastSave="770" documentId="8_{87EDF85F-9AC7-4CDB-AAA1-20087F801844}" xr6:coauthVersionLast="47" xr6:coauthVersionMax="47" xr10:uidLastSave="{04503C60-231D-4373-9EBA-E627B4612AE9}"/>
  <bookViews>
    <workbookView xWindow="-120" yWindow="-120" windowWidth="29040" windowHeight="15720" activeTab="2" xr2:uid="{80D749C6-1569-4BF2-926A-A6FD2C43F0AD}"/>
  </bookViews>
  <sheets>
    <sheet name="Backlog v1" sheetId="1" r:id="rId1"/>
    <sheet name="Backlog v2" sheetId="2" r:id="rId2"/>
    <sheet name="Backlog v3" sheetId="3" r:id="rId3"/>
  </sheets>
  <definedNames>
    <definedName name="_xlnm._FilterDatabase" localSheetId="1" hidden="1">'Backlog v2'!$A$1:$E$1</definedName>
    <definedName name="_xlnm._FilterDatabase" localSheetId="2" hidden="1">'Backlog v3'!$A$1:$B$1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4" i="3"/>
  <c r="B9" i="3"/>
  <c r="B3" i="3"/>
  <c r="B42" i="3"/>
  <c r="B37" i="3"/>
  <c r="B34" i="3"/>
  <c r="B40" i="3"/>
  <c r="B29" i="3"/>
  <c r="B25" i="3"/>
  <c r="C1" i="2"/>
  <c r="B17" i="2"/>
  <c r="B13" i="2"/>
  <c r="B9" i="2"/>
  <c r="B3" i="2"/>
  <c r="B30" i="2"/>
  <c r="B33" i="2"/>
  <c r="B25" i="2"/>
  <c r="B21" i="2"/>
  <c r="B30" i="1"/>
  <c r="B2" i="1"/>
  <c r="B38" i="2"/>
  <c r="B36" i="2"/>
  <c r="B33" i="1"/>
  <c r="B26" i="1"/>
  <c r="B18" i="1"/>
  <c r="B14" i="1"/>
  <c r="B10" i="1"/>
  <c r="B35" i="2"/>
  <c r="B2" i="2"/>
  <c r="B29" i="2"/>
  <c r="B20" i="2"/>
  <c r="C1" i="1"/>
  <c r="C2" i="2"/>
  <c r="C30" i="1"/>
  <c r="C2" i="1"/>
  <c r="C33" i="1"/>
  <c r="C18" i="1"/>
  <c r="C26" i="1"/>
  <c r="C14" i="1"/>
  <c r="C10" i="1"/>
  <c r="C20" i="2"/>
  <c r="C9" i="2"/>
  <c r="C13" i="2"/>
  <c r="C17" i="2"/>
  <c r="C30" i="2"/>
  <c r="C36" i="2"/>
  <c r="C3" i="2"/>
  <c r="C21" i="2"/>
  <c r="C25" i="2"/>
  <c r="C38" i="2"/>
  <c r="C33" i="2"/>
  <c r="C35" i="2"/>
  <c r="C29" i="2"/>
  <c r="B33" i="3" l="1"/>
  <c r="B2" i="3"/>
  <c r="B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tc={0F191F49-83E2-4738-BA09-19C454B1BB6D}</author>
    <author>tc={53D41F95-3841-4D98-9A37-45CFD0198AF2}</author>
  </authors>
  <commentList>
    <comment ref="E8" authorId="0" shapeId="0" xr:uid="{0F191F49-83E2-4738-BA09-19C454B1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@Shaun Barrett 
Reply:
    Ok thanks</t>
      </text>
    </comment>
    <comment ref="A13" authorId="1" shapeId="0" xr:uid="{53D41F95-3841-4D98-9A37-45CFD0198AF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Filter:
RTR record Status = ‘Completed’ 
AND Time Limited = True
AND current date &gt;= Follow Up Start Date  
Display:
Tenant
Unit
Record Owner
Flag
Follow Up Start Date
Expiry Date
Date Next RTR Due
Follow Up Status
Last Follow Up Date</t>
      </text>
    </comment>
  </commentList>
</comments>
</file>

<file path=xl/sharedStrings.xml><?xml version="1.0" encoding="utf-8"?>
<sst xmlns="http://schemas.openxmlformats.org/spreadsheetml/2006/main" count="230" uniqueCount="95">
  <si>
    <t>Feature</t>
  </si>
  <si>
    <t>Points</t>
  </si>
  <si>
    <t>Update /Maintain RTR Object</t>
  </si>
  <si>
    <t>RTR-14,Update RTR Status Options</t>
  </si>
  <si>
    <t>RTR-12,See Date Next RTR is Required</t>
  </si>
  <si>
    <t>RTR-16,Close Tasks when RTR is Completed</t>
  </si>
  <si>
    <t>RTR-8,Update Previous RTR Records to 'Archived'</t>
  </si>
  <si>
    <t xml:space="preserve">RTR-5,Validate Check Date when Capturing RTR </t>
  </si>
  <si>
    <t>RTR-25,Hide 'Completed By' Field on RTR</t>
  </si>
  <si>
    <t>RTR-31,Close Incomplete RTR if a Tenant Vacates or an Opportunity is Lost</t>
  </si>
  <si>
    <t>Notify Tenants &amp; Users when RTR is Expiring</t>
  </si>
  <si>
    <t>RTR-1,Create RTR &amp; Tasks Prior to Expiry</t>
  </si>
  <si>
    <t>RTR-30,Send Email Requests for New RTR to Resident</t>
  </si>
  <si>
    <t>RTR-13,Notify Users when Tenant Responds to an Email or Email Bounces</t>
  </si>
  <si>
    <t>Ensure all Tenants have RTR on New Lease or Renewal</t>
  </si>
  <si>
    <t>RTR-4,See All Current &amp; Outstanding RTR for Tenants when Viewing an Opportunity</t>
  </si>
  <si>
    <t>RTR-3,Only Create RTR for New Tenants added to a Renewal/COS Opportunity</t>
  </si>
  <si>
    <t>RTR-7,Ensure All Tenants have RTR before sending a New Lease/COS/Renewal Contract for Signing</t>
  </si>
  <si>
    <t xml:space="preserve">Tenancy Data Clean Up - Once Off &amp; Ongoing </t>
  </si>
  <si>
    <t>RTR-2,Bulk Update - Activate &amp; End Historical Tenancy Statuses</t>
  </si>
  <si>
    <t>RTR-29,[Placeholder] Incorporate Feedback/Exceptions to Updating Tenancy Status</t>
  </si>
  <si>
    <t>RTR-10,Data Extracts - Identify Tenancy Data for Manual Clean up in Salesforce</t>
  </si>
  <si>
    <t>RTR-24,View List of Related Tenancies for a Unit</t>
  </si>
  <si>
    <t>RTR-19,Activate New &amp; End Old Tenancies on COS &amp; Renewal</t>
  </si>
  <si>
    <t>RTR-27,Save Effective End Date of Tenancy</t>
  </si>
  <si>
    <t>RTR-26,Only Create EOT for Active Tenancies</t>
  </si>
  <si>
    <t>RTR Data Clean Up</t>
  </si>
  <si>
    <t>RTR-6,Bulk Update - Create RTR Records for Current Tenants with no RTR Data</t>
  </si>
  <si>
    <t>RTR-22,Data Extract - Identify Missing Vacate Date for Former Tenants with a RTR Document</t>
  </si>
  <si>
    <t>RTR-21,Data Extracts - Permitted Occupiers to be Cleaned up in Salesforce</t>
  </si>
  <si>
    <t>RTR-20,Data Extracts - Identify RTR Data to be Cleaned up in Salesforce</t>
  </si>
  <si>
    <t>RTR Document &amp; Record Deletions</t>
  </si>
  <si>
    <t>RTR-11,Delete RTR Info for Former Tenants &amp; Lost Opportunities</t>
  </si>
  <si>
    <t>Enhance Single View of Customer</t>
  </si>
  <si>
    <t>RTR-17,See Current RTR Status for a Tenant</t>
  </si>
  <si>
    <t>Must Have</t>
  </si>
  <si>
    <t>Y</t>
  </si>
  <si>
    <t>Backlog</t>
  </si>
  <si>
    <t>SOW</t>
  </si>
  <si>
    <t>Release 1</t>
  </si>
  <si>
    <t>N</t>
  </si>
  <si>
    <t>Parallel Tenancy Clean Up Project</t>
  </si>
  <si>
    <t>Identify</t>
  </si>
  <si>
    <t xml:space="preserve">Tenancy Data Clean Up - Once Off Update of Historical Data </t>
  </si>
  <si>
    <t>Tenancy Data Clean Up - Maintain Data Quality Going Forward</t>
  </si>
  <si>
    <t>Release 2 - New 'Must Have' Scope</t>
  </si>
  <si>
    <t>In SOW</t>
  </si>
  <si>
    <t>Update/Maintain RTR Object</t>
  </si>
  <si>
    <t>Delete RTR Documents &amp; Records</t>
  </si>
  <si>
    <t>RTR-17: See Current RTR Status for a Tenant</t>
  </si>
  <si>
    <t>RTR-16: Close Tasks when RTR is Completed</t>
  </si>
  <si>
    <t>RTR-31: Close Incomplete RTR if a Tenant Vacates or an Opportunity is Lost</t>
  </si>
  <si>
    <t>RTR-6: Bulk Update - Create RTR Records for Current Tenants with no RTR Data</t>
  </si>
  <si>
    <t>RTR-11: Delete RTR Info for Former Tenants &amp; Lost Opportunities</t>
  </si>
  <si>
    <t>RTR-22: Data Extract - Identify Missing Vacate Date for Former Tenants with a RTR Document</t>
  </si>
  <si>
    <t>RTR-19: Activate New &amp; End Old Tenancies on COS &amp; Renewal</t>
  </si>
  <si>
    <t>RTR-27: Save Effective End Date of Tenancy</t>
  </si>
  <si>
    <t>RTR-26: Only Create EOT for Active Tenancies</t>
  </si>
  <si>
    <t>RTR-2: Bulk Update - Activate &amp; End Historical Tenancy Statuses</t>
  </si>
  <si>
    <t>RTR-10: Data Extracts - Identify Tenancy Data for Manual Clean up in Salesforce</t>
  </si>
  <si>
    <t>RTR-24: View List of Related Tenancies for a Unit</t>
  </si>
  <si>
    <t>RTR-21: Data Extracts - Permitted Occupiers to be Cleaned up in Salesforce</t>
  </si>
  <si>
    <t>RTR-20: Data Extracts - Identify RTR Data to be Cleaned up in Salesforce</t>
  </si>
  <si>
    <t xml:space="preserve">Maintain Tasks &amp; RTR </t>
  </si>
  <si>
    <t>RTR-4: See All Current &amp; Outstanding RTR for Tenants when Viewing an Opportunity</t>
  </si>
  <si>
    <t>RTR-3: Only Create RTR for New Tenants added to a Renewal/COS Opportunity</t>
  </si>
  <si>
    <t>RTR-7: Ensure All Tenants have RTR before sending a New Lease/COS/Renewal Contract for Signing</t>
  </si>
  <si>
    <t>RTR-1: Create RTR &amp; Tasks Prior to Expiry</t>
  </si>
  <si>
    <t>RTR-30: Send Email Requests for New RTR to Resident</t>
  </si>
  <si>
    <t>RTR-13: Notify Users when Tenant Responds to an Email or Email Bounces</t>
  </si>
  <si>
    <t>RTR-14: Update RTR Status Options</t>
  </si>
  <si>
    <t>RTR-12: See Date Next RTR is Required</t>
  </si>
  <si>
    <t>RTR-8: Update Previous RTR Records to 'Archived'</t>
  </si>
  <si>
    <t xml:space="preserve">RTR-5: Validate Check Date when Capturing RTR </t>
  </si>
  <si>
    <t>RTR-17: Update Existing RTR Customer Data Sync</t>
  </si>
  <si>
    <t>Story Points</t>
  </si>
  <si>
    <t>Add: 'Moved Out' status</t>
  </si>
  <si>
    <t>Send email to record owner instead of task</t>
  </si>
  <si>
    <t>New story</t>
  </si>
  <si>
    <t>Changes to Story</t>
  </si>
  <si>
    <t>Add: Default record owner to Onsite PM team for the unit; +0,5 point</t>
  </si>
  <si>
    <t>Simplified; removed tenant-level flag; -1 point</t>
  </si>
  <si>
    <t>New Scope for R1; simpler logic (based on Qube list; no task required); - 1 point</t>
  </si>
  <si>
    <t>Add: Default record owner to Onsite PM team when creating a new RTR record; +0,5 point</t>
  </si>
  <si>
    <t>Once-off Bulk Update - Populate unit &amp; record owner (Onsite PM Team) on existing RTR records</t>
  </si>
  <si>
    <t>SB: This has increased by 1,5</t>
  </si>
  <si>
    <t>NP: I split the scope of this in R2; was a little over-enthusiastic in moving it down to 0,5 point I think. Original estimate was 3pts</t>
  </si>
  <si>
    <t>Cannot provide list without active tenancy status being updated</t>
  </si>
  <si>
    <t>New story; effort for initial load only</t>
  </si>
  <si>
    <t>Monthly Bulk Update - Update Status of RTR Records based on Qube List of Active Tenants (&amp; active opportunities)</t>
  </si>
  <si>
    <t>Create a List View of expiring RTR Records that Require Manual follow up and new RTR records that are in progress.</t>
  </si>
  <si>
    <t>New story; Limitation: only caters for 1 manual follow up date</t>
  </si>
  <si>
    <t>Add calculated fields: If RTR needs a reminder email &amp; Date manual follow up is required (catering for earlier follow up if there is no email address saved for the tenant)</t>
  </si>
  <si>
    <t>New story; default to Renewals Team if RTR cannot be linked to a unit.</t>
  </si>
  <si>
    <t>Stamp template name/'Follow-up Status' &amp; date last email sent (new fields);
Send based on the last email template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</si>
</sst>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.0_-;\-* #,##0.0_-;_-* &quot;-&quot;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19" fillId="0" borderId="0" xfId="0" applyFont="1"/>
    <xf numFmtId="0" fontId="20" fillId="33" borderId="0" xfId="0" applyFont="1" applyFill="1"/>
    <xf numFmtId="0" fontId="21" fillId="0" borderId="0" xfId="0" applyFont="1"/>
    <xf numFmtId="0" fontId="21" fillId="34" borderId="0" xfId="0" applyFont="1" applyFill="1"/>
    <xf numFmtId="0" fontId="18" fillId="34" borderId="0" xfId="0" applyFont="1" applyFill="1" applyAlignment="1">
      <alignment wrapText="1"/>
    </xf>
    <xf numFmtId="0" fontId="19" fillId="0" borderId="0" xfId="0" applyFont="1" applyAlignment="1">
      <alignment wrapText="1"/>
    </xf>
    <xf numFmtId="9" fontId="19" fillId="34" borderId="0" xfId="1" applyFont="1" applyFill="1"/>
    <xf numFmtId="0" fontId="19" fillId="34" borderId="0" xfId="0" applyFont="1" applyFill="1"/>
    <xf numFmtId="0" fontId="22" fillId="33" borderId="0" xfId="0" applyFont="1" applyFill="1" applyAlignment="1">
      <alignment wrapText="1"/>
    </xf>
    <xf numFmtId="0" fontId="22" fillId="33" borderId="0" xfId="0" applyFont="1" applyFill="1"/>
    <xf numFmtId="164" fontId="22" fillId="33" borderId="0" xfId="43" applyNumberFormat="1" applyFont="1" applyFill="1"/>
    <xf numFmtId="164" fontId="18" fillId="34" borderId="0" xfId="43" applyNumberFormat="1" applyFont="1" applyFill="1"/>
    <xf numFmtId="164" fontId="19" fillId="0" borderId="0" xfId="43" applyNumberFormat="1" applyFont="1"/>
    <xf numFmtId="164" fontId="19" fillId="0" borderId="0" xfId="43" applyNumberFormat="1" applyFont="1" applyFill="1"/>
    <xf numFmtId="164" fontId="19" fillId="0" borderId="0" xfId="43" applyNumberFormat="1" applyFont="1" applyFill="1" applyBorder="1"/>
    <xf numFmtId="165" fontId="22" fillId="33" borderId="0" xfId="0" applyNumberFormat="1" applyFont="1" applyFill="1"/>
    <xf numFmtId="164" fontId="22" fillId="33" borderId="0" xfId="43" applyNumberFormat="1" applyFont="1" applyFill="1" applyAlignment="1">
      <alignment vertical="center"/>
    </xf>
    <xf numFmtId="0" fontId="19" fillId="0" borderId="0" xfId="0" applyFont="1" applyAlignment="1">
      <alignment vertical="center" wrapText="1"/>
    </xf>
    <xf numFmtId="164" fontId="19" fillId="0" borderId="0" xfId="43" applyNumberFormat="1" applyFont="1" applyAlignment="1">
      <alignment vertical="center"/>
    </xf>
    <xf numFmtId="0" fontId="22" fillId="33" borderId="0" xfId="0" applyFont="1" applyFill="1" applyAlignment="1">
      <alignment vertical="center" wrapText="1"/>
    </xf>
    <xf numFmtId="0" fontId="22" fillId="33" borderId="0" xfId="0" applyFont="1" applyFill="1" applyAlignment="1">
      <alignment vertical="center"/>
    </xf>
    <xf numFmtId="164" fontId="24" fillId="0" borderId="0" xfId="43" applyNumberFormat="1" applyFont="1" applyFill="1" applyAlignment="1">
      <alignment vertical="center"/>
    </xf>
    <xf numFmtId="0" fontId="24" fillId="34" borderId="0" xfId="0" applyFont="1" applyFill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164" fontId="23" fillId="34" borderId="0" xfId="43" applyNumberFormat="1" applyFont="1" applyFill="1" applyAlignment="1">
      <alignment vertical="center"/>
    </xf>
    <xf numFmtId="164" fontId="24" fillId="0" borderId="0" xfId="43" applyNumberFormat="1" applyFont="1" applyAlignment="1">
      <alignment vertical="center"/>
    </xf>
    <xf numFmtId="0" fontId="23" fillId="34" borderId="0" xfId="0" applyFont="1" applyFill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2"/>
    </xf>
    <xf numFmtId="0" fontId="19" fillId="0" borderId="0" xfId="0" applyFont="1" applyAlignment="1">
      <alignment vertical="center"/>
    </xf>
    <xf numFmtId="0" fontId="23" fillId="34" borderId="0" xfId="0" applyFont="1" applyFill="1" applyAlignment="1">
      <alignment vertical="center" wrapText="1"/>
    </xf>
    <xf numFmtId="164" fontId="24" fillId="0" borderId="0" xfId="43" applyNumberFormat="1" applyFont="1" applyFill="1" applyBorder="1" applyAlignment="1">
      <alignment vertical="center"/>
    </xf>
    <xf numFmtId="165" fontId="22" fillId="33" borderId="0" xfId="0" applyNumberFormat="1" applyFont="1" applyFill="1" applyAlignment="1">
      <alignment horizontal="right" vertical="center"/>
    </xf>
    <xf numFmtId="9" fontId="22" fillId="33" borderId="0" xfId="1" applyFont="1" applyFill="1" applyAlignment="1">
      <alignment horizontal="right" vertical="center"/>
    </xf>
    <xf numFmtId="9" fontId="24" fillId="34" borderId="0" xfId="1" applyFont="1" applyFill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9" fontId="19" fillId="0" borderId="0" xfId="1" applyFont="1"/>
    <xf numFmtId="0" fontId="24" fillId="35" borderId="0" xfId="0" applyFont="1" applyFill="1" applyAlignment="1">
      <alignment horizontal="left" vertical="center" wrapText="1" indent="2"/>
    </xf>
    <xf numFmtId="0" fontId="25" fillId="0" borderId="0" xfId="0" applyFont="1" applyAlignment="1">
      <alignment horizontal="left" vertical="center" wrapText="1" indent="2"/>
    </xf>
    <xf numFmtId="0" fontId="24" fillId="0" borderId="0" xfId="0" applyFont="1"/>
    <xf numFmtId="0" fontId="24" fillId="34" borderId="0" xfId="0" applyFont="1" applyFill="1"/>
    <xf numFmtId="0" fontId="24" fillId="0" borderId="0" xfId="0" applyFont="1" applyFill="1" applyAlignment="1">
      <alignment horizontal="left" vertical="center" wrapText="1" indent="2"/>
    </xf>
    <xf numFmtId="0" fontId="19" fillId="0" borderId="0" xfId="0" applyFont="1" applyFill="1"/>
    <xf numFmtId="0" fontId="24" fillId="0" borderId="0" xfId="0" applyFont="1" applyFill="1" applyAlignment="1">
      <alignment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un Barrett" id="{66D07657-01E2-434C-81D3-28ECEEC09C37}" userId="sbarrett@openboxsoftware.com" providerId="PeoplePicker"/>
  <person displayName="Shaun Barrett" id="{B6504C0A-619E-4FA1-B0D1-2A986A70EAC2}" userId="S::sbarrett@openboxsoftware.com::2e21295b-21c9-4734-b4c8-23b29a1a1ba3" providerId="AD"/>
  <person displayName="Nikki Papenfus" id="{3D1A7787-91AE-42B4-A3B3-94B514278067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4-10-28T11:42:07.90" personId="{3D1A7787-91AE-42B4-A3B3-94B514278067}" id="{0F191F49-83E2-4738-BA09-19C454B1BB6D}">
    <text xml:space="preserve">@Shaun Barrett </text>
    <mentions>
      <mention mentionpersonId="{66D07657-01E2-434C-81D3-28ECEEC09C37}" mentionId="{CC713573-BA05-4F9B-91E4-7F66DDBB994D}" startIndex="0" length="14"/>
    </mentions>
  </threadedComment>
  <threadedComment ref="E8" dT="2024-10-28T12:13:52.13" personId="{B6504C0A-619E-4FA1-B0D1-2A986A70EAC2}" id="{60E67A5B-4ACF-4CFA-AF62-F3E7D58E3C42}" parentId="{0F191F49-83E2-4738-BA09-19C454B1BB6D}">
    <text>Ok thanks</text>
  </threadedComment>
  <threadedComment ref="A13" dT="2024-10-28T10:42:04.07" personId="{3D1A7787-91AE-42B4-A3B3-94B514278067}" id="{53D41F95-3841-4D98-9A37-45CFD0198AF2}">
    <text>Filter:
RTR record Status = ‘Completed’ 
AND Time Limited = True
AND current date &gt;= Follow Up Start Date  
Display:
Tenant
Unit
Record Owner
Flag
Follow Up Start Date
Expiry Date
Date Next RTR Due
Follow Up Status
Last Follow Up Date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99D2-5CF9-463C-BF86-3FCC96C6F644}">
  <dimension ref="A1:E34"/>
  <sheetViews>
    <sheetView zoomScale="110" zoomScaleNormal="110" workbookViewId="0">
      <selection activeCell="C1" sqref="C1"/>
    </sheetView>
  </sheetViews>
  <sheetFormatPr defaultColWidth="9.140625" defaultRowHeight="12.75" outlineLevelRow="1" x14ac:dyDescent="0.2"/>
  <cols>
    <col min="1" max="1" width="93.7109375" style="6" customWidth="1"/>
    <col min="2" max="2" width="9.140625" style="13"/>
    <col min="3" max="3" width="9.140625" style="1"/>
    <col min="4" max="4" width="16.28515625" style="1" customWidth="1"/>
    <col min="5" max="5" width="15.28515625" style="6" customWidth="1"/>
    <col min="6" max="16384" width="9.140625" style="3"/>
  </cols>
  <sheetData>
    <row r="1" spans="1:5" s="2" customFormat="1" x14ac:dyDescent="0.2">
      <c r="A1" s="9" t="s">
        <v>0</v>
      </c>
      <c r="B1" s="11" t="s">
        <v>1</v>
      </c>
      <c r="C1" s="16">
        <f>B2+B10+B14+B18+B26+B30+B33</f>
        <v>85</v>
      </c>
      <c r="D1" s="10" t="s">
        <v>35</v>
      </c>
      <c r="E1" s="9" t="s">
        <v>38</v>
      </c>
    </row>
    <row r="2" spans="1:5" s="4" customFormat="1" ht="14.25" customHeight="1" x14ac:dyDescent="0.2">
      <c r="A2" s="5" t="s">
        <v>2</v>
      </c>
      <c r="B2" s="12">
        <f>SUM(B3:B9)</f>
        <v>11</v>
      </c>
      <c r="C2" s="7">
        <f>B2/$C$1</f>
        <v>0.12941176470588237</v>
      </c>
      <c r="D2" s="8"/>
      <c r="E2" s="5"/>
    </row>
    <row r="3" spans="1:5" ht="14.25" customHeight="1" outlineLevel="1" x14ac:dyDescent="0.2">
      <c r="A3" s="6" t="s">
        <v>3</v>
      </c>
      <c r="B3" s="13">
        <v>0.5</v>
      </c>
      <c r="D3" s="6" t="s">
        <v>36</v>
      </c>
      <c r="E3" s="6" t="s">
        <v>36</v>
      </c>
    </row>
    <row r="4" spans="1:5" ht="14.25" customHeight="1" outlineLevel="1" x14ac:dyDescent="0.2">
      <c r="A4" s="6" t="s">
        <v>4</v>
      </c>
      <c r="B4" s="13">
        <v>1</v>
      </c>
      <c r="D4" s="6" t="s">
        <v>36</v>
      </c>
      <c r="E4" s="6" t="s">
        <v>36</v>
      </c>
    </row>
    <row r="5" spans="1:5" ht="14.25" customHeight="1" outlineLevel="1" x14ac:dyDescent="0.2">
      <c r="A5" s="6" t="s">
        <v>6</v>
      </c>
      <c r="B5" s="13">
        <v>2</v>
      </c>
      <c r="D5" s="6" t="s">
        <v>36</v>
      </c>
      <c r="E5" s="6" t="s">
        <v>36</v>
      </c>
    </row>
    <row r="6" spans="1:5" ht="14.25" customHeight="1" outlineLevel="1" x14ac:dyDescent="0.2">
      <c r="A6" s="6" t="s">
        <v>7</v>
      </c>
      <c r="B6" s="13">
        <v>1.5</v>
      </c>
      <c r="D6" s="6" t="s">
        <v>36</v>
      </c>
      <c r="E6" s="6" t="s">
        <v>36</v>
      </c>
    </row>
    <row r="7" spans="1:5" outlineLevel="1" x14ac:dyDescent="0.2">
      <c r="A7" s="6" t="s">
        <v>5</v>
      </c>
      <c r="B7" s="14">
        <v>0.5</v>
      </c>
      <c r="D7" s="6"/>
      <c r="E7" s="6" t="s">
        <v>40</v>
      </c>
    </row>
    <row r="8" spans="1:5" outlineLevel="1" x14ac:dyDescent="0.2">
      <c r="A8" s="6" t="s">
        <v>8</v>
      </c>
      <c r="B8" s="14">
        <v>0.5</v>
      </c>
      <c r="D8" s="6"/>
      <c r="E8" s="6" t="s">
        <v>40</v>
      </c>
    </row>
    <row r="9" spans="1:5" ht="14.25" customHeight="1" outlineLevel="1" x14ac:dyDescent="0.2">
      <c r="A9" s="6" t="s">
        <v>9</v>
      </c>
      <c r="B9" s="14">
        <v>5</v>
      </c>
      <c r="E9" s="6" t="s">
        <v>36</v>
      </c>
    </row>
    <row r="10" spans="1:5" s="4" customFormat="1" ht="14.25" customHeight="1" x14ac:dyDescent="0.2">
      <c r="A10" s="5" t="s">
        <v>10</v>
      </c>
      <c r="B10" s="12">
        <f>SUM(B11:B13)</f>
        <v>18</v>
      </c>
      <c r="C10" s="7">
        <f>B10/$C$1</f>
        <v>0.21176470588235294</v>
      </c>
      <c r="D10" s="8"/>
      <c r="E10" s="5"/>
    </row>
    <row r="11" spans="1:5" ht="14.25" customHeight="1" outlineLevel="1" x14ac:dyDescent="0.2">
      <c r="A11" s="6" t="s">
        <v>11</v>
      </c>
      <c r="B11" s="13">
        <v>8</v>
      </c>
      <c r="D11" s="1" t="s">
        <v>36</v>
      </c>
      <c r="E11" s="6" t="s">
        <v>36</v>
      </c>
    </row>
    <row r="12" spans="1:5" ht="14.25" customHeight="1" outlineLevel="1" x14ac:dyDescent="0.2">
      <c r="A12" s="6" t="s">
        <v>12</v>
      </c>
      <c r="B12" s="13">
        <v>5</v>
      </c>
      <c r="D12" s="1" t="s">
        <v>36</v>
      </c>
      <c r="E12" s="6" t="s">
        <v>36</v>
      </c>
    </row>
    <row r="13" spans="1:5" ht="14.25" customHeight="1" outlineLevel="1" x14ac:dyDescent="0.2">
      <c r="A13" s="6" t="s">
        <v>13</v>
      </c>
      <c r="B13" s="13">
        <v>5</v>
      </c>
      <c r="D13" s="1" t="s">
        <v>36</v>
      </c>
      <c r="E13" s="6" t="s">
        <v>40</v>
      </c>
    </row>
    <row r="14" spans="1:5" s="4" customFormat="1" ht="14.25" customHeight="1" x14ac:dyDescent="0.2">
      <c r="A14" s="5" t="s">
        <v>14</v>
      </c>
      <c r="B14" s="12">
        <f>SUM(B15:B17)</f>
        <v>6</v>
      </c>
      <c r="C14" s="7">
        <f>B14/$C$1</f>
        <v>7.0588235294117646E-2</v>
      </c>
      <c r="D14" s="8"/>
      <c r="E14" s="5"/>
    </row>
    <row r="15" spans="1:5" ht="14.25" customHeight="1" outlineLevel="1" x14ac:dyDescent="0.2">
      <c r="A15" s="6" t="s">
        <v>15</v>
      </c>
      <c r="B15" s="13">
        <v>2</v>
      </c>
      <c r="D15" s="1" t="s">
        <v>36</v>
      </c>
      <c r="E15" s="6" t="s">
        <v>36</v>
      </c>
    </row>
    <row r="16" spans="1:5" ht="14.25" customHeight="1" outlineLevel="1" x14ac:dyDescent="0.2">
      <c r="A16" s="6" t="s">
        <v>16</v>
      </c>
      <c r="B16" s="13">
        <v>2</v>
      </c>
      <c r="D16" s="1" t="s">
        <v>36</v>
      </c>
      <c r="E16" s="6" t="s">
        <v>36</v>
      </c>
    </row>
    <row r="17" spans="1:5" ht="14.25" customHeight="1" outlineLevel="1" x14ac:dyDescent="0.2">
      <c r="A17" s="6" t="s">
        <v>17</v>
      </c>
      <c r="B17" s="13">
        <v>2</v>
      </c>
      <c r="D17" s="1" t="s">
        <v>36</v>
      </c>
      <c r="E17" s="6" t="s">
        <v>36</v>
      </c>
    </row>
    <row r="18" spans="1:5" s="4" customFormat="1" ht="14.25" customHeight="1" x14ac:dyDescent="0.2">
      <c r="A18" s="5" t="s">
        <v>18</v>
      </c>
      <c r="B18" s="12">
        <f>SUM(B19:B25)</f>
        <v>23</v>
      </c>
      <c r="C18" s="7">
        <f>B18/$C$1</f>
        <v>0.27058823529411763</v>
      </c>
      <c r="D18" s="8"/>
      <c r="E18" s="5"/>
    </row>
    <row r="19" spans="1:5" ht="14.25" customHeight="1" outlineLevel="1" x14ac:dyDescent="0.2">
      <c r="A19" s="6" t="s">
        <v>19</v>
      </c>
      <c r="B19" s="15">
        <v>8</v>
      </c>
      <c r="D19" s="1" t="s">
        <v>36</v>
      </c>
      <c r="E19" s="6" t="s">
        <v>40</v>
      </c>
    </row>
    <row r="20" spans="1:5" ht="14.25" customHeight="1" outlineLevel="1" x14ac:dyDescent="0.2">
      <c r="A20" s="6" t="s">
        <v>20</v>
      </c>
      <c r="B20" s="15">
        <v>2.5</v>
      </c>
      <c r="D20" s="1" t="s">
        <v>36</v>
      </c>
      <c r="E20" s="6" t="s">
        <v>40</v>
      </c>
    </row>
    <row r="21" spans="1:5" ht="14.25" customHeight="1" outlineLevel="1" x14ac:dyDescent="0.2">
      <c r="A21" s="6" t="s">
        <v>21</v>
      </c>
      <c r="B21" s="15">
        <v>3</v>
      </c>
      <c r="D21" s="1" t="s">
        <v>36</v>
      </c>
      <c r="E21" s="6" t="s">
        <v>36</v>
      </c>
    </row>
    <row r="22" spans="1:5" ht="14.25" customHeight="1" outlineLevel="1" x14ac:dyDescent="0.2">
      <c r="A22" s="6" t="s">
        <v>22</v>
      </c>
      <c r="B22" s="15">
        <v>0.5</v>
      </c>
      <c r="D22" s="1" t="s">
        <v>36</v>
      </c>
      <c r="E22" s="6" t="s">
        <v>40</v>
      </c>
    </row>
    <row r="23" spans="1:5" ht="14.25" customHeight="1" outlineLevel="1" x14ac:dyDescent="0.2">
      <c r="A23" s="6" t="s">
        <v>23</v>
      </c>
      <c r="B23" s="15">
        <v>8</v>
      </c>
      <c r="D23" s="1" t="s">
        <v>36</v>
      </c>
      <c r="E23" s="6" t="s">
        <v>40</v>
      </c>
    </row>
    <row r="24" spans="1:5" ht="14.25" customHeight="1" outlineLevel="1" x14ac:dyDescent="0.2">
      <c r="A24" s="6" t="s">
        <v>24</v>
      </c>
      <c r="B24" s="15">
        <v>0.5</v>
      </c>
      <c r="D24" s="1" t="s">
        <v>36</v>
      </c>
      <c r="E24" s="6" t="s">
        <v>40</v>
      </c>
    </row>
    <row r="25" spans="1:5" ht="14.25" customHeight="1" outlineLevel="1" x14ac:dyDescent="0.2">
      <c r="A25" s="6" t="s">
        <v>25</v>
      </c>
      <c r="B25" s="15">
        <v>0.5</v>
      </c>
      <c r="D25" s="1" t="s">
        <v>36</v>
      </c>
      <c r="E25" s="6" t="s">
        <v>40</v>
      </c>
    </row>
    <row r="26" spans="1:5" s="4" customFormat="1" ht="14.25" customHeight="1" x14ac:dyDescent="0.2">
      <c r="A26" s="5" t="s">
        <v>26</v>
      </c>
      <c r="B26" s="12">
        <f>SUM(B27:B29)</f>
        <v>13</v>
      </c>
      <c r="C26" s="7">
        <f>B26/$C$1</f>
        <v>0.15294117647058825</v>
      </c>
      <c r="D26" s="8"/>
      <c r="E26" s="5"/>
    </row>
    <row r="27" spans="1:5" ht="14.25" customHeight="1" outlineLevel="1" x14ac:dyDescent="0.2">
      <c r="A27" s="6" t="s">
        <v>27</v>
      </c>
      <c r="B27" s="13">
        <v>3</v>
      </c>
      <c r="E27" s="6" t="s">
        <v>40</v>
      </c>
    </row>
    <row r="28" spans="1:5" ht="14.25" customHeight="1" outlineLevel="1" x14ac:dyDescent="0.2">
      <c r="A28" s="6" t="s">
        <v>29</v>
      </c>
      <c r="B28" s="13">
        <v>2</v>
      </c>
      <c r="D28" s="1" t="s">
        <v>36</v>
      </c>
      <c r="E28" s="6" t="s">
        <v>40</v>
      </c>
    </row>
    <row r="29" spans="1:5" ht="14.25" customHeight="1" outlineLevel="1" x14ac:dyDescent="0.2">
      <c r="A29" s="6" t="s">
        <v>30</v>
      </c>
      <c r="B29" s="13">
        <v>8</v>
      </c>
      <c r="D29" s="1" t="s">
        <v>36</v>
      </c>
      <c r="E29" s="6" t="s">
        <v>40</v>
      </c>
    </row>
    <row r="30" spans="1:5" s="4" customFormat="1" ht="14.25" customHeight="1" x14ac:dyDescent="0.2">
      <c r="A30" s="5" t="s">
        <v>31</v>
      </c>
      <c r="B30" s="12">
        <f>SUM(B31:B32)</f>
        <v>11</v>
      </c>
      <c r="C30" s="7">
        <f>B30/$C$1</f>
        <v>0.12941176470588237</v>
      </c>
      <c r="D30" s="8"/>
      <c r="E30" s="5"/>
    </row>
    <row r="31" spans="1:5" ht="14.25" customHeight="1" outlineLevel="1" x14ac:dyDescent="0.2">
      <c r="A31" s="6" t="s">
        <v>32</v>
      </c>
      <c r="B31" s="13">
        <v>8</v>
      </c>
      <c r="D31" s="1" t="s">
        <v>42</v>
      </c>
      <c r="E31" s="6" t="s">
        <v>40</v>
      </c>
    </row>
    <row r="32" spans="1:5" ht="14.25" customHeight="1" outlineLevel="1" x14ac:dyDescent="0.2">
      <c r="A32" s="6" t="s">
        <v>28</v>
      </c>
      <c r="B32" s="13">
        <v>3</v>
      </c>
      <c r="D32" s="1" t="s">
        <v>36</v>
      </c>
      <c r="E32" s="6" t="s">
        <v>40</v>
      </c>
    </row>
    <row r="33" spans="1:5" s="4" customFormat="1" ht="14.25" customHeight="1" x14ac:dyDescent="0.2">
      <c r="A33" s="5" t="s">
        <v>33</v>
      </c>
      <c r="B33" s="12">
        <f>SUM(B34)</f>
        <v>3</v>
      </c>
      <c r="C33" s="7">
        <f>B33/$C$1</f>
        <v>3.5294117647058823E-2</v>
      </c>
      <c r="D33" s="8"/>
      <c r="E33" s="5"/>
    </row>
    <row r="34" spans="1:5" ht="14.25" customHeight="1" outlineLevel="1" x14ac:dyDescent="0.2">
      <c r="A34" s="6" t="s">
        <v>34</v>
      </c>
      <c r="B34" s="13">
        <v>3</v>
      </c>
      <c r="E34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87AA-FD9A-401C-B383-86E6A3E64003}">
  <sheetPr>
    <tabColor theme="9"/>
  </sheetPr>
  <dimension ref="A1:F41"/>
  <sheetViews>
    <sheetView zoomScale="110" zoomScaleNormal="110" workbookViewId="0">
      <pane ySplit="1" topLeftCell="A2" activePane="bottomLeft" state="frozen"/>
      <selection pane="bottomLeft" activeCell="A8" sqref="A8"/>
    </sheetView>
  </sheetViews>
  <sheetFormatPr defaultColWidth="9.140625" defaultRowHeight="12" customHeight="1" outlineLevelRow="1" x14ac:dyDescent="0.15"/>
  <cols>
    <col min="1" max="1" width="93.7109375" style="18" customWidth="1"/>
    <col min="2" max="2" width="13.85546875" style="19" customWidth="1"/>
    <col min="3" max="3" width="11.28515625" style="37" customWidth="1"/>
    <col min="4" max="4" width="11.28515625" style="30" customWidth="1"/>
    <col min="5" max="5" width="11.28515625" style="18" customWidth="1"/>
    <col min="6" max="16384" width="9.140625" style="1"/>
  </cols>
  <sheetData>
    <row r="1" spans="1:6" s="10" customFormat="1" ht="12" customHeight="1" x14ac:dyDescent="0.15">
      <c r="A1" s="20"/>
      <c r="B1" s="17" t="s">
        <v>75</v>
      </c>
      <c r="C1" s="33">
        <f>B2+B20+B29+B35</f>
        <v>75.5</v>
      </c>
      <c r="D1" s="21" t="s">
        <v>35</v>
      </c>
      <c r="E1" s="20" t="s">
        <v>46</v>
      </c>
    </row>
    <row r="2" spans="1:6" s="10" customFormat="1" ht="12" customHeight="1" x14ac:dyDescent="0.15">
      <c r="A2" s="20" t="s">
        <v>39</v>
      </c>
      <c r="B2" s="17">
        <f>B3+B9+B13+B17</f>
        <v>36.5</v>
      </c>
      <c r="C2" s="34">
        <f>B2/$C$1</f>
        <v>0.48344370860927155</v>
      </c>
      <c r="D2" s="21"/>
      <c r="E2" s="20"/>
    </row>
    <row r="3" spans="1:6" s="8" customFormat="1" ht="12" customHeight="1" outlineLevel="1" x14ac:dyDescent="0.15">
      <c r="A3" s="28" t="s">
        <v>47</v>
      </c>
      <c r="B3" s="26">
        <f>SUM(B4:B8)</f>
        <v>5.5</v>
      </c>
      <c r="C3" s="35">
        <f>B3/$C$1</f>
        <v>7.2847682119205295E-2</v>
      </c>
      <c r="D3" s="23"/>
      <c r="E3" s="31"/>
    </row>
    <row r="4" spans="1:6" ht="12" customHeight="1" outlineLevel="1" x14ac:dyDescent="0.15">
      <c r="A4" s="39" t="s">
        <v>70</v>
      </c>
      <c r="B4" s="27">
        <v>0.5</v>
      </c>
      <c r="C4" s="36"/>
      <c r="D4" s="24" t="s">
        <v>36</v>
      </c>
      <c r="E4" s="24" t="s">
        <v>36</v>
      </c>
    </row>
    <row r="5" spans="1:6" ht="12" customHeight="1" outlineLevel="1" x14ac:dyDescent="0.15">
      <c r="A5" s="39" t="s">
        <v>71</v>
      </c>
      <c r="B5" s="27">
        <v>1</v>
      </c>
      <c r="C5" s="36"/>
      <c r="D5" s="24" t="s">
        <v>36</v>
      </c>
      <c r="E5" s="24" t="s">
        <v>36</v>
      </c>
    </row>
    <row r="6" spans="1:6" ht="12" customHeight="1" outlineLevel="1" x14ac:dyDescent="0.15">
      <c r="A6" s="39" t="s">
        <v>72</v>
      </c>
      <c r="B6" s="27">
        <v>2</v>
      </c>
      <c r="C6" s="36"/>
      <c r="D6" s="24" t="s">
        <v>36</v>
      </c>
      <c r="E6" s="24" t="s">
        <v>36</v>
      </c>
    </row>
    <row r="7" spans="1:6" ht="12" customHeight="1" outlineLevel="1" x14ac:dyDescent="0.15">
      <c r="A7" s="39" t="s">
        <v>73</v>
      </c>
      <c r="B7" s="27">
        <v>1.5</v>
      </c>
      <c r="C7" s="36"/>
      <c r="D7" s="24" t="s">
        <v>36</v>
      </c>
      <c r="E7" s="24" t="s">
        <v>36</v>
      </c>
    </row>
    <row r="8" spans="1:6" ht="12" customHeight="1" outlineLevel="1" x14ac:dyDescent="0.15">
      <c r="A8" s="39" t="s">
        <v>74</v>
      </c>
      <c r="B8" s="27">
        <v>0.5</v>
      </c>
      <c r="C8" s="36"/>
      <c r="D8" s="24" t="s">
        <v>36</v>
      </c>
      <c r="E8" s="24" t="s">
        <v>36</v>
      </c>
    </row>
    <row r="9" spans="1:6" s="8" customFormat="1" ht="12" customHeight="1" outlineLevel="1" x14ac:dyDescent="0.15">
      <c r="A9" s="28" t="s">
        <v>10</v>
      </c>
      <c r="B9" s="26">
        <f>SUM(B10:B12)</f>
        <v>18</v>
      </c>
      <c r="C9" s="35">
        <f>B9/$C$1</f>
        <v>0.23841059602649006</v>
      </c>
      <c r="D9" s="23"/>
      <c r="E9" s="31"/>
    </row>
    <row r="10" spans="1:6" ht="12" customHeight="1" outlineLevel="1" x14ac:dyDescent="0.15">
      <c r="A10" s="29" t="s">
        <v>67</v>
      </c>
      <c r="B10" s="27">
        <v>8</v>
      </c>
      <c r="C10" s="36"/>
      <c r="D10" s="25" t="s">
        <v>36</v>
      </c>
      <c r="E10" s="24" t="s">
        <v>36</v>
      </c>
    </row>
    <row r="11" spans="1:6" ht="12" customHeight="1" outlineLevel="1" x14ac:dyDescent="0.15">
      <c r="A11" s="29" t="s">
        <v>68</v>
      </c>
      <c r="B11" s="27">
        <v>5</v>
      </c>
      <c r="C11" s="36"/>
      <c r="D11" s="25" t="s">
        <v>36</v>
      </c>
      <c r="E11" s="24" t="s">
        <v>36</v>
      </c>
      <c r="F11" s="38"/>
    </row>
    <row r="12" spans="1:6" ht="12" customHeight="1" outlineLevel="1" x14ac:dyDescent="0.15">
      <c r="A12" s="39" t="s">
        <v>69</v>
      </c>
      <c r="B12" s="27">
        <v>5</v>
      </c>
      <c r="C12" s="36"/>
      <c r="D12" s="25" t="s">
        <v>36</v>
      </c>
      <c r="E12" s="24" t="s">
        <v>40</v>
      </c>
    </row>
    <row r="13" spans="1:6" s="8" customFormat="1" ht="12" customHeight="1" outlineLevel="1" x14ac:dyDescent="0.15">
      <c r="A13" s="28" t="s">
        <v>14</v>
      </c>
      <c r="B13" s="26">
        <f>SUM(B14:B16)</f>
        <v>6</v>
      </c>
      <c r="C13" s="35">
        <f>B13/$C$1</f>
        <v>7.9470198675496692E-2</v>
      </c>
      <c r="D13" s="23"/>
      <c r="E13" s="31"/>
    </row>
    <row r="14" spans="1:6" ht="12" customHeight="1" outlineLevel="1" x14ac:dyDescent="0.15">
      <c r="A14" s="39" t="s">
        <v>64</v>
      </c>
      <c r="B14" s="27">
        <v>2</v>
      </c>
      <c r="C14" s="36"/>
      <c r="D14" s="25" t="s">
        <v>36</v>
      </c>
      <c r="E14" s="24" t="s">
        <v>36</v>
      </c>
    </row>
    <row r="15" spans="1:6" ht="12" customHeight="1" outlineLevel="1" x14ac:dyDescent="0.15">
      <c r="A15" s="39" t="s">
        <v>65</v>
      </c>
      <c r="B15" s="27">
        <v>2</v>
      </c>
      <c r="C15" s="36"/>
      <c r="D15" s="25" t="s">
        <v>36</v>
      </c>
      <c r="E15" s="24" t="s">
        <v>36</v>
      </c>
    </row>
    <row r="16" spans="1:6" ht="12" customHeight="1" outlineLevel="1" x14ac:dyDescent="0.15">
      <c r="A16" s="29" t="s">
        <v>66</v>
      </c>
      <c r="B16" s="27">
        <v>2</v>
      </c>
      <c r="C16" s="36"/>
      <c r="D16" s="25" t="s">
        <v>36</v>
      </c>
      <c r="E16" s="24" t="s">
        <v>36</v>
      </c>
    </row>
    <row r="17" spans="1:5" s="8" customFormat="1" ht="12" customHeight="1" outlineLevel="1" x14ac:dyDescent="0.15">
      <c r="A17" s="28" t="s">
        <v>26</v>
      </c>
      <c r="B17" s="26">
        <f>SUM(B18:B19)</f>
        <v>7</v>
      </c>
      <c r="C17" s="35">
        <f>B17/$C$1</f>
        <v>9.2715231788079472E-2</v>
      </c>
      <c r="D17" s="23"/>
      <c r="E17" s="31"/>
    </row>
    <row r="18" spans="1:5" ht="12" customHeight="1" outlineLevel="1" x14ac:dyDescent="0.15">
      <c r="A18" s="39" t="s">
        <v>61</v>
      </c>
      <c r="B18" s="27">
        <v>2</v>
      </c>
      <c r="C18" s="36"/>
      <c r="D18" s="25" t="s">
        <v>36</v>
      </c>
      <c r="E18" s="24" t="s">
        <v>40</v>
      </c>
    </row>
    <row r="19" spans="1:5" ht="12" customHeight="1" outlineLevel="1" x14ac:dyDescent="0.15">
      <c r="A19" s="39" t="s">
        <v>62</v>
      </c>
      <c r="B19" s="22">
        <v>5</v>
      </c>
      <c r="C19" s="36"/>
      <c r="D19" s="25" t="s">
        <v>36</v>
      </c>
      <c r="E19" s="24" t="s">
        <v>40</v>
      </c>
    </row>
    <row r="20" spans="1:5" s="10" customFormat="1" ht="12" customHeight="1" x14ac:dyDescent="0.15">
      <c r="A20" s="20" t="s">
        <v>41</v>
      </c>
      <c r="B20" s="17">
        <f>B21+B25</f>
        <v>17</v>
      </c>
      <c r="C20" s="34">
        <f>B20/$C$1</f>
        <v>0.2251655629139073</v>
      </c>
      <c r="D20" s="21"/>
      <c r="E20" s="20"/>
    </row>
    <row r="21" spans="1:5" s="8" customFormat="1" ht="12" customHeight="1" outlineLevel="1" x14ac:dyDescent="0.15">
      <c r="A21" s="28" t="s">
        <v>43</v>
      </c>
      <c r="B21" s="26">
        <f>SUM(B22:B24)</f>
        <v>11</v>
      </c>
      <c r="C21" s="35">
        <f>B21/$C$1</f>
        <v>0.14569536423841059</v>
      </c>
      <c r="D21" s="23"/>
      <c r="E21" s="31"/>
    </row>
    <row r="22" spans="1:5" ht="12" customHeight="1" outlineLevel="1" x14ac:dyDescent="0.15">
      <c r="A22" s="29" t="s">
        <v>58</v>
      </c>
      <c r="B22" s="32">
        <v>7.5</v>
      </c>
      <c r="C22" s="36"/>
      <c r="D22" s="25" t="s">
        <v>36</v>
      </c>
      <c r="E22" s="24" t="s">
        <v>40</v>
      </c>
    </row>
    <row r="23" spans="1:5" ht="12" customHeight="1" outlineLevel="1" x14ac:dyDescent="0.15">
      <c r="A23" s="29" t="s">
        <v>59</v>
      </c>
      <c r="B23" s="32">
        <v>3</v>
      </c>
      <c r="C23" s="36"/>
      <c r="D23" s="25" t="s">
        <v>36</v>
      </c>
      <c r="E23" s="24" t="s">
        <v>36</v>
      </c>
    </row>
    <row r="24" spans="1:5" ht="12" customHeight="1" outlineLevel="1" x14ac:dyDescent="0.15">
      <c r="A24" s="29" t="s">
        <v>60</v>
      </c>
      <c r="B24" s="32">
        <v>0.5</v>
      </c>
      <c r="C24" s="36"/>
      <c r="D24" s="25" t="s">
        <v>36</v>
      </c>
      <c r="E24" s="24" t="s">
        <v>40</v>
      </c>
    </row>
    <row r="25" spans="1:5" s="8" customFormat="1" ht="12" customHeight="1" outlineLevel="1" x14ac:dyDescent="0.15">
      <c r="A25" s="28" t="s">
        <v>44</v>
      </c>
      <c r="B25" s="26">
        <f>SUM(B26:B28)</f>
        <v>6</v>
      </c>
      <c r="C25" s="35">
        <f>B25/$C$1</f>
        <v>7.9470198675496692E-2</v>
      </c>
      <c r="D25" s="23"/>
      <c r="E25" s="31"/>
    </row>
    <row r="26" spans="1:5" ht="12" customHeight="1" outlineLevel="1" x14ac:dyDescent="0.15">
      <c r="A26" s="29" t="s">
        <v>55</v>
      </c>
      <c r="B26" s="32">
        <v>5</v>
      </c>
      <c r="C26" s="36"/>
      <c r="D26" s="25" t="s">
        <v>36</v>
      </c>
      <c r="E26" s="24" t="s">
        <v>40</v>
      </c>
    </row>
    <row r="27" spans="1:5" ht="12" customHeight="1" outlineLevel="1" x14ac:dyDescent="0.15">
      <c r="A27" s="29" t="s">
        <v>56</v>
      </c>
      <c r="B27" s="32">
        <v>0.5</v>
      </c>
      <c r="C27" s="36"/>
      <c r="D27" s="25" t="s">
        <v>36</v>
      </c>
      <c r="E27" s="24" t="s">
        <v>40</v>
      </c>
    </row>
    <row r="28" spans="1:5" ht="12" customHeight="1" outlineLevel="1" x14ac:dyDescent="0.15">
      <c r="A28" s="29" t="s">
        <v>57</v>
      </c>
      <c r="B28" s="32">
        <v>0.5</v>
      </c>
      <c r="C28" s="36"/>
      <c r="D28" s="25" t="s">
        <v>36</v>
      </c>
      <c r="E28" s="24" t="s">
        <v>40</v>
      </c>
    </row>
    <row r="29" spans="1:5" s="10" customFormat="1" ht="12" customHeight="1" x14ac:dyDescent="0.15">
      <c r="A29" s="20" t="s">
        <v>45</v>
      </c>
      <c r="B29" s="17">
        <f>B30+B33</f>
        <v>14</v>
      </c>
      <c r="C29" s="34">
        <f>B29/$C$1</f>
        <v>0.18543046357615894</v>
      </c>
      <c r="D29" s="21"/>
      <c r="E29" s="20"/>
    </row>
    <row r="30" spans="1:5" s="8" customFormat="1" ht="12" customHeight="1" outlineLevel="1" x14ac:dyDescent="0.15">
      <c r="A30" s="28" t="s">
        <v>48</v>
      </c>
      <c r="B30" s="26">
        <f>SUM(B31:B32)</f>
        <v>11</v>
      </c>
      <c r="C30" s="35">
        <f>B30/$C$1</f>
        <v>0.14569536423841059</v>
      </c>
      <c r="D30" s="23"/>
      <c r="E30" s="31"/>
    </row>
    <row r="31" spans="1:5" ht="12" customHeight="1" outlineLevel="1" x14ac:dyDescent="0.15">
      <c r="A31" s="29" t="s">
        <v>53</v>
      </c>
      <c r="B31" s="27">
        <v>8</v>
      </c>
      <c r="C31" s="36"/>
      <c r="D31" s="25" t="s">
        <v>36</v>
      </c>
      <c r="E31" s="24" t="s">
        <v>40</v>
      </c>
    </row>
    <row r="32" spans="1:5" ht="12" customHeight="1" outlineLevel="1" x14ac:dyDescent="0.15">
      <c r="A32" s="29" t="s">
        <v>54</v>
      </c>
      <c r="B32" s="27">
        <v>3</v>
      </c>
      <c r="C32" s="36"/>
      <c r="D32" s="25" t="s">
        <v>36</v>
      </c>
      <c r="E32" s="24" t="s">
        <v>40</v>
      </c>
    </row>
    <row r="33" spans="1:5" s="8" customFormat="1" ht="12" customHeight="1" outlineLevel="1" x14ac:dyDescent="0.15">
      <c r="A33" s="28" t="s">
        <v>26</v>
      </c>
      <c r="B33" s="26">
        <f>SUM(B34:B34)</f>
        <v>3</v>
      </c>
      <c r="C33" s="35">
        <f>B33/$C$1</f>
        <v>3.9735099337748346E-2</v>
      </c>
      <c r="D33" s="23"/>
      <c r="E33" s="31"/>
    </row>
    <row r="34" spans="1:5" ht="12" customHeight="1" outlineLevel="1" x14ac:dyDescent="0.15">
      <c r="A34" s="39" t="s">
        <v>52</v>
      </c>
      <c r="B34" s="27">
        <v>3</v>
      </c>
      <c r="C34" s="36"/>
      <c r="D34" s="25"/>
      <c r="E34" s="24" t="s">
        <v>40</v>
      </c>
    </row>
    <row r="35" spans="1:5" s="10" customFormat="1" ht="12" customHeight="1" x14ac:dyDescent="0.15">
      <c r="A35" s="20" t="s">
        <v>37</v>
      </c>
      <c r="B35" s="17">
        <f>B36+B38</f>
        <v>8</v>
      </c>
      <c r="C35" s="34">
        <f>B35/$C$1</f>
        <v>0.10596026490066225</v>
      </c>
      <c r="D35" s="21"/>
      <c r="E35" s="20"/>
    </row>
    <row r="36" spans="1:5" s="8" customFormat="1" ht="12" customHeight="1" outlineLevel="1" x14ac:dyDescent="0.15">
      <c r="A36" s="28" t="s">
        <v>33</v>
      </c>
      <c r="B36" s="26">
        <f>SUM(B37)</f>
        <v>2.5</v>
      </c>
      <c r="C36" s="35">
        <f>B36/$C$1</f>
        <v>3.3112582781456956E-2</v>
      </c>
      <c r="D36" s="23"/>
      <c r="E36" s="31"/>
    </row>
    <row r="37" spans="1:5" ht="12" customHeight="1" outlineLevel="1" x14ac:dyDescent="0.15">
      <c r="A37" s="29" t="s">
        <v>49</v>
      </c>
      <c r="B37" s="27">
        <v>2.5</v>
      </c>
      <c r="C37" s="36"/>
      <c r="D37" s="25"/>
      <c r="E37" s="24" t="s">
        <v>40</v>
      </c>
    </row>
    <row r="38" spans="1:5" s="8" customFormat="1" ht="12" customHeight="1" outlineLevel="1" x14ac:dyDescent="0.15">
      <c r="A38" s="28" t="s">
        <v>63</v>
      </c>
      <c r="B38" s="26">
        <f>SUM(B39:B76)</f>
        <v>5.5</v>
      </c>
      <c r="C38" s="35">
        <f>B38/$C$1</f>
        <v>7.2847682119205295E-2</v>
      </c>
      <c r="D38" s="23"/>
      <c r="E38" s="31"/>
    </row>
    <row r="39" spans="1:5" ht="12" customHeight="1" outlineLevel="1" x14ac:dyDescent="0.15">
      <c r="A39" s="29" t="s">
        <v>50</v>
      </c>
      <c r="B39" s="22">
        <v>0.5</v>
      </c>
      <c r="C39" s="36"/>
      <c r="D39" s="24"/>
      <c r="E39" s="24" t="s">
        <v>40</v>
      </c>
    </row>
    <row r="40" spans="1:5" ht="12" customHeight="1" outlineLevel="1" x14ac:dyDescent="0.15">
      <c r="A40" s="29" t="s">
        <v>51</v>
      </c>
      <c r="B40" s="22">
        <v>5</v>
      </c>
      <c r="C40" s="36"/>
      <c r="D40" s="25"/>
      <c r="E40" s="24" t="s">
        <v>36</v>
      </c>
    </row>
    <row r="41" spans="1:5" ht="12" customHeight="1" x14ac:dyDescent="0.15">
      <c r="A41" s="24"/>
      <c r="B41" s="27"/>
      <c r="C41" s="36"/>
      <c r="D41" s="25"/>
      <c r="E4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6B2D-64BF-4AD6-8987-8A567E4D24AF}">
  <sheetPr>
    <tabColor theme="8"/>
  </sheetPr>
  <dimension ref="A1:E46"/>
  <sheetViews>
    <sheetView tabSelected="1" zoomScale="110" zoomScaleNormal="110" workbookViewId="0">
      <pane ySplit="1" topLeftCell="A2" activePane="bottomLeft" state="frozen"/>
      <selection pane="bottomLeft" activeCell="H32" sqref="H32"/>
    </sheetView>
  </sheetViews>
  <sheetFormatPr defaultColWidth="9.140625" defaultRowHeight="11.25" outlineLevelRow="1" x14ac:dyDescent="0.15"/>
  <cols>
    <col min="1" max="1" width="99.42578125" style="18" customWidth="1"/>
    <col min="2" max="2" width="12.42578125" style="19" customWidth="1"/>
    <col min="3" max="3" width="77.85546875" style="1" customWidth="1"/>
    <col min="4" max="5" width="0" style="1" hidden="1" customWidth="1"/>
    <col min="6" max="16384" width="9.140625" style="1"/>
  </cols>
  <sheetData>
    <row r="1" spans="1:5" s="10" customFormat="1" x14ac:dyDescent="0.15">
      <c r="A1" s="20"/>
      <c r="B1" s="17" t="s">
        <v>75</v>
      </c>
    </row>
    <row r="2" spans="1:5" s="10" customFormat="1" x14ac:dyDescent="0.15">
      <c r="A2" s="20" t="s">
        <v>39</v>
      </c>
      <c r="B2" s="17">
        <f>B3+B9+B14+B18</f>
        <v>38.5</v>
      </c>
      <c r="C2" s="10" t="s">
        <v>79</v>
      </c>
    </row>
    <row r="3" spans="1:5" s="8" customFormat="1" outlineLevel="1" x14ac:dyDescent="0.15">
      <c r="A3" s="28" t="s">
        <v>47</v>
      </c>
      <c r="B3" s="26">
        <f>SUM(B4:B8)</f>
        <v>7.5</v>
      </c>
    </row>
    <row r="4" spans="1:5" outlineLevel="1" x14ac:dyDescent="0.15">
      <c r="A4" s="29" t="s">
        <v>70</v>
      </c>
      <c r="B4" s="27">
        <v>0.5</v>
      </c>
      <c r="C4" s="41" t="s">
        <v>76</v>
      </c>
    </row>
    <row r="5" spans="1:5" outlineLevel="1" x14ac:dyDescent="0.15">
      <c r="A5" s="29" t="s">
        <v>71</v>
      </c>
      <c r="B5" s="27">
        <v>1</v>
      </c>
      <c r="C5" s="41"/>
    </row>
    <row r="6" spans="1:5" outlineLevel="1" x14ac:dyDescent="0.15">
      <c r="A6" s="29" t="s">
        <v>72</v>
      </c>
      <c r="B6" s="27">
        <v>2</v>
      </c>
      <c r="C6" s="41"/>
    </row>
    <row r="7" spans="1:5" outlineLevel="1" x14ac:dyDescent="0.15">
      <c r="A7" s="29" t="s">
        <v>73</v>
      </c>
      <c r="B7" s="27">
        <v>2</v>
      </c>
      <c r="C7" s="41" t="s">
        <v>80</v>
      </c>
    </row>
    <row r="8" spans="1:5" outlineLevel="1" x14ac:dyDescent="0.15">
      <c r="A8" s="29" t="s">
        <v>74</v>
      </c>
      <c r="B8" s="27">
        <v>2</v>
      </c>
      <c r="C8" s="41" t="s">
        <v>81</v>
      </c>
      <c r="D8" s="1" t="s">
        <v>85</v>
      </c>
      <c r="E8" s="1" t="s">
        <v>86</v>
      </c>
    </row>
    <row r="9" spans="1:5" s="8" customFormat="1" outlineLevel="1" x14ac:dyDescent="0.15">
      <c r="A9" s="28" t="s">
        <v>10</v>
      </c>
      <c r="B9" s="26">
        <f>SUM(B10:B13)</f>
        <v>13</v>
      </c>
      <c r="C9" s="42"/>
    </row>
    <row r="10" spans="1:5" ht="21" outlineLevel="1" x14ac:dyDescent="0.15">
      <c r="A10" s="43" t="s">
        <v>92</v>
      </c>
      <c r="B10" s="22">
        <v>2</v>
      </c>
      <c r="C10" s="45" t="s">
        <v>91</v>
      </c>
    </row>
    <row r="11" spans="1:5" s="44" customFormat="1" ht="21" outlineLevel="1" x14ac:dyDescent="0.15">
      <c r="A11" s="43" t="s">
        <v>68</v>
      </c>
      <c r="B11" s="22">
        <v>5</v>
      </c>
      <c r="C11" s="45" t="s">
        <v>94</v>
      </c>
    </row>
    <row r="12" spans="1:5" outlineLevel="1" x14ac:dyDescent="0.15">
      <c r="A12" s="29" t="s">
        <v>69</v>
      </c>
      <c r="B12" s="27">
        <v>5</v>
      </c>
      <c r="C12" s="41" t="s">
        <v>77</v>
      </c>
    </row>
    <row r="13" spans="1:5" ht="21" outlineLevel="1" x14ac:dyDescent="0.15">
      <c r="A13" s="29" t="s">
        <v>90</v>
      </c>
      <c r="B13" s="27">
        <v>1</v>
      </c>
      <c r="C13" s="25" t="s">
        <v>78</v>
      </c>
    </row>
    <row r="14" spans="1:5" s="8" customFormat="1" outlineLevel="1" x14ac:dyDescent="0.15">
      <c r="A14" s="28" t="s">
        <v>14</v>
      </c>
      <c r="B14" s="26">
        <f>SUM(B15:B17)</f>
        <v>6.5</v>
      </c>
      <c r="C14" s="42"/>
    </row>
    <row r="15" spans="1:5" outlineLevel="1" x14ac:dyDescent="0.15">
      <c r="A15" s="29" t="s">
        <v>64</v>
      </c>
      <c r="B15" s="27">
        <v>2</v>
      </c>
      <c r="C15" s="41"/>
    </row>
    <row r="16" spans="1:5" outlineLevel="1" x14ac:dyDescent="0.15">
      <c r="A16" s="29" t="s">
        <v>65</v>
      </c>
      <c r="B16" s="27">
        <v>2.5</v>
      </c>
      <c r="C16" s="41" t="s">
        <v>83</v>
      </c>
    </row>
    <row r="17" spans="1:3" outlineLevel="1" x14ac:dyDescent="0.15">
      <c r="A17" s="40" t="s">
        <v>66</v>
      </c>
      <c r="B17" s="27">
        <v>2</v>
      </c>
      <c r="C17" s="41"/>
    </row>
    <row r="18" spans="1:3" s="8" customFormat="1" outlineLevel="1" x14ac:dyDescent="0.15">
      <c r="A18" s="28" t="s">
        <v>26</v>
      </c>
      <c r="B18" s="26">
        <f>SUM(B19:B22)</f>
        <v>11.5</v>
      </c>
      <c r="C18" s="42"/>
    </row>
    <row r="19" spans="1:3" outlineLevel="1" x14ac:dyDescent="0.15">
      <c r="A19" s="29" t="s">
        <v>62</v>
      </c>
      <c r="B19" s="22">
        <v>5</v>
      </c>
      <c r="C19" s="41"/>
    </row>
    <row r="20" spans="1:3" outlineLevel="1" x14ac:dyDescent="0.15">
      <c r="A20" s="29" t="s">
        <v>52</v>
      </c>
      <c r="B20" s="27">
        <v>2</v>
      </c>
      <c r="C20" s="25" t="s">
        <v>82</v>
      </c>
    </row>
    <row r="21" spans="1:3" outlineLevel="1" x14ac:dyDescent="0.15">
      <c r="A21" s="29" t="s">
        <v>89</v>
      </c>
      <c r="B21" s="22">
        <v>2.5</v>
      </c>
      <c r="C21" s="25" t="s">
        <v>88</v>
      </c>
    </row>
    <row r="22" spans="1:3" outlineLevel="1" x14ac:dyDescent="0.15">
      <c r="A22" s="29" t="s">
        <v>84</v>
      </c>
      <c r="B22" s="22">
        <v>2</v>
      </c>
      <c r="C22" s="25" t="s">
        <v>93</v>
      </c>
    </row>
    <row r="23" spans="1:3" outlineLevel="1" x14ac:dyDescent="0.15">
      <c r="A23" s="29"/>
      <c r="B23" s="22"/>
    </row>
    <row r="24" spans="1:3" s="10" customFormat="1" x14ac:dyDescent="0.15">
      <c r="A24" s="20" t="s">
        <v>41</v>
      </c>
      <c r="B24" s="17">
        <f>B25+B29</f>
        <v>17</v>
      </c>
    </row>
    <row r="25" spans="1:3" s="8" customFormat="1" outlineLevel="1" x14ac:dyDescent="0.15">
      <c r="A25" s="28" t="s">
        <v>43</v>
      </c>
      <c r="B25" s="26">
        <f>SUM(B26:B28)</f>
        <v>11</v>
      </c>
    </row>
    <row r="26" spans="1:3" outlineLevel="1" x14ac:dyDescent="0.15">
      <c r="A26" s="29" t="s">
        <v>58</v>
      </c>
      <c r="B26" s="32">
        <v>7.5</v>
      </c>
    </row>
    <row r="27" spans="1:3" outlineLevel="1" x14ac:dyDescent="0.15">
      <c r="A27" s="29" t="s">
        <v>59</v>
      </c>
      <c r="B27" s="32">
        <v>3</v>
      </c>
    </row>
    <row r="28" spans="1:3" outlineLevel="1" x14ac:dyDescent="0.15">
      <c r="A28" s="29" t="s">
        <v>60</v>
      </c>
      <c r="B28" s="32">
        <v>0.5</v>
      </c>
    </row>
    <row r="29" spans="1:3" s="8" customFormat="1" outlineLevel="1" x14ac:dyDescent="0.15">
      <c r="A29" s="28" t="s">
        <v>44</v>
      </c>
      <c r="B29" s="26">
        <f>SUM(B30:B32)</f>
        <v>6</v>
      </c>
    </row>
    <row r="30" spans="1:3" outlineLevel="1" x14ac:dyDescent="0.15">
      <c r="A30" s="29" t="s">
        <v>55</v>
      </c>
      <c r="B30" s="32">
        <v>5</v>
      </c>
    </row>
    <row r="31" spans="1:3" outlineLevel="1" x14ac:dyDescent="0.15">
      <c r="A31" s="29" t="s">
        <v>56</v>
      </c>
      <c r="B31" s="32">
        <v>0.5</v>
      </c>
    </row>
    <row r="32" spans="1:3" outlineLevel="1" x14ac:dyDescent="0.15">
      <c r="A32" s="29" t="s">
        <v>57</v>
      </c>
      <c r="B32" s="32">
        <v>0.5</v>
      </c>
    </row>
    <row r="33" spans="1:3" s="10" customFormat="1" x14ac:dyDescent="0.15">
      <c r="A33" s="20" t="s">
        <v>37</v>
      </c>
      <c r="B33" s="17">
        <f>B40+B42+B34+B37</f>
        <v>27.5</v>
      </c>
    </row>
    <row r="34" spans="1:3" s="8" customFormat="1" outlineLevel="1" x14ac:dyDescent="0.15">
      <c r="A34" s="28" t="s">
        <v>10</v>
      </c>
      <c r="B34" s="26">
        <f>SUM(B35:B36)</f>
        <v>8</v>
      </c>
    </row>
    <row r="35" spans="1:3" outlineLevel="1" x14ac:dyDescent="0.15">
      <c r="A35" s="29" t="s">
        <v>67</v>
      </c>
      <c r="B35" s="27">
        <v>8</v>
      </c>
    </row>
    <row r="36" spans="1:3" outlineLevel="1" x14ac:dyDescent="0.15">
      <c r="A36" s="1"/>
      <c r="B36" s="1"/>
    </row>
    <row r="37" spans="1:3" s="8" customFormat="1" outlineLevel="1" x14ac:dyDescent="0.15">
      <c r="A37" s="28" t="s">
        <v>48</v>
      </c>
      <c r="B37" s="26">
        <f>SUM(B38:B39)</f>
        <v>11</v>
      </c>
    </row>
    <row r="38" spans="1:3" outlineLevel="1" x14ac:dyDescent="0.15">
      <c r="A38" s="29" t="s">
        <v>53</v>
      </c>
      <c r="B38" s="27">
        <v>8</v>
      </c>
    </row>
    <row r="39" spans="1:3" outlineLevel="1" x14ac:dyDescent="0.15">
      <c r="A39" s="29" t="s">
        <v>54</v>
      </c>
      <c r="B39" s="27">
        <v>3</v>
      </c>
    </row>
    <row r="40" spans="1:3" s="8" customFormat="1" outlineLevel="1" x14ac:dyDescent="0.15">
      <c r="A40" s="28" t="s">
        <v>33</v>
      </c>
      <c r="B40" s="26">
        <f>SUM(B41)</f>
        <v>1</v>
      </c>
    </row>
    <row r="41" spans="1:3" outlineLevel="1" x14ac:dyDescent="0.15">
      <c r="A41" s="29" t="s">
        <v>49</v>
      </c>
      <c r="B41" s="27">
        <v>1</v>
      </c>
    </row>
    <row r="42" spans="1:3" s="8" customFormat="1" outlineLevel="1" x14ac:dyDescent="0.15">
      <c r="A42" s="28" t="s">
        <v>63</v>
      </c>
      <c r="B42" s="26">
        <f>SUM(B43:B81)</f>
        <v>7.5</v>
      </c>
    </row>
    <row r="43" spans="1:3" outlineLevel="1" x14ac:dyDescent="0.15">
      <c r="A43" s="29" t="s">
        <v>50</v>
      </c>
      <c r="B43" s="22">
        <v>0.5</v>
      </c>
    </row>
    <row r="44" spans="1:3" outlineLevel="1" x14ac:dyDescent="0.15">
      <c r="A44" s="29" t="s">
        <v>51</v>
      </c>
      <c r="B44" s="22">
        <v>5</v>
      </c>
    </row>
    <row r="45" spans="1:3" outlineLevel="1" x14ac:dyDescent="0.15">
      <c r="A45" s="29" t="s">
        <v>61</v>
      </c>
      <c r="B45" s="27">
        <v>2</v>
      </c>
      <c r="C45" s="1" t="s">
        <v>87</v>
      </c>
    </row>
    <row r="46" spans="1:3" x14ac:dyDescent="0.15">
      <c r="A46" s="24"/>
      <c r="B46" s="2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4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14B0F-AAB6-422B-9990-7C0552E140F7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0F57918B-EC61-4421-A595-DE3C11B53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BCEF8-1B78-46E9-8F98-D45BFDA61C5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8174D24-F7FE-4940-8041-8C3F60B553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 v1</vt:lpstr>
      <vt:lpstr>Backlog v2</vt:lpstr>
      <vt:lpstr>Backlog 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Nikki Papenfus</cp:lastModifiedBy>
  <cp:revision/>
  <dcterms:created xsi:type="dcterms:W3CDTF">2024-10-10T14:56:45Z</dcterms:created>
  <dcterms:modified xsi:type="dcterms:W3CDTF">2024-10-30T14:56:30Z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1;#Custom Software|cecfb662-fc63-4c9e-b6e4-2e3797fe6f4f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