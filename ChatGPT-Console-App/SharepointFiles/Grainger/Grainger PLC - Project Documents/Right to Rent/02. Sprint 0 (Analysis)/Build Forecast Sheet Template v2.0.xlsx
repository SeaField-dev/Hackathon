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ight to Rent/02. Sprint 0 (Analysis)/"/>
    </mc:Choice>
  </mc:AlternateContent>
  <xr:revisionPtr revIDLastSave="630" documentId="8_{A487D414-4839-4584-96C7-4B5FACCDA093}" xr6:coauthVersionLast="47" xr6:coauthVersionMax="47" xr10:uidLastSave="{E17EAB68-E7DC-4B20-98EE-6A28F0A82EF5}"/>
  <bookViews>
    <workbookView xWindow="28680" yWindow="-120" windowWidth="29040" windowHeight="15720" tabRatio="699" activeTab="2" xr2:uid="{82DBA3FB-BAAE-4513-8EBD-08C2C1522918}"/>
  </bookViews>
  <sheets>
    <sheet name="SOW" sheetId="6" r:id="rId1"/>
    <sheet name="Forecasting-Foundational" sheetId="9" r:id="rId2"/>
    <sheet name="Forecasting-Release 1" sheetId="2" r:id="rId3"/>
    <sheet name="Burnup-Release 1" sheetId="3" r:id="rId4"/>
    <sheet name="Post Sprint 0 Cost Summary" sheetId="11" r:id="rId5"/>
    <sheet name="Final Cost Estimate" sheetId="12" r:id="rId6"/>
    <sheet name="Timeline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2" l="1"/>
  <c r="C31" i="2"/>
  <c r="E3" i="12"/>
  <c r="E8" i="12"/>
  <c r="C3" i="12"/>
  <c r="C8" i="12"/>
  <c r="F15" i="11"/>
  <c r="F14" i="11"/>
  <c r="F13" i="11"/>
  <c r="E5" i="11"/>
  <c r="E13" i="11"/>
  <c r="E6" i="11"/>
  <c r="E14" i="11"/>
  <c r="E15" i="11"/>
  <c r="F18" i="11"/>
  <c r="E18" i="11"/>
  <c r="F6" i="11"/>
  <c r="F21" i="11"/>
  <c r="E21" i="11"/>
  <c r="F5" i="11"/>
  <c r="F10" i="11"/>
  <c r="E10" i="11"/>
  <c r="D28" i="9"/>
  <c r="C26" i="9"/>
  <c r="F13" i="9"/>
  <c r="F14" i="9"/>
  <c r="F4" i="9"/>
  <c r="F9" i="9"/>
  <c r="F8" i="9"/>
  <c r="F7" i="9"/>
  <c r="C26" i="2"/>
  <c r="B15" i="7"/>
  <c r="B14" i="7"/>
  <c r="B10" i="7"/>
  <c r="B9" i="7"/>
  <c r="B8" i="7"/>
  <c r="B7" i="7"/>
  <c r="O13" i="2"/>
  <c r="J4" i="2"/>
  <c r="I4" i="2"/>
  <c r="H4" i="2"/>
  <c r="G4" i="2"/>
  <c r="F4" i="2"/>
  <c r="F7" i="2"/>
  <c r="G7" i="2"/>
  <c r="H7" i="2"/>
  <c r="I7" i="2"/>
  <c r="J7" i="2"/>
  <c r="G13" i="6"/>
  <c r="H13" i="6"/>
  <c r="H9" i="6"/>
  <c r="G9" i="6"/>
  <c r="AC4" i="2"/>
  <c r="AD4" i="2"/>
  <c r="AE4" i="2"/>
  <c r="AF4" i="2"/>
  <c r="AG4" i="2"/>
  <c r="AH4" i="2"/>
  <c r="AI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4" i="2"/>
  <c r="AK4" i="2"/>
  <c r="AL4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F13" i="2"/>
  <c r="G13" i="2"/>
  <c r="H13" i="2"/>
  <c r="I13" i="2"/>
  <c r="J13" i="2"/>
  <c r="K13" i="2"/>
  <c r="L13" i="2"/>
  <c r="M13" i="2"/>
  <c r="N13" i="2"/>
  <c r="N14" i="2"/>
  <c r="D28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3" i="2"/>
  <c r="AD14" i="2"/>
  <c r="AE13" i="2"/>
  <c r="AF13" i="2"/>
  <c r="AG13" i="2"/>
  <c r="AH13" i="2"/>
  <c r="AI13" i="2"/>
  <c r="AJ13" i="2"/>
  <c r="AK13" i="2"/>
  <c r="AL13" i="2"/>
  <c r="AJ7" i="2"/>
  <c r="AK7" i="2"/>
  <c r="AL7" i="2"/>
  <c r="AG9" i="2"/>
  <c r="AH9" i="2"/>
  <c r="AI9" i="2"/>
  <c r="AJ9" i="2"/>
  <c r="AK9" i="2"/>
  <c r="AL9" i="2"/>
  <c r="AE14" i="2"/>
  <c r="AF14" i="2"/>
  <c r="AG14" i="2"/>
  <c r="AH14" i="2"/>
  <c r="AI14" i="2"/>
  <c r="AJ14" i="2"/>
  <c r="AK14" i="2"/>
  <c r="AL14" i="2"/>
  <c r="F14" i="2"/>
  <c r="G14" i="2"/>
  <c r="H14" i="2"/>
  <c r="I14" i="2"/>
  <c r="J14" i="2"/>
  <c r="K14" i="2"/>
  <c r="L14" i="2"/>
  <c r="M1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EAEC71-99D6-45F0-B5F6-7CA824947569}" keepAlive="1" name="Query - Reporting Backlog Items" description="Connection to the 'Reporting Backlog Items' query in the workbook." type="5" refreshedVersion="7" background="1" saveData="1">
    <dbPr connection="Provider=Microsoft.Mashup.OleDb.1;Data Source=$Workbook$;Location=&quot;Reporting Backlog Items&quot;;Extended Properties=&quot;&quot;" command="SELECT * FROM [Reporting Backlog Items]"/>
  </connection>
</connections>
</file>

<file path=xl/sharedStrings.xml><?xml version="1.0" encoding="utf-8"?>
<sst xmlns="http://schemas.openxmlformats.org/spreadsheetml/2006/main" count="291" uniqueCount="152">
  <si>
    <r>
      <t>Project Phases</t>
    </r>
    <r>
      <rPr>
        <sz val="9"/>
        <color rgb="FFFFFFFF"/>
        <rFont val="Verdana"/>
        <family val="2"/>
      </rPr>
      <t> </t>
    </r>
  </si>
  <si>
    <t>Duration</t>
  </si>
  <si>
    <t>Lower Bound</t>
  </si>
  <si>
    <t>Upper Bound</t>
  </si>
  <si>
    <t>Sprint 0 </t>
  </si>
  <si>
    <t>2-3 weeks </t>
  </si>
  <si>
    <t xml:space="preserve"> £                   6,000 </t>
  </si>
  <si>
    <t xml:space="preserve"> £            9,000 </t>
  </si>
  <si>
    <t>Sprint 1 - 2</t>
  </si>
  <si>
    <t>3-6 weeks</t>
  </si>
  <si>
    <t xml:space="preserve"> £                 23,400 </t>
  </si>
  <si>
    <t xml:space="preserve"> £          46,800 </t>
  </si>
  <si>
    <t>UAT </t>
  </si>
  <si>
    <t>2 weeks </t>
  </si>
  <si>
    <t xml:space="preserve"> £                   3,600 </t>
  </si>
  <si>
    <t xml:space="preserve"> £            3,600 </t>
  </si>
  <si>
    <t>Production Deployment &amp; Post Go-Live Support </t>
  </si>
  <si>
    <t>User guide creation</t>
  </si>
  <si>
    <t>Done in parallel with sprints </t>
  </si>
  <si>
    <t xml:space="preserve"> £                   3,150 </t>
  </si>
  <si>
    <t xml:space="preserve"> £            3,150 </t>
  </si>
  <si>
    <r>
      <t>Sub Total</t>
    </r>
    <r>
      <rPr>
        <sz val="9"/>
        <color theme="1"/>
        <rFont val="Verdana"/>
        <family val="2"/>
      </rPr>
      <t> </t>
    </r>
  </si>
  <si>
    <t>9 - 13 weeks</t>
  </si>
  <si>
    <t xml:space="preserve"> £                39,750 </t>
  </si>
  <si>
    <t xml:space="preserve"> £         66,150 </t>
  </si>
  <si>
    <t>Contingency for ongoing post-go live support</t>
  </si>
  <si>
    <t>40 hours</t>
  </si>
  <si>
    <t xml:space="preserve"> £                        -   </t>
  </si>
  <si>
    <t xml:space="preserve"> £            4,800 </t>
  </si>
  <si>
    <t>Total</t>
  </si>
  <si>
    <t>9 -13 weeks</t>
  </si>
  <si>
    <t xml:space="preserve"> £                        39,750</t>
  </si>
  <si>
    <r>
      <t xml:space="preserve"> £              70,950 </t>
    </r>
    <r>
      <rPr>
        <sz val="8"/>
        <color theme="1"/>
        <rFont val="Times New Roman"/>
        <family val="1"/>
      </rPr>
      <t> </t>
    </r>
  </si>
  <si>
    <t>Sprint 0</t>
  </si>
  <si>
    <t>Sprint 1</t>
  </si>
  <si>
    <t xml:space="preserve">Sprint 2 </t>
  </si>
  <si>
    <t>Sprint 3</t>
  </si>
  <si>
    <t>Sprint 4</t>
  </si>
  <si>
    <t>Sprint 5</t>
  </si>
  <si>
    <t>Sprint 6</t>
  </si>
  <si>
    <t>Sprint 7</t>
  </si>
  <si>
    <t>Sprint 8</t>
  </si>
  <si>
    <t>Sprint 9</t>
  </si>
  <si>
    <t>Sprint 10</t>
  </si>
  <si>
    <t>Sprint 11</t>
  </si>
  <si>
    <t>Sprint 12</t>
  </si>
  <si>
    <t>Sprint 13</t>
  </si>
  <si>
    <t>Sprint 14</t>
  </si>
  <si>
    <t>Sprint 15</t>
  </si>
  <si>
    <t>Sprint 16</t>
  </si>
  <si>
    <t>Sprint 17</t>
  </si>
  <si>
    <t>Sprint 18</t>
  </si>
  <si>
    <t>Sprint 19</t>
  </si>
  <si>
    <t>Sprint 20</t>
  </si>
  <si>
    <t>Sprint 21</t>
  </si>
  <si>
    <t>Sprint 22</t>
  </si>
  <si>
    <t>Sprint 23</t>
  </si>
  <si>
    <t>Sprint 24</t>
  </si>
  <si>
    <t>Sprint 25</t>
  </si>
  <si>
    <t>Sprint 26</t>
  </si>
  <si>
    <t>Sprint 27</t>
  </si>
  <si>
    <t>Sprint 28</t>
  </si>
  <si>
    <t>Sprint 29</t>
  </si>
  <si>
    <t>Sprint 30</t>
  </si>
  <si>
    <t>Sprint 31</t>
  </si>
  <si>
    <t>Sprint 32</t>
  </si>
  <si>
    <t>Sprint 33</t>
  </si>
  <si>
    <t>Scheduling</t>
  </si>
  <si>
    <t>Velocity</t>
  </si>
  <si>
    <t xml:space="preserve">Total Velocity Done </t>
  </si>
  <si>
    <t>Total Backlog Size</t>
  </si>
  <si>
    <t>For Bars</t>
  </si>
  <si>
    <t>Optimistic Forecast</t>
  </si>
  <si>
    <t>Likely Forecast</t>
  </si>
  <si>
    <t>Pessimistic Forecast</t>
  </si>
  <si>
    <t>For T&amp;M</t>
  </si>
  <si>
    <t>Costing</t>
  </si>
  <si>
    <t>Team Sprint Cost (Actual)</t>
  </si>
  <si>
    <t>Cumulative Team Cost (Actual)</t>
  </si>
  <si>
    <t>Cumulative Team Cost (Forecast)</t>
  </si>
  <si>
    <t>Team Metrics</t>
  </si>
  <si>
    <t>Optimistic Velocity ( Best Velocity in last 3 sprints)</t>
  </si>
  <si>
    <t>Likely Velocity (Avg Velocity over last 3 sprints)</t>
  </si>
  <si>
    <t>Pessimistic Velocity (Worst Velocity in last 3 sprints)</t>
  </si>
  <si>
    <t>Hourly Rate</t>
  </si>
  <si>
    <t>Allocation</t>
  </si>
  <si>
    <t>Cost Per Sprint</t>
  </si>
  <si>
    <t>Cost per sprint</t>
  </si>
  <si>
    <t>Mon</t>
  </si>
  <si>
    <t>Tue</t>
  </si>
  <si>
    <t>Wed</t>
  </si>
  <si>
    <t>Thu</t>
  </si>
  <si>
    <t>Fri</t>
  </si>
  <si>
    <t>Sat</t>
  </si>
  <si>
    <t>Sun</t>
  </si>
  <si>
    <t>Sprint 2</t>
  </si>
  <si>
    <t>Build</t>
  </si>
  <si>
    <t>UAT</t>
  </si>
  <si>
    <t>Prod Support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</si>
  <si>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</si>
  <si>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</si>
  <si>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</si>
  <si>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</si>
  <si>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</si>
  <si>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</si>
  <si>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</si>
  <si>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</si>
  <si>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</si>
  <si>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</si>
  <si>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Prod support</t>
  </si>
  <si>
    <t>User Guide</t>
  </si>
  <si>
    <t>Nov (S1)</t>
  </si>
  <si>
    <t>Dec (S2 + UG)</t>
  </si>
  <si>
    <t>Jan</t>
  </si>
  <si>
    <t>SOW</t>
  </si>
  <si>
    <t>QA</t>
  </si>
  <si>
    <t>BA</t>
  </si>
  <si>
    <t>PM</t>
  </si>
  <si>
    <t>Team Composition</t>
  </si>
  <si>
    <t>Dev Junior</t>
  </si>
  <si>
    <t>Dev Senior</t>
  </si>
  <si>
    <t>Team cost / sprint</t>
  </si>
  <si>
    <t>2 FTE for 3 weeks</t>
  </si>
  <si>
    <t>Phase</t>
  </si>
  <si>
    <t>3 weeks</t>
  </si>
  <si>
    <t>Release 1: 2 - 3 Sprints</t>
  </si>
  <si>
    <t>Foundational: 1 Sprint</t>
  </si>
  <si>
    <t>6 - 9 weeks</t>
  </si>
  <si>
    <t>2 weeks</t>
  </si>
  <si>
    <t>Total Cost for Foundational Changes and Release 1</t>
  </si>
  <si>
    <t>Backlog</t>
  </si>
  <si>
    <t>13 - 16</t>
  </si>
  <si>
    <t>3 - 6 weeks</t>
  </si>
  <si>
    <t>7 - 10 weeks</t>
  </si>
  <si>
    <t>Foundational Cost</t>
  </si>
  <si>
    <t>Release 1 Cost</t>
  </si>
  <si>
    <t>Total Cost</t>
  </si>
  <si>
    <t>Overview</t>
  </si>
  <si>
    <t>10 - 13 weeks</t>
  </si>
  <si>
    <t>13 - 16 weeks</t>
  </si>
  <si>
    <t>Estimate</t>
  </si>
  <si>
    <t>2 sprints</t>
  </si>
  <si>
    <t>6 weeks</t>
  </si>
  <si>
    <t>12 -13 weeks</t>
  </si>
  <si>
    <t>Team</t>
  </si>
  <si>
    <t>FTEs</t>
  </si>
  <si>
    <t>Backlog size</t>
  </si>
  <si>
    <t>Estimated velocity</t>
  </si>
  <si>
    <t>Sprints</t>
  </si>
  <si>
    <t>Dev</t>
  </si>
  <si>
    <t>QA, BA, PM</t>
  </si>
  <si>
    <t>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</si>
</sst>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£-809]#,##0.00"/>
    <numFmt numFmtId="165" formatCode="_-[$£-809]* #,##0_-;\-[$£-809]* #,##0_-;_-[$£-809]* &quot;-&quot;??_-;_-@_-"/>
  </numFmts>
  <fonts count="1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sz val="9"/>
      <color rgb="FFFFFFFF"/>
      <name val="Verdana"/>
      <family val="2"/>
    </font>
    <font>
      <sz val="9"/>
      <color theme="1"/>
      <name val="Verdana"/>
      <family val="2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</font>
    <font>
      <sz val="8"/>
      <color theme="1"/>
      <name val="Times New Roman"/>
      <family val="1"/>
    </font>
    <font>
      <sz val="8"/>
      <color theme="1"/>
      <name val="Verdan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FFFF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b/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64" fontId="0" fillId="0" borderId="0" xfId="0" applyNumberFormat="1" applyAlignment="1">
      <alignment wrapText="1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9" fillId="0" borderId="0" xfId="0" applyFont="1" applyAlignment="1">
      <alignment horizontal="left" vertical="center" indent="5"/>
    </xf>
    <xf numFmtId="0" fontId="2" fillId="0" borderId="0" xfId="0" applyFont="1"/>
    <xf numFmtId="0" fontId="10" fillId="0" borderId="0" xfId="0" applyFont="1"/>
    <xf numFmtId="164" fontId="10" fillId="0" borderId="0" xfId="0" applyNumberFormat="1" applyFont="1"/>
    <xf numFmtId="0" fontId="10" fillId="0" borderId="6" xfId="0" applyFont="1" applyBorder="1"/>
    <xf numFmtId="0" fontId="10" fillId="2" borderId="6" xfId="0" applyFont="1" applyFill="1" applyBorder="1"/>
    <xf numFmtId="16" fontId="10" fillId="0" borderId="6" xfId="0" applyNumberFormat="1" applyFont="1" applyBorder="1"/>
    <xf numFmtId="16" fontId="10" fillId="2" borderId="6" xfId="0" applyNumberFormat="1" applyFont="1" applyFill="1" applyBorder="1"/>
    <xf numFmtId="0" fontId="11" fillId="0" borderId="7" xfId="0" applyFont="1" applyBorder="1" applyAlignment="1">
      <alignment horizontal="center"/>
    </xf>
    <xf numFmtId="0" fontId="11" fillId="0" borderId="0" xfId="0" applyFont="1"/>
    <xf numFmtId="164" fontId="10" fillId="0" borderId="6" xfId="0" applyNumberFormat="1" applyFont="1" applyBorder="1"/>
    <xf numFmtId="164" fontId="11" fillId="0" borderId="12" xfId="0" applyNumberFormat="1" applyFont="1" applyBorder="1"/>
    <xf numFmtId="164" fontId="11" fillId="0" borderId="13" xfId="0" applyNumberFormat="1" applyFont="1" applyBorder="1"/>
    <xf numFmtId="0" fontId="11" fillId="0" borderId="6" xfId="0" applyFont="1" applyBorder="1"/>
    <xf numFmtId="9" fontId="0" fillId="0" borderId="0" xfId="1" applyFont="1" applyAlignment="1">
      <alignment wrapText="1"/>
    </xf>
    <xf numFmtId="164" fontId="2" fillId="0" borderId="0" xfId="0" applyNumberFormat="1" applyFont="1" applyAlignment="1">
      <alignment wrapText="1"/>
    </xf>
    <xf numFmtId="164" fontId="0" fillId="0" borderId="0" xfId="0" applyNumberFormat="1"/>
    <xf numFmtId="0" fontId="0" fillId="3" borderId="0" xfId="0" applyFill="1"/>
    <xf numFmtId="0" fontId="0" fillId="0" borderId="6" xfId="0" applyBorder="1"/>
    <xf numFmtId="164" fontId="0" fillId="0" borderId="6" xfId="0" applyNumberFormat="1" applyBorder="1"/>
    <xf numFmtId="0" fontId="2" fillId="0" borderId="6" xfId="0" applyFont="1" applyBorder="1"/>
    <xf numFmtId="164" fontId="2" fillId="0" borderId="6" xfId="0" applyNumberFormat="1" applyFont="1" applyBorder="1"/>
    <xf numFmtId="164" fontId="2" fillId="0" borderId="12" xfId="0" applyNumberFormat="1" applyFont="1" applyBorder="1"/>
    <xf numFmtId="0" fontId="2" fillId="2" borderId="6" xfId="0" applyFont="1" applyFill="1" applyBorder="1"/>
    <xf numFmtId="16" fontId="2" fillId="0" borderId="6" xfId="0" applyNumberFormat="1" applyFont="1" applyBorder="1"/>
    <xf numFmtId="164" fontId="2" fillId="0" borderId="0" xfId="0" applyNumberFormat="1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5" fillId="0" borderId="6" xfId="0" applyFont="1" applyBorder="1"/>
    <xf numFmtId="165" fontId="15" fillId="0" borderId="6" xfId="0" applyNumberFormat="1" applyFont="1" applyBorder="1"/>
    <xf numFmtId="0" fontId="16" fillId="0" borderId="14" xfId="0" applyFont="1" applyBorder="1"/>
    <xf numFmtId="165" fontId="16" fillId="0" borderId="14" xfId="0" applyNumberFormat="1" applyFont="1" applyBorder="1"/>
    <xf numFmtId="0" fontId="0" fillId="0" borderId="0" xfId="0" applyAlignment="1">
      <alignment horizontal="left" vertical="center" wrapText="1"/>
    </xf>
    <xf numFmtId="0" fontId="2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5674045096711023E-2"/>
          <c:y val="2.1348713816517997E-2"/>
          <c:w val="0.96380553348262643"/>
          <c:h val="0.91117110260924428"/>
        </c:manualLayout>
      </c:layout>
      <c:lineChart>
        <c:grouping val="standard"/>
        <c:varyColors val="0"/>
        <c:ser>
          <c:idx val="5"/>
          <c:order val="0"/>
          <c:tx>
            <c:strRef>
              <c:f>'Forecasting-Release 1'!$B$5</c:f>
              <c:strCache>
                <c:ptCount val="1"/>
                <c:pt idx="0">
                  <c:v>Total Backlog Size</c:v>
                </c:pt>
              </c:strCache>
            </c:strRef>
          </c:tx>
          <c:marker>
            <c:symbol val="none"/>
          </c:marker>
          <c:cat>
            <c:strRef>
              <c:f>'Forecasting-Release 1'!$E$1:$O$1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'Forecasting-Release 1'!$E$5:$O$5</c:f>
              <c:numCache>
                <c:formatCode>General</c:formatCode>
                <c:ptCount val="11"/>
                <c:pt idx="0">
                  <c:v>36.5</c:v>
                </c:pt>
                <c:pt idx="1">
                  <c:v>36.5</c:v>
                </c:pt>
                <c:pt idx="2">
                  <c:v>36.5</c:v>
                </c:pt>
                <c:pt idx="3">
                  <c:v>36.5</c:v>
                </c:pt>
                <c:pt idx="4">
                  <c:v>36.5</c:v>
                </c:pt>
                <c:pt idx="5">
                  <c:v>36.5</c:v>
                </c:pt>
                <c:pt idx="6">
                  <c:v>36.5</c:v>
                </c:pt>
                <c:pt idx="7">
                  <c:v>36.5</c:v>
                </c:pt>
                <c:pt idx="8">
                  <c:v>36.5</c:v>
                </c:pt>
                <c:pt idx="9">
                  <c:v>36.5</c:v>
                </c:pt>
                <c:pt idx="10">
                  <c:v>36.5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B9C-4C93-9AED-AC7BA0509009}"/>
            </c:ext>
          </c:extLst>
        </c:ser>
        <c:ser>
          <c:idx val="6"/>
          <c:order val="1"/>
          <c:tx>
            <c:strRef>
              <c:f>'Forecasting-Release 1'!$B$8</c:f>
              <c:strCache>
                <c:ptCount val="1"/>
                <c:pt idx="0">
                  <c:v>Likely Forecast</c:v>
                </c:pt>
              </c:strCache>
            </c:strRef>
          </c:tx>
          <c:spPr>
            <a:ln>
              <a:solidFill>
                <a:schemeClr val="accent5"/>
              </a:solidFill>
              <a:prstDash val="sysDash"/>
            </a:ln>
          </c:spPr>
          <c:marker>
            <c:symbol val="none"/>
          </c:marker>
          <c:cat>
            <c:strRef>
              <c:f>'Forecasting-Release 1'!$E$1:$O$1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'Forecasting-Release 1'!$E$8:$O$8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B9C-4C93-9AED-AC7BA0509009}"/>
            </c:ext>
          </c:extLst>
        </c:ser>
        <c:ser>
          <c:idx val="7"/>
          <c:order val="2"/>
          <c:tx>
            <c:strRef>
              <c:f>'Forecasting-Release 1'!$B$7</c:f>
              <c:strCache>
                <c:ptCount val="1"/>
                <c:pt idx="0">
                  <c:v>Optimistic Forecast</c:v>
                </c:pt>
              </c:strCache>
            </c:strRef>
          </c:tx>
          <c:spPr>
            <a:ln>
              <a:solidFill>
                <a:schemeClr val="accent6"/>
              </a:solidFill>
              <a:prstDash val="sysDash"/>
            </a:ln>
          </c:spPr>
          <c:marker>
            <c:symbol val="none"/>
          </c:marker>
          <c:cat>
            <c:strRef>
              <c:f>'Forecasting-Release 1'!$E$1:$O$1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'Forecasting-Release 1'!$E$7:$O$7</c:f>
              <c:numCache>
                <c:formatCode>General</c:formatCode>
                <c:ptCount val="1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B9C-4C93-9AED-AC7BA0509009}"/>
            </c:ext>
          </c:extLst>
        </c:ser>
        <c:ser>
          <c:idx val="8"/>
          <c:order val="3"/>
          <c:tx>
            <c:strRef>
              <c:f>'Forecasting-Release 1'!$B$9</c:f>
              <c:strCache>
                <c:ptCount val="1"/>
                <c:pt idx="0">
                  <c:v>Pessimistic Forecast</c:v>
                </c:pt>
              </c:strCache>
            </c:strRef>
          </c:tx>
          <c:spPr>
            <a:ln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strRef>
              <c:f>'Forecasting-Release 1'!$E$1:$O$1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'Forecasting-Release 1'!$E$9:$O$9</c:f>
              <c:numCache>
                <c:formatCode>General</c:formatCode>
                <c:ptCount val="11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B9C-4C93-9AED-AC7BA0509009}"/>
            </c:ext>
          </c:extLst>
        </c:ser>
        <c:ser>
          <c:idx val="9"/>
          <c:order val="4"/>
          <c:tx>
            <c:strRef>
              <c:f>'Forecasting-Release 1'!$B$4</c:f>
              <c:strCache>
                <c:ptCount val="1"/>
                <c:pt idx="0">
                  <c:v>Total Velocity Done 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'Forecasting-Release 1'!$E$1:$O$1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'Forecasting-Release 1'!$E$4:$O$4</c:f>
              <c:numCache>
                <c:formatCode>General</c:formatCode>
                <c:ptCount val="1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B9C-4C93-9AED-AC7BA0509009}"/>
            </c:ext>
          </c:extLst>
        </c:ser>
        <c:ser>
          <c:idx val="0"/>
          <c:order val="5"/>
          <c:tx>
            <c:strRef>
              <c:f>'Forecasting-Release 1'!$B$5</c:f>
              <c:strCache>
                <c:ptCount val="1"/>
                <c:pt idx="0">
                  <c:v>Total Backlog Size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'Forecasting-Release 1'!$E$1:$O$1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'Forecasting-Release 1'!$E$5:$O$5</c:f>
              <c:numCache>
                <c:formatCode>General</c:formatCode>
                <c:ptCount val="11"/>
                <c:pt idx="0">
                  <c:v>36.5</c:v>
                </c:pt>
                <c:pt idx="1">
                  <c:v>36.5</c:v>
                </c:pt>
                <c:pt idx="2">
                  <c:v>36.5</c:v>
                </c:pt>
                <c:pt idx="3">
                  <c:v>36.5</c:v>
                </c:pt>
                <c:pt idx="4">
                  <c:v>36.5</c:v>
                </c:pt>
                <c:pt idx="5">
                  <c:v>36.5</c:v>
                </c:pt>
                <c:pt idx="6">
                  <c:v>36.5</c:v>
                </c:pt>
                <c:pt idx="7">
                  <c:v>36.5</c:v>
                </c:pt>
                <c:pt idx="8">
                  <c:v>36.5</c:v>
                </c:pt>
                <c:pt idx="9">
                  <c:v>36.5</c:v>
                </c:pt>
                <c:pt idx="10">
                  <c:v>36.5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9C-4C93-9AED-AC7BA0509009}"/>
            </c:ext>
          </c:extLst>
        </c:ser>
        <c:ser>
          <c:idx val="1"/>
          <c:order val="6"/>
          <c:tx>
            <c:strRef>
              <c:f>'Forecasting-Release 1'!$B$8</c:f>
              <c:strCache>
                <c:ptCount val="1"/>
                <c:pt idx="0">
                  <c:v>Likely Forecast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'Forecasting-Release 1'!$E$1:$O$1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'Forecasting-Release 1'!$E$8:$O$8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9C-4C93-9AED-AC7BA0509009}"/>
            </c:ext>
          </c:extLst>
        </c:ser>
        <c:ser>
          <c:idx val="3"/>
          <c:order val="7"/>
          <c:tx>
            <c:strRef>
              <c:f>'Forecasting-Release 1'!$B$7</c:f>
              <c:strCache>
                <c:ptCount val="1"/>
                <c:pt idx="0">
                  <c:v>Optimistic Forecast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'Forecasting-Release 1'!$E$1:$O$1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'Forecasting-Release 1'!$E$7:$O$7</c:f>
              <c:numCache>
                <c:formatCode>General</c:formatCode>
                <c:ptCount val="11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B9C-4C93-9AED-AC7BA0509009}"/>
            </c:ext>
          </c:extLst>
        </c:ser>
        <c:ser>
          <c:idx val="4"/>
          <c:order val="8"/>
          <c:tx>
            <c:strRef>
              <c:f>'Forecasting-Release 1'!$B$9</c:f>
              <c:strCache>
                <c:ptCount val="1"/>
                <c:pt idx="0">
                  <c:v>Pessimistic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'Forecasting-Release 1'!$E$1:$O$1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'Forecasting-Release 1'!$E$9:$O$9</c:f>
              <c:numCache>
                <c:formatCode>General</c:formatCode>
                <c:ptCount val="11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B9C-4C93-9AED-AC7BA0509009}"/>
            </c:ext>
          </c:extLst>
        </c:ser>
        <c:ser>
          <c:idx val="2"/>
          <c:order val="9"/>
          <c:tx>
            <c:strRef>
              <c:f>'Forecasting-Release 1'!$B$4</c:f>
              <c:strCache>
                <c:ptCount val="1"/>
                <c:pt idx="0">
                  <c:v>Total Velocity Done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'Forecasting-Release 1'!$E$1:$O$1</c:f>
              <c:strCache>
                <c:ptCount val="11"/>
                <c:pt idx="0">
                  <c:v>Sprint 0</c:v>
                </c:pt>
                <c:pt idx="1">
                  <c:v>Sprint 1</c:v>
                </c:pt>
                <c:pt idx="2">
                  <c:v>Sprint 2 </c:v>
                </c:pt>
                <c:pt idx="3">
                  <c:v>Sprint 3</c:v>
                </c:pt>
                <c:pt idx="4">
                  <c:v>Sprint 4</c:v>
                </c:pt>
                <c:pt idx="5">
                  <c:v>Sprint 5</c:v>
                </c:pt>
                <c:pt idx="6">
                  <c:v>Sprint 6</c:v>
                </c:pt>
                <c:pt idx="7">
                  <c:v>Sprint 7</c:v>
                </c:pt>
                <c:pt idx="8">
                  <c:v>Sprint 8</c:v>
                </c:pt>
                <c:pt idx="9">
                  <c:v>Sprint 9</c:v>
                </c:pt>
                <c:pt idx="10">
                  <c:v>Sprint 10</c:v>
                </c:pt>
              </c:strCache>
            </c:strRef>
          </c:cat>
          <c:val>
            <c:numRef>
              <c:f>'Forecasting-Release 1'!$E$4:$O$4</c:f>
              <c:numCache>
                <c:formatCode>General</c:formatCode>
                <c:ptCount val="11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B9C-4C93-9AED-AC7BA0509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8162160"/>
        <c:axId val="1198162992"/>
      </c:lineChart>
      <c:catAx>
        <c:axId val="119816216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162992"/>
        <c:crosses val="autoZero"/>
        <c:auto val="1"/>
        <c:lblAlgn val="ctr"/>
        <c:lblOffset val="100"/>
        <c:noMultiLvlLbl val="0"/>
      </c:catAx>
      <c:valAx>
        <c:axId val="11981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1621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3.1508957645854381E-2"/>
          <c:y val="2.0291305597572275E-2"/>
          <c:w val="0.14326835292377443"/>
          <c:h val="0.1344488188976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99059</xdr:colOff>
      <xdr:row>0</xdr:row>
      <xdr:rowOff>114300</xdr:rowOff>
    </xdr:from>
    <xdr:to>
      <xdr:col>14</xdr:col>
      <xdr:colOff>0</xdr:colOff>
      <xdr:row>28</xdr:row>
      <xdr:rowOff>83820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F243A69-66CB-F2CC-7DFC-C845B2328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0.2249</cdr:x>
      <cdr:y>0.06183</cdr:y>
    </cdr:from>
    <cdr:to>
      <cdr:x>0.22596</cdr:x>
      <cdr:y>0.93117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18748E7C-8901-4143-B498-2ED99C44012B}"/>
            </a:ext>
          </a:extLst>
        </cdr:cNvPr>
        <cdr:cNvCxnSpPr/>
      </cdr:nvCxnSpPr>
      <cdr:spPr>
        <a:xfrm xmlns:a="http://schemas.openxmlformats.org/drawingml/2006/main">
          <a:off x="2018077" y="308517"/>
          <a:ext cx="9511" cy="433779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5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0.24607</cdr:x>
      <cdr:y>0.06246</cdr:y>
    </cdr:from>
    <cdr:to>
      <cdr:x>0.24751</cdr:x>
      <cdr:y>0.93408</cdr:y>
    </cdr:to>
    <cdr:cxnSp macro="">
      <cdr:nvCxnSpPr>
        <cdr:cNvPr id="12" name="Straight Connector 11">
          <a:extLst xmlns:a="http://schemas.openxmlformats.org/drawingml/2006/main">
            <a:ext uri="{FF2B5EF4-FFF2-40B4-BE49-F238E27FC236}">
              <a16:creationId xmlns:a16="http://schemas.microsoft.com/office/drawing/2014/main" id="{1250AF6A-E28D-4154-9987-66E25F1395BD}"/>
            </a:ext>
          </a:extLst>
        </cdr:cNvPr>
        <cdr:cNvCxnSpPr/>
      </cdr:nvCxnSpPr>
      <cdr:spPr>
        <a:xfrm xmlns:a="http://schemas.openxmlformats.org/drawingml/2006/main">
          <a:off x="2208058" y="311643"/>
          <a:ext cx="12921" cy="434917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2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0.16152</cdr:x>
      <cdr:y>0.05813</cdr:y>
    </cdr:from>
    <cdr:to>
      <cdr:x>0.16152</cdr:x>
      <cdr:y>0.93067</cdr:y>
    </cdr:to>
    <cdr:cxnSp macro="">
      <cdr:nvCxnSpPr>
        <cdr:cNvPr id="13" name="Straight Connector 12">
          <a:extLst xmlns:a="http://schemas.openxmlformats.org/drawingml/2006/main">
            <a:ext uri="{FF2B5EF4-FFF2-40B4-BE49-F238E27FC236}">
              <a16:creationId xmlns:a16="http://schemas.microsoft.com/office/drawing/2014/main" id="{FDF20E0A-0D77-4C5D-9DFC-FBE32E5728CB}"/>
            </a:ext>
          </a:extLst>
        </cdr:cNvPr>
        <cdr:cNvCxnSpPr/>
      </cdr:nvCxnSpPr>
      <cdr:spPr>
        <a:xfrm xmlns:a="http://schemas.openxmlformats.org/drawingml/2006/main">
          <a:off x="1449341" y="290054"/>
          <a:ext cx="0" cy="4353761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6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45C31-82AF-4E79-8650-807BDC491094}">
  <dimension ref="B2:H14"/>
  <sheetViews>
    <sheetView workbookViewId="0">
      <selection activeCell="K6" sqref="K6"/>
    </sheetView>
  </sheetViews>
  <sheetFormatPr defaultRowHeight="15" x14ac:dyDescent="0.25"/>
  <cols>
    <col min="2" max="2" width="47.85546875" customWidth="1"/>
    <col min="3" max="3" width="27.28515625" bestFit="1" customWidth="1"/>
    <col min="4" max="4" width="20.140625" bestFit="1" customWidth="1"/>
    <col min="5" max="5" width="16" bestFit="1" customWidth="1"/>
  </cols>
  <sheetData>
    <row r="2" spans="2:8" ht="15.75" thickBot="1" x14ac:dyDescent="0.3">
      <c r="B2" s="4" t="s">
        <v>0</v>
      </c>
      <c r="C2" s="4" t="s">
        <v>1</v>
      </c>
      <c r="D2" s="4" t="s">
        <v>2</v>
      </c>
      <c r="E2" s="4" t="s">
        <v>3</v>
      </c>
    </row>
    <row r="3" spans="2:8" ht="15.75" thickBot="1" x14ac:dyDescent="0.3">
      <c r="B3" s="5" t="s">
        <v>4</v>
      </c>
      <c r="C3" s="6" t="s">
        <v>5</v>
      </c>
      <c r="D3" s="6" t="s">
        <v>6</v>
      </c>
      <c r="E3" s="6" t="s">
        <v>7</v>
      </c>
      <c r="G3">
        <v>6000</v>
      </c>
      <c r="H3">
        <v>9000</v>
      </c>
    </row>
    <row r="4" spans="2:8" ht="15.75" thickBot="1" x14ac:dyDescent="0.3">
      <c r="B4" s="7" t="s">
        <v>8</v>
      </c>
      <c r="C4" s="8" t="s">
        <v>9</v>
      </c>
      <c r="D4" s="8" t="s">
        <v>10</v>
      </c>
      <c r="E4" s="8" t="s">
        <v>11</v>
      </c>
      <c r="G4">
        <v>23400</v>
      </c>
      <c r="H4">
        <v>46800</v>
      </c>
    </row>
    <row r="5" spans="2:8" ht="15.75" thickBot="1" x14ac:dyDescent="0.3">
      <c r="B5" s="7" t="s">
        <v>12</v>
      </c>
      <c r="C5" s="8" t="s">
        <v>13</v>
      </c>
      <c r="D5" s="8" t="s">
        <v>14</v>
      </c>
      <c r="E5" s="8" t="s">
        <v>15</v>
      </c>
      <c r="G5">
        <v>3600</v>
      </c>
      <c r="H5">
        <v>3600</v>
      </c>
    </row>
    <row r="6" spans="2:8" ht="15.75" thickBot="1" x14ac:dyDescent="0.3">
      <c r="B6" s="7" t="s">
        <v>16</v>
      </c>
      <c r="C6" s="8" t="s">
        <v>13</v>
      </c>
      <c r="D6" s="8" t="s">
        <v>14</v>
      </c>
      <c r="E6" s="8" t="s">
        <v>15</v>
      </c>
      <c r="G6">
        <v>3600</v>
      </c>
      <c r="H6">
        <v>3600</v>
      </c>
    </row>
    <row r="7" spans="2:8" ht="15.75" thickBot="1" x14ac:dyDescent="0.3">
      <c r="B7" s="7" t="s">
        <v>17</v>
      </c>
      <c r="C7" s="8" t="s">
        <v>18</v>
      </c>
      <c r="D7" s="8" t="s">
        <v>19</v>
      </c>
      <c r="E7" s="8" t="s">
        <v>20</v>
      </c>
      <c r="G7">
        <v>3150</v>
      </c>
      <c r="H7">
        <v>3150</v>
      </c>
    </row>
    <row r="8" spans="2:8" ht="16.5" thickBot="1" x14ac:dyDescent="0.3">
      <c r="B8" s="9"/>
      <c r="C8" s="10"/>
      <c r="D8" s="10"/>
      <c r="E8" s="10"/>
    </row>
    <row r="9" spans="2:8" ht="15.75" thickBot="1" x14ac:dyDescent="0.3">
      <c r="B9" s="11" t="s">
        <v>21</v>
      </c>
      <c r="C9" s="8" t="s">
        <v>22</v>
      </c>
      <c r="D9" s="12" t="s">
        <v>23</v>
      </c>
      <c r="E9" s="12" t="s">
        <v>24</v>
      </c>
      <c r="G9">
        <f>SUM(G3:G8)</f>
        <v>39750</v>
      </c>
      <c r="H9">
        <f>SUM(H3:H8)</f>
        <v>66150</v>
      </c>
    </row>
    <row r="10" spans="2:8" ht="16.5" thickBot="1" x14ac:dyDescent="0.3">
      <c r="B10" s="9"/>
      <c r="C10" s="10"/>
      <c r="D10" s="10"/>
      <c r="E10" s="10"/>
    </row>
    <row r="11" spans="2:8" ht="15.75" thickBot="1" x14ac:dyDescent="0.3">
      <c r="B11" s="7" t="s">
        <v>25</v>
      </c>
      <c r="C11" s="8" t="s">
        <v>26</v>
      </c>
      <c r="D11" s="8" t="s">
        <v>27</v>
      </c>
      <c r="E11" s="8" t="s">
        <v>28</v>
      </c>
      <c r="H11">
        <v>4800</v>
      </c>
    </row>
    <row r="12" spans="2:8" ht="15.75" thickBot="1" x14ac:dyDescent="0.3"/>
    <row r="13" spans="2:8" ht="16.5" thickBot="1" x14ac:dyDescent="0.3">
      <c r="B13" s="13" t="s">
        <v>29</v>
      </c>
      <c r="C13" s="13" t="s">
        <v>30</v>
      </c>
      <c r="D13" s="13" t="s">
        <v>31</v>
      </c>
      <c r="E13" s="13" t="s">
        <v>32</v>
      </c>
      <c r="G13" s="15">
        <f>G9</f>
        <v>39750</v>
      </c>
      <c r="H13" s="15">
        <f>H9+H11</f>
        <v>70950</v>
      </c>
    </row>
    <row r="14" spans="2:8" ht="15.75" thickTop="1" x14ac:dyDescent="0.25">
      <c r="B14" s="1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A0D5-2E31-462D-89BB-95DB2C052F66}">
  <dimension ref="A1:F31"/>
  <sheetViews>
    <sheetView workbookViewId="0">
      <pane xSplit="4" topLeftCell="E1" activePane="topRight" state="frozen"/>
      <selection pane="topRight" activeCell="B18" sqref="B18"/>
    </sheetView>
  </sheetViews>
  <sheetFormatPr defaultRowHeight="15" x14ac:dyDescent="0.25"/>
  <cols>
    <col min="1" max="1" width="26.28515625" style="1" customWidth="1"/>
    <col min="2" max="2" width="40" style="1" customWidth="1"/>
    <col min="3" max="4" width="12.85546875" style="1" customWidth="1"/>
    <col min="5" max="5" width="9.42578125" customWidth="1"/>
  </cols>
  <sheetData>
    <row r="1" spans="1:6" x14ac:dyDescent="0.25">
      <c r="E1" t="s">
        <v>33</v>
      </c>
      <c r="F1" t="s">
        <v>34</v>
      </c>
    </row>
    <row r="2" spans="1:6" x14ac:dyDescent="0.25">
      <c r="B2" s="2" t="s">
        <v>67</v>
      </c>
      <c r="C2" s="2"/>
      <c r="D2" s="2"/>
    </row>
    <row r="3" spans="1:6" x14ac:dyDescent="0.25">
      <c r="B3" s="1" t="s">
        <v>68</v>
      </c>
    </row>
    <row r="4" spans="1:6" x14ac:dyDescent="0.25">
      <c r="B4" s="1" t="s">
        <v>69</v>
      </c>
      <c r="E4">
        <v>0</v>
      </c>
      <c r="F4" t="e">
        <f>IF(COUNTBLANK(F3),NA(),F3+E4)</f>
        <v>#N/A</v>
      </c>
    </row>
    <row r="5" spans="1:6" x14ac:dyDescent="0.25">
      <c r="B5" s="1" t="s">
        <v>70</v>
      </c>
      <c r="E5" s="31">
        <v>17</v>
      </c>
      <c r="F5" s="31">
        <v>17</v>
      </c>
    </row>
    <row r="7" spans="1:6" x14ac:dyDescent="0.25">
      <c r="A7" s="47" t="s">
        <v>71</v>
      </c>
      <c r="B7" s="1" t="s">
        <v>72</v>
      </c>
      <c r="E7">
        <v>0</v>
      </c>
      <c r="F7">
        <f>IF(ISNA(F4),E7+$B$17,F4)</f>
        <v>25</v>
      </c>
    </row>
    <row r="8" spans="1:6" x14ac:dyDescent="0.25">
      <c r="A8" s="47"/>
      <c r="B8" s="1" t="s">
        <v>73</v>
      </c>
      <c r="E8">
        <v>0</v>
      </c>
      <c r="F8">
        <f t="shared" ref="F8" si="0">IF(ISNA(F4),E8+$B$18,F4)</f>
        <v>20</v>
      </c>
    </row>
    <row r="9" spans="1:6" x14ac:dyDescent="0.25">
      <c r="A9" s="47"/>
      <c r="B9" s="1" t="s">
        <v>74</v>
      </c>
      <c r="E9">
        <v>0</v>
      </c>
      <c r="F9">
        <f t="shared" ref="F9" si="1">IF(ISNA(F4),E9+$B$19,F4)</f>
        <v>15</v>
      </c>
    </row>
    <row r="11" spans="1:6" x14ac:dyDescent="0.25">
      <c r="A11" s="47" t="s">
        <v>75</v>
      </c>
      <c r="B11" s="2" t="s">
        <v>76</v>
      </c>
      <c r="C11" s="2"/>
      <c r="D11" s="2"/>
    </row>
    <row r="12" spans="1:6" x14ac:dyDescent="0.25">
      <c r="A12" s="47"/>
      <c r="B12" s="1" t="s">
        <v>77</v>
      </c>
      <c r="F12">
        <v>23400</v>
      </c>
    </row>
    <row r="13" spans="1:6" x14ac:dyDescent="0.25">
      <c r="A13" s="47"/>
      <c r="B13" s="1" t="s">
        <v>78</v>
      </c>
      <c r="E13">
        <v>0</v>
      </c>
      <c r="F13">
        <f>IF(COUNTBLANK(F12),NA(),F12+E13)</f>
        <v>23400</v>
      </c>
    </row>
    <row r="14" spans="1:6" x14ac:dyDescent="0.25">
      <c r="A14" s="47"/>
      <c r="B14" s="1" t="s">
        <v>79</v>
      </c>
      <c r="E14">
        <v>0</v>
      </c>
      <c r="F14">
        <f t="shared" ref="F14" si="2">IF(ISNA(F13),E14+$D$28,F13)</f>
        <v>23400</v>
      </c>
    </row>
    <row r="16" spans="1:6" x14ac:dyDescent="0.25">
      <c r="A16" s="2" t="s">
        <v>80</v>
      </c>
    </row>
    <row r="17" spans="1:4" ht="30" x14ac:dyDescent="0.25">
      <c r="A17" s="1" t="s">
        <v>81</v>
      </c>
      <c r="B17" s="1">
        <v>25</v>
      </c>
    </row>
    <row r="18" spans="1:4" ht="30" x14ac:dyDescent="0.25">
      <c r="A18" s="1" t="s">
        <v>82</v>
      </c>
      <c r="B18" s="1">
        <v>20</v>
      </c>
    </row>
    <row r="19" spans="1:4" ht="30" x14ac:dyDescent="0.25">
      <c r="A19" s="1" t="s">
        <v>83</v>
      </c>
      <c r="B19" s="1">
        <v>15</v>
      </c>
    </row>
    <row r="21" spans="1:4" ht="30" x14ac:dyDescent="0.25">
      <c r="A21" s="2" t="s">
        <v>118</v>
      </c>
      <c r="B21" s="2" t="s">
        <v>84</v>
      </c>
      <c r="C21" s="2" t="s">
        <v>85</v>
      </c>
      <c r="D21" s="2" t="s">
        <v>86</v>
      </c>
    </row>
    <row r="22" spans="1:4" x14ac:dyDescent="0.25">
      <c r="A22" s="2" t="s">
        <v>121</v>
      </c>
      <c r="B22" s="2"/>
      <c r="C22" s="2"/>
      <c r="D22" s="29">
        <v>23400</v>
      </c>
    </row>
    <row r="23" spans="1:4" x14ac:dyDescent="0.25">
      <c r="A23" s="1" t="s">
        <v>120</v>
      </c>
      <c r="C23" s="28">
        <v>1</v>
      </c>
      <c r="D23" s="3"/>
    </row>
    <row r="24" spans="1:4" x14ac:dyDescent="0.25">
      <c r="A24" s="1" t="s">
        <v>119</v>
      </c>
      <c r="C24" s="28">
        <v>0.5</v>
      </c>
      <c r="D24" s="3"/>
    </row>
    <row r="25" spans="1:4" x14ac:dyDescent="0.25">
      <c r="A25" s="1" t="s">
        <v>115</v>
      </c>
      <c r="C25" s="28">
        <v>0.25</v>
      </c>
      <c r="D25" s="3"/>
    </row>
    <row r="26" spans="1:4" x14ac:dyDescent="0.25">
      <c r="A26" s="1" t="s">
        <v>116</v>
      </c>
      <c r="C26" s="28">
        <f>C25*0.5</f>
        <v>0.125</v>
      </c>
      <c r="D26" s="3"/>
    </row>
    <row r="27" spans="1:4" x14ac:dyDescent="0.25">
      <c r="A27" s="1" t="s">
        <v>117</v>
      </c>
      <c r="C27" s="28">
        <v>0.13</v>
      </c>
    </row>
    <row r="28" spans="1:4" x14ac:dyDescent="0.25">
      <c r="A28" s="2" t="s">
        <v>29</v>
      </c>
      <c r="B28" s="2"/>
      <c r="C28" s="2"/>
      <c r="D28" s="29">
        <f>SUM(D22:D27)</f>
        <v>23400</v>
      </c>
    </row>
    <row r="29" spans="1:4" ht="30" x14ac:dyDescent="0.25">
      <c r="C29" s="1" t="s">
        <v>122</v>
      </c>
      <c r="D29" s="3"/>
    </row>
    <row r="31" spans="1:4" x14ac:dyDescent="0.25">
      <c r="D31" s="3"/>
    </row>
  </sheetData>
  <mergeCells count="2">
    <mergeCell ref="A7:A9"/>
    <mergeCell ref="A11:A14"/>
  </mergeCells>
  <conditionalFormatting sqref="E4:W4">
    <cfRule type="expression" dxfId="1" priority="1">
      <formula>"ISNA()"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6177-A4DD-4543-8DEC-552B5EC861AC}">
  <dimension ref="A1:AL32"/>
  <sheetViews>
    <sheetView tabSelected="1" topLeftCell="A7" workbookViewId="0">
      <pane xSplit="4" topLeftCell="E1" activePane="topRight" state="frozen"/>
      <selection pane="topRight" activeCell="C32" sqref="C32"/>
    </sheetView>
  </sheetViews>
  <sheetFormatPr defaultRowHeight="15" x14ac:dyDescent="0.25"/>
  <cols>
    <col min="1" max="1" width="26.28515625" style="1" customWidth="1"/>
    <col min="2" max="2" width="40" style="1" customWidth="1"/>
    <col min="3" max="4" width="12.85546875" style="1" customWidth="1"/>
    <col min="5" max="5" width="9.42578125" customWidth="1"/>
  </cols>
  <sheetData>
    <row r="1" spans="1:38" x14ac:dyDescent="0.25"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</row>
    <row r="2" spans="1:38" x14ac:dyDescent="0.25">
      <c r="B2" s="2" t="s">
        <v>67</v>
      </c>
      <c r="C2" s="2"/>
      <c r="D2" s="2"/>
    </row>
    <row r="3" spans="1:38" x14ac:dyDescent="0.25">
      <c r="B3" s="1" t="s">
        <v>68</v>
      </c>
    </row>
    <row r="4" spans="1:38" x14ac:dyDescent="0.25">
      <c r="B4" s="1" t="s">
        <v>69</v>
      </c>
      <c r="E4">
        <v>0</v>
      </c>
      <c r="F4" t="e">
        <f>IF(COUNTBLANK(F3),NA(),F3+E4)</f>
        <v>#N/A</v>
      </c>
      <c r="G4" t="e">
        <f>IF(COUNTBLANK(G3),NA(),G3+F4)</f>
        <v>#N/A</v>
      </c>
      <c r="H4" t="e">
        <f t="shared" ref="H4" si="0">IF(COUNTBLANK(H3),NA(),H3+G4)</f>
        <v>#N/A</v>
      </c>
      <c r="I4" t="e">
        <f t="shared" ref="I4" si="1">IF(COUNTBLANK(I3),NA(),I3+H4)</f>
        <v>#N/A</v>
      </c>
      <c r="J4" t="e">
        <f t="shared" ref="J4:AG4" si="2">IF(COUNTBLANK(J3),NA(),J3+I4)</f>
        <v>#N/A</v>
      </c>
      <c r="K4" t="e">
        <f t="shared" si="2"/>
        <v>#N/A</v>
      </c>
      <c r="L4" t="e">
        <f t="shared" si="2"/>
        <v>#N/A</v>
      </c>
      <c r="M4" t="e">
        <f t="shared" si="2"/>
        <v>#N/A</v>
      </c>
      <c r="N4" t="e">
        <f t="shared" si="2"/>
        <v>#N/A</v>
      </c>
      <c r="O4" t="e">
        <f t="shared" si="2"/>
        <v>#N/A</v>
      </c>
      <c r="P4" t="e">
        <f t="shared" si="2"/>
        <v>#N/A</v>
      </c>
      <c r="Q4" t="e">
        <f t="shared" si="2"/>
        <v>#N/A</v>
      </c>
      <c r="R4" t="e">
        <f t="shared" si="2"/>
        <v>#N/A</v>
      </c>
      <c r="S4" t="e">
        <f t="shared" si="2"/>
        <v>#N/A</v>
      </c>
      <c r="T4" t="e">
        <f t="shared" si="2"/>
        <v>#N/A</v>
      </c>
      <c r="U4" t="e">
        <f t="shared" si="2"/>
        <v>#N/A</v>
      </c>
      <c r="V4" t="e">
        <f t="shared" si="2"/>
        <v>#N/A</v>
      </c>
      <c r="W4" t="e">
        <f t="shared" si="2"/>
        <v>#N/A</v>
      </c>
      <c r="X4" t="e">
        <f t="shared" si="2"/>
        <v>#N/A</v>
      </c>
      <c r="Y4" t="e">
        <f t="shared" si="2"/>
        <v>#N/A</v>
      </c>
      <c r="Z4" t="e">
        <f t="shared" si="2"/>
        <v>#N/A</v>
      </c>
      <c r="AA4" t="e">
        <f t="shared" si="2"/>
        <v>#N/A</v>
      </c>
      <c r="AB4" t="e">
        <f t="shared" si="2"/>
        <v>#N/A</v>
      </c>
      <c r="AC4" t="e">
        <f t="shared" si="2"/>
        <v>#N/A</v>
      </c>
      <c r="AD4" t="e">
        <f t="shared" si="2"/>
        <v>#N/A</v>
      </c>
      <c r="AE4" t="e">
        <f t="shared" si="2"/>
        <v>#N/A</v>
      </c>
      <c r="AF4" t="e">
        <f t="shared" si="2"/>
        <v>#N/A</v>
      </c>
      <c r="AG4" t="e">
        <f t="shared" si="2"/>
        <v>#N/A</v>
      </c>
      <c r="AH4" t="e">
        <f t="shared" ref="AH4" si="3">IF(COUNTBLANK(AH3),NA(),AH3+AG4)</f>
        <v>#N/A</v>
      </c>
      <c r="AI4" t="e">
        <f t="shared" ref="AI4" si="4">IF(COUNTBLANK(AI3),NA(),AI3+AH4)</f>
        <v>#N/A</v>
      </c>
      <c r="AJ4" t="e">
        <f t="shared" ref="AJ4" si="5">IF(COUNTBLANK(AJ3),NA(),AJ3+AI4)</f>
        <v>#N/A</v>
      </c>
      <c r="AK4" t="e">
        <f t="shared" ref="AK4" si="6">IF(COUNTBLANK(AK3),NA(),AK3+AJ4)</f>
        <v>#N/A</v>
      </c>
      <c r="AL4" t="e">
        <f t="shared" ref="AL4" si="7">IF(COUNTBLANK(AL3),NA(),AL3+AK4)</f>
        <v>#N/A</v>
      </c>
    </row>
    <row r="5" spans="1:38" x14ac:dyDescent="0.25">
      <c r="B5" s="1" t="s">
        <v>70</v>
      </c>
      <c r="E5" s="31">
        <v>36.5</v>
      </c>
      <c r="F5" s="31">
        <v>36.5</v>
      </c>
      <c r="G5" s="31">
        <v>36.5</v>
      </c>
      <c r="H5" s="31">
        <v>36.5</v>
      </c>
      <c r="I5" s="31">
        <v>36.5</v>
      </c>
      <c r="J5" s="31">
        <v>36.5</v>
      </c>
      <c r="K5" s="31">
        <v>36.5</v>
      </c>
      <c r="L5" s="31">
        <v>36.5</v>
      </c>
      <c r="M5" s="31">
        <v>36.5</v>
      </c>
      <c r="N5" s="31">
        <v>36.5</v>
      </c>
      <c r="O5" s="31">
        <v>36.5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</row>
    <row r="7" spans="1:38" x14ac:dyDescent="0.25">
      <c r="A7" s="47" t="s">
        <v>71</v>
      </c>
      <c r="B7" s="1" t="s">
        <v>72</v>
      </c>
      <c r="E7">
        <v>0</v>
      </c>
      <c r="F7">
        <f>IF(ISNA(F4),E7+$B$17,F4)</f>
        <v>25</v>
      </c>
      <c r="G7">
        <f>IF(ISNA(G4),F7+$B$17,G4)</f>
        <v>50</v>
      </c>
      <c r="H7">
        <f t="shared" ref="H7:AK7" si="8">IF(ISNA(H4),G7+$B$17,H4)</f>
        <v>75</v>
      </c>
      <c r="I7">
        <f t="shared" si="8"/>
        <v>100</v>
      </c>
      <c r="J7">
        <f>IF(ISNA(J4),I7+$B$17,J4)</f>
        <v>125</v>
      </c>
      <c r="K7">
        <f t="shared" si="8"/>
        <v>150</v>
      </c>
      <c r="L7">
        <f t="shared" si="8"/>
        <v>175</v>
      </c>
      <c r="M7">
        <f t="shared" si="8"/>
        <v>200</v>
      </c>
      <c r="N7">
        <f t="shared" si="8"/>
        <v>225</v>
      </c>
      <c r="O7">
        <f t="shared" si="8"/>
        <v>250</v>
      </c>
      <c r="P7">
        <f t="shared" si="8"/>
        <v>275</v>
      </c>
      <c r="Q7">
        <f t="shared" si="8"/>
        <v>300</v>
      </c>
      <c r="R7">
        <f t="shared" si="8"/>
        <v>325</v>
      </c>
      <c r="S7">
        <f t="shared" si="8"/>
        <v>350</v>
      </c>
      <c r="T7">
        <f t="shared" si="8"/>
        <v>375</v>
      </c>
      <c r="U7">
        <f t="shared" si="8"/>
        <v>400</v>
      </c>
      <c r="V7">
        <f t="shared" si="8"/>
        <v>425</v>
      </c>
      <c r="W7">
        <f t="shared" si="8"/>
        <v>450</v>
      </c>
      <c r="X7">
        <f t="shared" si="8"/>
        <v>475</v>
      </c>
      <c r="Y7">
        <f t="shared" si="8"/>
        <v>500</v>
      </c>
      <c r="Z7">
        <f t="shared" si="8"/>
        <v>525</v>
      </c>
      <c r="AA7">
        <f t="shared" si="8"/>
        <v>550</v>
      </c>
      <c r="AB7">
        <f t="shared" si="8"/>
        <v>575</v>
      </c>
      <c r="AC7">
        <f t="shared" si="8"/>
        <v>600</v>
      </c>
      <c r="AD7">
        <f t="shared" si="8"/>
        <v>625</v>
      </c>
      <c r="AE7">
        <f t="shared" si="8"/>
        <v>650</v>
      </c>
      <c r="AF7">
        <f t="shared" si="8"/>
        <v>675</v>
      </c>
      <c r="AG7">
        <f t="shared" si="8"/>
        <v>700</v>
      </c>
      <c r="AH7">
        <f t="shared" si="8"/>
        <v>725</v>
      </c>
      <c r="AI7">
        <f t="shared" si="8"/>
        <v>750</v>
      </c>
      <c r="AJ7">
        <f t="shared" si="8"/>
        <v>775</v>
      </c>
      <c r="AK7">
        <f t="shared" si="8"/>
        <v>800</v>
      </c>
      <c r="AL7">
        <f t="shared" ref="AL7" si="9">IF(ISNA(AL4),AK7+$B$17,AL4)</f>
        <v>825</v>
      </c>
    </row>
    <row r="8" spans="1:38" x14ac:dyDescent="0.25">
      <c r="A8" s="47"/>
      <c r="B8" s="1" t="s">
        <v>73</v>
      </c>
      <c r="E8">
        <v>0</v>
      </c>
      <c r="F8">
        <f t="shared" ref="F8:AK8" si="10">IF(ISNA(F4),E8+$B$18,F4)</f>
        <v>20</v>
      </c>
      <c r="G8">
        <f t="shared" si="10"/>
        <v>40</v>
      </c>
      <c r="H8">
        <f t="shared" si="10"/>
        <v>60</v>
      </c>
      <c r="I8">
        <f t="shared" si="10"/>
        <v>80</v>
      </c>
      <c r="J8">
        <f t="shared" si="10"/>
        <v>100</v>
      </c>
      <c r="K8">
        <f t="shared" si="10"/>
        <v>120</v>
      </c>
      <c r="L8">
        <f t="shared" si="10"/>
        <v>140</v>
      </c>
      <c r="M8">
        <f t="shared" si="10"/>
        <v>160</v>
      </c>
      <c r="N8">
        <f t="shared" si="10"/>
        <v>180</v>
      </c>
      <c r="O8">
        <f t="shared" si="10"/>
        <v>200</v>
      </c>
      <c r="P8">
        <f t="shared" si="10"/>
        <v>220</v>
      </c>
      <c r="Q8">
        <f t="shared" si="10"/>
        <v>240</v>
      </c>
      <c r="R8">
        <f t="shared" si="10"/>
        <v>260</v>
      </c>
      <c r="S8">
        <f t="shared" si="10"/>
        <v>280</v>
      </c>
      <c r="T8">
        <f t="shared" si="10"/>
        <v>300</v>
      </c>
      <c r="U8">
        <f t="shared" si="10"/>
        <v>320</v>
      </c>
      <c r="V8">
        <f t="shared" si="10"/>
        <v>340</v>
      </c>
      <c r="W8">
        <f t="shared" si="10"/>
        <v>360</v>
      </c>
      <c r="X8">
        <f t="shared" si="10"/>
        <v>380</v>
      </c>
      <c r="Y8">
        <f t="shared" si="10"/>
        <v>400</v>
      </c>
      <c r="Z8">
        <f t="shared" si="10"/>
        <v>420</v>
      </c>
      <c r="AA8">
        <f t="shared" si="10"/>
        <v>440</v>
      </c>
      <c r="AB8">
        <f t="shared" si="10"/>
        <v>460</v>
      </c>
      <c r="AC8">
        <f t="shared" si="10"/>
        <v>480</v>
      </c>
      <c r="AD8">
        <f t="shared" si="10"/>
        <v>500</v>
      </c>
      <c r="AE8">
        <f t="shared" si="10"/>
        <v>520</v>
      </c>
      <c r="AF8">
        <f t="shared" si="10"/>
        <v>540</v>
      </c>
      <c r="AG8">
        <f t="shared" si="10"/>
        <v>560</v>
      </c>
      <c r="AH8">
        <f t="shared" si="10"/>
        <v>580</v>
      </c>
      <c r="AI8">
        <f t="shared" si="10"/>
        <v>600</v>
      </c>
      <c r="AJ8">
        <f t="shared" si="10"/>
        <v>620</v>
      </c>
      <c r="AK8">
        <f t="shared" si="10"/>
        <v>640</v>
      </c>
      <c r="AL8">
        <f t="shared" ref="AL8" si="11">IF(ISNA(AL4),AK8+$B$18,AL4)</f>
        <v>660</v>
      </c>
    </row>
    <row r="9" spans="1:38" x14ac:dyDescent="0.25">
      <c r="A9" s="47"/>
      <c r="B9" s="1" t="s">
        <v>74</v>
      </c>
      <c r="E9">
        <v>0</v>
      </c>
      <c r="F9">
        <f t="shared" ref="F9:AK9" si="12">IF(ISNA(F4),E9+$B$19,F4)</f>
        <v>15</v>
      </c>
      <c r="G9">
        <f t="shared" si="12"/>
        <v>30</v>
      </c>
      <c r="H9">
        <f t="shared" si="12"/>
        <v>45</v>
      </c>
      <c r="I9">
        <f t="shared" si="12"/>
        <v>60</v>
      </c>
      <c r="J9">
        <f t="shared" si="12"/>
        <v>75</v>
      </c>
      <c r="K9">
        <f t="shared" si="12"/>
        <v>90</v>
      </c>
      <c r="L9">
        <f t="shared" si="12"/>
        <v>105</v>
      </c>
      <c r="M9">
        <f t="shared" si="12"/>
        <v>120</v>
      </c>
      <c r="N9">
        <f t="shared" si="12"/>
        <v>135</v>
      </c>
      <c r="O9">
        <f t="shared" si="12"/>
        <v>150</v>
      </c>
      <c r="P9">
        <f t="shared" si="12"/>
        <v>165</v>
      </c>
      <c r="Q9">
        <f t="shared" si="12"/>
        <v>180</v>
      </c>
      <c r="R9">
        <f t="shared" si="12"/>
        <v>195</v>
      </c>
      <c r="S9">
        <f t="shared" si="12"/>
        <v>210</v>
      </c>
      <c r="T9">
        <f t="shared" si="12"/>
        <v>225</v>
      </c>
      <c r="U9">
        <f t="shared" si="12"/>
        <v>240</v>
      </c>
      <c r="V9">
        <f t="shared" si="12"/>
        <v>255</v>
      </c>
      <c r="W9">
        <f t="shared" si="12"/>
        <v>270</v>
      </c>
      <c r="X9">
        <f t="shared" si="12"/>
        <v>285</v>
      </c>
      <c r="Y9">
        <f t="shared" si="12"/>
        <v>300</v>
      </c>
      <c r="Z9">
        <f t="shared" si="12"/>
        <v>315</v>
      </c>
      <c r="AA9">
        <f t="shared" si="12"/>
        <v>330</v>
      </c>
      <c r="AB9">
        <f t="shared" si="12"/>
        <v>345</v>
      </c>
      <c r="AC9">
        <f t="shared" si="12"/>
        <v>360</v>
      </c>
      <c r="AD9">
        <f t="shared" si="12"/>
        <v>375</v>
      </c>
      <c r="AE9">
        <f t="shared" si="12"/>
        <v>390</v>
      </c>
      <c r="AF9">
        <f t="shared" si="12"/>
        <v>405</v>
      </c>
      <c r="AG9">
        <f t="shared" si="12"/>
        <v>420</v>
      </c>
      <c r="AH9">
        <f t="shared" si="12"/>
        <v>435</v>
      </c>
      <c r="AI9">
        <f t="shared" si="12"/>
        <v>450</v>
      </c>
      <c r="AJ9">
        <f t="shared" si="12"/>
        <v>465</v>
      </c>
      <c r="AK9">
        <f t="shared" si="12"/>
        <v>480</v>
      </c>
      <c r="AL9">
        <f t="shared" ref="AL9" si="13">IF(ISNA(AL4),AK9+$B$19,AL4)</f>
        <v>495</v>
      </c>
    </row>
    <row r="11" spans="1:38" x14ac:dyDescent="0.25">
      <c r="A11" s="47" t="s">
        <v>75</v>
      </c>
      <c r="B11" s="2" t="s">
        <v>76</v>
      </c>
      <c r="C11" s="2"/>
      <c r="D11" s="2"/>
    </row>
    <row r="12" spans="1:38" x14ac:dyDescent="0.25">
      <c r="A12" s="47"/>
      <c r="B12" s="1" t="s">
        <v>77</v>
      </c>
      <c r="F12">
        <v>23400</v>
      </c>
      <c r="G12">
        <v>23400</v>
      </c>
      <c r="H12">
        <v>23400</v>
      </c>
      <c r="I12">
        <v>23400</v>
      </c>
      <c r="J12">
        <v>23400</v>
      </c>
      <c r="K12">
        <v>23400</v>
      </c>
      <c r="L12">
        <v>23400</v>
      </c>
      <c r="M12">
        <v>23400</v>
      </c>
      <c r="N12">
        <v>23400</v>
      </c>
    </row>
    <row r="13" spans="1:38" x14ac:dyDescent="0.25">
      <c r="A13" s="47"/>
      <c r="B13" s="1" t="s">
        <v>78</v>
      </c>
      <c r="E13">
        <v>0</v>
      </c>
      <c r="F13">
        <f>IF(COUNTBLANK(F12),NA(),F12+E13)</f>
        <v>23400</v>
      </c>
      <c r="G13">
        <f t="shared" ref="G13:AL13" si="14">IF(COUNTBLANK(G12),NA(),G12+F13)</f>
        <v>46800</v>
      </c>
      <c r="H13">
        <f t="shared" si="14"/>
        <v>70200</v>
      </c>
      <c r="I13">
        <f t="shared" si="14"/>
        <v>93600</v>
      </c>
      <c r="J13">
        <f>IF(COUNTBLANK(J12),NA(),J12+I13)</f>
        <v>117000</v>
      </c>
      <c r="K13">
        <f t="shared" si="14"/>
        <v>140400</v>
      </c>
      <c r="L13">
        <f t="shared" si="14"/>
        <v>163800</v>
      </c>
      <c r="M13">
        <f>IF(COUNTBLANK(M12),NA(),M12+L13)</f>
        <v>187200</v>
      </c>
      <c r="N13">
        <f t="shared" si="14"/>
        <v>210600</v>
      </c>
      <c r="O13" t="e">
        <f>IF(COUNTBLANK(O12),NA(),O12+N13)</f>
        <v>#N/A</v>
      </c>
      <c r="P13" t="e">
        <f t="shared" si="14"/>
        <v>#N/A</v>
      </c>
      <c r="Q13" t="e">
        <f t="shared" si="14"/>
        <v>#N/A</v>
      </c>
      <c r="R13" t="e">
        <f t="shared" si="14"/>
        <v>#N/A</v>
      </c>
      <c r="S13" t="e">
        <f t="shared" si="14"/>
        <v>#N/A</v>
      </c>
      <c r="T13" t="e">
        <f t="shared" si="14"/>
        <v>#N/A</v>
      </c>
      <c r="U13" t="e">
        <f t="shared" si="14"/>
        <v>#N/A</v>
      </c>
      <c r="V13" t="e">
        <f t="shared" si="14"/>
        <v>#N/A</v>
      </c>
      <c r="W13" t="e">
        <f t="shared" si="14"/>
        <v>#N/A</v>
      </c>
      <c r="X13" t="e">
        <f t="shared" si="14"/>
        <v>#N/A</v>
      </c>
      <c r="Y13" t="e">
        <f t="shared" si="14"/>
        <v>#N/A</v>
      </c>
      <c r="Z13" t="e">
        <f t="shared" si="14"/>
        <v>#N/A</v>
      </c>
      <c r="AA13" t="e">
        <f t="shared" si="14"/>
        <v>#N/A</v>
      </c>
      <c r="AB13" t="e">
        <f t="shared" si="14"/>
        <v>#N/A</v>
      </c>
      <c r="AC13" t="e">
        <f t="shared" si="14"/>
        <v>#N/A</v>
      </c>
      <c r="AD13" t="e">
        <f t="shared" si="14"/>
        <v>#N/A</v>
      </c>
      <c r="AE13" t="e">
        <f t="shared" si="14"/>
        <v>#N/A</v>
      </c>
      <c r="AF13" t="e">
        <f t="shared" si="14"/>
        <v>#N/A</v>
      </c>
      <c r="AG13" t="e">
        <f t="shared" si="14"/>
        <v>#N/A</v>
      </c>
      <c r="AH13" t="e">
        <f t="shared" si="14"/>
        <v>#N/A</v>
      </c>
      <c r="AI13" t="e">
        <f t="shared" si="14"/>
        <v>#N/A</v>
      </c>
      <c r="AJ13" t="e">
        <f t="shared" si="14"/>
        <v>#N/A</v>
      </c>
      <c r="AK13" t="e">
        <f t="shared" si="14"/>
        <v>#N/A</v>
      </c>
      <c r="AL13" t="e">
        <f t="shared" si="14"/>
        <v>#N/A</v>
      </c>
    </row>
    <row r="14" spans="1:38" x14ac:dyDescent="0.25">
      <c r="A14" s="47"/>
      <c r="B14" s="1" t="s">
        <v>79</v>
      </c>
      <c r="E14">
        <v>0</v>
      </c>
      <c r="F14">
        <f t="shared" ref="F14:AK14" si="15">IF(ISNA(F13),E14+$D$28,F13)</f>
        <v>23400</v>
      </c>
      <c r="G14">
        <f t="shared" si="15"/>
        <v>46800</v>
      </c>
      <c r="H14">
        <f t="shared" si="15"/>
        <v>70200</v>
      </c>
      <c r="I14">
        <f t="shared" si="15"/>
        <v>93600</v>
      </c>
      <c r="J14">
        <f t="shared" si="15"/>
        <v>117000</v>
      </c>
      <c r="K14">
        <f t="shared" si="15"/>
        <v>140400</v>
      </c>
      <c r="L14">
        <f t="shared" si="15"/>
        <v>163800</v>
      </c>
      <c r="M14">
        <f t="shared" si="15"/>
        <v>187200</v>
      </c>
      <c r="N14">
        <f t="shared" si="15"/>
        <v>210600</v>
      </c>
      <c r="O14">
        <f t="shared" si="15"/>
        <v>234000</v>
      </c>
      <c r="P14">
        <f t="shared" si="15"/>
        <v>257400</v>
      </c>
      <c r="Q14">
        <f t="shared" si="15"/>
        <v>280800</v>
      </c>
      <c r="R14">
        <f t="shared" si="15"/>
        <v>304200</v>
      </c>
      <c r="S14">
        <f t="shared" si="15"/>
        <v>327600</v>
      </c>
      <c r="T14">
        <f t="shared" si="15"/>
        <v>351000</v>
      </c>
      <c r="U14">
        <f t="shared" si="15"/>
        <v>374400</v>
      </c>
      <c r="V14">
        <f t="shared" si="15"/>
        <v>397800</v>
      </c>
      <c r="W14">
        <f t="shared" si="15"/>
        <v>421200</v>
      </c>
      <c r="X14">
        <f t="shared" si="15"/>
        <v>444600</v>
      </c>
      <c r="Y14">
        <f t="shared" si="15"/>
        <v>468000</v>
      </c>
      <c r="Z14">
        <f t="shared" si="15"/>
        <v>491400</v>
      </c>
      <c r="AA14">
        <f t="shared" si="15"/>
        <v>514800</v>
      </c>
      <c r="AB14">
        <f t="shared" si="15"/>
        <v>538200</v>
      </c>
      <c r="AC14">
        <f t="shared" si="15"/>
        <v>561600</v>
      </c>
      <c r="AD14">
        <f t="shared" si="15"/>
        <v>585000</v>
      </c>
      <c r="AE14">
        <f t="shared" si="15"/>
        <v>608400</v>
      </c>
      <c r="AF14">
        <f t="shared" si="15"/>
        <v>631800</v>
      </c>
      <c r="AG14">
        <f t="shared" si="15"/>
        <v>655200</v>
      </c>
      <c r="AH14">
        <f t="shared" si="15"/>
        <v>678600</v>
      </c>
      <c r="AI14">
        <f t="shared" si="15"/>
        <v>702000</v>
      </c>
      <c r="AJ14">
        <f t="shared" si="15"/>
        <v>725400</v>
      </c>
      <c r="AK14">
        <f t="shared" si="15"/>
        <v>748800</v>
      </c>
      <c r="AL14">
        <f t="shared" ref="AL14" si="16">IF(ISNA(AL13),AK14+$D$28,AL13)</f>
        <v>772200</v>
      </c>
    </row>
    <row r="16" spans="1:38" x14ac:dyDescent="0.25">
      <c r="A16" s="2" t="s">
        <v>80</v>
      </c>
    </row>
    <row r="17" spans="1:4" ht="30" x14ac:dyDescent="0.25">
      <c r="A17" s="1" t="s">
        <v>81</v>
      </c>
      <c r="B17" s="1">
        <v>25</v>
      </c>
    </row>
    <row r="18" spans="1:4" ht="30" x14ac:dyDescent="0.25">
      <c r="A18" s="1" t="s">
        <v>82</v>
      </c>
      <c r="B18" s="1">
        <v>20</v>
      </c>
    </row>
    <row r="19" spans="1:4" ht="30" x14ac:dyDescent="0.25">
      <c r="A19" s="1" t="s">
        <v>83</v>
      </c>
      <c r="B19" s="1">
        <v>15</v>
      </c>
    </row>
    <row r="21" spans="1:4" ht="30" x14ac:dyDescent="0.25">
      <c r="A21" s="2" t="s">
        <v>118</v>
      </c>
      <c r="B21" s="2" t="s">
        <v>84</v>
      </c>
      <c r="C21" s="2" t="s">
        <v>85</v>
      </c>
      <c r="D21" s="2" t="s">
        <v>86</v>
      </c>
    </row>
    <row r="22" spans="1:4" x14ac:dyDescent="0.25">
      <c r="A22" s="2" t="s">
        <v>121</v>
      </c>
      <c r="B22" s="2"/>
      <c r="C22" s="2"/>
      <c r="D22" s="29">
        <v>23400</v>
      </c>
    </row>
    <row r="23" spans="1:4" x14ac:dyDescent="0.25">
      <c r="A23" s="1" t="s">
        <v>120</v>
      </c>
      <c r="C23" s="28">
        <v>1</v>
      </c>
      <c r="D23" s="3"/>
    </row>
    <row r="24" spans="1:4" x14ac:dyDescent="0.25">
      <c r="A24" s="1" t="s">
        <v>119</v>
      </c>
      <c r="C24" s="28">
        <v>0.5</v>
      </c>
      <c r="D24" s="3"/>
    </row>
    <row r="25" spans="1:4" x14ac:dyDescent="0.25">
      <c r="A25" s="1" t="s">
        <v>115</v>
      </c>
      <c r="C25" s="28">
        <v>0.25</v>
      </c>
      <c r="D25" s="3"/>
    </row>
    <row r="26" spans="1:4" x14ac:dyDescent="0.25">
      <c r="A26" s="1" t="s">
        <v>116</v>
      </c>
      <c r="C26" s="28">
        <f>C25*0.5</f>
        <v>0.125</v>
      </c>
      <c r="D26" s="3"/>
    </row>
    <row r="27" spans="1:4" x14ac:dyDescent="0.25">
      <c r="A27" s="1" t="s">
        <v>117</v>
      </c>
      <c r="C27" s="28">
        <v>0.13</v>
      </c>
    </row>
    <row r="28" spans="1:4" x14ac:dyDescent="0.25">
      <c r="A28" s="2" t="s">
        <v>29</v>
      </c>
      <c r="B28" s="2"/>
      <c r="C28" s="2"/>
      <c r="D28" s="29">
        <f>SUM(D22:D27)</f>
        <v>23400</v>
      </c>
    </row>
    <row r="29" spans="1:4" ht="30" x14ac:dyDescent="0.25">
      <c r="C29" s="1" t="s">
        <v>122</v>
      </c>
      <c r="D29" s="3"/>
    </row>
    <row r="31" spans="1:4" x14ac:dyDescent="0.25">
      <c r="C31" s="3">
        <f>D28/3*4</f>
        <v>31200</v>
      </c>
      <c r="D31" s="3"/>
    </row>
    <row r="32" spans="1:4" x14ac:dyDescent="0.25">
      <c r="C32" s="3">
        <f>C31/2</f>
        <v>15600</v>
      </c>
    </row>
  </sheetData>
  <mergeCells count="2">
    <mergeCell ref="A7:A9"/>
    <mergeCell ref="A11:A14"/>
  </mergeCells>
  <phoneticPr fontId="1" type="noConversion"/>
  <conditionalFormatting sqref="E4:BC4">
    <cfRule type="expression" dxfId="0" priority="1">
      <formula>"ISNA()"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A070C-09DD-422D-AC25-BE55E6715C93}">
  <dimension ref="A1"/>
  <sheetViews>
    <sheetView zoomScale="85" zoomScaleNormal="85" workbookViewId="0">
      <selection activeCell="I34" sqref="I34"/>
    </sheetView>
  </sheetViews>
  <sheetFormatPr defaultRowHeight="15" x14ac:dyDescent="0.25"/>
  <cols>
    <col min="6" max="7" width="10.28515625" bestFit="1" customWidth="1"/>
    <col min="8" max="9" width="11.28515625" bestFit="1" customWidth="1"/>
  </cols>
  <sheetData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591C6-2D6B-4559-BAB2-FBE0F2F735DF}">
  <dimension ref="A1:F22"/>
  <sheetViews>
    <sheetView workbookViewId="0">
      <selection activeCell="D32" sqref="D32"/>
    </sheetView>
  </sheetViews>
  <sheetFormatPr defaultRowHeight="15" x14ac:dyDescent="0.25"/>
  <cols>
    <col min="1" max="1" width="12.7109375" bestFit="1" customWidth="1"/>
    <col min="2" max="2" width="10" bestFit="1" customWidth="1"/>
    <col min="3" max="3" width="43.140625" bestFit="1" customWidth="1"/>
    <col min="4" max="4" width="24.28515625" bestFit="1" customWidth="1"/>
    <col min="5" max="6" width="11.7109375" bestFit="1" customWidth="1"/>
  </cols>
  <sheetData>
    <row r="1" spans="1:6" x14ac:dyDescent="0.25">
      <c r="A1" t="s">
        <v>87</v>
      </c>
      <c r="B1" s="29">
        <v>23400</v>
      </c>
    </row>
    <row r="4" spans="1:6" x14ac:dyDescent="0.25">
      <c r="C4" s="37" t="s">
        <v>123</v>
      </c>
      <c r="D4" s="37" t="s">
        <v>1</v>
      </c>
      <c r="E4" s="37" t="s">
        <v>2</v>
      </c>
      <c r="F4" s="37" t="s">
        <v>3</v>
      </c>
    </row>
    <row r="5" spans="1:6" x14ac:dyDescent="0.25">
      <c r="C5" s="32" t="s">
        <v>126</v>
      </c>
      <c r="D5" s="32" t="s">
        <v>124</v>
      </c>
      <c r="E5" s="33">
        <f>B1</f>
        <v>23400</v>
      </c>
      <c r="F5" s="33">
        <f>B1</f>
        <v>23400</v>
      </c>
    </row>
    <row r="6" spans="1:6" x14ac:dyDescent="0.25">
      <c r="C6" s="32" t="s">
        <v>125</v>
      </c>
      <c r="D6" s="32" t="s">
        <v>127</v>
      </c>
      <c r="E6" s="33">
        <f>2*B1</f>
        <v>46800</v>
      </c>
      <c r="F6" s="33">
        <f>3*B1</f>
        <v>70200</v>
      </c>
    </row>
    <row r="7" spans="1:6" x14ac:dyDescent="0.25">
      <c r="C7" s="32" t="s">
        <v>97</v>
      </c>
      <c r="D7" s="32" t="s">
        <v>128</v>
      </c>
      <c r="E7" s="33">
        <v>3600</v>
      </c>
      <c r="F7" s="33">
        <v>3600</v>
      </c>
    </row>
    <row r="8" spans="1:6" x14ac:dyDescent="0.25">
      <c r="C8" s="32" t="s">
        <v>16</v>
      </c>
      <c r="D8" s="32" t="s">
        <v>128</v>
      </c>
      <c r="E8" s="33">
        <v>3600</v>
      </c>
      <c r="F8" s="33">
        <v>3600</v>
      </c>
    </row>
    <row r="9" spans="1:6" x14ac:dyDescent="0.25">
      <c r="C9" s="32" t="s">
        <v>17</v>
      </c>
      <c r="D9" s="32" t="s">
        <v>18</v>
      </c>
      <c r="E9" s="33">
        <v>3150</v>
      </c>
      <c r="F9" s="33">
        <v>3150</v>
      </c>
    </row>
    <row r="10" spans="1:6" ht="15.75" thickBot="1" x14ac:dyDescent="0.3">
      <c r="C10" s="34" t="s">
        <v>129</v>
      </c>
      <c r="D10" s="34" t="s">
        <v>131</v>
      </c>
      <c r="E10" s="36">
        <f>SUM(E5:E9)</f>
        <v>80550</v>
      </c>
      <c r="F10" s="36">
        <f>SUM(F5:F9)</f>
        <v>103950</v>
      </c>
    </row>
    <row r="11" spans="1:6" ht="15.75" thickTop="1" x14ac:dyDescent="0.25">
      <c r="C11" s="15"/>
      <c r="D11" s="15"/>
      <c r="E11" s="39"/>
      <c r="F11" s="39"/>
    </row>
    <row r="12" spans="1:6" x14ac:dyDescent="0.25">
      <c r="C12" s="37" t="s">
        <v>137</v>
      </c>
      <c r="D12" s="37" t="s">
        <v>1</v>
      </c>
      <c r="E12" s="37" t="s">
        <v>2</v>
      </c>
      <c r="F12" s="37" t="s">
        <v>3</v>
      </c>
    </row>
    <row r="13" spans="1:6" x14ac:dyDescent="0.25">
      <c r="C13" s="32" t="s">
        <v>134</v>
      </c>
      <c r="D13" s="32" t="s">
        <v>124</v>
      </c>
      <c r="E13" s="35">
        <f>E5</f>
        <v>23400</v>
      </c>
      <c r="F13" s="35">
        <f>F5</f>
        <v>23400</v>
      </c>
    </row>
    <row r="14" spans="1:6" x14ac:dyDescent="0.25">
      <c r="C14" s="32" t="s">
        <v>135</v>
      </c>
      <c r="D14" s="32" t="s">
        <v>138</v>
      </c>
      <c r="E14" s="35">
        <f>SUM(E6:E9)</f>
        <v>57150</v>
      </c>
      <c r="F14" s="35">
        <f>SUM(F6:F9)</f>
        <v>80550</v>
      </c>
    </row>
    <row r="15" spans="1:6" ht="15.75" thickBot="1" x14ac:dyDescent="0.3">
      <c r="C15" s="34" t="s">
        <v>136</v>
      </c>
      <c r="D15" s="32" t="s">
        <v>139</v>
      </c>
      <c r="E15" s="36">
        <f>SUM(E13:E14)</f>
        <v>80550</v>
      </c>
      <c r="F15" s="36">
        <f>SUM(F13:F14)</f>
        <v>103950</v>
      </c>
    </row>
    <row r="16" spans="1:6" ht="15.75" thickTop="1" x14ac:dyDescent="0.25">
      <c r="E16" s="30"/>
    </row>
    <row r="17" spans="3:6" x14ac:dyDescent="0.25">
      <c r="C17" s="37" t="s">
        <v>123</v>
      </c>
      <c r="D17" s="37" t="s">
        <v>1</v>
      </c>
      <c r="E17" s="37" t="s">
        <v>2</v>
      </c>
      <c r="F17" s="37" t="s">
        <v>3</v>
      </c>
    </row>
    <row r="18" spans="3:6" x14ac:dyDescent="0.25">
      <c r="C18" s="32" t="s">
        <v>130</v>
      </c>
      <c r="D18" s="32" t="s">
        <v>132</v>
      </c>
      <c r="E18" s="33">
        <f>B1</f>
        <v>23400</v>
      </c>
      <c r="F18" s="33">
        <f>B1*2</f>
        <v>46800</v>
      </c>
    </row>
    <row r="19" spans="3:6" x14ac:dyDescent="0.25">
      <c r="C19" s="32" t="s">
        <v>97</v>
      </c>
      <c r="D19" s="32" t="s">
        <v>128</v>
      </c>
      <c r="E19" s="33">
        <v>3600</v>
      </c>
      <c r="F19" s="33">
        <v>3600</v>
      </c>
    </row>
    <row r="20" spans="3:6" x14ac:dyDescent="0.25">
      <c r="C20" s="32" t="s">
        <v>16</v>
      </c>
      <c r="D20" s="32" t="s">
        <v>128</v>
      </c>
      <c r="E20" s="33">
        <v>3600</v>
      </c>
      <c r="F20" s="33">
        <v>3600</v>
      </c>
    </row>
    <row r="21" spans="3:6" ht="15.75" thickBot="1" x14ac:dyDescent="0.3">
      <c r="C21" s="34" t="s">
        <v>29</v>
      </c>
      <c r="D21" s="38" t="s">
        <v>133</v>
      </c>
      <c r="E21" s="36">
        <f>SUM(E18:E20)</f>
        <v>30600</v>
      </c>
      <c r="F21" s="36">
        <f>SUM(F18:F20)</f>
        <v>54000</v>
      </c>
    </row>
    <row r="22" spans="3:6" ht="15.75" thickTop="1" x14ac:dyDescent="0.2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BC813-CBC5-4081-9DF5-B7A0CD4C2268}">
  <dimension ref="A1:K9"/>
  <sheetViews>
    <sheetView workbookViewId="0">
      <selection activeCell="B26" sqref="B26"/>
    </sheetView>
  </sheetViews>
  <sheetFormatPr defaultColWidth="12.5703125" defaultRowHeight="15" x14ac:dyDescent="0.25"/>
  <cols>
    <col min="1" max="1" width="43.85546875" bestFit="1" customWidth="1"/>
    <col min="2" max="2" width="28.42578125" customWidth="1"/>
    <col min="3" max="3" width="19.28515625" hidden="1" customWidth="1"/>
    <col min="4" max="4" width="19.28515625" customWidth="1"/>
    <col min="5" max="5" width="15.42578125" bestFit="1" customWidth="1"/>
    <col min="7" max="7" width="17.5703125" bestFit="1" customWidth="1"/>
  </cols>
  <sheetData>
    <row r="1" spans="1:11" x14ac:dyDescent="0.25">
      <c r="A1" s="40" t="s">
        <v>0</v>
      </c>
      <c r="B1" s="41" t="s">
        <v>1</v>
      </c>
      <c r="C1" s="41" t="s">
        <v>140</v>
      </c>
      <c r="D1" s="41"/>
      <c r="E1" s="41" t="s">
        <v>3</v>
      </c>
      <c r="F1" s="42"/>
      <c r="G1" s="42"/>
    </row>
    <row r="2" spans="1:11" x14ac:dyDescent="0.25">
      <c r="A2" s="43" t="s">
        <v>4</v>
      </c>
      <c r="B2" s="43" t="s">
        <v>5</v>
      </c>
      <c r="C2" s="44">
        <v>6000</v>
      </c>
      <c r="D2" s="44"/>
      <c r="E2" s="44">
        <v>9000</v>
      </c>
      <c r="G2" s="48" t="s">
        <v>151</v>
      </c>
      <c r="H2" s="48"/>
      <c r="J2" s="48" t="s">
        <v>144</v>
      </c>
      <c r="K2" s="48"/>
    </row>
    <row r="3" spans="1:11" x14ac:dyDescent="0.25">
      <c r="A3" s="43" t="s">
        <v>141</v>
      </c>
      <c r="B3" s="43" t="s">
        <v>142</v>
      </c>
      <c r="C3" s="44">
        <f>23400*2</f>
        <v>46800</v>
      </c>
      <c r="D3" s="44"/>
      <c r="E3" s="44">
        <f>23400*2</f>
        <v>46800</v>
      </c>
      <c r="G3" s="32" t="s">
        <v>145</v>
      </c>
      <c r="H3" s="32">
        <v>2</v>
      </c>
      <c r="J3" s="32" t="s">
        <v>149</v>
      </c>
      <c r="K3" s="32">
        <v>1.5</v>
      </c>
    </row>
    <row r="4" spans="1:11" x14ac:dyDescent="0.25">
      <c r="A4" s="43" t="s">
        <v>12</v>
      </c>
      <c r="B4" s="43" t="s">
        <v>13</v>
      </c>
      <c r="C4" s="44">
        <v>3600</v>
      </c>
      <c r="D4" s="44"/>
      <c r="E4" s="44">
        <v>3600</v>
      </c>
      <c r="G4" s="32" t="s">
        <v>146</v>
      </c>
      <c r="H4" s="32">
        <v>37</v>
      </c>
      <c r="J4" s="32" t="s">
        <v>150</v>
      </c>
      <c r="K4" s="32">
        <v>0.5</v>
      </c>
    </row>
    <row r="5" spans="1:11" x14ac:dyDescent="0.25">
      <c r="A5" s="43" t="s">
        <v>16</v>
      </c>
      <c r="B5" s="43" t="s">
        <v>13</v>
      </c>
      <c r="C5" s="44">
        <v>3600</v>
      </c>
      <c r="D5" s="44"/>
      <c r="E5" s="44">
        <v>3600</v>
      </c>
      <c r="G5" s="32" t="s">
        <v>147</v>
      </c>
      <c r="H5" s="32">
        <v>20</v>
      </c>
    </row>
    <row r="6" spans="1:11" x14ac:dyDescent="0.25">
      <c r="A6" s="43" t="s">
        <v>17</v>
      </c>
      <c r="B6" s="43" t="s">
        <v>18</v>
      </c>
      <c r="C6" s="44">
        <v>3150</v>
      </c>
      <c r="D6" s="44"/>
      <c r="E6" s="44">
        <v>3150</v>
      </c>
      <c r="G6" s="32" t="s">
        <v>148</v>
      </c>
      <c r="H6" s="32">
        <v>2</v>
      </c>
    </row>
    <row r="7" spans="1:11" x14ac:dyDescent="0.25">
      <c r="A7" s="32"/>
      <c r="B7" s="32"/>
      <c r="C7" s="32"/>
      <c r="D7" s="32"/>
      <c r="E7" s="32"/>
    </row>
    <row r="8" spans="1:11" ht="16.5" thickBot="1" x14ac:dyDescent="0.3">
      <c r="A8" s="45" t="s">
        <v>29</v>
      </c>
      <c r="B8" s="45" t="s">
        <v>143</v>
      </c>
      <c r="C8" s="46">
        <f>SUM(C2:C6)</f>
        <v>63150</v>
      </c>
      <c r="D8" s="46"/>
      <c r="E8" s="46">
        <f>SUM(E2:E6)</f>
        <v>66150</v>
      </c>
    </row>
    <row r="9" spans="1:11" ht="15.75" thickTop="1" x14ac:dyDescent="0.25"/>
  </sheetData>
  <mergeCells count="2">
    <mergeCell ref="J2:K2"/>
    <mergeCell ref="G2:H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EE87-1F91-4729-84B6-FBBFAB49E737}">
  <dimension ref="A1:BU16"/>
  <sheetViews>
    <sheetView workbookViewId="0">
      <selection activeCell="L20" sqref="L20"/>
    </sheetView>
  </sheetViews>
  <sheetFormatPr defaultColWidth="9.140625" defaultRowHeight="12.75" x14ac:dyDescent="0.2"/>
  <cols>
    <col min="1" max="1" width="14" style="16" bestFit="1" customWidth="1"/>
    <col min="2" max="2" width="10" style="16" bestFit="1" customWidth="1"/>
    <col min="3" max="3" width="1.85546875" style="16" customWidth="1"/>
    <col min="4" max="8" width="6.28515625" style="16" bestFit="1" customWidth="1"/>
    <col min="9" max="10" width="1.140625" style="16" customWidth="1"/>
    <col min="11" max="15" width="6.28515625" style="16" bestFit="1" customWidth="1"/>
    <col min="16" max="17" width="1.5703125" style="16" customWidth="1"/>
    <col min="18" max="21" width="6.28515625" style="16" bestFit="1" customWidth="1"/>
    <col min="22" max="22" width="9.85546875" style="16" bestFit="1" customWidth="1"/>
    <col min="23" max="24" width="1.140625" style="16" customWidth="1"/>
    <col min="25" max="29" width="6.5703125" style="16" bestFit="1" customWidth="1"/>
    <col min="30" max="31" width="1.140625" style="16" customWidth="1"/>
    <col min="32" max="36" width="6.5703125" style="16" bestFit="1" customWidth="1"/>
    <col min="37" max="38" width="1.140625" style="16" customWidth="1"/>
    <col min="39" max="43" width="7.28515625" style="16" bestFit="1" customWidth="1"/>
    <col min="44" max="45" width="1.140625" style="16" customWidth="1"/>
    <col min="46" max="50" width="6.5703125" style="16" bestFit="1" customWidth="1"/>
    <col min="51" max="52" width="1.28515625" style="16" customWidth="1"/>
    <col min="53" max="57" width="6.42578125" style="16" bestFit="1" customWidth="1"/>
    <col min="58" max="59" width="1.28515625" style="16" customWidth="1"/>
    <col min="60" max="64" width="6.42578125" style="16" bestFit="1" customWidth="1"/>
    <col min="65" max="66" width="1.28515625" style="16" customWidth="1"/>
    <col min="67" max="71" width="6.42578125" style="16" bestFit="1" customWidth="1"/>
    <col min="72" max="73" width="2.7109375" style="16" customWidth="1"/>
    <col min="74" max="16384" width="9.140625" style="16"/>
  </cols>
  <sheetData>
    <row r="1" spans="1:73" x14ac:dyDescent="0.2">
      <c r="A1" s="18" t="s">
        <v>87</v>
      </c>
      <c r="B1" s="24">
        <v>23400</v>
      </c>
    </row>
    <row r="2" spans="1:73" x14ac:dyDescent="0.2">
      <c r="A2" s="18" t="s">
        <v>97</v>
      </c>
      <c r="B2" s="24">
        <v>3600</v>
      </c>
      <c r="D2" s="49" t="s">
        <v>34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Y2" s="49" t="s">
        <v>95</v>
      </c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T2" s="55" t="s">
        <v>97</v>
      </c>
      <c r="AU2" s="56"/>
      <c r="AV2" s="56"/>
      <c r="AW2" s="56"/>
      <c r="AX2" s="57"/>
      <c r="BA2" s="55" t="s">
        <v>97</v>
      </c>
      <c r="BB2" s="56"/>
      <c r="BC2" s="56"/>
      <c r="BD2" s="56"/>
      <c r="BE2" s="57"/>
      <c r="BH2" s="55" t="s">
        <v>98</v>
      </c>
      <c r="BI2" s="56"/>
      <c r="BJ2" s="56"/>
      <c r="BK2" s="56"/>
      <c r="BL2" s="57"/>
      <c r="BO2" s="55" t="s">
        <v>98</v>
      </c>
      <c r="BP2" s="56"/>
      <c r="BQ2" s="56"/>
      <c r="BR2" s="56"/>
      <c r="BS2" s="57"/>
    </row>
    <row r="3" spans="1:73" x14ac:dyDescent="0.2">
      <c r="A3" s="18" t="s">
        <v>109</v>
      </c>
      <c r="B3" s="24">
        <v>3600</v>
      </c>
      <c r="D3" s="52" t="s">
        <v>99</v>
      </c>
      <c r="E3" s="53"/>
      <c r="F3" s="53"/>
      <c r="G3" s="53"/>
      <c r="H3" s="54"/>
      <c r="I3" s="22"/>
      <c r="J3" s="22"/>
      <c r="K3" s="52" t="s">
        <v>100</v>
      </c>
      <c r="L3" s="53"/>
      <c r="M3" s="53"/>
      <c r="N3" s="53"/>
      <c r="O3" s="54"/>
      <c r="P3" s="22"/>
      <c r="Q3" s="22"/>
      <c r="R3" s="52" t="s">
        <v>101</v>
      </c>
      <c r="S3" s="53"/>
      <c r="T3" s="53"/>
      <c r="U3" s="53"/>
      <c r="V3" s="54"/>
      <c r="Y3" s="52" t="s">
        <v>102</v>
      </c>
      <c r="Z3" s="53"/>
      <c r="AA3" s="53"/>
      <c r="AB3" s="53"/>
      <c r="AC3" s="54"/>
      <c r="AD3" s="22"/>
      <c r="AE3" s="22"/>
      <c r="AF3" s="52" t="s">
        <v>103</v>
      </c>
      <c r="AG3" s="53"/>
      <c r="AH3" s="53"/>
      <c r="AI3" s="53"/>
      <c r="AJ3" s="54"/>
      <c r="AK3" s="22"/>
      <c r="AL3" s="22"/>
      <c r="AM3" s="52" t="s">
        <v>104</v>
      </c>
      <c r="AN3" s="53"/>
      <c r="AO3" s="53"/>
      <c r="AP3" s="53"/>
      <c r="AQ3" s="54"/>
      <c r="AT3" s="51" t="s">
        <v>105</v>
      </c>
      <c r="AU3" s="51"/>
      <c r="AV3" s="51"/>
      <c r="AW3" s="51"/>
      <c r="AX3" s="51"/>
      <c r="AY3" s="23"/>
      <c r="AZ3" s="23"/>
      <c r="BA3" s="51" t="s">
        <v>106</v>
      </c>
      <c r="BB3" s="51"/>
      <c r="BC3" s="51"/>
      <c r="BD3" s="51"/>
      <c r="BE3" s="51"/>
      <c r="BF3" s="23"/>
      <c r="BG3" s="23"/>
      <c r="BH3" s="51" t="s">
        <v>107</v>
      </c>
      <c r="BI3" s="51"/>
      <c r="BJ3" s="51"/>
      <c r="BK3" s="51"/>
      <c r="BL3" s="51"/>
      <c r="BM3" s="23"/>
      <c r="BN3" s="23"/>
      <c r="BO3" s="51" t="s">
        <v>108</v>
      </c>
      <c r="BP3" s="51"/>
      <c r="BQ3" s="51"/>
      <c r="BR3" s="51"/>
      <c r="BS3" s="51"/>
    </row>
    <row r="4" spans="1:73" x14ac:dyDescent="0.2">
      <c r="A4" s="18" t="s">
        <v>110</v>
      </c>
      <c r="B4" s="24">
        <v>3150</v>
      </c>
      <c r="D4" s="18" t="s">
        <v>88</v>
      </c>
      <c r="E4" s="18" t="s">
        <v>89</v>
      </c>
      <c r="F4" s="18" t="s">
        <v>90</v>
      </c>
      <c r="G4" s="18" t="s">
        <v>91</v>
      </c>
      <c r="H4" s="18" t="s">
        <v>92</v>
      </c>
      <c r="I4" s="19" t="s">
        <v>93</v>
      </c>
      <c r="J4" s="19" t="s">
        <v>94</v>
      </c>
      <c r="K4" s="18" t="s">
        <v>88</v>
      </c>
      <c r="L4" s="18" t="s">
        <v>89</v>
      </c>
      <c r="M4" s="18" t="s">
        <v>90</v>
      </c>
      <c r="N4" s="18" t="s">
        <v>91</v>
      </c>
      <c r="O4" s="18" t="s">
        <v>92</v>
      </c>
      <c r="P4" s="19" t="s">
        <v>93</v>
      </c>
      <c r="Q4" s="19" t="s">
        <v>94</v>
      </c>
      <c r="R4" s="18" t="s">
        <v>88</v>
      </c>
      <c r="S4" s="18" t="s">
        <v>89</v>
      </c>
      <c r="T4" s="18" t="s">
        <v>90</v>
      </c>
      <c r="U4" s="18" t="s">
        <v>91</v>
      </c>
      <c r="V4" s="18" t="s">
        <v>92</v>
      </c>
      <c r="W4" s="19" t="s">
        <v>93</v>
      </c>
      <c r="X4" s="19" t="s">
        <v>94</v>
      </c>
      <c r="Y4" s="18" t="s">
        <v>88</v>
      </c>
      <c r="Z4" s="18" t="s">
        <v>89</v>
      </c>
      <c r="AA4" s="18" t="s">
        <v>90</v>
      </c>
      <c r="AB4" s="18" t="s">
        <v>91</v>
      </c>
      <c r="AC4" s="18" t="s">
        <v>92</v>
      </c>
      <c r="AD4" s="19" t="s">
        <v>93</v>
      </c>
      <c r="AE4" s="19" t="s">
        <v>94</v>
      </c>
      <c r="AF4" s="18" t="s">
        <v>88</v>
      </c>
      <c r="AG4" s="18" t="s">
        <v>89</v>
      </c>
      <c r="AH4" s="18" t="s">
        <v>90</v>
      </c>
      <c r="AI4" s="18" t="s">
        <v>91</v>
      </c>
      <c r="AJ4" s="18" t="s">
        <v>92</v>
      </c>
      <c r="AK4" s="19" t="s">
        <v>93</v>
      </c>
      <c r="AL4" s="19" t="s">
        <v>94</v>
      </c>
      <c r="AM4" s="18" t="s">
        <v>88</v>
      </c>
      <c r="AN4" s="18" t="s">
        <v>89</v>
      </c>
      <c r="AO4" s="18" t="s">
        <v>90</v>
      </c>
      <c r="AP4" s="18" t="s">
        <v>91</v>
      </c>
      <c r="AQ4" s="18" t="s">
        <v>92</v>
      </c>
      <c r="AR4" s="19" t="s">
        <v>93</v>
      </c>
      <c r="AS4" s="19" t="s">
        <v>94</v>
      </c>
      <c r="AT4" s="18" t="s">
        <v>88</v>
      </c>
      <c r="AU4" s="18" t="s">
        <v>89</v>
      </c>
      <c r="AV4" s="18" t="s">
        <v>90</v>
      </c>
      <c r="AW4" s="18" t="s">
        <v>91</v>
      </c>
      <c r="AX4" s="18" t="s">
        <v>92</v>
      </c>
      <c r="AY4" s="19" t="s">
        <v>93</v>
      </c>
      <c r="AZ4" s="19" t="s">
        <v>94</v>
      </c>
      <c r="BA4" s="18" t="s">
        <v>88</v>
      </c>
      <c r="BB4" s="18" t="s">
        <v>89</v>
      </c>
      <c r="BC4" s="18" t="s">
        <v>90</v>
      </c>
      <c r="BD4" s="18" t="s">
        <v>91</v>
      </c>
      <c r="BE4" s="18" t="s">
        <v>92</v>
      </c>
      <c r="BF4" s="19" t="s">
        <v>93</v>
      </c>
      <c r="BG4" s="19" t="s">
        <v>94</v>
      </c>
      <c r="BH4" s="18" t="s">
        <v>88</v>
      </c>
      <c r="BI4" s="18" t="s">
        <v>89</v>
      </c>
      <c r="BJ4" s="18" t="s">
        <v>90</v>
      </c>
      <c r="BK4" s="18" t="s">
        <v>91</v>
      </c>
      <c r="BL4" s="18" t="s">
        <v>92</v>
      </c>
      <c r="BM4" s="19" t="s">
        <v>93</v>
      </c>
      <c r="BN4" s="19" t="s">
        <v>94</v>
      </c>
      <c r="BO4" s="18" t="s">
        <v>88</v>
      </c>
      <c r="BP4" s="18" t="s">
        <v>89</v>
      </c>
      <c r="BQ4" s="18" t="s">
        <v>90</v>
      </c>
      <c r="BR4" s="18" t="s">
        <v>91</v>
      </c>
      <c r="BS4" s="18" t="s">
        <v>92</v>
      </c>
      <c r="BT4" s="19" t="s">
        <v>93</v>
      </c>
      <c r="BU4" s="19" t="s">
        <v>94</v>
      </c>
    </row>
    <row r="5" spans="1:73" x14ac:dyDescent="0.2">
      <c r="D5" s="20">
        <v>45579</v>
      </c>
      <c r="E5" s="20">
        <v>45580</v>
      </c>
      <c r="F5" s="20">
        <v>45581</v>
      </c>
      <c r="G5" s="20">
        <v>45582</v>
      </c>
      <c r="H5" s="20">
        <v>45583</v>
      </c>
      <c r="I5" s="21">
        <v>45584</v>
      </c>
      <c r="J5" s="21">
        <v>45585</v>
      </c>
      <c r="K5" s="20">
        <v>45586</v>
      </c>
      <c r="L5" s="20">
        <v>45587</v>
      </c>
      <c r="M5" s="20">
        <v>45588</v>
      </c>
      <c r="N5" s="20">
        <v>45589</v>
      </c>
      <c r="O5" s="20">
        <v>45590</v>
      </c>
      <c r="P5" s="21">
        <v>45591</v>
      </c>
      <c r="Q5" s="21">
        <v>45592</v>
      </c>
      <c r="R5" s="20">
        <v>45593</v>
      </c>
      <c r="S5" s="20">
        <v>45594</v>
      </c>
      <c r="T5" s="20">
        <v>45595</v>
      </c>
      <c r="U5" s="20">
        <v>45596</v>
      </c>
      <c r="V5" s="20">
        <v>45597</v>
      </c>
      <c r="W5" s="21">
        <v>45598</v>
      </c>
      <c r="X5" s="21">
        <v>45599</v>
      </c>
      <c r="Y5" s="20">
        <v>45600</v>
      </c>
      <c r="Z5" s="20">
        <v>45601</v>
      </c>
      <c r="AA5" s="20">
        <v>45602</v>
      </c>
      <c r="AB5" s="20">
        <v>45603</v>
      </c>
      <c r="AC5" s="20">
        <v>45604</v>
      </c>
      <c r="AD5" s="21">
        <v>45605</v>
      </c>
      <c r="AE5" s="21">
        <v>45606</v>
      </c>
      <c r="AF5" s="20">
        <v>45607</v>
      </c>
      <c r="AG5" s="20">
        <v>45608</v>
      </c>
      <c r="AH5" s="20">
        <v>45609</v>
      </c>
      <c r="AI5" s="20">
        <v>45610</v>
      </c>
      <c r="AJ5" s="20">
        <v>45611</v>
      </c>
      <c r="AK5" s="21">
        <v>45612</v>
      </c>
      <c r="AL5" s="21">
        <v>45613</v>
      </c>
      <c r="AM5" s="20">
        <v>45614</v>
      </c>
      <c r="AN5" s="20">
        <v>45615</v>
      </c>
      <c r="AO5" s="20">
        <v>45616</v>
      </c>
      <c r="AP5" s="20">
        <v>45617</v>
      </c>
      <c r="AQ5" s="20">
        <v>45618</v>
      </c>
      <c r="AR5" s="21">
        <v>45619</v>
      </c>
      <c r="AS5" s="21">
        <v>45620</v>
      </c>
      <c r="AT5" s="20">
        <v>45621</v>
      </c>
      <c r="AU5" s="20">
        <v>45622</v>
      </c>
      <c r="AV5" s="20">
        <v>45623</v>
      </c>
      <c r="AW5" s="20">
        <v>45624</v>
      </c>
      <c r="AX5" s="20">
        <v>45625</v>
      </c>
      <c r="AY5" s="21">
        <v>45626</v>
      </c>
      <c r="AZ5" s="21">
        <v>45627</v>
      </c>
      <c r="BA5" s="20">
        <v>45628</v>
      </c>
      <c r="BB5" s="20">
        <v>45629</v>
      </c>
      <c r="BC5" s="20">
        <v>45630</v>
      </c>
      <c r="BD5" s="20">
        <v>45631</v>
      </c>
      <c r="BE5" s="20">
        <v>45632</v>
      </c>
      <c r="BF5" s="21">
        <v>45633</v>
      </c>
      <c r="BG5" s="21">
        <v>45634</v>
      </c>
      <c r="BH5" s="20">
        <v>45635</v>
      </c>
      <c r="BI5" s="20">
        <v>45636</v>
      </c>
      <c r="BJ5" s="20">
        <v>45637</v>
      </c>
      <c r="BK5" s="20">
        <v>45638</v>
      </c>
      <c r="BL5" s="20">
        <v>45639</v>
      </c>
      <c r="BM5" s="21">
        <v>45640</v>
      </c>
      <c r="BN5" s="21">
        <v>45641</v>
      </c>
      <c r="BO5" s="20">
        <v>45642</v>
      </c>
      <c r="BP5" s="20">
        <v>45643</v>
      </c>
      <c r="BQ5" s="20">
        <v>45644</v>
      </c>
      <c r="BR5" s="20">
        <v>45645</v>
      </c>
      <c r="BS5" s="20">
        <v>45646</v>
      </c>
      <c r="BT5" s="21">
        <v>45647</v>
      </c>
      <c r="BU5" s="21">
        <v>45648</v>
      </c>
    </row>
    <row r="7" spans="1:73" x14ac:dyDescent="0.2">
      <c r="A7" s="18" t="s">
        <v>111</v>
      </c>
      <c r="B7" s="24">
        <f>B1</f>
        <v>23400</v>
      </c>
      <c r="V7" s="17"/>
      <c r="BE7" s="17"/>
    </row>
    <row r="8" spans="1:73" x14ac:dyDescent="0.2">
      <c r="A8" s="18" t="s">
        <v>112</v>
      </c>
      <c r="B8" s="24">
        <f>B1+B4</f>
        <v>26550</v>
      </c>
    </row>
    <row r="9" spans="1:73" x14ac:dyDescent="0.2">
      <c r="A9" s="18" t="s">
        <v>113</v>
      </c>
      <c r="B9" s="24">
        <f>B2+B3</f>
        <v>7200</v>
      </c>
    </row>
    <row r="10" spans="1:73" ht="13.5" thickBot="1" x14ac:dyDescent="0.25">
      <c r="A10" s="27" t="s">
        <v>29</v>
      </c>
      <c r="B10" s="26">
        <f>SUM(B7:B9)</f>
        <v>57150</v>
      </c>
    </row>
    <row r="11" spans="1:73" ht="13.5" thickTop="1" x14ac:dyDescent="0.2"/>
    <row r="12" spans="1:73" x14ac:dyDescent="0.2">
      <c r="A12" s="50" t="s">
        <v>114</v>
      </c>
      <c r="B12" s="50"/>
    </row>
    <row r="13" spans="1:73" x14ac:dyDescent="0.2">
      <c r="A13" s="18" t="s">
        <v>33</v>
      </c>
      <c r="B13" s="24">
        <v>9000</v>
      </c>
    </row>
    <row r="14" spans="1:73" x14ac:dyDescent="0.2">
      <c r="A14" s="18" t="s">
        <v>96</v>
      </c>
      <c r="B14" s="24">
        <f>66150-9000</f>
        <v>57150</v>
      </c>
    </row>
    <row r="15" spans="1:73" ht="13.5" thickBot="1" x14ac:dyDescent="0.25">
      <c r="A15" s="18" t="s">
        <v>29</v>
      </c>
      <c r="B15" s="25">
        <f>SUM(B13:B14)</f>
        <v>66150</v>
      </c>
    </row>
    <row r="16" spans="1:73" ht="13.5" thickTop="1" x14ac:dyDescent="0.2">
      <c r="B16" s="17"/>
    </row>
  </sheetData>
  <mergeCells count="17">
    <mergeCell ref="BO3:BS3"/>
    <mergeCell ref="AT2:AX2"/>
    <mergeCell ref="BA2:BE2"/>
    <mergeCell ref="BH2:BL2"/>
    <mergeCell ref="BO2:BS2"/>
    <mergeCell ref="AT3:AX3"/>
    <mergeCell ref="D2:V2"/>
    <mergeCell ref="Y2:AQ2"/>
    <mergeCell ref="A12:B12"/>
    <mergeCell ref="BA3:BE3"/>
    <mergeCell ref="BH3:BL3"/>
    <mergeCell ref="D3:H3"/>
    <mergeCell ref="K3:O3"/>
    <mergeCell ref="R3:V3"/>
    <mergeCell ref="Y3:AC3"/>
    <mergeCell ref="AF3:AJ3"/>
    <mergeCell ref="AM3:AQ3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43EC73B4-88A6-4256-B10D-3BE936A451D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77309DC-290E-4391-BC2D-A08ABD887F4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89466F6D-2D38-4BF9-994C-3771A21F3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DCBB8FA-0BE6-4FFA-B672-F251BED2EE0A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88195739-F48A-45FA-B14B-AA6F1092D482}">
  <ds:schemaRefs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ffbd5dc-7a64-4097-8396-87f6c90b212f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SOW</vt:lpstr>
      <vt:lpstr>Forecasting-Foundational</vt:lpstr>
      <vt:lpstr>Forecasting-Release 1</vt:lpstr>
      <vt:lpstr>Burnup-Release 1</vt:lpstr>
      <vt:lpstr>Post Sprint 0 Cost Summary</vt:lpstr>
      <vt:lpstr>Final Cost Estimate</vt:lpstr>
      <vt:lpstr>Timeline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Gary Benkenstein</dc:creator>
  <cp:keywords/>
  <dc:description/>
  <cp:lastModifiedBy>Shaun Barrett</cp:lastModifiedBy>
  <cp:revision/>
  <dcterms:created xsi:type="dcterms:W3CDTF">2020-08-13T15:11:43Z</dcterms:created>
  <dcterms:modified xsi:type="dcterms:W3CDTF">2024-11-12T12:23:13Z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lcf76f155ced4ddcb4097134ff3c332f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">
    <vt:lpwstr>6;#Grainger PLC|a74f1cb5-e995-4f9e-8521-6d52e2c6bf08</vt:lpwstr>
  </property>
  <property fmtid="{D5CDD505-2E9C-101B-9397-08002B2CF9AE}" pid="8" name="Client Project">
    <vt:lpwstr/>
  </property>
  <property fmtid="{D5CDD505-2E9C-101B-9397-08002B2CF9AE}" pid="9" name="Business Document Type">
    <vt:lpwstr>5;#Project Delivery Document|464596ad-2211-4003-92ff-a963197d93b9</vt:lpwstr>
  </property>
  <property fmtid="{D5CDD505-2E9C-101B-9397-08002B2CF9AE}" pid="10" name="l992f389a8bb4e119e73ef90413f377d">
    <vt:lpwstr>Project Delivery Document|464596ad-2211-4003-92ff-a963197d93b9</vt:lpwstr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  <property fmtid="{D5CDD505-2E9C-101B-9397-08002B2CF9AE}" pid="17" name="Order">
    <vt:r8>28100</vt:r8>
  </property>
  <property fmtid="{D5CDD505-2E9C-101B-9397-08002B2CF9AE}" pid="18" name="Project_x0020_Document_x0020_Type">
    <vt:lpwstr>4;#Generic Project Document|258c2ed6-b93b-4ffe-8901-a23f2dc98ec9</vt:lpwstr>
  </property>
  <property fmtid="{D5CDD505-2E9C-101B-9397-08002B2CF9AE}" pid="19" name="Client_x0020_Project">
    <vt:lpwstr/>
  </property>
</Properties>
</file>