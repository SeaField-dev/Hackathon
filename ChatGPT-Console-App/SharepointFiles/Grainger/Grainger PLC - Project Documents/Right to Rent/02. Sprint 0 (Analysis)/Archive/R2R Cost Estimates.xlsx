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Right to Rent/"/>
    </mc:Choice>
  </mc:AlternateContent>
  <xr:revisionPtr revIDLastSave="397" documentId="8_{E911D06C-5027-AF40-9CCC-E1FA5567E744}" xr6:coauthVersionLast="47" xr6:coauthVersionMax="47" xr10:uidLastSave="{CD198EFB-8748-854C-AF4D-4041A2CA6F72}"/>
  <bookViews>
    <workbookView xWindow="0" yWindow="760" windowWidth="29400" windowHeight="18880" activeTab="2" xr2:uid="{9EAF6B78-77CD-F141-B055-866846438708}"/>
  </bookViews>
  <sheets>
    <sheet name="v1 " sheetId="1" r:id="rId1"/>
    <sheet name="v1" sheetId="3" r:id="rId2"/>
    <sheet name="2024-10-29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5" l="1"/>
  <c r="C3" i="5"/>
  <c r="E2" i="5"/>
  <c r="C2" i="5"/>
  <c r="C8" i="5" s="1"/>
  <c r="D8" i="3"/>
  <c r="C8" i="3"/>
  <c r="D3" i="3"/>
  <c r="C3" i="3"/>
  <c r="E33" i="1"/>
  <c r="E32" i="1"/>
  <c r="E31" i="1"/>
  <c r="K23" i="1"/>
  <c r="H25" i="1"/>
  <c r="H24" i="1"/>
  <c r="H23" i="1"/>
  <c r="E8" i="5" l="1"/>
  <c r="I13" i="1"/>
  <c r="H13" i="1"/>
  <c r="I12" i="1"/>
  <c r="H12" i="1"/>
  <c r="I11" i="1"/>
  <c r="H11" i="1"/>
  <c r="I10" i="1"/>
  <c r="H10" i="1"/>
  <c r="I9" i="1"/>
  <c r="I15" i="1" s="1"/>
  <c r="H9" i="1"/>
  <c r="H15" i="1" s="1"/>
  <c r="C10" i="1"/>
  <c r="C11" i="1"/>
  <c r="C12" i="1"/>
  <c r="C13" i="1"/>
  <c r="C9" i="1"/>
  <c r="D2" i="1" s="1"/>
  <c r="B10" i="1"/>
  <c r="B11" i="1"/>
  <c r="B12" i="1"/>
  <c r="B13" i="1"/>
  <c r="B9" i="1"/>
  <c r="C2" i="1" s="1"/>
  <c r="D2" i="3" l="1"/>
  <c r="C2" i="3"/>
  <c r="J2" i="1"/>
  <c r="I2" i="1"/>
  <c r="C7" i="1"/>
  <c r="B15" i="1"/>
  <c r="D7" i="1"/>
  <c r="C15" i="1"/>
  <c r="B7" i="1" l="1"/>
</calcChain>
</file>

<file path=xl/sharedStrings.xml><?xml version="1.0" encoding="utf-8"?>
<sst xmlns="http://schemas.openxmlformats.org/spreadsheetml/2006/main" count="50" uniqueCount="32">
  <si>
    <t>Phase</t>
  </si>
  <si>
    <t>Hours</t>
  </si>
  <si>
    <t>Lower Bound</t>
  </si>
  <si>
    <t>Upper Bound</t>
  </si>
  <si>
    <t>Analysis</t>
  </si>
  <si>
    <t>Build</t>
  </si>
  <si>
    <t>Project Management</t>
  </si>
  <si>
    <t>UAT</t>
  </si>
  <si>
    <t>Production</t>
  </si>
  <si>
    <t>Total</t>
  </si>
  <si>
    <t>£/hour</t>
  </si>
  <si>
    <t>£/sprint</t>
  </si>
  <si>
    <t xml:space="preserve"># Sprints </t>
  </si>
  <si>
    <r>
      <t>Project Phases</t>
    </r>
    <r>
      <rPr>
        <sz val="9"/>
        <color rgb="FFFFFFFF"/>
        <rFont val="Verdana"/>
        <family val="2"/>
      </rPr>
      <t> </t>
    </r>
  </si>
  <si>
    <t>Sprint 0 </t>
  </si>
  <si>
    <t>UAT </t>
  </si>
  <si>
    <t>Production Deployment &amp; Post Go-Live Support </t>
  </si>
  <si>
    <t>2 weeks </t>
  </si>
  <si>
    <t>Duration</t>
  </si>
  <si>
    <t>2 x FTE @ GBP780/day</t>
  </si>
  <si>
    <t>2-3 weeks </t>
  </si>
  <si>
    <t>1 -2</t>
  </si>
  <si>
    <t>3-6 weeks</t>
  </si>
  <si>
    <t>Sprint 1 - 2</t>
  </si>
  <si>
    <t>User guide creation</t>
  </si>
  <si>
    <t>40 - 60</t>
  </si>
  <si>
    <t>Done in parallel with sprints </t>
  </si>
  <si>
    <t>9 -13 weeks</t>
  </si>
  <si>
    <t>2 sprints</t>
  </si>
  <si>
    <t>6 weeks</t>
  </si>
  <si>
    <t>12 -13 weeks</t>
  </si>
  <si>
    <t>Estimate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</si>
</sst>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£-809]* #,##0_-;\-[$£-809]* #,##0_-;_-[$£-809]* &quot;-&quot;??_-;_-@_-"/>
  </numFmts>
  <fonts count="8" x14ac:knownFonts="1">
    <font>
      <sz val="12"/>
      <color theme="1"/>
      <name val="Aptos Narrow"/>
      <family val="2"/>
      <scheme val="minor"/>
    </font>
    <font>
      <sz val="10"/>
      <color theme="1"/>
      <name val="Verdana"/>
      <family val="2"/>
    </font>
    <font>
      <b/>
      <sz val="10"/>
      <color rgb="FF000000"/>
      <name val="Verdana"/>
      <family val="2"/>
    </font>
    <font>
      <b/>
      <sz val="9"/>
      <color rgb="FFFFFFFF"/>
      <name val="Verdana"/>
      <family val="2"/>
    </font>
    <font>
      <sz val="9"/>
      <color rgb="FFFFFFFF"/>
      <name val="Verdana"/>
      <family val="2"/>
    </font>
    <font>
      <sz val="9"/>
      <name val="Verdana"/>
      <family val="2"/>
    </font>
    <font>
      <b/>
      <sz val="9"/>
      <name val="Verdana"/>
      <family val="2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2F2F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justify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justify" vertical="center"/>
    </xf>
    <xf numFmtId="0" fontId="1" fillId="0" borderId="3" xfId="0" applyFont="1" applyBorder="1" applyAlignment="1">
      <alignment horizontal="justify" vertical="center"/>
    </xf>
    <xf numFmtId="0" fontId="1" fillId="0" borderId="4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justify" vertical="center"/>
    </xf>
    <xf numFmtId="0" fontId="2" fillId="3" borderId="6" xfId="0" applyFont="1" applyFill="1" applyBorder="1" applyAlignment="1">
      <alignment horizontal="center" vertical="center"/>
    </xf>
    <xf numFmtId="164" fontId="1" fillId="0" borderId="4" xfId="0" applyNumberFormat="1" applyFont="1" applyBorder="1" applyAlignment="1">
      <alignment horizontal="right" vertical="center"/>
    </xf>
    <xf numFmtId="164" fontId="2" fillId="3" borderId="6" xfId="0" applyNumberFormat="1" applyFont="1" applyFill="1" applyBorder="1" applyAlignment="1">
      <alignment horizontal="right" vertical="center"/>
    </xf>
    <xf numFmtId="0" fontId="2" fillId="2" borderId="8" xfId="0" applyFont="1" applyFill="1" applyBorder="1" applyAlignment="1">
      <alignment horizontal="justify" vertical="center"/>
    </xf>
    <xf numFmtId="49" fontId="2" fillId="2" borderId="0" xfId="0" applyNumberFormat="1" applyFont="1" applyFill="1" applyAlignment="1">
      <alignment horizontal="justify" vertical="center"/>
    </xf>
    <xf numFmtId="49" fontId="0" fillId="0" borderId="0" xfId="0" applyNumberFormat="1"/>
    <xf numFmtId="0" fontId="3" fillId="0" borderId="0" xfId="0" applyFont="1"/>
    <xf numFmtId="0" fontId="5" fillId="0" borderId="0" xfId="0" applyFont="1"/>
    <xf numFmtId="0" fontId="6" fillId="0" borderId="0" xfId="0" applyFont="1"/>
    <xf numFmtId="0" fontId="7" fillId="0" borderId="9" xfId="0" applyFont="1" applyBorder="1"/>
    <xf numFmtId="164" fontId="7" fillId="0" borderId="9" xfId="0" applyNumberFormat="1" applyFont="1" applyBorder="1"/>
    <xf numFmtId="0" fontId="5" fillId="0" borderId="7" xfId="0" applyFont="1" applyBorder="1"/>
    <xf numFmtId="164" fontId="5" fillId="0" borderId="7" xfId="0" applyNumberFormat="1" applyFont="1" applyBorder="1"/>
    <xf numFmtId="0" fontId="0" fillId="0" borderId="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EA2B8-57E8-1A4D-877A-D826225CD4C7}">
  <dimension ref="A1:L33"/>
  <sheetViews>
    <sheetView workbookViewId="0">
      <selection activeCell="C2" sqref="C2"/>
    </sheetView>
  </sheetViews>
  <sheetFormatPr baseColWidth="10" defaultColWidth="11" defaultRowHeight="16" x14ac:dyDescent="0.2"/>
  <cols>
    <col min="1" max="1" width="24.1640625" customWidth="1"/>
    <col min="2" max="2" width="10" bestFit="1" customWidth="1"/>
    <col min="3" max="3" width="13.5" bestFit="1" customWidth="1"/>
    <col min="4" max="4" width="13.33203125" bestFit="1" customWidth="1"/>
  </cols>
  <sheetData>
    <row r="1" spans="1:12" ht="29" thickBot="1" x14ac:dyDescent="0.25">
      <c r="A1" s="1" t="s">
        <v>0</v>
      </c>
      <c r="B1" s="2" t="s">
        <v>1</v>
      </c>
      <c r="C1" s="3" t="s">
        <v>2</v>
      </c>
      <c r="D1" s="3" t="s">
        <v>3</v>
      </c>
      <c r="E1" s="10" t="s">
        <v>10</v>
      </c>
      <c r="H1" s="11" t="s">
        <v>12</v>
      </c>
      <c r="I1" s="3" t="s">
        <v>2</v>
      </c>
      <c r="J1" s="3" t="s">
        <v>3</v>
      </c>
      <c r="K1" t="s">
        <v>11</v>
      </c>
    </row>
    <row r="2" spans="1:12" ht="17" thickBot="1" x14ac:dyDescent="0.25">
      <c r="A2" s="4" t="s">
        <v>4</v>
      </c>
      <c r="B2" s="5" t="s">
        <v>25</v>
      </c>
      <c r="C2" s="8">
        <f>B9*$E2</f>
        <v>6000</v>
      </c>
      <c r="D2" s="8">
        <f>C9*$E2</f>
        <v>9000</v>
      </c>
      <c r="E2">
        <v>150</v>
      </c>
      <c r="H2" s="12" t="s">
        <v>21</v>
      </c>
      <c r="I2" s="8">
        <f>H9*$K2</f>
        <v>23400</v>
      </c>
      <c r="J2" s="8">
        <f>I9*$K2</f>
        <v>46800</v>
      </c>
      <c r="K2">
        <v>23400</v>
      </c>
      <c r="L2" t="s">
        <v>19</v>
      </c>
    </row>
    <row r="3" spans="1:12" ht="17" thickBot="1" x14ac:dyDescent="0.25">
      <c r="A3" s="4" t="s">
        <v>5</v>
      </c>
      <c r="B3" s="5"/>
      <c r="C3" s="8"/>
      <c r="D3" s="8"/>
      <c r="H3" s="12"/>
      <c r="I3" s="12"/>
    </row>
    <row r="4" spans="1:12" ht="17" thickBot="1" x14ac:dyDescent="0.25">
      <c r="A4" s="4" t="s">
        <v>6</v>
      </c>
      <c r="B4" s="5"/>
      <c r="C4" s="8"/>
      <c r="D4" s="8"/>
      <c r="H4" s="12"/>
      <c r="I4" s="12"/>
    </row>
    <row r="5" spans="1:12" ht="17" thickBot="1" x14ac:dyDescent="0.25">
      <c r="A5" s="4" t="s">
        <v>7</v>
      </c>
      <c r="B5" s="5"/>
      <c r="C5" s="8"/>
      <c r="D5" s="8"/>
      <c r="H5" s="12"/>
      <c r="I5" s="12"/>
    </row>
    <row r="6" spans="1:12" ht="17" thickBot="1" x14ac:dyDescent="0.25">
      <c r="A6" s="4" t="s">
        <v>8</v>
      </c>
      <c r="B6" s="5"/>
      <c r="C6" s="8"/>
      <c r="D6" s="8"/>
      <c r="H6" s="12"/>
      <c r="I6" s="12"/>
    </row>
    <row r="7" spans="1:12" ht="17" thickBot="1" x14ac:dyDescent="0.25">
      <c r="A7" s="6" t="s">
        <v>9</v>
      </c>
      <c r="B7" s="7" t="e">
        <f>ROUND(B15,0)&amp;" - "&amp;ROUND(C15,0)</f>
        <v>#VALUE!</v>
      </c>
      <c r="C7" s="9">
        <f>SUM(C2:C6)</f>
        <v>6000</v>
      </c>
      <c r="D7" s="9">
        <f>SUM(D2:D6)</f>
        <v>9000</v>
      </c>
      <c r="H7" s="12"/>
      <c r="I7" s="12"/>
    </row>
    <row r="8" spans="1:12" ht="17" thickTop="1" x14ac:dyDescent="0.2"/>
    <row r="9" spans="1:12" x14ac:dyDescent="0.2">
      <c r="B9">
        <f>LEFT(B2,FIND("-",B2)-1)*1</f>
        <v>40</v>
      </c>
      <c r="C9">
        <f>MID(B2,FIND("-",B2)+1,LEN(B2)-FIND("-",B2)+1)*1</f>
        <v>60</v>
      </c>
      <c r="H9">
        <f>LEFT(H2,FIND("-",H2)-1)*1</f>
        <v>1</v>
      </c>
      <c r="I9">
        <f>MID(H2,FIND("-",H2)+1,LEN(H2)-FIND("-",H2)+1)*1</f>
        <v>2</v>
      </c>
    </row>
    <row r="10" spans="1:12" x14ac:dyDescent="0.2">
      <c r="B10" t="e">
        <f t="shared" ref="B10:B13" si="0">LEFT(B3,FIND("-",B3)-1)*1</f>
        <v>#VALUE!</v>
      </c>
      <c r="C10" t="e">
        <f t="shared" ref="C10:C13" si="1">MID(B3,FIND("-",B3)+1,LEN(B3)-FIND("-",B3)+1)*1</f>
        <v>#VALUE!</v>
      </c>
      <c r="H10" t="e">
        <f t="shared" ref="H10:H13" si="2">LEFT(H3,FIND("-",H3)-1)*1</f>
        <v>#VALUE!</v>
      </c>
      <c r="I10" t="e">
        <f t="shared" ref="I10:I13" si="3">MID(H3,FIND("-",H3)+1,LEN(H3)-FIND("-",H3)+1)*1</f>
        <v>#VALUE!</v>
      </c>
    </row>
    <row r="11" spans="1:12" x14ac:dyDescent="0.2">
      <c r="B11" t="e">
        <f t="shared" si="0"/>
        <v>#VALUE!</v>
      </c>
      <c r="C11" t="e">
        <f t="shared" si="1"/>
        <v>#VALUE!</v>
      </c>
      <c r="H11" t="e">
        <f t="shared" si="2"/>
        <v>#VALUE!</v>
      </c>
      <c r="I11" t="e">
        <f t="shared" si="3"/>
        <v>#VALUE!</v>
      </c>
    </row>
    <row r="12" spans="1:12" x14ac:dyDescent="0.2">
      <c r="B12" t="e">
        <f t="shared" si="0"/>
        <v>#VALUE!</v>
      </c>
      <c r="C12" t="e">
        <f t="shared" si="1"/>
        <v>#VALUE!</v>
      </c>
      <c r="H12" t="e">
        <f t="shared" si="2"/>
        <v>#VALUE!</v>
      </c>
      <c r="I12" t="e">
        <f t="shared" si="3"/>
        <v>#VALUE!</v>
      </c>
    </row>
    <row r="13" spans="1:12" x14ac:dyDescent="0.2">
      <c r="B13" t="e">
        <f t="shared" si="0"/>
        <v>#VALUE!</v>
      </c>
      <c r="C13" t="e">
        <f t="shared" si="1"/>
        <v>#VALUE!</v>
      </c>
      <c r="H13" t="e">
        <f t="shared" si="2"/>
        <v>#VALUE!</v>
      </c>
      <c r="I13" t="e">
        <f t="shared" si="3"/>
        <v>#VALUE!</v>
      </c>
    </row>
    <row r="15" spans="1:12" x14ac:dyDescent="0.2">
      <c r="B15" t="e">
        <f>SUM(B9:B13)</f>
        <v>#VALUE!</v>
      </c>
      <c r="C15" t="e">
        <f>SUM(C9:C13)</f>
        <v>#VALUE!</v>
      </c>
      <c r="H15" t="e">
        <f>SUM(H9:H13)</f>
        <v>#VALUE!</v>
      </c>
      <c r="I15" t="e">
        <f>SUM(I9:I13)</f>
        <v>#VALUE!</v>
      </c>
    </row>
    <row r="23" spans="5:11" x14ac:dyDescent="0.2">
      <c r="H23">
        <f>35100/3</f>
        <v>11700</v>
      </c>
      <c r="K23">
        <f>160*2*0.75</f>
        <v>240</v>
      </c>
    </row>
    <row r="24" spans="5:11" x14ac:dyDescent="0.2">
      <c r="H24">
        <f>H23/5</f>
        <v>2340</v>
      </c>
    </row>
    <row r="25" spans="5:11" x14ac:dyDescent="0.2">
      <c r="H25">
        <f>H24/3</f>
        <v>780</v>
      </c>
    </row>
    <row r="31" spans="5:11" x14ac:dyDescent="0.2">
      <c r="E31">
        <f>23400/3</f>
        <v>7800</v>
      </c>
    </row>
    <row r="32" spans="5:11" x14ac:dyDescent="0.2">
      <c r="E32">
        <f>E31/5</f>
        <v>1560</v>
      </c>
    </row>
    <row r="33" spans="5:5" x14ac:dyDescent="0.2">
      <c r="E33">
        <f>E32/2</f>
        <v>780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52AF7-A06A-6B4D-B835-C3C64D62CE94}">
  <dimension ref="A1:F9"/>
  <sheetViews>
    <sheetView workbookViewId="0">
      <selection activeCell="C2" sqref="C2"/>
    </sheetView>
  </sheetViews>
  <sheetFormatPr baseColWidth="10" defaultRowHeight="16" x14ac:dyDescent="0.2"/>
  <cols>
    <col min="1" max="1" width="38.33203125" bestFit="1" customWidth="1"/>
    <col min="2" max="2" width="24.83203125" customWidth="1"/>
    <col min="3" max="3" width="16.83203125" bestFit="1" customWidth="1"/>
    <col min="4" max="4" width="13.5" bestFit="1" customWidth="1"/>
  </cols>
  <sheetData>
    <row r="1" spans="1:6" x14ac:dyDescent="0.2">
      <c r="A1" s="13" t="s">
        <v>13</v>
      </c>
      <c r="B1" s="15" t="s">
        <v>18</v>
      </c>
      <c r="C1" s="15" t="s">
        <v>2</v>
      </c>
      <c r="D1" s="15" t="s">
        <v>3</v>
      </c>
      <c r="E1" s="14"/>
      <c r="F1" s="14"/>
    </row>
    <row r="2" spans="1:6" x14ac:dyDescent="0.2">
      <c r="A2" s="18" t="s">
        <v>14</v>
      </c>
      <c r="B2" s="18" t="s">
        <v>20</v>
      </c>
      <c r="C2" s="19">
        <f>'v1 '!C2</f>
        <v>6000</v>
      </c>
      <c r="D2" s="19">
        <f>'v1 '!D2</f>
        <v>9000</v>
      </c>
    </row>
    <row r="3" spans="1:6" x14ac:dyDescent="0.2">
      <c r="A3" s="18" t="s">
        <v>23</v>
      </c>
      <c r="B3" s="18" t="s">
        <v>22</v>
      </c>
      <c r="C3" s="19">
        <f>'v1 '!I2</f>
        <v>23400</v>
      </c>
      <c r="D3" s="19">
        <f>'v1 '!J2</f>
        <v>46800</v>
      </c>
    </row>
    <row r="4" spans="1:6" x14ac:dyDescent="0.2">
      <c r="A4" s="18" t="s">
        <v>15</v>
      </c>
      <c r="B4" s="18" t="s">
        <v>17</v>
      </c>
      <c r="C4" s="19">
        <v>3600</v>
      </c>
      <c r="D4" s="19">
        <v>3600</v>
      </c>
    </row>
    <row r="5" spans="1:6" x14ac:dyDescent="0.2">
      <c r="A5" s="18" t="s">
        <v>16</v>
      </c>
      <c r="B5" s="18" t="s">
        <v>17</v>
      </c>
      <c r="C5" s="19">
        <v>3600</v>
      </c>
      <c r="D5" s="19">
        <v>3600</v>
      </c>
    </row>
    <row r="6" spans="1:6" x14ac:dyDescent="0.2">
      <c r="A6" s="18" t="s">
        <v>24</v>
      </c>
      <c r="B6" s="18" t="s">
        <v>26</v>
      </c>
      <c r="C6" s="19">
        <v>3150</v>
      </c>
      <c r="D6" s="19">
        <v>3150</v>
      </c>
    </row>
    <row r="7" spans="1:6" x14ac:dyDescent="0.2">
      <c r="A7" s="20"/>
      <c r="B7" s="20"/>
      <c r="C7" s="20"/>
      <c r="D7" s="20"/>
    </row>
    <row r="8" spans="1:6" ht="17" thickBot="1" x14ac:dyDescent="0.25">
      <c r="A8" s="16" t="s">
        <v>9</v>
      </c>
      <c r="B8" s="16" t="s">
        <v>27</v>
      </c>
      <c r="C8" s="17">
        <f>SUM(C2:C6)</f>
        <v>39750</v>
      </c>
      <c r="D8" s="17">
        <f>SUM(D2:D6)</f>
        <v>66150</v>
      </c>
    </row>
    <row r="9" spans="1:6" ht="17" thickTop="1" x14ac:dyDescent="0.2"/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A53BA-3554-2A4B-B69C-B665038956EA}">
  <dimension ref="A1:G9"/>
  <sheetViews>
    <sheetView tabSelected="1" workbookViewId="0">
      <selection activeCell="B19" sqref="B19:B20"/>
    </sheetView>
  </sheetViews>
  <sheetFormatPr baseColWidth="10" defaultRowHeight="16" x14ac:dyDescent="0.2"/>
  <cols>
    <col min="1" max="1" width="38.33203125" bestFit="1" customWidth="1"/>
    <col min="2" max="2" width="24.83203125" customWidth="1"/>
    <col min="3" max="3" width="16.83203125" bestFit="1" customWidth="1"/>
    <col min="4" max="4" width="16.83203125" customWidth="1"/>
    <col min="5" max="5" width="13.5" bestFit="1" customWidth="1"/>
  </cols>
  <sheetData>
    <row r="1" spans="1:7" x14ac:dyDescent="0.2">
      <c r="A1" s="13" t="s">
        <v>13</v>
      </c>
      <c r="B1" s="15" t="s">
        <v>18</v>
      </c>
      <c r="C1" s="15" t="s">
        <v>31</v>
      </c>
      <c r="D1" s="15"/>
      <c r="E1" s="15" t="s">
        <v>3</v>
      </c>
      <c r="F1" s="14"/>
      <c r="G1" s="14"/>
    </row>
    <row r="2" spans="1:7" x14ac:dyDescent="0.2">
      <c r="A2" s="18" t="s">
        <v>14</v>
      </c>
      <c r="B2" s="18" t="s">
        <v>20</v>
      </c>
      <c r="C2" s="19">
        <f>'v1 '!C2</f>
        <v>6000</v>
      </c>
      <c r="D2" s="19"/>
      <c r="E2" s="19">
        <f>'v1 '!D2</f>
        <v>9000</v>
      </c>
    </row>
    <row r="3" spans="1:7" x14ac:dyDescent="0.2">
      <c r="A3" s="18" t="s">
        <v>28</v>
      </c>
      <c r="B3" s="18" t="s">
        <v>29</v>
      </c>
      <c r="C3" s="19">
        <f>23400*2</f>
        <v>46800</v>
      </c>
      <c r="D3" s="19"/>
      <c r="E3" s="19">
        <f>23400*2</f>
        <v>46800</v>
      </c>
    </row>
    <row r="4" spans="1:7" x14ac:dyDescent="0.2">
      <c r="A4" s="18" t="s">
        <v>15</v>
      </c>
      <c r="B4" s="18" t="s">
        <v>17</v>
      </c>
      <c r="C4" s="19">
        <v>3600</v>
      </c>
      <c r="D4" s="19"/>
      <c r="E4" s="19">
        <v>3600</v>
      </c>
    </row>
    <row r="5" spans="1:7" x14ac:dyDescent="0.2">
      <c r="A5" s="18" t="s">
        <v>16</v>
      </c>
      <c r="B5" s="18" t="s">
        <v>17</v>
      </c>
      <c r="C5" s="19">
        <v>3600</v>
      </c>
      <c r="D5" s="19"/>
      <c r="E5" s="19">
        <v>3600</v>
      </c>
    </row>
    <row r="6" spans="1:7" x14ac:dyDescent="0.2">
      <c r="A6" s="18" t="s">
        <v>24</v>
      </c>
      <c r="B6" s="18" t="s">
        <v>26</v>
      </c>
      <c r="C6" s="19">
        <v>3150</v>
      </c>
      <c r="D6" s="19"/>
      <c r="E6" s="19">
        <v>3150</v>
      </c>
    </row>
    <row r="7" spans="1:7" x14ac:dyDescent="0.2">
      <c r="A7" s="20"/>
      <c r="B7" s="20"/>
      <c r="C7" s="20"/>
      <c r="D7" s="20"/>
      <c r="E7" s="20"/>
    </row>
    <row r="8" spans="1:7" ht="17" thickBot="1" x14ac:dyDescent="0.25">
      <c r="A8" s="16" t="s">
        <v>9</v>
      </c>
      <c r="B8" s="16" t="s">
        <v>30</v>
      </c>
      <c r="C8" s="17">
        <f>SUM(C2:C6)</f>
        <v>63150</v>
      </c>
      <c r="D8" s="17"/>
      <c r="E8" s="17">
        <f>SUM(E2:E6)</f>
        <v>66150</v>
      </c>
    </row>
    <row r="9" spans="1:7" ht="17" thickTop="1" x14ac:dyDescent="0.2"/>
  </sheetData>
  <pageMargins left="0.7" right="0.7" top="0.75" bottom="0.75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0dc22cb723843c1bfbb2e8bcc9db6e4 xmlns="1ffbd5dc-7a64-4097-8396-87f6c90b212f">
      <Terms xmlns="http://schemas.microsoft.com/office/infopath/2007/PartnerControls"/>
    </f0dc22cb723843c1bfbb2e8bcc9db6e4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4</Value>
    </TaxCatchAll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1284B3C-4CFD-4B43-9A59-20BF79A817E8}">
  <ds:schemaRefs>
    <ds:schemaRef ds:uri="http://purl.org/dc/terms/"/>
    <ds:schemaRef ds:uri="1ffbd5dc-7a64-4097-8396-87f6c90b212f"/>
    <ds:schemaRef ds:uri="http://www.w3.org/XML/1998/namespace"/>
    <ds:schemaRef ds:uri="http://schemas.microsoft.com/office/infopath/2007/PartnerControls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4DD68030-9068-401C-97EF-4A9D3FAE51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93BD7AA-2820-4504-B6DF-A86021CC2FB5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2138198A-42A1-4FFC-82D3-639BF68C8D3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v1 </vt:lpstr>
      <vt:lpstr>v1</vt:lpstr>
      <vt:lpstr>2024-10-29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 Duncan</dc:creator>
  <cp:keywords/>
  <dc:description/>
  <cp:lastModifiedBy>Sam Duncan</cp:lastModifiedBy>
  <cp:revision/>
  <dcterms:created xsi:type="dcterms:W3CDTF">2024-03-22T20:08:59Z</dcterms:created>
  <dcterms:modified xsi:type="dcterms:W3CDTF">2024-10-29T20:17:40Z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ject Document Type">
    <vt:lpwstr>4;#Generic Project Document|258c2ed6-b93b-4ffe-8901-a23f2dc98ec9</vt:lpwstr>
  </property>
  <property fmtid="{D5CDD505-2E9C-101B-9397-08002B2CF9AE}" pid="3" name="ContentTypeId">
    <vt:lpwstr>0x010100B16301FA1C2D5E4DB9305F31D037531D02070300B4E123A7400DE24C83BA9D1BFCD12C10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 Project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  <property fmtid="{D5CDD505-2E9C-101B-9397-08002B2CF9AE}" pid="13" name="SharedWithUsers">
    <vt:lpwstr/>
  </property>
  <property fmtid="{D5CDD505-2E9C-101B-9397-08002B2CF9AE}" pid="14" name="Client_x0020_Project">
    <vt:lpwstr/>
  </property>
  <property fmtid="{D5CDD505-2E9C-101B-9397-08002B2CF9AE}" pid="15" name="MediaServiceImageTags">
    <vt:lpwstr/>
  </property>
  <property fmtid="{D5CDD505-2E9C-101B-9397-08002B2CF9AE}" pid="16" name="lcf76f155ced4ddcb4097134ff3c332f">
    <vt:lpwstr/>
  </property>
  <property fmtid="{D5CDD505-2E9C-101B-9397-08002B2CF9AE}" pid="17" name="Project_x0020_Document_x0020_Type">
    <vt:lpwstr>4;#Generic Project Document|258c2ed6-b93b-4ffe-8901-a23f2dc98ec9</vt:lpwstr>
  </property>
</Properties>
</file>