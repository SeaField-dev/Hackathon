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lb\users$\cardosoj\"/>
    </mc:Choice>
  </mc:AlternateContent>
  <xr:revisionPtr revIDLastSave="0" documentId="8_{E9ABD3F3-711E-4CD0-9AEC-D2D6A16C5F9A}" xr6:coauthVersionLast="47" xr6:coauthVersionMax="47" xr10:uidLastSave="{00000000-0000-0000-0000-000000000000}"/>
  <bookViews>
    <workbookView xWindow="7890" yWindow="50" windowWidth="11270" windowHeight="10010" firstSheet="5" activeTab="5" xr2:uid="{8A473B25-C394-493F-8746-1908660CF049}"/>
  </bookViews>
  <sheets>
    <sheet name="LOOKUP" sheetId="2" r:id="rId1"/>
    <sheet name="Summary proposals for SC" sheetId="3" r:id="rId2"/>
    <sheet name="Denman" sheetId="5" r:id="rId3"/>
    <sheet name="Tait &amp; Benson" sheetId="6" r:id="rId4"/>
    <sheet name="Dibdin House" sheetId="7" r:id="rId5"/>
    <sheet name="Vauxhall" sheetId="8" r:id="rId6"/>
  </sheets>
  <externalReferences>
    <externalReference r:id="rId7"/>
    <externalReference r:id="rId8"/>
  </externalReferences>
  <definedNames>
    <definedName name="_xlnm._FilterDatabase" localSheetId="2" hidden="1">Denman!$A$1:$Q$156</definedName>
    <definedName name="_xlnm._FilterDatabase" localSheetId="4" hidden="1">'Dibdin House'!$A$1:$J$491</definedName>
    <definedName name="_xlnm._FilterDatabase" localSheetId="1" hidden="1">'Summary proposals for SC'!$A$1:$I$42</definedName>
    <definedName name="_xlnm._FilterDatabase" localSheetId="3" hidden="1">'Tait &amp; Benson'!$A$1:$O$151</definedName>
    <definedName name="_xlnm._FilterDatabase" localSheetId="5" hidden="1">Vauxhall!$A$1:$K$355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5" i="8" l="1"/>
  <c r="C355" i="8"/>
  <c r="K354" i="8"/>
  <c r="C354" i="8"/>
  <c r="K353" i="8"/>
  <c r="C353" i="8"/>
  <c r="K352" i="8"/>
  <c r="C352" i="8"/>
  <c r="K351" i="8"/>
  <c r="C351" i="8"/>
  <c r="K350" i="8"/>
  <c r="C350" i="8"/>
  <c r="K349" i="8"/>
  <c r="C349" i="8"/>
  <c r="K348" i="8"/>
  <c r="C348" i="8"/>
  <c r="K347" i="8"/>
  <c r="C347" i="8"/>
  <c r="K346" i="8"/>
  <c r="C346" i="8"/>
  <c r="K345" i="8"/>
  <c r="C345" i="8"/>
  <c r="K344" i="8"/>
  <c r="C344" i="8"/>
  <c r="K343" i="8"/>
  <c r="C343" i="8"/>
  <c r="K342" i="8"/>
  <c r="C342" i="8"/>
  <c r="K341" i="8"/>
  <c r="C341" i="8"/>
  <c r="K340" i="8"/>
  <c r="C340" i="8"/>
  <c r="K339" i="8"/>
  <c r="C339" i="8"/>
  <c r="K338" i="8"/>
  <c r="C338" i="8"/>
  <c r="K337" i="8"/>
  <c r="C337" i="8"/>
  <c r="K336" i="8"/>
  <c r="C336" i="8"/>
  <c r="K335" i="8"/>
  <c r="C335" i="8"/>
  <c r="K334" i="8"/>
  <c r="C334" i="8"/>
  <c r="K333" i="8"/>
  <c r="C333" i="8"/>
  <c r="K332" i="8"/>
  <c r="C332" i="8"/>
  <c r="K331" i="8"/>
  <c r="C331" i="8"/>
  <c r="K330" i="8"/>
  <c r="C330" i="8"/>
  <c r="K329" i="8"/>
  <c r="C329" i="8"/>
  <c r="K328" i="8"/>
  <c r="C328" i="8"/>
  <c r="K327" i="8"/>
  <c r="C327" i="8"/>
  <c r="K326" i="8"/>
  <c r="C326" i="8"/>
  <c r="K325" i="8"/>
  <c r="C325" i="8"/>
  <c r="K324" i="8"/>
  <c r="C324" i="8"/>
  <c r="K323" i="8"/>
  <c r="C323" i="8"/>
  <c r="K322" i="8"/>
  <c r="C322" i="8"/>
  <c r="K321" i="8"/>
  <c r="C321" i="8"/>
  <c r="K320" i="8"/>
  <c r="C320" i="8"/>
  <c r="K319" i="8"/>
  <c r="C319" i="8"/>
  <c r="K318" i="8"/>
  <c r="C318" i="8"/>
  <c r="K317" i="8"/>
  <c r="C317" i="8"/>
  <c r="K316" i="8"/>
  <c r="C316" i="8"/>
  <c r="K315" i="8"/>
  <c r="C315" i="8"/>
  <c r="K314" i="8"/>
  <c r="C314" i="8"/>
  <c r="K313" i="8"/>
  <c r="C313" i="8"/>
  <c r="K312" i="8"/>
  <c r="C312" i="8"/>
  <c r="K311" i="8"/>
  <c r="C311" i="8"/>
  <c r="K310" i="8"/>
  <c r="C310" i="8"/>
  <c r="K309" i="8"/>
  <c r="C309" i="8"/>
  <c r="K308" i="8"/>
  <c r="C308" i="8"/>
  <c r="K307" i="8"/>
  <c r="C307" i="8"/>
  <c r="K306" i="8"/>
  <c r="C306" i="8"/>
  <c r="K305" i="8"/>
  <c r="C305" i="8"/>
  <c r="K304" i="8"/>
  <c r="C304" i="8"/>
  <c r="K303" i="8"/>
  <c r="C303" i="8"/>
  <c r="K302" i="8"/>
  <c r="C302" i="8"/>
  <c r="K301" i="8"/>
  <c r="C301" i="8"/>
  <c r="K300" i="8"/>
  <c r="C300" i="8"/>
  <c r="K299" i="8"/>
  <c r="C299" i="8"/>
  <c r="K298" i="8"/>
  <c r="C298" i="8"/>
  <c r="K297" i="8"/>
  <c r="C297" i="8"/>
  <c r="K296" i="8"/>
  <c r="C296" i="8"/>
  <c r="K295" i="8"/>
  <c r="C295" i="8"/>
  <c r="K294" i="8"/>
  <c r="C294" i="8"/>
  <c r="K293" i="8"/>
  <c r="C293" i="8"/>
  <c r="K292" i="8"/>
  <c r="C292" i="8"/>
  <c r="K291" i="8"/>
  <c r="C291" i="8"/>
  <c r="K290" i="8"/>
  <c r="C290" i="8"/>
  <c r="K289" i="8"/>
  <c r="C289" i="8"/>
  <c r="K288" i="8"/>
  <c r="C288" i="8"/>
  <c r="K287" i="8"/>
  <c r="C287" i="8"/>
  <c r="K286" i="8"/>
  <c r="C286" i="8"/>
  <c r="K285" i="8"/>
  <c r="C285" i="8"/>
  <c r="K284" i="8"/>
  <c r="C284" i="8"/>
  <c r="K283" i="8"/>
  <c r="C283" i="8"/>
  <c r="K282" i="8"/>
  <c r="C282" i="8"/>
  <c r="K281" i="8"/>
  <c r="C281" i="8"/>
  <c r="K280" i="8"/>
  <c r="C280" i="8"/>
  <c r="K279" i="8"/>
  <c r="C279" i="8"/>
  <c r="K278" i="8"/>
  <c r="C278" i="8"/>
  <c r="K277" i="8"/>
  <c r="C277" i="8"/>
  <c r="K276" i="8"/>
  <c r="C276" i="8"/>
  <c r="K275" i="8"/>
  <c r="C275" i="8"/>
  <c r="K274" i="8"/>
  <c r="C274" i="8"/>
  <c r="K273" i="8"/>
  <c r="C273" i="8"/>
  <c r="K272" i="8"/>
  <c r="C272" i="8"/>
  <c r="K271" i="8"/>
  <c r="C271" i="8"/>
  <c r="K270" i="8"/>
  <c r="C270" i="8"/>
  <c r="K269" i="8"/>
  <c r="C269" i="8"/>
  <c r="K268" i="8"/>
  <c r="C268" i="8"/>
  <c r="K267" i="8"/>
  <c r="C267" i="8"/>
  <c r="K266" i="8"/>
  <c r="C266" i="8"/>
  <c r="K265" i="8"/>
  <c r="C265" i="8"/>
  <c r="K264" i="8"/>
  <c r="C264" i="8"/>
  <c r="K263" i="8"/>
  <c r="C263" i="8"/>
  <c r="K262" i="8"/>
  <c r="C262" i="8"/>
  <c r="K261" i="8"/>
  <c r="C261" i="8"/>
  <c r="K260" i="8"/>
  <c r="C260" i="8"/>
  <c r="K259" i="8"/>
  <c r="C259" i="8"/>
  <c r="K258" i="8"/>
  <c r="C258" i="8"/>
  <c r="K257" i="8"/>
  <c r="C257" i="8"/>
  <c r="K256" i="8"/>
  <c r="C256" i="8"/>
  <c r="K255" i="8"/>
  <c r="C255" i="8"/>
  <c r="K254" i="8"/>
  <c r="C254" i="8"/>
  <c r="K253" i="8"/>
  <c r="C253" i="8"/>
  <c r="K252" i="8"/>
  <c r="C252" i="8"/>
  <c r="K251" i="8"/>
  <c r="C251" i="8"/>
  <c r="K250" i="8"/>
  <c r="C250" i="8"/>
  <c r="K249" i="8"/>
  <c r="C249" i="8"/>
  <c r="K248" i="8"/>
  <c r="C248" i="8"/>
  <c r="K247" i="8"/>
  <c r="C247" i="8"/>
  <c r="K246" i="8"/>
  <c r="C246" i="8"/>
  <c r="K245" i="8"/>
  <c r="C245" i="8"/>
  <c r="K244" i="8"/>
  <c r="C244" i="8"/>
  <c r="K243" i="8"/>
  <c r="C243" i="8"/>
  <c r="K242" i="8"/>
  <c r="C242" i="8"/>
  <c r="K241" i="8"/>
  <c r="C241" i="8"/>
  <c r="K240" i="8"/>
  <c r="C240" i="8"/>
  <c r="K239" i="8"/>
  <c r="C239" i="8"/>
  <c r="K238" i="8"/>
  <c r="C238" i="8"/>
  <c r="K237" i="8"/>
  <c r="C237" i="8"/>
  <c r="K236" i="8"/>
  <c r="C236" i="8"/>
  <c r="K235" i="8"/>
  <c r="C235" i="8"/>
  <c r="K234" i="8"/>
  <c r="C234" i="8"/>
  <c r="K233" i="8"/>
  <c r="C233" i="8"/>
  <c r="K232" i="8"/>
  <c r="C232" i="8"/>
  <c r="K231" i="8"/>
  <c r="C231" i="8"/>
  <c r="K230" i="8"/>
  <c r="C230" i="8"/>
  <c r="K229" i="8"/>
  <c r="C229" i="8"/>
  <c r="K228" i="8"/>
  <c r="C228" i="8"/>
  <c r="K227" i="8"/>
  <c r="C227" i="8"/>
  <c r="K226" i="8"/>
  <c r="C226" i="8"/>
  <c r="K225" i="8"/>
  <c r="C225" i="8"/>
  <c r="K224" i="8"/>
  <c r="C224" i="8"/>
  <c r="K223" i="8"/>
  <c r="C223" i="8"/>
  <c r="K222" i="8"/>
  <c r="C222" i="8"/>
  <c r="K221" i="8"/>
  <c r="C221" i="8"/>
  <c r="K220" i="8"/>
  <c r="C220" i="8"/>
  <c r="K219" i="8"/>
  <c r="C219" i="8"/>
  <c r="K218" i="8"/>
  <c r="C218" i="8"/>
  <c r="K217" i="8"/>
  <c r="C217" i="8"/>
  <c r="K216" i="8"/>
  <c r="C216" i="8"/>
  <c r="K215" i="8"/>
  <c r="C215" i="8"/>
  <c r="K214" i="8"/>
  <c r="C214" i="8"/>
  <c r="K213" i="8"/>
  <c r="C213" i="8"/>
  <c r="K212" i="8"/>
  <c r="C212" i="8"/>
  <c r="K211" i="8"/>
  <c r="C211" i="8"/>
  <c r="K210" i="8"/>
  <c r="C210" i="8"/>
  <c r="K209" i="8"/>
  <c r="C209" i="8"/>
  <c r="K208" i="8"/>
  <c r="C208" i="8"/>
  <c r="K207" i="8"/>
  <c r="C207" i="8"/>
  <c r="K206" i="8"/>
  <c r="C206" i="8"/>
  <c r="K205" i="8"/>
  <c r="C205" i="8"/>
  <c r="K204" i="8"/>
  <c r="C204" i="8"/>
  <c r="K203" i="8"/>
  <c r="C203" i="8"/>
  <c r="K202" i="8"/>
  <c r="C202" i="8"/>
  <c r="K201" i="8"/>
  <c r="C201" i="8"/>
  <c r="K200" i="8"/>
  <c r="C200" i="8"/>
  <c r="K199" i="8"/>
  <c r="C199" i="8"/>
  <c r="K198" i="8"/>
  <c r="C198" i="8"/>
  <c r="K197" i="8"/>
  <c r="C197" i="8"/>
  <c r="K196" i="8"/>
  <c r="C196" i="8"/>
  <c r="K195" i="8"/>
  <c r="C195" i="8"/>
  <c r="K194" i="8"/>
  <c r="C194" i="8"/>
  <c r="K193" i="8"/>
  <c r="C193" i="8"/>
  <c r="K192" i="8"/>
  <c r="C192" i="8"/>
  <c r="K191" i="8"/>
  <c r="C191" i="8"/>
  <c r="K190" i="8"/>
  <c r="C190" i="8"/>
  <c r="K189" i="8"/>
  <c r="C189" i="8"/>
  <c r="K188" i="8"/>
  <c r="C188" i="8"/>
  <c r="K187" i="8"/>
  <c r="C187" i="8"/>
  <c r="K186" i="8"/>
  <c r="C186" i="8"/>
  <c r="K185" i="8"/>
  <c r="C185" i="8"/>
  <c r="K184" i="8"/>
  <c r="C184" i="8"/>
  <c r="K183" i="8"/>
  <c r="C183" i="8"/>
  <c r="K182" i="8"/>
  <c r="C182" i="8"/>
  <c r="K181" i="8"/>
  <c r="C181" i="8"/>
  <c r="K180" i="8"/>
  <c r="C180" i="8"/>
  <c r="K179" i="8"/>
  <c r="C179" i="8"/>
  <c r="K178" i="8"/>
  <c r="C178" i="8"/>
  <c r="K177" i="8"/>
  <c r="C177" i="8"/>
  <c r="K176" i="8"/>
  <c r="C176" i="8"/>
  <c r="K175" i="8"/>
  <c r="C175" i="8"/>
  <c r="K174" i="8"/>
  <c r="C174" i="8"/>
  <c r="K173" i="8"/>
  <c r="C173" i="8"/>
  <c r="K172" i="8"/>
  <c r="C172" i="8"/>
  <c r="K171" i="8"/>
  <c r="C171" i="8"/>
  <c r="K170" i="8"/>
  <c r="C170" i="8"/>
  <c r="K169" i="8"/>
  <c r="C169" i="8"/>
  <c r="K168" i="8"/>
  <c r="C168" i="8"/>
  <c r="K167" i="8"/>
  <c r="C167" i="8"/>
  <c r="K166" i="8"/>
  <c r="C166" i="8"/>
  <c r="K165" i="8"/>
  <c r="C165" i="8"/>
  <c r="K164" i="8"/>
  <c r="C164" i="8"/>
  <c r="K163" i="8"/>
  <c r="C163" i="8"/>
  <c r="K162" i="8"/>
  <c r="C162" i="8"/>
  <c r="K161" i="8"/>
  <c r="C161" i="8"/>
  <c r="K160" i="8"/>
  <c r="C160" i="8"/>
  <c r="K159" i="8"/>
  <c r="C159" i="8"/>
  <c r="K158" i="8"/>
  <c r="C158" i="8"/>
  <c r="K157" i="8"/>
  <c r="C157" i="8"/>
  <c r="K156" i="8"/>
  <c r="C156" i="8"/>
  <c r="K155" i="8"/>
  <c r="C155" i="8"/>
  <c r="K154" i="8"/>
  <c r="C154" i="8"/>
  <c r="K153" i="8"/>
  <c r="C153" i="8"/>
  <c r="K152" i="8"/>
  <c r="C152" i="8"/>
  <c r="K151" i="8"/>
  <c r="C151" i="8"/>
  <c r="K150" i="8"/>
  <c r="C150" i="8"/>
  <c r="K149" i="8"/>
  <c r="C149" i="8"/>
  <c r="K148" i="8"/>
  <c r="C148" i="8"/>
  <c r="K147" i="8"/>
  <c r="C147" i="8"/>
  <c r="K146" i="8"/>
  <c r="C146" i="8"/>
  <c r="K145" i="8"/>
  <c r="C145" i="8"/>
  <c r="K144" i="8"/>
  <c r="C144" i="8"/>
  <c r="K143" i="8"/>
  <c r="C143" i="8"/>
  <c r="K142" i="8"/>
  <c r="C142" i="8"/>
  <c r="K141" i="8"/>
  <c r="C141" i="8"/>
  <c r="K140" i="8"/>
  <c r="C140" i="8"/>
  <c r="K139" i="8"/>
  <c r="C139" i="8"/>
  <c r="K138" i="8"/>
  <c r="C138" i="8"/>
  <c r="K137" i="8"/>
  <c r="C137" i="8"/>
  <c r="K136" i="8"/>
  <c r="C136" i="8"/>
  <c r="K135" i="8"/>
  <c r="C135" i="8"/>
  <c r="K134" i="8"/>
  <c r="C134" i="8"/>
  <c r="K133" i="8"/>
  <c r="C133" i="8"/>
  <c r="K132" i="8"/>
  <c r="C132" i="8"/>
  <c r="K131" i="8"/>
  <c r="C131" i="8"/>
  <c r="K130" i="8"/>
  <c r="C130" i="8"/>
  <c r="K129" i="8"/>
  <c r="C129" i="8"/>
  <c r="K128" i="8"/>
  <c r="C128" i="8"/>
  <c r="K127" i="8"/>
  <c r="C127" i="8"/>
  <c r="K126" i="8"/>
  <c r="C126" i="8"/>
  <c r="K125" i="8"/>
  <c r="C125" i="8"/>
  <c r="K124" i="8"/>
  <c r="C124" i="8"/>
  <c r="K123" i="8"/>
  <c r="C123" i="8"/>
  <c r="K122" i="8"/>
  <c r="C122" i="8"/>
  <c r="K121" i="8"/>
  <c r="C121" i="8"/>
  <c r="K120" i="8"/>
  <c r="C120" i="8"/>
  <c r="K119" i="8"/>
  <c r="C119" i="8"/>
  <c r="K118" i="8"/>
  <c r="C118" i="8"/>
  <c r="K117" i="8"/>
  <c r="C117" i="8"/>
  <c r="K116" i="8"/>
  <c r="C116" i="8"/>
  <c r="K115" i="8"/>
  <c r="C115" i="8"/>
  <c r="K114" i="8"/>
  <c r="C114" i="8"/>
  <c r="K113" i="8"/>
  <c r="C113" i="8"/>
  <c r="K112" i="8"/>
  <c r="C112" i="8"/>
  <c r="K111" i="8"/>
  <c r="C111" i="8"/>
  <c r="K110" i="8"/>
  <c r="C110" i="8"/>
  <c r="K109" i="8"/>
  <c r="C109" i="8"/>
  <c r="K108" i="8"/>
  <c r="C108" i="8"/>
  <c r="K107" i="8"/>
  <c r="C107" i="8"/>
  <c r="K106" i="8"/>
  <c r="C106" i="8"/>
  <c r="K105" i="8"/>
  <c r="C105" i="8"/>
  <c r="K104" i="8"/>
  <c r="C104" i="8"/>
  <c r="K103" i="8"/>
  <c r="C103" i="8"/>
  <c r="K102" i="8"/>
  <c r="C102" i="8"/>
  <c r="K101" i="8"/>
  <c r="C101" i="8"/>
  <c r="K100" i="8"/>
  <c r="C100" i="8"/>
  <c r="K99" i="8"/>
  <c r="C99" i="8"/>
  <c r="K98" i="8"/>
  <c r="C98" i="8"/>
  <c r="K97" i="8"/>
  <c r="C97" i="8"/>
  <c r="K96" i="8"/>
  <c r="C96" i="8"/>
  <c r="K95" i="8"/>
  <c r="C95" i="8"/>
  <c r="K94" i="8"/>
  <c r="C94" i="8"/>
  <c r="K93" i="8"/>
  <c r="C93" i="8"/>
  <c r="K92" i="8"/>
  <c r="C92" i="8"/>
  <c r="K91" i="8"/>
  <c r="C91" i="8"/>
  <c r="K90" i="8"/>
  <c r="C90" i="8"/>
  <c r="K89" i="8"/>
  <c r="C89" i="8"/>
  <c r="K88" i="8"/>
  <c r="C88" i="8"/>
  <c r="K87" i="8"/>
  <c r="C87" i="8"/>
  <c r="K86" i="8"/>
  <c r="C86" i="8"/>
  <c r="K85" i="8"/>
  <c r="C85" i="8"/>
  <c r="K84" i="8"/>
  <c r="C84" i="8"/>
  <c r="K83" i="8"/>
  <c r="C83" i="8"/>
  <c r="K82" i="8"/>
  <c r="C82" i="8"/>
  <c r="K81" i="8"/>
  <c r="C81" i="8"/>
  <c r="K80" i="8"/>
  <c r="C80" i="8"/>
  <c r="K79" i="8"/>
  <c r="C79" i="8"/>
  <c r="K78" i="8"/>
  <c r="C78" i="8"/>
  <c r="K77" i="8"/>
  <c r="C77" i="8"/>
  <c r="K76" i="8"/>
  <c r="C76" i="8"/>
  <c r="K75" i="8"/>
  <c r="C75" i="8"/>
  <c r="K74" i="8"/>
  <c r="C74" i="8"/>
  <c r="K73" i="8"/>
  <c r="C73" i="8"/>
  <c r="K72" i="8"/>
  <c r="C72" i="8"/>
  <c r="K71" i="8"/>
  <c r="C71" i="8"/>
  <c r="K70" i="8"/>
  <c r="C70" i="8"/>
  <c r="K69" i="8"/>
  <c r="C69" i="8"/>
  <c r="K68" i="8"/>
  <c r="C68" i="8"/>
  <c r="K67" i="8"/>
  <c r="C67" i="8"/>
  <c r="K66" i="8"/>
  <c r="C66" i="8"/>
  <c r="K65" i="8"/>
  <c r="C65" i="8"/>
  <c r="K64" i="8"/>
  <c r="C64" i="8"/>
  <c r="K63" i="8"/>
  <c r="C63" i="8"/>
  <c r="K62" i="8"/>
  <c r="C62" i="8"/>
  <c r="K61" i="8"/>
  <c r="C61" i="8"/>
  <c r="K60" i="8"/>
  <c r="C60" i="8"/>
  <c r="K59" i="8"/>
  <c r="C59" i="8"/>
  <c r="K58" i="8"/>
  <c r="C58" i="8"/>
  <c r="K57" i="8"/>
  <c r="C57" i="8"/>
  <c r="K56" i="8"/>
  <c r="C56" i="8"/>
  <c r="K55" i="8"/>
  <c r="C55" i="8"/>
  <c r="K54" i="8"/>
  <c r="C54" i="8"/>
  <c r="K53" i="8"/>
  <c r="C53" i="8"/>
  <c r="K52" i="8"/>
  <c r="C52" i="8"/>
  <c r="K51" i="8"/>
  <c r="C51" i="8"/>
  <c r="K50" i="8"/>
  <c r="C50" i="8"/>
  <c r="K49" i="8"/>
  <c r="C49" i="8"/>
  <c r="K48" i="8"/>
  <c r="C48" i="8"/>
  <c r="K47" i="8"/>
  <c r="C47" i="8"/>
  <c r="K46" i="8"/>
  <c r="C46" i="8"/>
  <c r="K45" i="8"/>
  <c r="C45" i="8"/>
  <c r="K44" i="8"/>
  <c r="C44" i="8"/>
  <c r="K43" i="8"/>
  <c r="C43" i="8"/>
  <c r="K42" i="8"/>
  <c r="C42" i="8"/>
  <c r="K41" i="8"/>
  <c r="C41" i="8"/>
  <c r="K40" i="8"/>
  <c r="C40" i="8"/>
  <c r="K39" i="8"/>
  <c r="C39" i="8"/>
  <c r="K38" i="8"/>
  <c r="C38" i="8"/>
  <c r="K37" i="8"/>
  <c r="C37" i="8"/>
  <c r="K36" i="8"/>
  <c r="C36" i="8"/>
  <c r="K35" i="8"/>
  <c r="C35" i="8"/>
  <c r="K34" i="8"/>
  <c r="C34" i="8"/>
  <c r="K33" i="8"/>
  <c r="C33" i="8"/>
  <c r="K32" i="8"/>
  <c r="C32" i="8"/>
  <c r="K31" i="8"/>
  <c r="C31" i="8"/>
  <c r="K30" i="8"/>
  <c r="C30" i="8"/>
  <c r="K29" i="8"/>
  <c r="C29" i="8"/>
  <c r="K28" i="8"/>
  <c r="C28" i="8"/>
  <c r="K27" i="8"/>
  <c r="C27" i="8"/>
  <c r="K26" i="8"/>
  <c r="C26" i="8"/>
  <c r="K25" i="8"/>
  <c r="C25" i="8"/>
  <c r="K24" i="8"/>
  <c r="C24" i="8"/>
  <c r="K23" i="8"/>
  <c r="C23" i="8"/>
  <c r="K22" i="8"/>
  <c r="C22" i="8"/>
  <c r="K21" i="8"/>
  <c r="C21" i="8"/>
  <c r="K20" i="8"/>
  <c r="C20" i="8"/>
  <c r="K19" i="8"/>
  <c r="C19" i="8"/>
  <c r="K18" i="8"/>
  <c r="C18" i="8"/>
  <c r="K17" i="8"/>
  <c r="C17" i="8"/>
  <c r="K16" i="8"/>
  <c r="C16" i="8"/>
  <c r="K15" i="8"/>
  <c r="C15" i="8"/>
  <c r="K14" i="8"/>
  <c r="C14" i="8"/>
  <c r="K13" i="8"/>
  <c r="C13" i="8"/>
  <c r="K12" i="8"/>
  <c r="C12" i="8"/>
  <c r="K11" i="8"/>
  <c r="C11" i="8"/>
  <c r="K10" i="8"/>
  <c r="C10" i="8"/>
  <c r="K9" i="8"/>
  <c r="C9" i="8"/>
  <c r="K8" i="8"/>
  <c r="C8" i="8"/>
  <c r="K7" i="8"/>
  <c r="C7" i="8"/>
  <c r="K6" i="8"/>
  <c r="C6" i="8"/>
  <c r="K5" i="8"/>
  <c r="C5" i="8"/>
  <c r="K4" i="8"/>
  <c r="C4" i="8"/>
  <c r="K3" i="8"/>
  <c r="C3" i="8"/>
  <c r="K2" i="8"/>
  <c r="C2" i="8"/>
  <c r="K491" i="7"/>
  <c r="C491" i="7"/>
  <c r="K490" i="7"/>
  <c r="C490" i="7"/>
  <c r="K489" i="7"/>
  <c r="C489" i="7"/>
  <c r="K488" i="7"/>
  <c r="C488" i="7"/>
  <c r="K487" i="7"/>
  <c r="C487" i="7"/>
  <c r="K486" i="7"/>
  <c r="C486" i="7"/>
  <c r="K485" i="7"/>
  <c r="C485" i="7"/>
  <c r="K484" i="7"/>
  <c r="C484" i="7"/>
  <c r="K483" i="7"/>
  <c r="C483" i="7"/>
  <c r="K482" i="7"/>
  <c r="C482" i="7"/>
  <c r="K481" i="7"/>
  <c r="C481" i="7"/>
  <c r="K480" i="7"/>
  <c r="C480" i="7"/>
  <c r="K479" i="7"/>
  <c r="C479" i="7"/>
  <c r="K478" i="7"/>
  <c r="C478" i="7"/>
  <c r="K477" i="7"/>
  <c r="C477" i="7"/>
  <c r="K476" i="7"/>
  <c r="C476" i="7"/>
  <c r="K475" i="7"/>
  <c r="C475" i="7"/>
  <c r="K474" i="7"/>
  <c r="C474" i="7"/>
  <c r="K473" i="7"/>
  <c r="C473" i="7"/>
  <c r="K472" i="7"/>
  <c r="C472" i="7"/>
  <c r="K471" i="7"/>
  <c r="C471" i="7"/>
  <c r="K470" i="7"/>
  <c r="C470" i="7"/>
  <c r="K469" i="7"/>
  <c r="C469" i="7"/>
  <c r="K468" i="7"/>
  <c r="C468" i="7"/>
  <c r="K467" i="7"/>
  <c r="C467" i="7"/>
  <c r="K466" i="7"/>
  <c r="C466" i="7"/>
  <c r="K465" i="7"/>
  <c r="C465" i="7"/>
  <c r="K464" i="7"/>
  <c r="C464" i="7"/>
  <c r="K463" i="7"/>
  <c r="C463" i="7"/>
  <c r="K462" i="7"/>
  <c r="C462" i="7"/>
  <c r="K461" i="7"/>
  <c r="C461" i="7"/>
  <c r="K460" i="7"/>
  <c r="C460" i="7"/>
  <c r="K459" i="7"/>
  <c r="C459" i="7"/>
  <c r="K458" i="7"/>
  <c r="C458" i="7"/>
  <c r="K457" i="7"/>
  <c r="C457" i="7"/>
  <c r="K456" i="7"/>
  <c r="C456" i="7"/>
  <c r="K455" i="7"/>
  <c r="C455" i="7"/>
  <c r="K454" i="7"/>
  <c r="C454" i="7"/>
  <c r="K453" i="7"/>
  <c r="C453" i="7"/>
  <c r="K452" i="7"/>
  <c r="C452" i="7"/>
  <c r="K451" i="7"/>
  <c r="C451" i="7"/>
  <c r="K450" i="7"/>
  <c r="C450" i="7"/>
  <c r="K449" i="7"/>
  <c r="C449" i="7"/>
  <c r="K448" i="7"/>
  <c r="C448" i="7"/>
  <c r="K447" i="7"/>
  <c r="C447" i="7"/>
  <c r="K446" i="7"/>
  <c r="C446" i="7"/>
  <c r="K445" i="7"/>
  <c r="C445" i="7"/>
  <c r="K444" i="7"/>
  <c r="C444" i="7"/>
  <c r="K443" i="7"/>
  <c r="C443" i="7"/>
  <c r="K442" i="7"/>
  <c r="C442" i="7"/>
  <c r="K441" i="7"/>
  <c r="C441" i="7"/>
  <c r="K440" i="7"/>
  <c r="C440" i="7"/>
  <c r="K439" i="7"/>
  <c r="C439" i="7"/>
  <c r="K438" i="7"/>
  <c r="C438" i="7"/>
  <c r="K437" i="7"/>
  <c r="C437" i="7"/>
  <c r="K436" i="7"/>
  <c r="C436" i="7"/>
  <c r="K435" i="7"/>
  <c r="C435" i="7"/>
  <c r="K434" i="7"/>
  <c r="C434" i="7"/>
  <c r="K433" i="7"/>
  <c r="C433" i="7"/>
  <c r="K432" i="7"/>
  <c r="C432" i="7"/>
  <c r="K431" i="7"/>
  <c r="C431" i="7"/>
  <c r="K430" i="7"/>
  <c r="C430" i="7"/>
  <c r="K429" i="7"/>
  <c r="C429" i="7"/>
  <c r="K428" i="7"/>
  <c r="C428" i="7"/>
  <c r="K427" i="7"/>
  <c r="C427" i="7"/>
  <c r="K426" i="7"/>
  <c r="C426" i="7"/>
  <c r="K425" i="7"/>
  <c r="C425" i="7"/>
  <c r="K424" i="7"/>
  <c r="C424" i="7"/>
  <c r="K423" i="7"/>
  <c r="C423" i="7"/>
  <c r="K422" i="7"/>
  <c r="C422" i="7"/>
  <c r="K421" i="7"/>
  <c r="C421" i="7"/>
  <c r="K420" i="7"/>
  <c r="C420" i="7"/>
  <c r="K419" i="7"/>
  <c r="C419" i="7"/>
  <c r="K418" i="7"/>
  <c r="C418" i="7"/>
  <c r="K417" i="7"/>
  <c r="C417" i="7"/>
  <c r="K416" i="7"/>
  <c r="C416" i="7"/>
  <c r="K415" i="7"/>
  <c r="C415" i="7"/>
  <c r="K414" i="7"/>
  <c r="C414" i="7"/>
  <c r="K413" i="7"/>
  <c r="C413" i="7"/>
  <c r="K412" i="7"/>
  <c r="C412" i="7"/>
  <c r="K411" i="7"/>
  <c r="C411" i="7"/>
  <c r="K410" i="7"/>
  <c r="C410" i="7"/>
  <c r="K409" i="7"/>
  <c r="C409" i="7"/>
  <c r="K408" i="7"/>
  <c r="C408" i="7"/>
  <c r="K407" i="7"/>
  <c r="C407" i="7"/>
  <c r="K406" i="7"/>
  <c r="C406" i="7"/>
  <c r="K405" i="7"/>
  <c r="C405" i="7"/>
  <c r="K404" i="7"/>
  <c r="C404" i="7"/>
  <c r="K403" i="7"/>
  <c r="C403" i="7"/>
  <c r="K402" i="7"/>
  <c r="C402" i="7"/>
  <c r="K401" i="7"/>
  <c r="C401" i="7"/>
  <c r="K400" i="7"/>
  <c r="C400" i="7"/>
  <c r="K399" i="7"/>
  <c r="C399" i="7"/>
  <c r="K398" i="7"/>
  <c r="C398" i="7"/>
  <c r="K397" i="7"/>
  <c r="C397" i="7"/>
  <c r="K396" i="7"/>
  <c r="C396" i="7"/>
  <c r="K395" i="7"/>
  <c r="C395" i="7"/>
  <c r="K394" i="7"/>
  <c r="C394" i="7"/>
  <c r="K393" i="7"/>
  <c r="C393" i="7"/>
  <c r="K392" i="7"/>
  <c r="C392" i="7"/>
  <c r="K391" i="7"/>
  <c r="C391" i="7"/>
  <c r="K390" i="7"/>
  <c r="C390" i="7"/>
  <c r="K389" i="7"/>
  <c r="C389" i="7"/>
  <c r="K388" i="7"/>
  <c r="C388" i="7"/>
  <c r="K387" i="7"/>
  <c r="C387" i="7"/>
  <c r="K386" i="7"/>
  <c r="C386" i="7"/>
  <c r="K385" i="7"/>
  <c r="C385" i="7"/>
  <c r="K384" i="7"/>
  <c r="C384" i="7"/>
  <c r="K383" i="7"/>
  <c r="C383" i="7"/>
  <c r="K382" i="7"/>
  <c r="C382" i="7"/>
  <c r="K381" i="7"/>
  <c r="C381" i="7"/>
  <c r="K380" i="7"/>
  <c r="C380" i="7"/>
  <c r="K379" i="7"/>
  <c r="C379" i="7"/>
  <c r="K378" i="7"/>
  <c r="C378" i="7"/>
  <c r="K377" i="7"/>
  <c r="C377" i="7"/>
  <c r="K376" i="7"/>
  <c r="C376" i="7"/>
  <c r="K375" i="7"/>
  <c r="C375" i="7"/>
  <c r="K374" i="7"/>
  <c r="C374" i="7"/>
  <c r="K373" i="7"/>
  <c r="C373" i="7"/>
  <c r="K372" i="7"/>
  <c r="C372" i="7"/>
  <c r="K371" i="7"/>
  <c r="C371" i="7"/>
  <c r="K370" i="7"/>
  <c r="C370" i="7"/>
  <c r="K369" i="7"/>
  <c r="C369" i="7"/>
  <c r="K368" i="7"/>
  <c r="C368" i="7"/>
  <c r="K367" i="7"/>
  <c r="C367" i="7"/>
  <c r="K366" i="7"/>
  <c r="C366" i="7"/>
  <c r="K365" i="7"/>
  <c r="C365" i="7"/>
  <c r="K364" i="7"/>
  <c r="C364" i="7"/>
  <c r="K363" i="7"/>
  <c r="C363" i="7"/>
  <c r="K362" i="7"/>
  <c r="C362" i="7"/>
  <c r="K361" i="7"/>
  <c r="C361" i="7"/>
  <c r="K360" i="7"/>
  <c r="C360" i="7"/>
  <c r="K359" i="7"/>
  <c r="C359" i="7"/>
  <c r="K358" i="7"/>
  <c r="C358" i="7"/>
  <c r="K357" i="7"/>
  <c r="C357" i="7"/>
  <c r="K356" i="7"/>
  <c r="C356" i="7"/>
  <c r="K355" i="7"/>
  <c r="C355" i="7"/>
  <c r="K354" i="7"/>
  <c r="C354" i="7"/>
  <c r="K353" i="7"/>
  <c r="C353" i="7"/>
  <c r="K352" i="7"/>
  <c r="C352" i="7"/>
  <c r="K351" i="7"/>
  <c r="C351" i="7"/>
  <c r="K350" i="7"/>
  <c r="C350" i="7"/>
  <c r="K349" i="7"/>
  <c r="C349" i="7"/>
  <c r="K348" i="7"/>
  <c r="C348" i="7"/>
  <c r="K347" i="7"/>
  <c r="C347" i="7"/>
  <c r="K346" i="7"/>
  <c r="C346" i="7"/>
  <c r="K345" i="7"/>
  <c r="C345" i="7"/>
  <c r="K344" i="7"/>
  <c r="C344" i="7"/>
  <c r="K343" i="7"/>
  <c r="C343" i="7"/>
  <c r="K342" i="7"/>
  <c r="C342" i="7"/>
  <c r="K341" i="7"/>
  <c r="C341" i="7"/>
  <c r="K340" i="7"/>
  <c r="C340" i="7"/>
  <c r="K339" i="7"/>
  <c r="C339" i="7"/>
  <c r="K338" i="7"/>
  <c r="C338" i="7"/>
  <c r="K337" i="7"/>
  <c r="C337" i="7"/>
  <c r="K336" i="7"/>
  <c r="C336" i="7"/>
  <c r="K335" i="7"/>
  <c r="C335" i="7"/>
  <c r="K334" i="7"/>
  <c r="C334" i="7"/>
  <c r="K333" i="7"/>
  <c r="C333" i="7"/>
  <c r="K332" i="7"/>
  <c r="C332" i="7"/>
  <c r="K331" i="7"/>
  <c r="C331" i="7"/>
  <c r="K330" i="7"/>
  <c r="C330" i="7"/>
  <c r="K329" i="7"/>
  <c r="C329" i="7"/>
  <c r="K328" i="7"/>
  <c r="C328" i="7"/>
  <c r="K327" i="7"/>
  <c r="C327" i="7"/>
  <c r="K326" i="7"/>
  <c r="C326" i="7"/>
  <c r="K325" i="7"/>
  <c r="C325" i="7"/>
  <c r="K324" i="7"/>
  <c r="C324" i="7"/>
  <c r="K323" i="7"/>
  <c r="C323" i="7"/>
  <c r="K322" i="7"/>
  <c r="C322" i="7"/>
  <c r="K321" i="7"/>
  <c r="C321" i="7"/>
  <c r="K320" i="7"/>
  <c r="C320" i="7"/>
  <c r="K319" i="7"/>
  <c r="C319" i="7"/>
  <c r="K318" i="7"/>
  <c r="C318" i="7"/>
  <c r="K317" i="7"/>
  <c r="C317" i="7"/>
  <c r="K316" i="7"/>
  <c r="C316" i="7"/>
  <c r="K315" i="7"/>
  <c r="C315" i="7"/>
  <c r="K314" i="7"/>
  <c r="C314" i="7"/>
  <c r="K313" i="7"/>
  <c r="C313" i="7"/>
  <c r="K312" i="7"/>
  <c r="C312" i="7"/>
  <c r="K311" i="7"/>
  <c r="C311" i="7"/>
  <c r="K310" i="7"/>
  <c r="C310" i="7"/>
  <c r="K309" i="7"/>
  <c r="C309" i="7"/>
  <c r="K308" i="7"/>
  <c r="C308" i="7"/>
  <c r="K307" i="7"/>
  <c r="C307" i="7"/>
  <c r="K306" i="7"/>
  <c r="C306" i="7"/>
  <c r="K305" i="7"/>
  <c r="C305" i="7"/>
  <c r="K304" i="7"/>
  <c r="C304" i="7"/>
  <c r="K303" i="7"/>
  <c r="C303" i="7"/>
  <c r="K302" i="7"/>
  <c r="C302" i="7"/>
  <c r="K301" i="7"/>
  <c r="C301" i="7"/>
  <c r="K300" i="7"/>
  <c r="C300" i="7"/>
  <c r="K299" i="7"/>
  <c r="C299" i="7"/>
  <c r="K298" i="7"/>
  <c r="C298" i="7"/>
  <c r="K297" i="7"/>
  <c r="C297" i="7"/>
  <c r="K296" i="7"/>
  <c r="C296" i="7"/>
  <c r="K295" i="7"/>
  <c r="C295" i="7"/>
  <c r="K294" i="7"/>
  <c r="C294" i="7"/>
  <c r="K293" i="7"/>
  <c r="C293" i="7"/>
  <c r="K292" i="7"/>
  <c r="C292" i="7"/>
  <c r="K291" i="7"/>
  <c r="C291" i="7"/>
  <c r="K290" i="7"/>
  <c r="C290" i="7"/>
  <c r="K289" i="7"/>
  <c r="C289" i="7"/>
  <c r="K288" i="7"/>
  <c r="C288" i="7"/>
  <c r="K287" i="7"/>
  <c r="C287" i="7"/>
  <c r="K286" i="7"/>
  <c r="C286" i="7"/>
  <c r="K285" i="7"/>
  <c r="C285" i="7"/>
  <c r="K284" i="7"/>
  <c r="C284" i="7"/>
  <c r="K283" i="7"/>
  <c r="C283" i="7"/>
  <c r="K282" i="7"/>
  <c r="C282" i="7"/>
  <c r="K281" i="7"/>
  <c r="C281" i="7"/>
  <c r="K280" i="7"/>
  <c r="C280" i="7"/>
  <c r="K279" i="7"/>
  <c r="C279" i="7"/>
  <c r="K278" i="7"/>
  <c r="C278" i="7"/>
  <c r="K277" i="7"/>
  <c r="C277" i="7"/>
  <c r="K276" i="7"/>
  <c r="C276" i="7"/>
  <c r="K275" i="7"/>
  <c r="C275" i="7"/>
  <c r="K274" i="7"/>
  <c r="C274" i="7"/>
  <c r="K273" i="7"/>
  <c r="C273" i="7"/>
  <c r="K272" i="7"/>
  <c r="C272" i="7"/>
  <c r="K271" i="7"/>
  <c r="C271" i="7"/>
  <c r="K270" i="7"/>
  <c r="C270" i="7"/>
  <c r="K269" i="7"/>
  <c r="C269" i="7"/>
  <c r="K268" i="7"/>
  <c r="C268" i="7"/>
  <c r="K267" i="7"/>
  <c r="C267" i="7"/>
  <c r="K266" i="7"/>
  <c r="C266" i="7"/>
  <c r="K265" i="7"/>
  <c r="C265" i="7"/>
  <c r="K264" i="7"/>
  <c r="C264" i="7"/>
  <c r="K263" i="7"/>
  <c r="C263" i="7"/>
  <c r="K262" i="7"/>
  <c r="C262" i="7"/>
  <c r="K261" i="7"/>
  <c r="C261" i="7"/>
  <c r="K260" i="7"/>
  <c r="C260" i="7"/>
  <c r="K259" i="7"/>
  <c r="C259" i="7"/>
  <c r="K258" i="7"/>
  <c r="C258" i="7"/>
  <c r="K257" i="7"/>
  <c r="C257" i="7"/>
  <c r="K256" i="7"/>
  <c r="C256" i="7"/>
  <c r="K255" i="7"/>
  <c r="C255" i="7"/>
  <c r="K254" i="7"/>
  <c r="C254" i="7"/>
  <c r="K253" i="7"/>
  <c r="C253" i="7"/>
  <c r="K252" i="7"/>
  <c r="C252" i="7"/>
  <c r="K251" i="7"/>
  <c r="C251" i="7"/>
  <c r="K250" i="7"/>
  <c r="C250" i="7"/>
  <c r="K249" i="7"/>
  <c r="C249" i="7"/>
  <c r="K248" i="7"/>
  <c r="C248" i="7"/>
  <c r="K247" i="7"/>
  <c r="C247" i="7"/>
  <c r="K246" i="7"/>
  <c r="C246" i="7"/>
  <c r="K245" i="7"/>
  <c r="C245" i="7"/>
  <c r="K244" i="7"/>
  <c r="C244" i="7"/>
  <c r="K243" i="7"/>
  <c r="C243" i="7"/>
  <c r="K242" i="7"/>
  <c r="C242" i="7"/>
  <c r="K241" i="7"/>
  <c r="C241" i="7"/>
  <c r="K240" i="7"/>
  <c r="C240" i="7"/>
  <c r="K239" i="7"/>
  <c r="C239" i="7"/>
  <c r="K238" i="7"/>
  <c r="C238" i="7"/>
  <c r="K237" i="7"/>
  <c r="C237" i="7"/>
  <c r="K236" i="7"/>
  <c r="C236" i="7"/>
  <c r="K235" i="7"/>
  <c r="C235" i="7"/>
  <c r="K234" i="7"/>
  <c r="C234" i="7"/>
  <c r="K233" i="7"/>
  <c r="C233" i="7"/>
  <c r="K232" i="7"/>
  <c r="C232" i="7"/>
  <c r="K231" i="7"/>
  <c r="C231" i="7"/>
  <c r="K230" i="7"/>
  <c r="C230" i="7"/>
  <c r="K229" i="7"/>
  <c r="C229" i="7"/>
  <c r="K228" i="7"/>
  <c r="C228" i="7"/>
  <c r="K227" i="7"/>
  <c r="C227" i="7"/>
  <c r="K226" i="7"/>
  <c r="C226" i="7"/>
  <c r="K225" i="7"/>
  <c r="C225" i="7"/>
  <c r="K224" i="7"/>
  <c r="C224" i="7"/>
  <c r="K223" i="7"/>
  <c r="C223" i="7"/>
  <c r="K222" i="7"/>
  <c r="C222" i="7"/>
  <c r="K221" i="7"/>
  <c r="C221" i="7"/>
  <c r="K220" i="7"/>
  <c r="C220" i="7"/>
  <c r="K219" i="7"/>
  <c r="C219" i="7"/>
  <c r="K218" i="7"/>
  <c r="C218" i="7"/>
  <c r="K217" i="7"/>
  <c r="C217" i="7"/>
  <c r="K216" i="7"/>
  <c r="C216" i="7"/>
  <c r="K215" i="7"/>
  <c r="C215" i="7"/>
  <c r="K214" i="7"/>
  <c r="C214" i="7"/>
  <c r="K213" i="7"/>
  <c r="C213" i="7"/>
  <c r="K212" i="7"/>
  <c r="C212" i="7"/>
  <c r="K211" i="7"/>
  <c r="C211" i="7"/>
  <c r="K210" i="7"/>
  <c r="C210" i="7"/>
  <c r="K209" i="7"/>
  <c r="C209" i="7"/>
  <c r="K208" i="7"/>
  <c r="C208" i="7"/>
  <c r="K207" i="7"/>
  <c r="C207" i="7"/>
  <c r="K206" i="7"/>
  <c r="C206" i="7"/>
  <c r="K205" i="7"/>
  <c r="C205" i="7"/>
  <c r="K204" i="7"/>
  <c r="C204" i="7"/>
  <c r="K203" i="7"/>
  <c r="C203" i="7"/>
  <c r="K202" i="7"/>
  <c r="C202" i="7"/>
  <c r="K201" i="7"/>
  <c r="C201" i="7"/>
  <c r="K200" i="7"/>
  <c r="C200" i="7"/>
  <c r="K199" i="7"/>
  <c r="C199" i="7"/>
  <c r="K198" i="7"/>
  <c r="C198" i="7"/>
  <c r="K197" i="7"/>
  <c r="C197" i="7"/>
  <c r="K196" i="7"/>
  <c r="C196" i="7"/>
  <c r="K195" i="7"/>
  <c r="C195" i="7"/>
  <c r="K194" i="7"/>
  <c r="C194" i="7"/>
  <c r="K193" i="7"/>
  <c r="C193" i="7"/>
  <c r="K192" i="7"/>
  <c r="C192" i="7"/>
  <c r="K191" i="7"/>
  <c r="C191" i="7"/>
  <c r="K190" i="7"/>
  <c r="C190" i="7"/>
  <c r="K189" i="7"/>
  <c r="C189" i="7"/>
  <c r="K188" i="7"/>
  <c r="C188" i="7"/>
  <c r="K187" i="7"/>
  <c r="C187" i="7"/>
  <c r="K186" i="7"/>
  <c r="C186" i="7"/>
  <c r="K185" i="7"/>
  <c r="C185" i="7"/>
  <c r="K184" i="7"/>
  <c r="C184" i="7"/>
  <c r="K183" i="7"/>
  <c r="C183" i="7"/>
  <c r="K182" i="7"/>
  <c r="C182" i="7"/>
  <c r="K181" i="7"/>
  <c r="C181" i="7"/>
  <c r="K180" i="7"/>
  <c r="C180" i="7"/>
  <c r="K179" i="7"/>
  <c r="C179" i="7"/>
  <c r="K178" i="7"/>
  <c r="C178" i="7"/>
  <c r="K177" i="7"/>
  <c r="C177" i="7"/>
  <c r="K176" i="7"/>
  <c r="C176" i="7"/>
  <c r="K175" i="7"/>
  <c r="C175" i="7"/>
  <c r="K174" i="7"/>
  <c r="C174" i="7"/>
  <c r="K173" i="7"/>
  <c r="C173" i="7"/>
  <c r="K172" i="7"/>
  <c r="C172" i="7"/>
  <c r="K171" i="7"/>
  <c r="C171" i="7"/>
  <c r="K170" i="7"/>
  <c r="C170" i="7"/>
  <c r="K169" i="7"/>
  <c r="C169" i="7"/>
  <c r="K168" i="7"/>
  <c r="C168" i="7"/>
  <c r="K167" i="7"/>
  <c r="C167" i="7"/>
  <c r="K166" i="7"/>
  <c r="C166" i="7"/>
  <c r="K165" i="7"/>
  <c r="C165" i="7"/>
  <c r="K164" i="7"/>
  <c r="C164" i="7"/>
  <c r="K163" i="7"/>
  <c r="C163" i="7"/>
  <c r="K162" i="7"/>
  <c r="C162" i="7"/>
  <c r="K161" i="7"/>
  <c r="C161" i="7"/>
  <c r="K160" i="7"/>
  <c r="C160" i="7"/>
  <c r="K159" i="7"/>
  <c r="C159" i="7"/>
  <c r="K158" i="7"/>
  <c r="C158" i="7"/>
  <c r="K157" i="7"/>
  <c r="C157" i="7"/>
  <c r="K156" i="7"/>
  <c r="C156" i="7"/>
  <c r="K155" i="7"/>
  <c r="C155" i="7"/>
  <c r="K154" i="7"/>
  <c r="C154" i="7"/>
  <c r="K153" i="7"/>
  <c r="C153" i="7"/>
  <c r="K152" i="7"/>
  <c r="C152" i="7"/>
  <c r="K151" i="7"/>
  <c r="C151" i="7"/>
  <c r="K150" i="7"/>
  <c r="C150" i="7"/>
  <c r="K149" i="7"/>
  <c r="C149" i="7"/>
  <c r="K148" i="7"/>
  <c r="C148" i="7"/>
  <c r="K147" i="7"/>
  <c r="C147" i="7"/>
  <c r="K146" i="7"/>
  <c r="C146" i="7"/>
  <c r="K145" i="7"/>
  <c r="C145" i="7"/>
  <c r="K144" i="7"/>
  <c r="C144" i="7"/>
  <c r="K143" i="7"/>
  <c r="C143" i="7"/>
  <c r="K142" i="7"/>
  <c r="C142" i="7"/>
  <c r="K141" i="7"/>
  <c r="C141" i="7"/>
  <c r="K140" i="7"/>
  <c r="C140" i="7"/>
  <c r="K139" i="7"/>
  <c r="C139" i="7"/>
  <c r="K138" i="7"/>
  <c r="C138" i="7"/>
  <c r="K137" i="7"/>
  <c r="C137" i="7"/>
  <c r="K136" i="7"/>
  <c r="C136" i="7"/>
  <c r="K135" i="7"/>
  <c r="C135" i="7"/>
  <c r="K134" i="7"/>
  <c r="C134" i="7"/>
  <c r="K133" i="7"/>
  <c r="C133" i="7"/>
  <c r="K132" i="7"/>
  <c r="C132" i="7"/>
  <c r="K131" i="7"/>
  <c r="C131" i="7"/>
  <c r="K130" i="7"/>
  <c r="C130" i="7"/>
  <c r="K129" i="7"/>
  <c r="C129" i="7"/>
  <c r="K128" i="7"/>
  <c r="C128" i="7"/>
  <c r="K127" i="7"/>
  <c r="C127" i="7"/>
  <c r="K126" i="7"/>
  <c r="C126" i="7"/>
  <c r="K125" i="7"/>
  <c r="C125" i="7"/>
  <c r="K124" i="7"/>
  <c r="C124" i="7"/>
  <c r="K123" i="7"/>
  <c r="C123" i="7"/>
  <c r="K122" i="7"/>
  <c r="C122" i="7"/>
  <c r="K121" i="7"/>
  <c r="C121" i="7"/>
  <c r="K120" i="7"/>
  <c r="C120" i="7"/>
  <c r="K119" i="7"/>
  <c r="C119" i="7"/>
  <c r="K118" i="7"/>
  <c r="C118" i="7"/>
  <c r="K117" i="7"/>
  <c r="C117" i="7"/>
  <c r="K116" i="7"/>
  <c r="C116" i="7"/>
  <c r="K115" i="7"/>
  <c r="C115" i="7"/>
  <c r="K114" i="7"/>
  <c r="C114" i="7"/>
  <c r="K113" i="7"/>
  <c r="C113" i="7"/>
  <c r="K112" i="7"/>
  <c r="C112" i="7"/>
  <c r="K111" i="7"/>
  <c r="C111" i="7"/>
  <c r="K110" i="7"/>
  <c r="C110" i="7"/>
  <c r="K109" i="7"/>
  <c r="C109" i="7"/>
  <c r="K108" i="7"/>
  <c r="C108" i="7"/>
  <c r="K107" i="7"/>
  <c r="C107" i="7"/>
  <c r="K106" i="7"/>
  <c r="C106" i="7"/>
  <c r="K105" i="7"/>
  <c r="C105" i="7"/>
  <c r="K104" i="7"/>
  <c r="C104" i="7"/>
  <c r="K103" i="7"/>
  <c r="C103" i="7"/>
  <c r="K102" i="7"/>
  <c r="C102" i="7"/>
  <c r="K101" i="7"/>
  <c r="C101" i="7"/>
  <c r="K100" i="7"/>
  <c r="C100" i="7"/>
  <c r="K99" i="7"/>
  <c r="C99" i="7"/>
  <c r="K98" i="7"/>
  <c r="C98" i="7"/>
  <c r="K97" i="7"/>
  <c r="C97" i="7"/>
  <c r="K96" i="7"/>
  <c r="C96" i="7"/>
  <c r="K95" i="7"/>
  <c r="C95" i="7"/>
  <c r="K94" i="7"/>
  <c r="C94" i="7"/>
  <c r="K93" i="7"/>
  <c r="C93" i="7"/>
  <c r="K92" i="7"/>
  <c r="C92" i="7"/>
  <c r="K91" i="7"/>
  <c r="C91" i="7"/>
  <c r="K90" i="7"/>
  <c r="C90" i="7"/>
  <c r="K89" i="7"/>
  <c r="C89" i="7"/>
  <c r="K88" i="7"/>
  <c r="C88" i="7"/>
  <c r="K87" i="7"/>
  <c r="C87" i="7"/>
  <c r="K86" i="7"/>
  <c r="C86" i="7"/>
  <c r="K85" i="7"/>
  <c r="C85" i="7"/>
  <c r="K84" i="7"/>
  <c r="C84" i="7"/>
  <c r="K83" i="7"/>
  <c r="C83" i="7"/>
  <c r="K82" i="7"/>
  <c r="C82" i="7"/>
  <c r="K81" i="7"/>
  <c r="C81" i="7"/>
  <c r="K80" i="7"/>
  <c r="C80" i="7"/>
  <c r="K79" i="7"/>
  <c r="C79" i="7"/>
  <c r="K78" i="7"/>
  <c r="C78" i="7"/>
  <c r="K77" i="7"/>
  <c r="C77" i="7"/>
  <c r="K76" i="7"/>
  <c r="C76" i="7"/>
  <c r="K75" i="7"/>
  <c r="C75" i="7"/>
  <c r="K74" i="7"/>
  <c r="C74" i="7"/>
  <c r="K73" i="7"/>
  <c r="C73" i="7"/>
  <c r="K72" i="7"/>
  <c r="C72" i="7"/>
  <c r="K71" i="7"/>
  <c r="C71" i="7"/>
  <c r="K70" i="7"/>
  <c r="C70" i="7"/>
  <c r="K69" i="7"/>
  <c r="C69" i="7"/>
  <c r="K68" i="7"/>
  <c r="C68" i="7"/>
  <c r="K67" i="7"/>
  <c r="C67" i="7"/>
  <c r="K66" i="7"/>
  <c r="C66" i="7"/>
  <c r="K65" i="7"/>
  <c r="C65" i="7"/>
  <c r="K64" i="7"/>
  <c r="C64" i="7"/>
  <c r="K63" i="7"/>
  <c r="C63" i="7"/>
  <c r="K62" i="7"/>
  <c r="C62" i="7"/>
  <c r="K61" i="7"/>
  <c r="C61" i="7"/>
  <c r="K60" i="7"/>
  <c r="C60" i="7"/>
  <c r="K59" i="7"/>
  <c r="C59" i="7"/>
  <c r="K58" i="7"/>
  <c r="C58" i="7"/>
  <c r="K57" i="7"/>
  <c r="C57" i="7"/>
  <c r="K56" i="7"/>
  <c r="C56" i="7"/>
  <c r="K55" i="7"/>
  <c r="C55" i="7"/>
  <c r="K54" i="7"/>
  <c r="C54" i="7"/>
  <c r="K53" i="7"/>
  <c r="C53" i="7"/>
  <c r="K52" i="7"/>
  <c r="C52" i="7"/>
  <c r="K51" i="7"/>
  <c r="C51" i="7"/>
  <c r="K50" i="7"/>
  <c r="C50" i="7"/>
  <c r="K49" i="7"/>
  <c r="C49" i="7"/>
  <c r="K48" i="7"/>
  <c r="C48" i="7"/>
  <c r="K47" i="7"/>
  <c r="C47" i="7"/>
  <c r="K46" i="7"/>
  <c r="C46" i="7"/>
  <c r="K45" i="7"/>
  <c r="C45" i="7"/>
  <c r="K44" i="7"/>
  <c r="C44" i="7"/>
  <c r="K43" i="7"/>
  <c r="C43" i="7"/>
  <c r="K42" i="7"/>
  <c r="C42" i="7"/>
  <c r="K41" i="7"/>
  <c r="C41" i="7"/>
  <c r="K40" i="7"/>
  <c r="C40" i="7"/>
  <c r="K39" i="7"/>
  <c r="C39" i="7"/>
  <c r="K38" i="7"/>
  <c r="C38" i="7"/>
  <c r="K37" i="7"/>
  <c r="C37" i="7"/>
  <c r="K36" i="7"/>
  <c r="C36" i="7"/>
  <c r="K35" i="7"/>
  <c r="C35" i="7"/>
  <c r="K34" i="7"/>
  <c r="C34" i="7"/>
  <c r="K33" i="7"/>
  <c r="C33" i="7"/>
  <c r="K32" i="7"/>
  <c r="C32" i="7"/>
  <c r="K31" i="7"/>
  <c r="C31" i="7"/>
  <c r="K30" i="7"/>
  <c r="C30" i="7"/>
  <c r="K29" i="7"/>
  <c r="C29" i="7"/>
  <c r="K28" i="7"/>
  <c r="C28" i="7"/>
  <c r="K27" i="7"/>
  <c r="C27" i="7"/>
  <c r="K26" i="7"/>
  <c r="C26" i="7"/>
  <c r="K25" i="7"/>
  <c r="C25" i="7"/>
  <c r="K24" i="7"/>
  <c r="C24" i="7"/>
  <c r="K23" i="7"/>
  <c r="C23" i="7"/>
  <c r="K22" i="7"/>
  <c r="C22" i="7"/>
  <c r="K21" i="7"/>
  <c r="C21" i="7"/>
  <c r="K20" i="7"/>
  <c r="C20" i="7"/>
  <c r="K19" i="7"/>
  <c r="C19" i="7"/>
  <c r="K18" i="7"/>
  <c r="C18" i="7"/>
  <c r="K17" i="7"/>
  <c r="C17" i="7"/>
  <c r="K16" i="7"/>
  <c r="C16" i="7"/>
  <c r="K15" i="7"/>
  <c r="C15" i="7"/>
  <c r="K14" i="7"/>
  <c r="C14" i="7"/>
  <c r="K13" i="7"/>
  <c r="C13" i="7"/>
  <c r="K12" i="7"/>
  <c r="C12" i="7"/>
  <c r="K11" i="7"/>
  <c r="C11" i="7"/>
  <c r="K10" i="7"/>
  <c r="C10" i="7"/>
  <c r="K9" i="7"/>
  <c r="C9" i="7"/>
  <c r="K8" i="7"/>
  <c r="C8" i="7"/>
  <c r="K7" i="7"/>
  <c r="C7" i="7"/>
  <c r="K6" i="7"/>
  <c r="C6" i="7"/>
  <c r="K5" i="7"/>
  <c r="C5" i="7"/>
  <c r="K4" i="7"/>
  <c r="C4" i="7"/>
  <c r="K3" i="7"/>
  <c r="C3" i="7"/>
  <c r="K2" i="7"/>
  <c r="C2" i="7"/>
  <c r="K151" i="6"/>
  <c r="C151" i="6"/>
  <c r="K150" i="6"/>
  <c r="C150" i="6"/>
  <c r="K149" i="6"/>
  <c r="C149" i="6"/>
  <c r="K148" i="6"/>
  <c r="C148" i="6"/>
  <c r="K147" i="6"/>
  <c r="C147" i="6"/>
  <c r="K146" i="6"/>
  <c r="C146" i="6"/>
  <c r="K145" i="6"/>
  <c r="C145" i="6"/>
  <c r="K144" i="6"/>
  <c r="C144" i="6"/>
  <c r="K143" i="6"/>
  <c r="C143" i="6"/>
  <c r="K142" i="6"/>
  <c r="C142" i="6"/>
  <c r="K141" i="6"/>
  <c r="C141" i="6"/>
  <c r="K140" i="6"/>
  <c r="C140" i="6"/>
  <c r="K139" i="6"/>
  <c r="C139" i="6"/>
  <c r="K138" i="6"/>
  <c r="C138" i="6"/>
  <c r="K137" i="6"/>
  <c r="C137" i="6"/>
  <c r="K136" i="6"/>
  <c r="C136" i="6"/>
  <c r="K135" i="6"/>
  <c r="C135" i="6"/>
  <c r="K134" i="6"/>
  <c r="C134" i="6"/>
  <c r="K133" i="6"/>
  <c r="C133" i="6"/>
  <c r="K132" i="6"/>
  <c r="C132" i="6"/>
  <c r="K131" i="6"/>
  <c r="C131" i="6"/>
  <c r="K130" i="6"/>
  <c r="C130" i="6"/>
  <c r="K129" i="6"/>
  <c r="C129" i="6"/>
  <c r="K128" i="6"/>
  <c r="C128" i="6"/>
  <c r="K127" i="6"/>
  <c r="C127" i="6"/>
  <c r="K126" i="6"/>
  <c r="C126" i="6"/>
  <c r="K125" i="6"/>
  <c r="C125" i="6"/>
  <c r="K124" i="6"/>
  <c r="C124" i="6"/>
  <c r="K123" i="6"/>
  <c r="C123" i="6"/>
  <c r="K122" i="6"/>
  <c r="C122" i="6"/>
  <c r="K121" i="6"/>
  <c r="C121" i="6"/>
  <c r="K120" i="6"/>
  <c r="C120" i="6"/>
  <c r="K119" i="6"/>
  <c r="C119" i="6"/>
  <c r="K118" i="6"/>
  <c r="C118" i="6"/>
  <c r="K117" i="6"/>
  <c r="C117" i="6"/>
  <c r="K116" i="6"/>
  <c r="C116" i="6"/>
  <c r="K115" i="6"/>
  <c r="C115" i="6"/>
  <c r="K114" i="6"/>
  <c r="C114" i="6"/>
  <c r="K113" i="6"/>
  <c r="C113" i="6"/>
  <c r="K112" i="6"/>
  <c r="C112" i="6"/>
  <c r="K111" i="6"/>
  <c r="C111" i="6"/>
  <c r="K110" i="6"/>
  <c r="C110" i="6"/>
  <c r="K109" i="6"/>
  <c r="C109" i="6"/>
  <c r="K108" i="6"/>
  <c r="C108" i="6"/>
  <c r="K107" i="6"/>
  <c r="C107" i="6"/>
  <c r="K106" i="6"/>
  <c r="C106" i="6"/>
  <c r="K105" i="6"/>
  <c r="C105" i="6"/>
  <c r="K104" i="6"/>
  <c r="C104" i="6"/>
  <c r="K103" i="6"/>
  <c r="C103" i="6"/>
  <c r="K102" i="6"/>
  <c r="C102" i="6"/>
  <c r="K101" i="6"/>
  <c r="C101" i="6"/>
  <c r="K100" i="6"/>
  <c r="C100" i="6"/>
  <c r="K99" i="6"/>
  <c r="C99" i="6"/>
  <c r="K98" i="6"/>
  <c r="C98" i="6"/>
  <c r="K97" i="6"/>
  <c r="C97" i="6"/>
  <c r="K96" i="6"/>
  <c r="C96" i="6"/>
  <c r="K95" i="6"/>
  <c r="C95" i="6"/>
  <c r="K94" i="6"/>
  <c r="C94" i="6"/>
  <c r="K93" i="6"/>
  <c r="C93" i="6"/>
  <c r="K92" i="6"/>
  <c r="C92" i="6"/>
  <c r="K91" i="6"/>
  <c r="C91" i="6"/>
  <c r="K90" i="6"/>
  <c r="C90" i="6"/>
  <c r="K89" i="6"/>
  <c r="C89" i="6"/>
  <c r="K88" i="6"/>
  <c r="C88" i="6"/>
  <c r="K87" i="6"/>
  <c r="C87" i="6"/>
  <c r="K86" i="6"/>
  <c r="C86" i="6"/>
  <c r="K85" i="6"/>
  <c r="C85" i="6"/>
  <c r="K84" i="6"/>
  <c r="C84" i="6"/>
  <c r="K83" i="6"/>
  <c r="C83" i="6"/>
  <c r="K82" i="6"/>
  <c r="C82" i="6"/>
  <c r="K81" i="6"/>
  <c r="C81" i="6"/>
  <c r="K80" i="6"/>
  <c r="C80" i="6"/>
  <c r="K79" i="6"/>
  <c r="C79" i="6"/>
  <c r="K78" i="6"/>
  <c r="C78" i="6"/>
  <c r="K77" i="6"/>
  <c r="C77" i="6"/>
  <c r="K76" i="6"/>
  <c r="C76" i="6"/>
  <c r="K75" i="6"/>
  <c r="C75" i="6"/>
  <c r="K74" i="6"/>
  <c r="C74" i="6"/>
  <c r="K73" i="6"/>
  <c r="C73" i="6"/>
  <c r="K72" i="6"/>
  <c r="C72" i="6"/>
  <c r="K71" i="6"/>
  <c r="C71" i="6"/>
  <c r="K70" i="6"/>
  <c r="C70" i="6"/>
  <c r="K69" i="6"/>
  <c r="C69" i="6"/>
  <c r="K68" i="6"/>
  <c r="C68" i="6"/>
  <c r="K67" i="6"/>
  <c r="C67" i="6"/>
  <c r="K66" i="6"/>
  <c r="C66" i="6"/>
  <c r="K65" i="6"/>
  <c r="C65" i="6"/>
  <c r="K64" i="6"/>
  <c r="C64" i="6"/>
  <c r="K63" i="6"/>
  <c r="C63" i="6"/>
  <c r="K62" i="6"/>
  <c r="C62" i="6"/>
  <c r="K61" i="6"/>
  <c r="C61" i="6"/>
  <c r="K60" i="6"/>
  <c r="C60" i="6"/>
  <c r="K59" i="6"/>
  <c r="C59" i="6"/>
  <c r="K58" i="6"/>
  <c r="C58" i="6"/>
  <c r="K57" i="6"/>
  <c r="C57" i="6"/>
  <c r="K56" i="6"/>
  <c r="C56" i="6"/>
  <c r="K55" i="6"/>
  <c r="C55" i="6"/>
  <c r="K54" i="6"/>
  <c r="C54" i="6"/>
  <c r="K53" i="6"/>
  <c r="C53" i="6"/>
  <c r="K52" i="6"/>
  <c r="C52" i="6"/>
  <c r="K51" i="6"/>
  <c r="C51" i="6"/>
  <c r="K50" i="6"/>
  <c r="C50" i="6"/>
  <c r="K49" i="6"/>
  <c r="C49" i="6"/>
  <c r="K48" i="6"/>
  <c r="C48" i="6"/>
  <c r="K47" i="6"/>
  <c r="C47" i="6"/>
  <c r="K46" i="6"/>
  <c r="C46" i="6"/>
  <c r="K45" i="6"/>
  <c r="C45" i="6"/>
  <c r="K44" i="6"/>
  <c r="C44" i="6"/>
  <c r="K43" i="6"/>
  <c r="C43" i="6"/>
  <c r="K42" i="6"/>
  <c r="C42" i="6"/>
  <c r="K41" i="6"/>
  <c r="C41" i="6"/>
  <c r="K40" i="6"/>
  <c r="C40" i="6"/>
  <c r="K39" i="6"/>
  <c r="C39" i="6"/>
  <c r="K38" i="6"/>
  <c r="C38" i="6"/>
  <c r="K37" i="6"/>
  <c r="C37" i="6"/>
  <c r="K36" i="6"/>
  <c r="C36" i="6"/>
  <c r="K35" i="6"/>
  <c r="C35" i="6"/>
  <c r="K34" i="6"/>
  <c r="C34" i="6"/>
  <c r="K33" i="6"/>
  <c r="C33" i="6"/>
  <c r="K32" i="6"/>
  <c r="C32" i="6"/>
  <c r="K31" i="6"/>
  <c r="C31" i="6"/>
  <c r="K30" i="6"/>
  <c r="C30" i="6"/>
  <c r="K29" i="6"/>
  <c r="C29" i="6"/>
  <c r="K28" i="6"/>
  <c r="C28" i="6"/>
  <c r="K27" i="6"/>
  <c r="C27" i="6"/>
  <c r="K26" i="6"/>
  <c r="C26" i="6"/>
  <c r="K25" i="6"/>
  <c r="C25" i="6"/>
  <c r="K24" i="6"/>
  <c r="C24" i="6"/>
  <c r="K23" i="6"/>
  <c r="C23" i="6"/>
  <c r="K22" i="6"/>
  <c r="C22" i="6"/>
  <c r="K21" i="6"/>
  <c r="C21" i="6"/>
  <c r="K20" i="6"/>
  <c r="C20" i="6"/>
  <c r="K19" i="6"/>
  <c r="C19" i="6"/>
  <c r="K18" i="6"/>
  <c r="C18" i="6"/>
  <c r="K17" i="6"/>
  <c r="C17" i="6"/>
  <c r="K16" i="6"/>
  <c r="C16" i="6"/>
  <c r="K15" i="6"/>
  <c r="C15" i="6"/>
  <c r="K14" i="6"/>
  <c r="C14" i="6"/>
  <c r="K13" i="6"/>
  <c r="C13" i="6"/>
  <c r="K12" i="6"/>
  <c r="C12" i="6"/>
  <c r="K11" i="6"/>
  <c r="C11" i="6"/>
  <c r="K10" i="6"/>
  <c r="C10" i="6"/>
  <c r="K9" i="6"/>
  <c r="C9" i="6"/>
  <c r="K8" i="6"/>
  <c r="C8" i="6"/>
  <c r="K7" i="6"/>
  <c r="C7" i="6"/>
  <c r="K6" i="6"/>
  <c r="C6" i="6"/>
  <c r="K5" i="6"/>
  <c r="C5" i="6"/>
  <c r="K4" i="6"/>
  <c r="C4" i="6"/>
  <c r="K3" i="6"/>
  <c r="C3" i="6"/>
  <c r="K2" i="6"/>
  <c r="C2" i="6"/>
  <c r="K156" i="5"/>
  <c r="K155" i="5"/>
  <c r="C155" i="5"/>
  <c r="K154" i="5"/>
  <c r="C154" i="5"/>
  <c r="K153" i="5"/>
  <c r="C153" i="5"/>
  <c r="K152" i="5"/>
  <c r="C152" i="5"/>
  <c r="K151" i="5"/>
  <c r="C151" i="5"/>
  <c r="K150" i="5"/>
  <c r="C150" i="5"/>
  <c r="K149" i="5"/>
  <c r="C149" i="5"/>
  <c r="K148" i="5"/>
  <c r="C148" i="5"/>
  <c r="K147" i="5"/>
  <c r="C147" i="5"/>
  <c r="K146" i="5"/>
  <c r="C146" i="5"/>
  <c r="K145" i="5"/>
  <c r="C145" i="5"/>
  <c r="K144" i="5"/>
  <c r="C144" i="5"/>
  <c r="K143" i="5"/>
  <c r="C143" i="5"/>
  <c r="K142" i="5"/>
  <c r="C142" i="5"/>
  <c r="K141" i="5"/>
  <c r="C141" i="5"/>
  <c r="K140" i="5"/>
  <c r="C140" i="5"/>
  <c r="K139" i="5"/>
  <c r="C139" i="5"/>
  <c r="K138" i="5"/>
  <c r="C138" i="5"/>
  <c r="K137" i="5"/>
  <c r="C137" i="5"/>
  <c r="K136" i="5"/>
  <c r="C136" i="5"/>
  <c r="K135" i="5"/>
  <c r="C135" i="5"/>
  <c r="K134" i="5"/>
  <c r="C134" i="5"/>
  <c r="K133" i="5"/>
  <c r="C133" i="5"/>
  <c r="K132" i="5"/>
  <c r="C132" i="5"/>
  <c r="K131" i="5"/>
  <c r="C131" i="5"/>
  <c r="K130" i="5"/>
  <c r="C130" i="5"/>
  <c r="K129" i="5"/>
  <c r="C129" i="5"/>
  <c r="K128" i="5"/>
  <c r="C128" i="5"/>
  <c r="K127" i="5"/>
  <c r="C127" i="5"/>
  <c r="K126" i="5"/>
  <c r="C126" i="5"/>
  <c r="K125" i="5"/>
  <c r="C125" i="5"/>
  <c r="K124" i="5"/>
  <c r="C124" i="5"/>
  <c r="K123" i="5"/>
  <c r="C123" i="5"/>
  <c r="K122" i="5"/>
  <c r="C122" i="5"/>
  <c r="K121" i="5"/>
  <c r="C121" i="5"/>
  <c r="K120" i="5"/>
  <c r="C120" i="5"/>
  <c r="K119" i="5"/>
  <c r="C119" i="5"/>
  <c r="K118" i="5"/>
  <c r="C118" i="5"/>
  <c r="K117" i="5"/>
  <c r="C117" i="5"/>
  <c r="K116" i="5"/>
  <c r="C116" i="5"/>
  <c r="K115" i="5"/>
  <c r="C115" i="5"/>
  <c r="K114" i="5"/>
  <c r="C114" i="5"/>
  <c r="K113" i="5"/>
  <c r="C113" i="5"/>
  <c r="K112" i="5"/>
  <c r="C112" i="5"/>
  <c r="K111" i="5"/>
  <c r="C111" i="5"/>
  <c r="K110" i="5"/>
  <c r="C110" i="5"/>
  <c r="K109" i="5"/>
  <c r="C109" i="5"/>
  <c r="K108" i="5"/>
  <c r="C108" i="5"/>
  <c r="K107" i="5"/>
  <c r="C107" i="5"/>
  <c r="K106" i="5"/>
  <c r="C106" i="5"/>
  <c r="K105" i="5"/>
  <c r="C105" i="5"/>
  <c r="K104" i="5"/>
  <c r="C104" i="5"/>
  <c r="K103" i="5"/>
  <c r="C103" i="5"/>
  <c r="K102" i="5"/>
  <c r="C102" i="5"/>
  <c r="K101" i="5"/>
  <c r="C101" i="5"/>
  <c r="K100" i="5"/>
  <c r="C100" i="5"/>
  <c r="K99" i="5"/>
  <c r="C99" i="5"/>
  <c r="K98" i="5"/>
  <c r="C98" i="5"/>
  <c r="K97" i="5"/>
  <c r="C97" i="5"/>
  <c r="K96" i="5"/>
  <c r="C96" i="5"/>
  <c r="K95" i="5"/>
  <c r="C95" i="5"/>
  <c r="K94" i="5"/>
  <c r="C94" i="5"/>
  <c r="K93" i="5"/>
  <c r="C93" i="5"/>
  <c r="K92" i="5"/>
  <c r="C92" i="5"/>
  <c r="K91" i="5"/>
  <c r="C91" i="5"/>
  <c r="K90" i="5"/>
  <c r="C90" i="5"/>
  <c r="K89" i="5"/>
  <c r="C89" i="5"/>
  <c r="K88" i="5"/>
  <c r="C88" i="5"/>
  <c r="K87" i="5"/>
  <c r="C87" i="5"/>
  <c r="K86" i="5"/>
  <c r="C86" i="5"/>
  <c r="K85" i="5"/>
  <c r="C85" i="5"/>
  <c r="K84" i="5"/>
  <c r="C84" i="5"/>
  <c r="K83" i="5"/>
  <c r="C83" i="5"/>
  <c r="K82" i="5"/>
  <c r="C82" i="5"/>
  <c r="K81" i="5"/>
  <c r="C81" i="5"/>
  <c r="K80" i="5"/>
  <c r="C80" i="5"/>
  <c r="K79" i="5"/>
  <c r="C79" i="5"/>
  <c r="K78" i="5"/>
  <c r="C78" i="5"/>
  <c r="K77" i="5"/>
  <c r="C77" i="5"/>
  <c r="K76" i="5"/>
  <c r="C76" i="5"/>
  <c r="K75" i="5"/>
  <c r="C75" i="5"/>
  <c r="K74" i="5"/>
  <c r="C74" i="5"/>
  <c r="K73" i="5"/>
  <c r="C73" i="5"/>
  <c r="K72" i="5"/>
  <c r="C72" i="5"/>
  <c r="K71" i="5"/>
  <c r="C71" i="5"/>
  <c r="K70" i="5"/>
  <c r="C70" i="5"/>
  <c r="K69" i="5"/>
  <c r="C69" i="5"/>
  <c r="K68" i="5"/>
  <c r="C68" i="5"/>
  <c r="K67" i="5"/>
  <c r="C67" i="5"/>
  <c r="K66" i="5"/>
  <c r="C66" i="5"/>
  <c r="K65" i="5"/>
  <c r="C65" i="5"/>
  <c r="K64" i="5"/>
  <c r="C64" i="5"/>
  <c r="K63" i="5"/>
  <c r="C63" i="5"/>
  <c r="K62" i="5"/>
  <c r="C62" i="5"/>
  <c r="K61" i="5"/>
  <c r="C61" i="5"/>
  <c r="K60" i="5"/>
  <c r="C60" i="5"/>
  <c r="K59" i="5"/>
  <c r="C59" i="5"/>
  <c r="K58" i="5"/>
  <c r="C58" i="5"/>
  <c r="K57" i="5"/>
  <c r="C57" i="5"/>
  <c r="K56" i="5"/>
  <c r="C56" i="5"/>
  <c r="K55" i="5"/>
  <c r="C55" i="5"/>
  <c r="K54" i="5"/>
  <c r="C54" i="5"/>
  <c r="K53" i="5"/>
  <c r="C53" i="5"/>
  <c r="K52" i="5"/>
  <c r="C52" i="5"/>
  <c r="K51" i="5"/>
  <c r="C51" i="5"/>
  <c r="K50" i="5"/>
  <c r="C50" i="5"/>
  <c r="K49" i="5"/>
  <c r="C49" i="5"/>
  <c r="K48" i="5"/>
  <c r="C48" i="5"/>
  <c r="K47" i="5"/>
  <c r="C47" i="5"/>
  <c r="K46" i="5"/>
  <c r="C46" i="5"/>
  <c r="K45" i="5"/>
  <c r="C45" i="5"/>
  <c r="K44" i="5"/>
  <c r="C44" i="5"/>
  <c r="K43" i="5"/>
  <c r="C43" i="5"/>
  <c r="K42" i="5"/>
  <c r="C42" i="5"/>
  <c r="K41" i="5"/>
  <c r="C41" i="5"/>
  <c r="K40" i="5"/>
  <c r="C40" i="5"/>
  <c r="K39" i="5"/>
  <c r="C39" i="5"/>
  <c r="K38" i="5"/>
  <c r="C38" i="5"/>
  <c r="K37" i="5"/>
  <c r="C37" i="5"/>
  <c r="K36" i="5"/>
  <c r="C36" i="5"/>
  <c r="K35" i="5"/>
  <c r="C35" i="5"/>
  <c r="K34" i="5"/>
  <c r="C34" i="5"/>
  <c r="K33" i="5"/>
  <c r="C33" i="5"/>
  <c r="K32" i="5"/>
  <c r="C32" i="5"/>
  <c r="K31" i="5"/>
  <c r="C31" i="5"/>
  <c r="K30" i="5"/>
  <c r="C30" i="5"/>
  <c r="K29" i="5"/>
  <c r="C29" i="5"/>
  <c r="K28" i="5"/>
  <c r="C28" i="5"/>
  <c r="K27" i="5"/>
  <c r="C27" i="5"/>
  <c r="K26" i="5"/>
  <c r="C26" i="5"/>
  <c r="K25" i="5"/>
  <c r="C25" i="5"/>
  <c r="K24" i="5"/>
  <c r="C24" i="5"/>
  <c r="K23" i="5"/>
  <c r="C23" i="5"/>
  <c r="K22" i="5"/>
  <c r="C22" i="5"/>
  <c r="K21" i="5"/>
  <c r="C21" i="5"/>
  <c r="K20" i="5"/>
  <c r="C20" i="5"/>
  <c r="K19" i="5"/>
  <c r="C19" i="5"/>
  <c r="K18" i="5"/>
  <c r="C18" i="5"/>
  <c r="K17" i="5"/>
  <c r="C17" i="5"/>
  <c r="K16" i="5"/>
  <c r="C16" i="5"/>
  <c r="K15" i="5"/>
  <c r="C15" i="5"/>
  <c r="K14" i="5"/>
  <c r="C14" i="5"/>
  <c r="K13" i="5"/>
  <c r="C13" i="5"/>
  <c r="K12" i="5"/>
  <c r="C12" i="5"/>
  <c r="K11" i="5"/>
  <c r="C11" i="5"/>
  <c r="K10" i="5"/>
  <c r="C10" i="5"/>
  <c r="K9" i="5"/>
  <c r="C9" i="5"/>
  <c r="K8" i="5"/>
  <c r="C8" i="5"/>
  <c r="K7" i="5"/>
  <c r="C7" i="5"/>
  <c r="K6" i="5"/>
  <c r="C6" i="5"/>
  <c r="K5" i="5"/>
  <c r="C5" i="5"/>
  <c r="K4" i="5"/>
  <c r="C4" i="5"/>
  <c r="K3" i="5"/>
  <c r="C3" i="5"/>
  <c r="K2" i="5"/>
  <c r="C2" i="5"/>
  <c r="A37" i="2"/>
  <c r="A17" i="2"/>
  <c r="A9" i="2"/>
</calcChain>
</file>

<file path=xl/sharedStrings.xml><?xml version="1.0" encoding="utf-8"?>
<sst xmlns="http://schemas.openxmlformats.org/spreadsheetml/2006/main" count="7848" uniqueCount="1279">
  <si>
    <t>Grainger plc</t>
  </si>
  <si>
    <t>Tenure Type mapping RM or CM</t>
  </si>
  <si>
    <t>QPM code</t>
  </si>
  <si>
    <t>MRI Code</t>
  </si>
  <si>
    <t>Description</t>
  </si>
  <si>
    <t>RM or CM</t>
  </si>
  <si>
    <t>Residential?</t>
  </si>
  <si>
    <t>Aff Rent</t>
  </si>
  <si>
    <t>AFF</t>
  </si>
  <si>
    <t>AST Affordable</t>
  </si>
  <si>
    <t>RM</t>
  </si>
  <si>
    <t>Yes</t>
  </si>
  <si>
    <t>Live Work</t>
  </si>
  <si>
    <t>ALW</t>
  </si>
  <si>
    <t xml:space="preserve">NH to add this </t>
  </si>
  <si>
    <t>APH</t>
  </si>
  <si>
    <t>AST Paignton Housing Association</t>
  </si>
  <si>
    <t>ASH</t>
  </si>
  <si>
    <t>Assured Paignton Housing Association</t>
  </si>
  <si>
    <t>AST</t>
  </si>
  <si>
    <t>Assured Shorthold Tenancy</t>
  </si>
  <si>
    <t>Comm-Let</t>
  </si>
  <si>
    <t>COL</t>
  </si>
  <si>
    <t>Company Let</t>
  </si>
  <si>
    <t>DMR-AST</t>
  </si>
  <si>
    <t>DMR</t>
  </si>
  <si>
    <t>Discounted Market Rent</t>
  </si>
  <si>
    <t>Gr Lets</t>
  </si>
  <si>
    <t>Grainger Lets</t>
  </si>
  <si>
    <t>GRIPSALE</t>
  </si>
  <si>
    <t>GRI</t>
  </si>
  <si>
    <t>GRIP SALE</t>
  </si>
  <si>
    <t>N/A</t>
  </si>
  <si>
    <t>IMR</t>
  </si>
  <si>
    <t>Intermediate Market Rent</t>
  </si>
  <si>
    <t>Licence</t>
  </si>
  <si>
    <t>LIC</t>
  </si>
  <si>
    <t>Soc Rent</t>
  </si>
  <si>
    <t>Social Rent</t>
  </si>
  <si>
    <t>NHA</t>
  </si>
  <si>
    <t>Non Housing Act</t>
  </si>
  <si>
    <t>Services</t>
  </si>
  <si>
    <t>SER</t>
  </si>
  <si>
    <t>Amenities</t>
  </si>
  <si>
    <t>AST Chc</t>
  </si>
  <si>
    <t>ACC</t>
  </si>
  <si>
    <t>AST Church Commissioners</t>
  </si>
  <si>
    <t>AHA (Agr)</t>
  </si>
  <si>
    <t>AGA</t>
  </si>
  <si>
    <t>Agricultural Farm</t>
  </si>
  <si>
    <t>FBT(Farm)</t>
  </si>
  <si>
    <t>NH to add new code in QPM</t>
  </si>
  <si>
    <t>AGP</t>
  </si>
  <si>
    <t>Agricultural Protected Statutory</t>
  </si>
  <si>
    <t>Agricultural Assured Periodic</t>
  </si>
  <si>
    <t>AST KW</t>
  </si>
  <si>
    <t>ASK</t>
  </si>
  <si>
    <t>AST-Keyworkers</t>
  </si>
  <si>
    <t>Assured</t>
  </si>
  <si>
    <t>ASP</t>
  </si>
  <si>
    <t xml:space="preserve">Assured Statutory Periodic </t>
  </si>
  <si>
    <t>CM</t>
  </si>
  <si>
    <t>Assd.Per</t>
  </si>
  <si>
    <t>Freehold</t>
  </si>
  <si>
    <t>Reversion</t>
  </si>
  <si>
    <t>CHA</t>
  </si>
  <si>
    <t>CHARM</t>
  </si>
  <si>
    <t>No</t>
  </si>
  <si>
    <t>ChiefRent</t>
  </si>
  <si>
    <t>CHR</t>
  </si>
  <si>
    <t>Chief Rent</t>
  </si>
  <si>
    <t>Commercial Let</t>
  </si>
  <si>
    <t>CML</t>
  </si>
  <si>
    <t>CommLease</t>
  </si>
  <si>
    <t>COM</t>
  </si>
  <si>
    <t>Commercial Lease</t>
  </si>
  <si>
    <t>HeadLease</t>
  </si>
  <si>
    <t>COMM</t>
  </si>
  <si>
    <t>Commercial</t>
  </si>
  <si>
    <t>Insurance</t>
  </si>
  <si>
    <t>DUM</t>
  </si>
  <si>
    <t>Dummy</t>
  </si>
  <si>
    <t>EstateChg</t>
  </si>
  <si>
    <t>EST</t>
  </si>
  <si>
    <t>Estate Charge</t>
  </si>
  <si>
    <t>FixedRent</t>
  </si>
  <si>
    <t>FIX</t>
  </si>
  <si>
    <t>Fixed Rent</t>
  </si>
  <si>
    <t>Grnd Rent</t>
  </si>
  <si>
    <t>GRT</t>
  </si>
  <si>
    <t>Ground Rent</t>
  </si>
  <si>
    <t>MOD</t>
  </si>
  <si>
    <t>Ministry of Defence</t>
  </si>
  <si>
    <t>JOINT VEN</t>
  </si>
  <si>
    <t>MORTGAGE</t>
  </si>
  <si>
    <t>SHARE of</t>
  </si>
  <si>
    <t>Share of</t>
  </si>
  <si>
    <t>Nil GR</t>
  </si>
  <si>
    <t>NGR</t>
  </si>
  <si>
    <t>Nil Ground Rent</t>
  </si>
  <si>
    <t>Regulated</t>
  </si>
  <si>
    <t>REG</t>
  </si>
  <si>
    <t>Sh Owner</t>
  </si>
  <si>
    <t>SHO</t>
  </si>
  <si>
    <t>Shared Ownership</t>
  </si>
  <si>
    <t>Caretaker</t>
  </si>
  <si>
    <t>SLC</t>
  </si>
  <si>
    <t>Service Licence Caretaker</t>
  </si>
  <si>
    <t>STC</t>
  </si>
  <si>
    <t>Service Tenancy Caretaker</t>
  </si>
  <si>
    <t>TRI</t>
  </si>
  <si>
    <t>Tricomm</t>
  </si>
  <si>
    <t>LEASEHOLD</t>
  </si>
  <si>
    <t>Land</t>
  </si>
  <si>
    <t>VACANT</t>
  </si>
  <si>
    <t>Vacant</t>
  </si>
  <si>
    <t>Sold</t>
  </si>
  <si>
    <t>SOL</t>
  </si>
  <si>
    <t>No Tenure</t>
  </si>
  <si>
    <t>UNK</t>
  </si>
  <si>
    <t>Unknown</t>
  </si>
  <si>
    <t>Unreg'd</t>
  </si>
  <si>
    <t>UNR</t>
  </si>
  <si>
    <t>Unregistered</t>
  </si>
  <si>
    <t>VAC</t>
  </si>
  <si>
    <t>Vac-A</t>
  </si>
  <si>
    <t>Vac-C</t>
  </si>
  <si>
    <t>Vac-F</t>
  </si>
  <si>
    <t>Vac-R</t>
  </si>
  <si>
    <t>Vac-S</t>
  </si>
  <si>
    <t>VAC-SR</t>
  </si>
  <si>
    <t>Comp-Let</t>
  </si>
  <si>
    <t xml:space="preserve">Done </t>
  </si>
  <si>
    <t>UPRN</t>
  </si>
  <si>
    <t>Development</t>
  </si>
  <si>
    <t>Block Mgmt owner</t>
  </si>
  <si>
    <t>Today / Qube</t>
  </si>
  <si>
    <t>Tomorrow / MRI</t>
  </si>
  <si>
    <t>Tomorrow / FSI</t>
  </si>
  <si>
    <t>Notes from 4th June</t>
  </si>
  <si>
    <t>Query JC</t>
  </si>
  <si>
    <t>YES</t>
  </si>
  <si>
    <t>418562; 418513 (SC)</t>
  </si>
  <si>
    <t>The Courtyard</t>
  </si>
  <si>
    <t>Stewart</t>
  </si>
  <si>
    <t>2 properties:
1 for S/C (commercial units)
1 for non-SC all units comm + res</t>
  </si>
  <si>
    <t>2 properties:
a) 1 CM for all S/C and billing (QUBE unit tenures: CommLease &amp; Estate Charge)
b) 1 RM for all residential units (QUBE unit tenures: AST)</t>
  </si>
  <si>
    <t>* S/C applies only on the car park - other expenditure we recharge to the commercial customers</t>
  </si>
  <si>
    <t>Do we need separate unit to manage PE?
(can be one unit representing all resi?)</t>
  </si>
  <si>
    <t>317351; 318292 (SC)</t>
  </si>
  <si>
    <t>Denman</t>
  </si>
  <si>
    <t>2 properties:
1 for S/C (all 'live' units)
1 for billing ('live' units + licenses)</t>
  </si>
  <si>
    <t>5 properties:
a) 1 CM for S/C &amp; Ground Rent billing (QUBE unit tenures: Grnd Rent &amp; EstateChg removing duplicates)
b) 1 CM for billing (QUBE unit tenures: Assured, Regulated units)
c) 1 RM for billing (QUBE unit tenures: AST, AST Chc, AST KW)
d) 1 RM for billing (QUBE unit tenures: licence, land &amp; vacant)
e) 1 Entity (estate) level</t>
  </si>
  <si>
    <t>AST CH has been mapped to RM not CM is that a mistake</t>
  </si>
  <si>
    <t>Elizabeth House</t>
  </si>
  <si>
    <t>1 property:
1 block for billing and S/C (all Shared Ownership Units)</t>
  </si>
  <si>
    <t>1 property:
1 CM block for billing and S/C (QUBE unit tenures: Sh Owner)</t>
  </si>
  <si>
    <t>Wellesley Estate Charge - dealt with derectly with Shared Owners, via separate company so we don't need to include in here</t>
  </si>
  <si>
    <t>Cole House</t>
  </si>
  <si>
    <t>Owen House</t>
  </si>
  <si>
    <t>There is a separate Estate Charge dealt with by separate management company. Berewood Estate.</t>
  </si>
  <si>
    <t>Kipling House</t>
  </si>
  <si>
    <t>Ulverscroft 88</t>
  </si>
  <si>
    <t>2 properties:
1 CM for S/C and billing (QUBE unit tenures: Grnd Rent)
1 CM for billing (QUBE unit tenures: Regulated)</t>
  </si>
  <si>
    <t>1 property</t>
  </si>
  <si>
    <t>Need estate level unit for PE?</t>
  </si>
  <si>
    <t>The Coach Road</t>
  </si>
  <si>
    <t>Houses are separate properties - ignore
22-38 Coach Road (flats) = 1 property</t>
  </si>
  <si>
    <t>Estate Management - there should be a direct relationship btw estate mgt company (Trinity) and shared owners - but we are still managing these.
Decision not to have a Estate entity. - if there is a different position from the conversation with Trinity thatn wcan revisit</t>
  </si>
  <si>
    <t xml:space="preserve">Scarletts Rd </t>
  </si>
  <si>
    <t>4 S/O flats</t>
  </si>
  <si>
    <t>Smith House</t>
  </si>
  <si>
    <t>1 property:
a) 1 CM block for billing and S/C (QUBE unit tenures: Sh Owner)
NOTE: Single Estate (entity) shared by units Wellesley Phase 2 and later - please refer to Wellesley</t>
  </si>
  <si>
    <t>Wellesley Estate Charge - in here we do receive the Estate Charge (phase 2 onwards) to pass to the Estate Management Complany for the wider Wellesley Estate Charge. We receive, pay and then recharge the estate costs here</t>
  </si>
  <si>
    <t>Ensor House</t>
  </si>
  <si>
    <t>1 property:
b) 1 CM block for billing and S/C (QUBE unit tenures: Sh Owner)
NOTE: Single Estate (entity) shared by units Wellesley Phase 2 and later - please refer to Wellesley</t>
  </si>
  <si>
    <t>?</t>
  </si>
  <si>
    <t>Wellesley</t>
  </si>
  <si>
    <t>c) 1 Entity (estate) level - shared by Smith House and Ensor House</t>
  </si>
  <si>
    <t>Wellesley estate - already covered</t>
  </si>
  <si>
    <t>being sold</t>
  </si>
  <si>
    <t>Peckham Rye 152</t>
  </si>
  <si>
    <t>Sarah G</t>
  </si>
  <si>
    <t xml:space="preserve">1 property:
1 CM for S/C and billing (QUBE unit tenures: Grnd Rent)
</t>
  </si>
  <si>
    <t>Sold in July 2020</t>
  </si>
  <si>
    <t>De Nancy House</t>
  </si>
  <si>
    <t>1 property:
1 block for billing and S/C (all Shared Ownership Units)
No license, no estate charge</t>
  </si>
  <si>
    <t>2 property:
a) 1 CM for S/C &amp; Sh Owner Rent billing (QUBE unit tenures: Sh Owner &amp; Gr Lets)
b) 1 RM block for billing of (QUBE unit tenures: Gr Lets)</t>
  </si>
  <si>
    <t>Basilica Court</t>
  </si>
  <si>
    <t>We assume no estate charges
James and Georgia assessing if we need to crate a Estate entity for this</t>
  </si>
  <si>
    <t>112663; 112664; 112666; 112667; 112668; 112669; 112670; 112671; 112672; 112673; 112674; 112675; 112676; 112691; 112692; 112693; 112694; 112695; 112696; 112697; 112698; 112699; 112721; 112722; 112723; 112724; 112725; 112726; 112727; 112728; 112729; 112730; 112731; 112732; 112733; 112734; 112735; 112736; 112737; 112738; 113004; 317765</t>
  </si>
  <si>
    <t xml:space="preserve">Sketty Rd </t>
  </si>
  <si>
    <t xml:space="preserve">14 x 1 CM for billing (QUBE unit tenures: Ground rent, Nil GR &amp; Regulated)
14 properties split as follows:
a) 1 CM for billing  5, 7, 9, 11 (Unit References: 112721001; 112722001; 112723001; 113004001)
b) 1 CM for billing 13, 15, 17, 19 (Unit References: 112663001; 112724001; 112726001; 112726002)
c) 1 CM for billing 14, 16, 18, 20 (Unit References: 112725001; 112725002; 112727001; 112727002)
d) 1 CM for billing 21, 23, 25, 27 (Unit References: 112664001; 112728001; 112730001; 112730002)
e) 1 CM for billing 22, 24, 26, 28 (Unit References: 112665001; 112666001; 112729001; 112729002)
f) 1 CM for billing 29, 31, 33, 35 (Unit References: 112667001; 112731001; 112731002; 112733001)
g) 1 CM for billing 30, 32, 34, 36 (Unit References: 112668001; 112732001; 112732002; 112734001)
h) 1 CM for billing 37, 39, 41, 43 (Unit References: 112669001; 112691001; 112691002; 112735001)
i) 1 CM for billing 38, 40, 42, 44 (Unit References: 112670001; 112736001; 112737001; 112737002)
j) 1 CM for billing 45, 47, 49, 51 (Unit References: 112673001; 112692001; 112692002; 112693001)
k) 1 CM for billing 46, 48, 50, 52 (Unit References: 112671001; 112672001; 112674001; 112738001)
l) 1 CM for billing 53, 55, 57, 59 (Unit References: 112675001; 112694001; 112696001; 112696002)
m) 1 CM for billing 54, 56, 58, 60 (Unit References: 112676001; 112695001; 112697001; 112697002)
n) 1 CM for billing 62, 64, 66, 68 (Unit References: 112698001; 112698002; 112699001; 112699002)
</t>
  </si>
  <si>
    <t>No Service Charge</t>
  </si>
  <si>
    <t>Bramber Rd 68</t>
  </si>
  <si>
    <t>1 property:
1 block for billing and S/C (all Gound Rent Units)</t>
  </si>
  <si>
    <t>No Service Charge currently in place due to legal dispute. Enfrachising and so service charge unlikely to be set up and all expenditure going through tenant recharge.</t>
  </si>
  <si>
    <t>317629; 318298 (SC); 317659</t>
  </si>
  <si>
    <t>Davidson Gds</t>
  </si>
  <si>
    <t>3 properties:
(understand)</t>
  </si>
  <si>
    <t>2 properties:
1 CM for all S/C and billing  (QUBE unit tenures: Grnd Rent &amp; EstateChg removing duplicates)
1 CM for billing  (QUBE unit tenures: Regulated, AST Chc, Assured, Caretaker)</t>
  </si>
  <si>
    <t xml:space="preserve">why Qube has 1 separate property for Flat 11?
Incorporate into main building)
</t>
  </si>
  <si>
    <t>418564; 418518 (SC)</t>
  </si>
  <si>
    <t xml:space="preserve">Gracefield Gds </t>
  </si>
  <si>
    <t xml:space="preserve">3 properties:
1 CM for all S/C and billing  (QUBE unit tenures: Grnd Rent &amp; EstateChg removing duplicates)
1 CM for billing  (QUBE unit tenures: Regulated, Assured, Vac-S)
1 RM for billing (QUBE unit tenures: AST, Vacant) </t>
  </si>
  <si>
    <t>Shared costs (eg guttering) are recharged to tenants
QUESTION - how do we raise a recharge to individual tenants? Can split the WO down in two</t>
  </si>
  <si>
    <t>Newton House</t>
  </si>
  <si>
    <t>2 properties:
3 SO flats, 3 intermediate rent flats
S/C fund, no estate charge</t>
  </si>
  <si>
    <t>108926; 108927; 108928; 108929; 108930; 108931; 108932; 108933; 108934; 108935; 108936; 108937; 108938; 108939; 108940; 108941; 108942; 108947 (garage); 108948 (garage)</t>
  </si>
  <si>
    <t>Mariners Park Est</t>
  </si>
  <si>
    <t>23-39 Mariners Cottages
These are houses - 17 houses
Still 6 or 7 where we have tenants and pay Service Charge
The rest we sold as Freehold houses, but subject to a Estate Charge</t>
  </si>
  <si>
    <t>4 Properties:
1 CM for billing (QUBE unit tenures: Regulated, Assd. Per, Vac-S)
1 RM for billling (QUBE unit tenures: AST) 
1 RM for garages 5-6 (QUBE unit tenures: Licence)
1 CM for all S/C  (QUBE unit tenures: Nil GR &amp; property references 108926; 108927; 108928; 108929; 108930; 108931; 108932; 108933; 108934; 108935; 108936; 108937; 108938; 108939; 108940; 108941; 108942)</t>
  </si>
  <si>
    <t>ensure everything raised against 1 house is done at UNIT level</t>
  </si>
  <si>
    <t>Other side of the road (1-22) - 3 properties
- 1 RM for billling (20 ASTs)
- 1 CM for billing (2 regulated)
- 1 RM for garages</t>
  </si>
  <si>
    <t>Coliseum Court</t>
  </si>
  <si>
    <t>2 property:
1: CM for S/C &amp; Sh Owner Rent billing (QUBE unit tenures: Sh Owner &amp; Aff Rent)
1 RM block for billing of (QUBE unit tenures: Aff Rent)</t>
  </si>
  <si>
    <t>Same development as Basilica Court</t>
  </si>
  <si>
    <t>The Spectrum</t>
  </si>
  <si>
    <t>Vicky Turnbull</t>
  </si>
  <si>
    <r>
      <t>2 properties:
1 CM for S/C (all units inc parking spaces) and billing (</t>
    </r>
    <r>
      <rPr>
        <b/>
        <u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units in property ref 217360)
1 RM for billing (QUBE unit tenures: AST, Licence &amp; Vacant)</t>
    </r>
  </si>
  <si>
    <t>Ground rent and service charge on parking space confirmed and so parking spaces need to be included with other units for service charge.</t>
  </si>
  <si>
    <t>122045; 122168; 122458 (SC)</t>
  </si>
  <si>
    <t>Great/ Little Plt House</t>
  </si>
  <si>
    <t>3 Properties:
Little Plant House
Great Plant House
Little / Great Plant House S/C</t>
  </si>
  <si>
    <t>5 Properties: 
1: CM for Little Plant House S/C &amp; Sh Owner Rent billing (QUBE unit tenures: Sh Owner &amp; Gr Lets)
1 RM block for Little Plant House billing of (QUBE unit tenures: Gr Lets)
1: CM for Great Plant House S/C &amp; Sh Owner Rent billing (QUBE unit tenures: Sh Owner &amp; Gr Lets)
1 RM block for Great Plant House billing of (QUBE unit tenures: Gr Lets)
1 Entity (estate) level</t>
  </si>
  <si>
    <t>Going forward we will need to consolidate S/C statements across 2 blocks + estate</t>
  </si>
  <si>
    <t>317352; 317353; 317356; 317357; 317359; 318293; 318312</t>
  </si>
  <si>
    <t>Dibdin House</t>
  </si>
  <si>
    <t>6 properties:
Block A
Block B
Sheds
Office
Dibdin House
Dibdin House Comm</t>
  </si>
  <si>
    <t>5 Properties:
a) 1 CM for S/C &amp; Ground Rent billing (QUBE unit tenures: Grnd Rent, CommLease, No Tenure, Vac-A &amp; EstateChg removing duplicates)
b) 1 CM for billing (QUBE unit tenures: Assured, Regulated)
c) 1 RM for billing (QUBE unit tenures: AST, AST Chc, AST KW &amp; Vac-S)
d) 1 RM for billing (QUBE unit tenures: Licence &amp; Vacant)
e) 1 Entity (estate) level</t>
  </si>
  <si>
    <t>3 properties:
1 for sheds
1 Estate
1 block for all residential &amp; commercial units</t>
  </si>
  <si>
    <t>Treat as 'one' physical block (different staircases = different schedules under the same CM block - there are 22 SC schedules + 1 estate one)
Expenditure on commercials all held under the commercial schedule
Sheds excluded from Service Charge
Need to ensure we exclude commercials from estate</t>
  </si>
  <si>
    <t>Split 2 resi blocks?</t>
  </si>
  <si>
    <t>317355; 318295 (SC); 318296 (dummy); 317354; 317360 (commercial); 318294 (SC); 318313 (commercial)</t>
  </si>
  <si>
    <t>Tait &amp; Benson</t>
  </si>
  <si>
    <t>3 Buildings Benson (check Tait)</t>
  </si>
  <si>
    <t>8 Properties:
a) 1 CM for Benson S/C &amp; Ground Rent billing (QUBE unit tenures: Grnd Rent, CommLease &amp; EstateChg removing duplicates)
b) 1 CM for Benson billing (QUBE unit tenures: Assured, AST Chc, AST KW, Regulated &amp; Vac-S)
c) 1 RM for Benson billing (QUBE unit tenures: AST)
d) 1 CM for Tait S/C &amp; Ground Rent billing  (QUBE unit tenures: Grnd Rent &amp; EstateChg removing duplicates)
e) 1 CM for Tait billing (QUBE unit tenures: Assured, AST Chc, AST KW, Regulated &amp; Vac-S)
f) 1 RM for Tait billing (QUBE unit tenures: AST)
g) 1 RM for Tait billing (QUBE unit tenures: Licence &amp; Vacant)
h) 1 Entity (Estate) level</t>
  </si>
  <si>
    <t>4 buildings:
1 block for Tait combining the block entries in green in MRI above
1 block for Benson combining the block entries in blue in MRI above
1 block for Tait sheds
Estate block for grounds service charge schedule items to be raise against.</t>
  </si>
  <si>
    <r>
      <t xml:space="preserve">S/C for the whole estate would require consolidation (either BI, or MRI, or manual) - </t>
    </r>
    <r>
      <rPr>
        <b/>
        <sz val="11"/>
        <color rgb="FF000000"/>
        <rFont val="Calibri"/>
        <family val="2"/>
      </rPr>
      <t>ACTION to raise this as phase 2 enhancement</t>
    </r>
    <r>
      <rPr>
        <sz val="11"/>
        <color rgb="FF000000"/>
        <rFont val="Calibri"/>
        <family val="2"/>
      </rPr>
      <t xml:space="preserve">
Values which are reported are the same, the presentation is what's different
Some expenses are applied differently across different estates</t>
    </r>
  </si>
  <si>
    <t>317628; 318307 (SC); 317373; 318302 (SC); 317383; 318303 (SC); 317384; 317660; 318304 (SC); 317385; 318305 (SC); 317630; 318308 (SC); 317387; 318306 (SC); 317585; 318310 (SC)</t>
  </si>
  <si>
    <t>Vauxhall Est</t>
  </si>
  <si>
    <t>24 Properties:
a) 1 CM for Aldwyn S/C  (QUBE unit tenures: EstateChg)
b) 1 CM for Aldwyn billing  (QUBE unit tenures: Regulated, Assured, AST Chc)
c) 1 RM for Aldwyn billing (QUBE unit tenures: AST)
d) 1 CM for Burden S/C  (QUBE unit tenures: EstateChg)
e) 1 CM for Burden billing  (QUBE unit tenures: Regulated, Assured, AST Chc, AST KW)
f) 1 RM for Burden billing (QUBE unit tenures: AST)
g) 1 CM for Fosbrooke S/C  (QUBE unit tenures: EstateChg)
h) 1 CM for Fosbrooke billing  (QUBE unit tenures: Regulated, Assured, AST Chc, AST KW)
i) 1 RM for Fosbrooke billing (QUBE unit tenures: AST)
j) 1 CM for Wilbraham S/C  (QUBE unit tenures: EstateChg)
k) 1 CM for Wilbraham billing  (QUBE unit tenures: Regulated, Assured, AST Chc)
l) 1 RM for Wilbraham billing (QUBE unit tenures: AST)
m) 1 CM for Courthope S/C &amp; Ground Rent billing (QUBE unit tenures: Grnd Rent &amp; EstateChg removing duplicates)
n) 1 CM for Courthope billing  (QUBE unit tenures: Regulated, Assured, AST Chc)
o 1RM for Courthope billing (QUBE unit tenures: AST)
p) 1 CM for Daryngton S/C &amp; Ground Rent billing (QUBE unit tenures: Grnd Rent &amp; EstateChg removing duplicates)
q) 1 CM for Daryngton billing  (QUBE unit tenures: Regulated, Assured, AST Chc)
r) 1 CM for Eastry S/C &amp; Ground Rent billing (QUBE unit tenures: Grnd Rent &amp; EstateChg removing duplicates)
s) 1 CM for Eastry billing  (QUBE unit tenures: Regulated, Assured, AST Chc)
t) 1 RM for Eastry billing (QUBE unit tenures: AST, Vacant)
u) 1 CM for Lang S/C &amp; Ground Rent billing (QUBE unit tenures: Grnd Rent &amp; EstateChg removing duplicates)
v) 1 CM for Lang billing  (QUBE unit tenures: Regulated, Assured, AST Chc)
w) 1 RM for Lang billing (QUBE unit tenures: AST)
x) 1 Entity (estate) level</t>
  </si>
  <si>
    <t>8 properties:
1 for each physical block</t>
  </si>
  <si>
    <r>
      <t xml:space="preserve">2 units (units 1 and 2) in Daryngton won't pay S/C - structure S/C schedules so they don't include these 2 units
</t>
    </r>
    <r>
      <rPr>
        <b/>
        <sz val="11"/>
        <color theme="1"/>
        <rFont val="Calibri"/>
        <family val="2"/>
        <scheme val="minor"/>
      </rPr>
      <t>ACTION - Deb to disable the S/C schedule for these units 1-2 Daryngton</t>
    </r>
  </si>
  <si>
    <t>Not part of estate?
Davidson Gardens
Wilcox Road
Wilbraham House</t>
  </si>
  <si>
    <t>n/a</t>
  </si>
  <si>
    <t>Duplicate</t>
  </si>
  <si>
    <t>Davidson Gardens</t>
  </si>
  <si>
    <t>3 properties</t>
  </si>
  <si>
    <t>2 properties:
a) 1 CM for S/C &amp; Ground Rent billing (QUBE unit tenures: Grnd Rent, CommLease &amp; EstateChg removing duplicates)
b) 1 CM for billing (QUBE unit tenures: Assured, AST Chc, Regulated &amp; Vac-S)</t>
  </si>
  <si>
    <t xml:space="preserve">2 schedules (one for Wilcox, one for Ground rent)
If a property goes vacant, we can put Grainger as the </t>
  </si>
  <si>
    <t>The Chancel</t>
  </si>
  <si>
    <t>1 property?</t>
  </si>
  <si>
    <r>
      <t xml:space="preserve">2 properties:
1 CM for S/C (all units) and billing (ground rent, EstateChg
1 RM for billing (AST)
</t>
    </r>
    <r>
      <rPr>
        <sz val="11"/>
        <color rgb="FFFF0000"/>
        <rFont val="Calibri"/>
        <family val="2"/>
        <scheme val="minor"/>
      </rPr>
      <t>SOLD</t>
    </r>
  </si>
  <si>
    <t>Taybridge 89</t>
  </si>
  <si>
    <t>SOLD</t>
  </si>
  <si>
    <t>Ulverscroft 90</t>
  </si>
  <si>
    <t>418563; 418568; 418533 (SC)</t>
  </si>
  <si>
    <t>33 &amp; 33a Temple St</t>
  </si>
  <si>
    <t xml:space="preserve">
'Temple Street' = 33 Temple Street, mixed tenure (S/C, ASTs) - 33 we are looking to sell</t>
  </si>
  <si>
    <t xml:space="preserve">
a) 1 CM incorporating both 33 Temple Street and 33a Temple Street for S/C &amp; Ground Rent billing (QUBE unit tenures: Grnd Rent &amp; EstateChg removing duplicates)
b) 1 RM  for billing (QUBE unit tenures: AST)
</t>
  </si>
  <si>
    <t>Temple Dwellings: 
1 RM building Temple Dwellings (AST)  
1 CM building Temple Dwellings (1 Reg unit)
Each house in Canrobert and Winkly will be 1 building (1 property 1 unit)
no licenses and sheds
33/33aa Temple Street
(*** Schedule A applicble only to flats, Schedule B applicable to everyone ***)</t>
  </si>
  <si>
    <t>red letters - being sold</t>
  </si>
  <si>
    <t>Pontoon Dock</t>
  </si>
  <si>
    <t>Jake Matthews</t>
  </si>
  <si>
    <t>3 blocks:
A - Commercial, Affordable, Shared Ownership
B - Commercial, PRS
C -Commercial, PRS
Parking units across the development
Amenity spece shared by Blocks A, B and C
Therefore there is a service charge setup - contributed by all tenants
There are commercial units at the bottom of these blocks.
Energy Centre - service charge schedule shared by A, B, C</t>
  </si>
  <si>
    <t>8 properties:
(3 x 2) for each of the bloks:
- 1 CM for S/C (all units) and billing (commercial, Shared Ownership)
- 1 RM for billing (Affordable / DMR, PRS)
1 RM for billing (all licenses)
1 estate (entity) level</t>
  </si>
  <si>
    <t>1 S/C for entire block - leaseholders + Commercial paying their share)
In Clippers / Pontoon - Commercial tenants only pay for the commercial elements. Can setup similar to (Courtyard) - 1 CM for Commercial tenants + S/C, buildings in RM for each residential block (including amenities), 1 RM property for all parking units.</t>
  </si>
  <si>
    <t>Apex House</t>
  </si>
  <si>
    <t>Jonathan Kiddle</t>
  </si>
  <si>
    <t xml:space="preserve">2 blocks (1 Afforable, 1 Affordable + PRS)
1 shared yard with a commercial unit,
and 4 houses </t>
  </si>
  <si>
    <t>10 properties:
2 RM for billing each of the blocks (Affordable, AST)
2 CM for S/C each of the blocks (all units)
1 CM for S/C and billing (Commercial)
4 RM for each of the houses
1 Estate (entity) level</t>
  </si>
  <si>
    <t>127505</t>
  </si>
  <si>
    <t>Senate Court</t>
  </si>
  <si>
    <t>Painter Crescent</t>
  </si>
  <si>
    <t>Berewood development (there is an estate charge but not managed by us)</t>
  </si>
  <si>
    <t>Rowe Rise</t>
  </si>
  <si>
    <t>all affordable / no service charge</t>
  </si>
  <si>
    <t>1 Property
1 RM block for billing (QUBE unit tenures: Aff Rent)</t>
  </si>
  <si>
    <t>There is a estate charge obligation (Western Waterlooville Mgmt Company)
Berewood 3A
Deb following up with Pat / Suzanne</t>
  </si>
  <si>
    <t>107301; 107302; 107303; 107304; 116324 (Dummy for Tenant Recharge)</t>
  </si>
  <si>
    <t>Junction Houses</t>
  </si>
  <si>
    <t>5 properties</t>
  </si>
  <si>
    <t>3 Properties:
a) 1 CM for all S/C  (QUBE unit tenures: Dummy &amp; property references 107301; 107302; 107303; 107304) 
b) 1 CM for billing (QUBE unit tenures: Regulated, Assd. Per) 
c) 1 RM for garages (QUBE unit tenures: Licence)</t>
  </si>
  <si>
    <t>Unit References: 108904001; 108905001; 108906001; 108907001; 108908001; 108909001; 108910001; 108911001; 108912001; 108913001; 108914001; 108915001; 108916001; 108917001; 108918001; 108919001; 108920001; 108921001; 108922001; 108923001; 108924001; 108925001; 108943001 (garage); 108944001 (garage); 108945001 (garage); 108946001 (garage)</t>
  </si>
  <si>
    <t>1-22 Mariners Cottages</t>
  </si>
  <si>
    <t>2 properties:
1 RM for residential (QUBE unit type: Mid Terrace)
1 RM for garages (QUBE unit type: Garage)</t>
  </si>
  <si>
    <t>Unit references: 108892001; 108893001; 108894001; 108895001; 108896001; 108897001; 108898001; 108899001; 108900001; 108901001; 108902001; 108903001; 108954001; 108954002; 108954003; 108954004; 108954005; 108954006; 108954007; 108954008; 108954009; 108954010; 108954011; 108954012; 108954013</t>
  </si>
  <si>
    <t>5-29 Brierley Green</t>
  </si>
  <si>
    <t>2 properties:
1 RM for residential (QUBE unit type: End Terrace, Mid Terrace)
1 RM for garages (QUBE unit type: Garage, Land)</t>
  </si>
  <si>
    <t>Unit References: 108744001; 108745001; 108746001; 108747001; 108748001; 108749001</t>
  </si>
  <si>
    <t xml:space="preserve">1-6 South View </t>
  </si>
  <si>
    <t>1 property
1 RM for residential (QUBE unit type: End Terrace, Mid Terrace)</t>
  </si>
  <si>
    <t>Georgia Kirby-Watt</t>
  </si>
  <si>
    <t>Grainger Trust</t>
  </si>
  <si>
    <t>James Biley</t>
  </si>
  <si>
    <t>Alex Masters / Sam Robson (Mariners)</t>
  </si>
  <si>
    <t>Mariners</t>
  </si>
  <si>
    <t>Stewart Blackford</t>
  </si>
  <si>
    <t>Clippers Quay</t>
  </si>
  <si>
    <t>MRI</t>
  </si>
  <si>
    <t>FSI</t>
  </si>
  <si>
    <t>Qube prop</t>
  </si>
  <si>
    <t>MRI prop</t>
  </si>
  <si>
    <t>Unit_Reference</t>
  </si>
  <si>
    <t>Unit_Description</t>
  </si>
  <si>
    <t>Property_Type</t>
  </si>
  <si>
    <t>Unit_Type</t>
  </si>
  <si>
    <t>Unit_Tenure</t>
  </si>
  <si>
    <t>Unit_Status</t>
  </si>
  <si>
    <t>RM v CM</t>
  </si>
  <si>
    <t>b)</t>
  </si>
  <si>
    <t>317351001</t>
  </si>
  <si>
    <t>Flat 1, Denman House, Lordship Ter, N16 0JD</t>
  </si>
  <si>
    <t>RESIDENTIAL</t>
  </si>
  <si>
    <t>Flat PB</t>
  </si>
  <si>
    <t>Tenanted</t>
  </si>
  <si>
    <t>317351006</t>
  </si>
  <si>
    <t>Flat 6, Denman House, Lordship Ter, N16 0JD</t>
  </si>
  <si>
    <t>317351007</t>
  </si>
  <si>
    <t>Flat 7, Denman House, Lordship Ter, N16 0JD</t>
  </si>
  <si>
    <t>317351009</t>
  </si>
  <si>
    <t>Flat 9, Denman House, Lordship Ter, N16 0JD</t>
  </si>
  <si>
    <t>317351017</t>
  </si>
  <si>
    <t>Flat 17, Denman House, Lordship Ter, N16 0JD</t>
  </si>
  <si>
    <t>317351019</t>
  </si>
  <si>
    <t>Flat 19, Denman House, Lordship Ter, N16 0JD</t>
  </si>
  <si>
    <t>317351024</t>
  </si>
  <si>
    <t>Flat 24, Denman House, Lordship Ter, N16 0JD</t>
  </si>
  <si>
    <t>c)</t>
  </si>
  <si>
    <t>Flat 25, Denman House, Lordship Ter, N16 0JD</t>
  </si>
  <si>
    <t>317351029</t>
  </si>
  <si>
    <t>Flat 29, Denman House, Lordship Ter, N16 0JD</t>
  </si>
  <si>
    <t>317351030</t>
  </si>
  <si>
    <t>Flat 30, Denman House, Lordship Ter, N16 0JH</t>
  </si>
  <si>
    <t>317351041</t>
  </si>
  <si>
    <t>Flat 41, Denman House, Lordship Ter, N16 0JH</t>
  </si>
  <si>
    <t>317351046</t>
  </si>
  <si>
    <t>Flat 46, Denman House, Lordship Ter, N16 0JH</t>
  </si>
  <si>
    <t>317351048</t>
  </si>
  <si>
    <t>Flat 48, Denman House, Lordship Ter, N16 0JH</t>
  </si>
  <si>
    <t>317351050</t>
  </si>
  <si>
    <t>Flat 50, Denman House, Lordship Ter, N16 0JH</t>
  </si>
  <si>
    <t>317351052</t>
  </si>
  <si>
    <t>Flat 52, Denman House, Lordship Ter, N16 0JH</t>
  </si>
  <si>
    <t>317351055</t>
  </si>
  <si>
    <t>Flat 55, Denman House, Lordship Ter, N16 0JH</t>
  </si>
  <si>
    <t>317351058</t>
  </si>
  <si>
    <t>Flat 58, Denman House, Lordship Ter, N16 0JH</t>
  </si>
  <si>
    <t>317351059</t>
  </si>
  <si>
    <t>Flat 59, Denman House, Lordship Ter, N16 0JH</t>
  </si>
  <si>
    <t>317351062</t>
  </si>
  <si>
    <t>Flat 62, Denman House, Lordship Ter, N16 0JH</t>
  </si>
  <si>
    <t>317351064</t>
  </si>
  <si>
    <t>Flat 64, Denman House, Lordship Ter, N16 0JH</t>
  </si>
  <si>
    <t>317351067</t>
  </si>
  <si>
    <t>Flat 67, Denman House, Lordship Ter, N16 0JH</t>
  </si>
  <si>
    <t>Flat 71, Denman House, Lordship Ter, N16 0JH</t>
  </si>
  <si>
    <t>317351073</t>
  </si>
  <si>
    <t>Flat 73, Denman House, Lordship Ter, N16 0JH</t>
  </si>
  <si>
    <t>317351074</t>
  </si>
  <si>
    <t>Flat 74, Denman House, Lordship Ter, N16 0JH</t>
  </si>
  <si>
    <t>317351081</t>
  </si>
  <si>
    <t>Flat 81, Denman House, Lordship Ter, N16 0JH</t>
  </si>
  <si>
    <t>317351083</t>
  </si>
  <si>
    <t>Flat 83, Denman House, Lordship Ter, N16 0JH</t>
  </si>
  <si>
    <t>317351085</t>
  </si>
  <si>
    <t>Flat 85, Denman House, Lordship Ter, N16 0JH</t>
  </si>
  <si>
    <t>317351086</t>
  </si>
  <si>
    <t>Flat 86, Denman House, Lordship Ter, N16 0JH</t>
  </si>
  <si>
    <t>317351087</t>
  </si>
  <si>
    <t>Flat 87, Denman House, Lordship Ter, N16 0JH</t>
  </si>
  <si>
    <t>317351088</t>
  </si>
  <si>
    <t>Flat 88, Denman House, Lordship Ter, N16 0JH</t>
  </si>
  <si>
    <t>317351089</t>
  </si>
  <si>
    <t>Flat 89, Denman House, Lordship Ter, N16 0JH</t>
  </si>
  <si>
    <t>d)</t>
  </si>
  <si>
    <t>Shed 1, Denman Sheds, Lordship Ter, N16 0JB</t>
  </si>
  <si>
    <t>Shed</t>
  </si>
  <si>
    <t>317351090d)</t>
  </si>
  <si>
    <t>Shed 2, Denman Sheds, Lordship Ter, N16 0JB</t>
  </si>
  <si>
    <t>317351091d)</t>
  </si>
  <si>
    <t>Shed 3, Denman Sheds, Lordship Ter, N16 0JB</t>
  </si>
  <si>
    <t>317351092d)</t>
  </si>
  <si>
    <t>Shed 4, Denman Sheds, Lordship Ter, N16 0JB</t>
  </si>
  <si>
    <t>317351093d)</t>
  </si>
  <si>
    <t>Shed 5, Denman Sheds, Lordship Ter, N16 0JB</t>
  </si>
  <si>
    <t>317351094d)</t>
  </si>
  <si>
    <t>Shed 6, Denman Sheds, Lordship Ter, N16 0JB</t>
  </si>
  <si>
    <t>317351095d)</t>
  </si>
  <si>
    <t>Shed 7, Denman Sheds, Lordship Ter, N16 0JB</t>
  </si>
  <si>
    <t>317351096d)</t>
  </si>
  <si>
    <t>Shed 8, Denman Sheds, Lordship Ter, N16 0JB</t>
  </si>
  <si>
    <t>317351097d)</t>
  </si>
  <si>
    <t>Shed 9, Denman Sheds, Lordship Ter, N16 0JB</t>
  </si>
  <si>
    <t>317351098d)</t>
  </si>
  <si>
    <t>Shed 10, Denman Sheds, Lordship Ter, N16 0JB</t>
  </si>
  <si>
    <t>317351099d)</t>
  </si>
  <si>
    <t>Shed 11, Denman Sheds, Lordship Ter, N16 0JB</t>
  </si>
  <si>
    <t>317351100d)</t>
  </si>
  <si>
    <t>Shed 12, Denman Sheds, Lordship Ter, N16 0JB</t>
  </si>
  <si>
    <t>317351101d)</t>
  </si>
  <si>
    <t>Shed 13, Denman Sheds, Lordship Ter, N16 0JB</t>
  </si>
  <si>
    <t>317351102d)</t>
  </si>
  <si>
    <t>Shed 14, Denman Sheds, Lordship Ter, N16 0JB</t>
  </si>
  <si>
    <t>317351103d)</t>
  </si>
  <si>
    <t>Shed 15, Denman Sheds, Lordship Ter, N16 0JB</t>
  </si>
  <si>
    <t>317351104d)</t>
  </si>
  <si>
    <t>Shed 16, Denman Sheds, Lordship Ter, N16 0JB</t>
  </si>
  <si>
    <t>317351105d)</t>
  </si>
  <si>
    <t>Est Off, Denman House, Lordship Ter, N16 0JD</t>
  </si>
  <si>
    <t>Est Office</t>
  </si>
  <si>
    <t>317351137</t>
  </si>
  <si>
    <t>Denman House, Development Site, Stoke Newingt</t>
  </si>
  <si>
    <t>AwaitDecision</t>
  </si>
  <si>
    <t>Shed 17, Denman House, Lordship Terrace, N16</t>
  </si>
  <si>
    <t>317351139d)</t>
  </si>
  <si>
    <t>Shed 18, Denman House, Lordship Terrace, N16</t>
  </si>
  <si>
    <t>317351140d)</t>
  </si>
  <si>
    <t>Shed 19, Denman House, Lordship Terrace, N16</t>
  </si>
  <si>
    <t>For Let</t>
  </si>
  <si>
    <t>Shed 20, Denman House, Lordship Terrace, N16</t>
  </si>
  <si>
    <t>317351142d)</t>
  </si>
  <si>
    <t>Shed 21, Denman House, Lordship Terrace, N16</t>
  </si>
  <si>
    <t>317351143d)</t>
  </si>
  <si>
    <t>Shed 22, Denman House, Lordship Terrace, N16</t>
  </si>
  <si>
    <t>317351144d)</t>
  </si>
  <si>
    <t>Shed 23, Denman House, Lordship Terrace, N16</t>
  </si>
  <si>
    <t>317351145d)</t>
  </si>
  <si>
    <t>Shed 24, Denman House, Lordship Terrace, N16</t>
  </si>
  <si>
    <t>317351146d)</t>
  </si>
  <si>
    <t>Shed 25, Denman House, Lordship Terrace, N16</t>
  </si>
  <si>
    <t>317351147d)</t>
  </si>
  <si>
    <t>Shed 26, Denman House, Lordship Terrace, N16</t>
  </si>
  <si>
    <t>317351148d)</t>
  </si>
  <si>
    <t>Shed 27, Denman House, Lordship Terrace, N16</t>
  </si>
  <si>
    <t>317351149d)</t>
  </si>
  <si>
    <t>Shed 28, Denman House, Lordship Terrace, N16</t>
  </si>
  <si>
    <t>317351150d)</t>
  </si>
  <si>
    <t>Shed 29, Denman House, Lordship Terrace, N16</t>
  </si>
  <si>
    <t>317351151d)</t>
  </si>
  <si>
    <t>Shed 30, Denman House, Lordship Terrace, N16</t>
  </si>
  <si>
    <t>317351152d)</t>
  </si>
  <si>
    <t>Shed 31, Denman House, Lordship Terrace, N16</t>
  </si>
  <si>
    <t>317351153d)</t>
  </si>
  <si>
    <t>Shed 32, Denman House, Lordship Terrace, N16</t>
  </si>
  <si>
    <t>317351154d)</t>
  </si>
  <si>
    <t>a)</t>
  </si>
  <si>
    <t>Not visible in FSI</t>
  </si>
  <si>
    <t>317351002</t>
  </si>
  <si>
    <t>Flat 2, Denman House, Lordship Ter, N16 0JD</t>
  </si>
  <si>
    <t>317351003</t>
  </si>
  <si>
    <t>Flat 3, Denman House, Lordship Ter, N16 0JD</t>
  </si>
  <si>
    <t>317351004</t>
  </si>
  <si>
    <t>Flat 4, Denman House, Lordship Ter, N16 0JD</t>
  </si>
  <si>
    <t>317351005</t>
  </si>
  <si>
    <t>Flat 5, Denman House, Lordship Ter, N16 0JB</t>
  </si>
  <si>
    <t>317351008</t>
  </si>
  <si>
    <t>Flat 8, Denman House, Lordship Ter, N16 0JD</t>
  </si>
  <si>
    <t>317351010</t>
  </si>
  <si>
    <t>Flat 10, Denman House, Lordship Ter, N16 0JD</t>
  </si>
  <si>
    <t>317351011</t>
  </si>
  <si>
    <t>Flat 11, Denman House, Lordship Ter, N16 0JD</t>
  </si>
  <si>
    <t>317351012</t>
  </si>
  <si>
    <t>Flat 12, Denman House, Lordship Ter, N16 0JD</t>
  </si>
  <si>
    <t>317351013</t>
  </si>
  <si>
    <t>Flat 13, Denman House, Lordship Ter, N16 0JD</t>
  </si>
  <si>
    <t>317351014</t>
  </si>
  <si>
    <t>Flat 14, Denman House, Lordship Ter, N16 0JD</t>
  </si>
  <si>
    <t>317351015</t>
  </si>
  <si>
    <t>Flat 15, Denman House, Lordship Ter, N16 0JD</t>
  </si>
  <si>
    <t>317351016</t>
  </si>
  <si>
    <t>Flat 16, Denman House, Lordship Ter, N16 0JD</t>
  </si>
  <si>
    <t>317351018</t>
  </si>
  <si>
    <t>Flat 18, Denman House, Lordship Ter, N16 0JD</t>
  </si>
  <si>
    <t>317351020</t>
  </si>
  <si>
    <t>Flat 20, Denman House, Lordship Ter, N16 0JD</t>
  </si>
  <si>
    <t>317351021</t>
  </si>
  <si>
    <t>Flat 21, Denman House, Lordship Ter, N16 0JD</t>
  </si>
  <si>
    <t>317351022</t>
  </si>
  <si>
    <t>Flat 22, Denman House, Lordship Ter, N16 0JD</t>
  </si>
  <si>
    <t>317351023</t>
  </si>
  <si>
    <t>Flat 23, Denman House, Lordship Ter, N16 0JD</t>
  </si>
  <si>
    <t>317351026</t>
  </si>
  <si>
    <t>Flat 26, Denman House, Lordship Ter, N16 0JD</t>
  </si>
  <si>
    <t>317351027</t>
  </si>
  <si>
    <t>Flat 27, Denman House, Lordship Ter, N16 0JD</t>
  </si>
  <si>
    <t>317351028</t>
  </si>
  <si>
    <t>Flat 28, Denman House, Lordship Ter, N16 0JD</t>
  </si>
  <si>
    <t>317351031</t>
  </si>
  <si>
    <t>Flat 31, Denman House, Lordship Ter, N16 0JH</t>
  </si>
  <si>
    <t>317351032</t>
  </si>
  <si>
    <t>Flat 32, Denman House, Lordship Ter, N16 0JH</t>
  </si>
  <si>
    <t>317351033</t>
  </si>
  <si>
    <t>Flat 33, Denman House, Lordship Ter, N16 0JH</t>
  </si>
  <si>
    <t>317351034</t>
  </si>
  <si>
    <t>Flat 34, Denman House, Lordship Ter, N16 0JH</t>
  </si>
  <si>
    <t>317351035</t>
  </si>
  <si>
    <t>Flat 35, Denman House, Lordship Ter, N16 0JH</t>
  </si>
  <si>
    <t>317351036</t>
  </si>
  <si>
    <t>Flat 36, Denman House, Lordship Ter, N16 0JH</t>
  </si>
  <si>
    <t>317351037</t>
  </si>
  <si>
    <t>Flat 37, Denman House, Lordship Ter, N16 0JH</t>
  </si>
  <si>
    <t>317351038</t>
  </si>
  <si>
    <t>Flat 38, Denman House, Lordship Ter, N16 0JH</t>
  </si>
  <si>
    <t>317351039</t>
  </si>
  <si>
    <t>Flat 39, Denman House, Lordship Ter, N16 0JH</t>
  </si>
  <si>
    <t>317351040</t>
  </si>
  <si>
    <t>Flat 40, Denman House, Lordship Ter, N16 0JH</t>
  </si>
  <si>
    <t>317351042</t>
  </si>
  <si>
    <t>Flat 42, Denman House, Lordship Ter, N16 0JH</t>
  </si>
  <si>
    <t>317351043</t>
  </si>
  <si>
    <t>Flat 43, Denman House, Lordship Ter, N16 0JH</t>
  </si>
  <si>
    <t>317351044</t>
  </si>
  <si>
    <t>Flat 44, Denman House, Lordship Ter, N16 0JH</t>
  </si>
  <si>
    <t>317351045</t>
  </si>
  <si>
    <t>Flat 45, Denman House, Lordship Ter, N16 0JH</t>
  </si>
  <si>
    <t>317351047</t>
  </si>
  <si>
    <t>Flat 47, Denman House, Lordship Ter, N16 0JH</t>
  </si>
  <si>
    <t>317351049</t>
  </si>
  <si>
    <t>Flat 49, Denman House, Lordship Ter, N16 0JH</t>
  </si>
  <si>
    <t>317351051</t>
  </si>
  <si>
    <t>Flat 51, Denman House, Lordship Ter, N16 0JH</t>
  </si>
  <si>
    <t>317351053</t>
  </si>
  <si>
    <t>Flat 53, Denman House, Lordship Ter, N16 0JH</t>
  </si>
  <si>
    <t>317351054</t>
  </si>
  <si>
    <t>Flat 54, Denman House, Lordship Ter, N16 0JH</t>
  </si>
  <si>
    <t>317351056</t>
  </si>
  <si>
    <t>Flat 56, Denman House, Lordship Ter, N16 0JH</t>
  </si>
  <si>
    <t>317351057</t>
  </si>
  <si>
    <t>Flat 57, Denman House, Lordship Ter, N16 0JH</t>
  </si>
  <si>
    <t>317351060</t>
  </si>
  <si>
    <t>Flat 60, Denman House, Lordship Ter, N16 0JH</t>
  </si>
  <si>
    <t>317351061</t>
  </si>
  <si>
    <t>Flat 61, Denman House, Lordship Ter, N16 0JH</t>
  </si>
  <si>
    <t>317351063</t>
  </si>
  <si>
    <t>Flat 63, Denman House, Lordship Ter, N16 0JH</t>
  </si>
  <si>
    <t>317351065</t>
  </si>
  <si>
    <t>Flat 65, Denman House, Lordship Ter, N16 0JH</t>
  </si>
  <si>
    <t>317351066</t>
  </si>
  <si>
    <t>Flat 66, Denman House, Lordship Ter, N16 0JH</t>
  </si>
  <si>
    <t>317351068</t>
  </si>
  <si>
    <t>Flat 68, Denman House, Lordship Ter, N16 0JH</t>
  </si>
  <si>
    <t>317351069</t>
  </si>
  <si>
    <t>Flat 69, Denman House, Lordship Ter, N16 0JH</t>
  </si>
  <si>
    <t>317351070</t>
  </si>
  <si>
    <t>Flat 70, Denman House, Lordship Ter, N16 0JH</t>
  </si>
  <si>
    <t>317351072</t>
  </si>
  <si>
    <t>Flat 72, Denman House, Lordship Ter, N16 0JH</t>
  </si>
  <si>
    <t>317351075</t>
  </si>
  <si>
    <t>Flat 75, Denman House, Lordship Ter, N16 0JH</t>
  </si>
  <si>
    <t>317351076</t>
  </si>
  <si>
    <t>Flat 76, Denman House, Lordship Ter, N16 0JH</t>
  </si>
  <si>
    <t>317351077</t>
  </si>
  <si>
    <t>Flat 77, Denman House, Lordship Ter, N16 0JH</t>
  </si>
  <si>
    <t>317351078</t>
  </si>
  <si>
    <t>Flat 78, Denman House, Lordship Ter, N16 0JH</t>
  </si>
  <si>
    <t>317351079</t>
  </si>
  <si>
    <t>Flat 79, Denman House, Lordship Ter, N16 0JH</t>
  </si>
  <si>
    <t>317351080</t>
  </si>
  <si>
    <t>Flat 80, Denman House, Lordship Ter, N16 0JH</t>
  </si>
  <si>
    <t>317351082</t>
  </si>
  <si>
    <t>Flat 82, Denman House, Lordship Ter, N16 0JH</t>
  </si>
  <si>
    <t>317351084</t>
  </si>
  <si>
    <t>Flat 84, Denman House, Lordship Ter, N16 0JH</t>
  </si>
  <si>
    <t>e)</t>
  </si>
  <si>
    <t>Estate Entity</t>
  </si>
  <si>
    <t>Flat 3, Benson House, Hatfields, SE1 8DQ</t>
  </si>
  <si>
    <t>Flat 4, Benson House, Hatfields, SE1 8DQ</t>
  </si>
  <si>
    <t>Flat 6, Benson House, Hatfields, SE1 8DQ</t>
  </si>
  <si>
    <t>Flat 8, Benson House, Hatfields, SE1 8DQ</t>
  </si>
  <si>
    <t>Flat 9, Benson House, Hatfields, SE1 8DQ</t>
  </si>
  <si>
    <t>Flat 10, Benson House, Hatfields, SE1 8DQ</t>
  </si>
  <si>
    <t>Flat 13, Benson House, Hatfields, SE1 8DQ</t>
  </si>
  <si>
    <t>Flat 14, Benson House, Hatfields, SE1 8DQ</t>
  </si>
  <si>
    <t>Flat 16, Benson House, Hatfields, SE1 8DQ</t>
  </si>
  <si>
    <t>Flat 17, Benson House, Hatfields, SE1 8DQ</t>
  </si>
  <si>
    <t>Flat 20, Benson House, Hatfields, SE1 8DQ</t>
  </si>
  <si>
    <t>Flat 21, Benson House, Hatfields, SE1 8DQ</t>
  </si>
  <si>
    <t>Flat 23, Benson House, Hatfields, SE1 8DQ</t>
  </si>
  <si>
    <t>Flat 25, Benson House, Hatfields, SE1 8DQ</t>
  </si>
  <si>
    <t>Flat 26, Benson House, Hatfields, SE1 8DQ</t>
  </si>
  <si>
    <t>Flat 31, Benson House, Hatfields, SE1 8DQ</t>
  </si>
  <si>
    <t>Solic.Instrct</t>
  </si>
  <si>
    <t>Flat 34, Benson House, Hatfields, SE1 8DQ</t>
  </si>
  <si>
    <t>Dummy not to be held in MRI</t>
  </si>
  <si>
    <t>Benson House Unit 2 S/C DO NOT USE</t>
  </si>
  <si>
    <t>Flat 1, Benson House, Hatfields, SE1 8DQ</t>
  </si>
  <si>
    <t>Flat 2, Benson House, Hatfields, SE1 8DQ</t>
  </si>
  <si>
    <t>Flat 5, Benson House, Hatfields, SE1 8DQ</t>
  </si>
  <si>
    <t>Flat 7, Benson House, Hatfields, SE1 8DQ</t>
  </si>
  <si>
    <t>Flat 11, Benson House, Hatfields, SE1 8DQ</t>
  </si>
  <si>
    <t>Flat 12, Benson House, Hatfields, SE1 8DQ</t>
  </si>
  <si>
    <t>Flat 15, Benson House, Hatfields, SE1 8DQ</t>
  </si>
  <si>
    <t>Flat 18, Benson House, Hatfields, SE1 8DQ</t>
  </si>
  <si>
    <t>Flat 19, Benson House, Hatfields, SE1 8DQ</t>
  </si>
  <si>
    <t>Flat 22, Benson House, Hatfields, SE1 8DQ</t>
  </si>
  <si>
    <t>Flat 24, Benson House, Hatfields, SE1 8DQ</t>
  </si>
  <si>
    <t>Flat 27, Benson House, Hatfields, SE1 8DQ</t>
  </si>
  <si>
    <t>Flat 28, Benson House, Hatfields, SE1 8DQ</t>
  </si>
  <si>
    <t>Flat 29, Benson House, Hatfields, SE1 8DQ</t>
  </si>
  <si>
    <t>Flat 30, Benson House, Hatfields, SE1 8DQ</t>
  </si>
  <si>
    <t>Flat 32, Benson House, Hatfields, SE1 8DQ</t>
  </si>
  <si>
    <t>Flat 33, Benson House, Hatfields, SE1 8DQ</t>
  </si>
  <si>
    <t>Flat 35, Benson House, Hatfields, SE1 8DQ</t>
  </si>
  <si>
    <t>Flat 36, Benson House, Hatfields, SE1 8DQ</t>
  </si>
  <si>
    <t>Docushare - Tait and Benson</t>
  </si>
  <si>
    <t>Benson House Unit 1 Grnd Flr/Serv Yard</t>
  </si>
  <si>
    <t>COMMERCIAL</t>
  </si>
  <si>
    <t>Benson House Unit 2 Grnd Flr/Serv Yard</t>
  </si>
  <si>
    <t>Benson House Unit 3 Grnd Flr/Serv Yard</t>
  </si>
  <si>
    <t>Benson House Unit 4 Grnd Flr/Serv Yard</t>
  </si>
  <si>
    <t>Benson House Unit 5 Grnd Flr/Serv Yard</t>
  </si>
  <si>
    <t>Benson House Unit 6 Grnd Flr/Serv Yard</t>
  </si>
  <si>
    <t>Flat 1, Tait House, Greet St, SE1 8NA</t>
  </si>
  <si>
    <t>Flat 2, Tait House, Greet St, SE1 8NA</t>
  </si>
  <si>
    <t>Flat 3, Tait House, Greet St, SE1 8NA</t>
  </si>
  <si>
    <t>Flat 5, Tait House, Greet St, SE1 8NA</t>
  </si>
  <si>
    <t>f)</t>
  </si>
  <si>
    <t>Flat 7, Tait House, Greet St, SE1 8NA</t>
  </si>
  <si>
    <t>Flat 8, Tait House, Greet St, SE1 8NA</t>
  </si>
  <si>
    <t>Flat 9, Tait House, Greet St, SE1 8NA</t>
  </si>
  <si>
    <t>Flat 10, Tait House, Greet St, SE1 8NA</t>
  </si>
  <si>
    <t>Flat 11, Tait House, Greet St, SE1 8NA</t>
  </si>
  <si>
    <t>Flat 12, Tait House, Greet St, SE1 8NA</t>
  </si>
  <si>
    <t>Flat 17, Tait House, Greet St, SE1 8NA</t>
  </si>
  <si>
    <t>Flat 19, Tait House, Greet St, SE1 8NA</t>
  </si>
  <si>
    <t>Flat 20, Tait House, Greet St, SE1 8NA</t>
  </si>
  <si>
    <t>Flat 21, Tait House, Greet St, SE1 8NA</t>
  </si>
  <si>
    <t>Flat 25, Tait House, Greet St, SE1 8NA</t>
  </si>
  <si>
    <t>Flat 26, Tait House, Greet St, SE1 8NA</t>
  </si>
  <si>
    <t>Flat 27, Tait House, Greet St, SE1 8NA</t>
  </si>
  <si>
    <t>Flat 29, Tait House, Greet St, SE1 8NA</t>
  </si>
  <si>
    <t>Flat 30, Tait House, Greet St, SE1 8NA</t>
  </si>
  <si>
    <t>g)</t>
  </si>
  <si>
    <t>Shed 1, Tait Sheds, Greet St, SE1 8NA</t>
  </si>
  <si>
    <t>Shed 2, Tait Sheds, Greet St, SE1 8NA</t>
  </si>
  <si>
    <t>Shed 3, Tait Sheds, Greet St, SE1 8NA</t>
  </si>
  <si>
    <t>Shed 4, Tait Sheds, Greet St, SE1 8NA</t>
  </si>
  <si>
    <t>Shed 5, Tait Sheds, Greet St, SE1 8NA</t>
  </si>
  <si>
    <t>Shed 6, Tait Sheds, Greet St, SE1 8NA</t>
  </si>
  <si>
    <t>Shed 7, Tait Sheds, Greet St, SE1 8NA</t>
  </si>
  <si>
    <t>Shed 8, Tait Sheds, Greet St, SE1 8NA</t>
  </si>
  <si>
    <t>Shed 9, Tait Sheds, Greet St, SE1 8NA</t>
  </si>
  <si>
    <t>Shed 10, Tait Sheds, Greet St, SE1 8NA</t>
  </si>
  <si>
    <t>Shed 11, Tait Sheds, Greet St, SE1 8NA</t>
  </si>
  <si>
    <t>Shed 12, Tait Sheds, Greet St, SE1 8NA</t>
  </si>
  <si>
    <t>Shed 13, Tait Sheds, Greet St, SE1 8NA</t>
  </si>
  <si>
    <t>Shed 14, Tait Sheds, Greet St, SE1 8NA</t>
  </si>
  <si>
    <t>Shed 15, Tait Sheds, Greet St, SE1 8NA</t>
  </si>
  <si>
    <t>Shed 16, Tait Sheds, Greet St, SE1 8NA</t>
  </si>
  <si>
    <t>Shed 17, Tait Sheds, Greet St, SE1 8NA</t>
  </si>
  <si>
    <t>Shed 18, Tait Sheds, Greet St, SE1 8NA</t>
  </si>
  <si>
    <t>Shed 23, Tait Sheds, Greet St, SE1 8NA</t>
  </si>
  <si>
    <t>Shed 24, Tait Sheds, Greet St, SE1 8NA</t>
  </si>
  <si>
    <t>Shed 25, Tait Sheds, Greet St, SE1 8NA</t>
  </si>
  <si>
    <t>Shed 26, Tait Sheds, Greet St, SE1 8NA</t>
  </si>
  <si>
    <t>Shed 27, Tait Sheds, Greet St, SE1 8NA</t>
  </si>
  <si>
    <t>Shed 28, Tait Sheds, Greet St, SE1 8NA</t>
  </si>
  <si>
    <t>Shed 29, Tait Sheds, Greet St, SE1 8NA</t>
  </si>
  <si>
    <t>Shed 30, Tait Sheds, Greet St, SE1 8NA</t>
  </si>
  <si>
    <t>Shed 31, Tait Sheds, Greet St, SE1 8NA</t>
  </si>
  <si>
    <t>Shed 32, Tait Sheds, Greet St, SE1 8NA</t>
  </si>
  <si>
    <t>Shed 33, Tait Sheds, Greet St, SE1 8NA</t>
  </si>
  <si>
    <t>Shed 34, Tait Sheds, Greet St, SE1 8NA</t>
  </si>
  <si>
    <t>Shed 35, Tait Sheds, Greet St, SE1 8NA</t>
  </si>
  <si>
    <t>Shed 36, Tait Sheds, Greet St, SE1 8NA</t>
  </si>
  <si>
    <t>Shed 37, Tait Sheds, Greet St, SE1 8NA</t>
  </si>
  <si>
    <t>Shed 38, Tait Sheds, Greet St, SE1 8NA</t>
  </si>
  <si>
    <t>Shed 39, Tait Sheds, Greet St, SE1 8NA</t>
  </si>
  <si>
    <t>Shed 40, Tait Sheds, Greet St, SE1 8NA</t>
  </si>
  <si>
    <t>Shed 41, Tait Sheds, Greet St, SE1 8NA</t>
  </si>
  <si>
    <t>Shed A, Tait Sheds, Greet St, SE1 8NA</t>
  </si>
  <si>
    <t>Shed B, Tait Sheds, Greet St, SE1 8NA</t>
  </si>
  <si>
    <t>Flat 4, Tait House, Greet St, SE1 8NA</t>
  </si>
  <si>
    <t>Flat 6, Tait House, Greet St, SE1 8NA</t>
  </si>
  <si>
    <t>Flat 13, Tait House, Greet St, SE1 8NA</t>
  </si>
  <si>
    <t>Flat 14, Tait House, Greet St, SE1 8NA</t>
  </si>
  <si>
    <t>Flat 15, Tait House, Greet St, SE1 8NA</t>
  </si>
  <si>
    <t>Flat 16, Tait House, Greet St, SE1 8NA</t>
  </si>
  <si>
    <t>Flat 18, Tait House, Greet St, SE1 8NA</t>
  </si>
  <si>
    <t>Flat 22, Tait House, Greet St, SE1 8NA</t>
  </si>
  <si>
    <t>Flat 23, Tait House, Greet St, SE1 8NA</t>
  </si>
  <si>
    <t>Flat 24, Tait House, Greet St, SE1 8NA</t>
  </si>
  <si>
    <t>Flat 28, Tait House, Greet St, SE1 8NA</t>
  </si>
  <si>
    <t>h)</t>
  </si>
  <si>
    <t>QUBE prop</t>
  </si>
  <si>
    <t>Flat 2, Dibdin House, Maida Vale, W9 1QE</t>
  </si>
  <si>
    <t>Flat 3, Dibdin House, Maida Vale, W9 1QE</t>
  </si>
  <si>
    <t>Flat 4, Dibdin House, Maida Vale, W9 1QE</t>
  </si>
  <si>
    <t>Flat 5, Dibdin House, Maida Vale, W9 1QE</t>
  </si>
  <si>
    <t>Flat 6, Dibdin House, Maida Vale, W9 1QE</t>
  </si>
  <si>
    <t>Flat 7, Dibdin House, Maida Vale, W9 1QE</t>
  </si>
  <si>
    <t>Flat 8, Dibdin House, Maida Vale, W9 1QE</t>
  </si>
  <si>
    <t>Flat 9, Dibdin House, Maida Vale, W9 1QE</t>
  </si>
  <si>
    <t>Flat 13, Dibdin House, Maida Vale, W9 1QE</t>
  </si>
  <si>
    <t>Flat 15, Dibdin House, Maida Vale, W9 1QE</t>
  </si>
  <si>
    <t>Flat 16, Dibdin House, Maida Vale, W9 1QE</t>
  </si>
  <si>
    <t>Flat 20, Dibdin House, Maida Vale, W9 1QE</t>
  </si>
  <si>
    <t>Flat 21, Dibdin House, Maida Vale, W9 1QE</t>
  </si>
  <si>
    <t>Flat 23, Dibdin House, Maida Vale, W9 1QE</t>
  </si>
  <si>
    <t>Flat 24, Dibdin House, Maida Vale, W9 1QE</t>
  </si>
  <si>
    <t>Flat 28, Dibdin House, Maida Vale, W9 1QE</t>
  </si>
  <si>
    <t>Flat 30, Dibdin House, Maida Vale, W9 1QE</t>
  </si>
  <si>
    <t>Flat 31, Dibdin House, Maida Vale, W9 1QE</t>
  </si>
  <si>
    <t>Flat 33, Dibdin House, Maida Vale, W9 1QE</t>
  </si>
  <si>
    <t>Flat 34, Dibdin House, Maida Vale, W9 1QE</t>
  </si>
  <si>
    <t>Flat 37, Dibdin House, Maida Vale, W9 1QE</t>
  </si>
  <si>
    <t>Flat 38, Dibdin House, Maida Vale, W9 1QE</t>
  </si>
  <si>
    <t>Flat 42, Dibdin House, Maida Vale, W9 1QE</t>
  </si>
  <si>
    <t>Flat 44, Dibdin House, Maida Vale, W9 1QE</t>
  </si>
  <si>
    <t>Flat 46, Dibdin House, Maida Vale, W9 1QE</t>
  </si>
  <si>
    <t>Flat 48, Dibdin House, Maida Vale, W9 1QE</t>
  </si>
  <si>
    <t>Flat 53, Dibdin House, Maida Vale, W9 1QE</t>
  </si>
  <si>
    <t>Flat 54, Dibdin House, Maida Vale, W9 1QE</t>
  </si>
  <si>
    <t>Flat 57, Dibdin House, Maida Vale, W9 1QE</t>
  </si>
  <si>
    <t>Flat 58, Dibdin House, Maida Vale, W9 1QE</t>
  </si>
  <si>
    <t>Flat 59, Dibdin House, Maida Vale, W9 1QE</t>
  </si>
  <si>
    <t>Flat 62, Dibdin House, Maida Vale, W9 1QF</t>
  </si>
  <si>
    <t>Flat 63, Dibdin House, Maida Vale, W9 1QE</t>
  </si>
  <si>
    <t>Flat 64, Dibdin House, Maida Vale, W9 1QE</t>
  </si>
  <si>
    <t>Flat 65, Dibdin House, Maida Vale, W9 1QE</t>
  </si>
  <si>
    <t>Flat 66, Dibdin House, Maida Vale, W9 1QF</t>
  </si>
  <si>
    <t>Flat 67, Dibdin House, Maida Vale, W9 1QF</t>
  </si>
  <si>
    <t>Flat 68, Dibdin House, Maida Vale, W9 1QF</t>
  </si>
  <si>
    <t>Flat 70, Dibdin House, Maida Vale, W9 1QF</t>
  </si>
  <si>
    <t>Flat 72, Dibdin House, Maida Vale, W9 1QF</t>
  </si>
  <si>
    <t>Flat 73, Dibdin House, Maida Vale, W9 1QF</t>
  </si>
  <si>
    <t>Flat 74, Dibdin House, Maida Vale, W9 1QF</t>
  </si>
  <si>
    <t>Flat 75, Dibdin House, Maida Vale, W9 1QF</t>
  </si>
  <si>
    <t>Flat 76, Dibdin House, Maida Vale, W9 1QF</t>
  </si>
  <si>
    <t>Flat 78, Dibdin House, Maida Vale, W9 1QF</t>
  </si>
  <si>
    <t>Flat 79, Dibdin House, Maida Vale, W9 1QF</t>
  </si>
  <si>
    <t>Flat 80, Dibdin House, Maida Vale, W9 1QF</t>
  </si>
  <si>
    <t>Flat 81, Dibdin House, Maida Vale, W9 1QF</t>
  </si>
  <si>
    <t>Flat 85, Dibdin House, Maida Vale, W9 1QF</t>
  </si>
  <si>
    <t>Flat 86, Dibdin House, Maida Vale, W9 1QF</t>
  </si>
  <si>
    <t>Flat 90, Dibdin House, Maida Vale, W9 1QF</t>
  </si>
  <si>
    <t>Flat 91, Dibdin House, Maida Vale, W9 1QF</t>
  </si>
  <si>
    <t>Flat 92, Dibdin House, Maida Vale, W9 1QF</t>
  </si>
  <si>
    <t>Flat 94, Dibdin House, Maida Vale, W9 1QF</t>
  </si>
  <si>
    <t>Flat 96, Dibdin House, Maida Vale, W9 1QF</t>
  </si>
  <si>
    <t>Flat 97, Dibdin House, Maida Vale, W9 1QF</t>
  </si>
  <si>
    <t>Flat 98, Dibdin House, Maida Vale, W9 1QF</t>
  </si>
  <si>
    <t>Flat 99, Dibdin House, Maida Vale, W9 1QF</t>
  </si>
  <si>
    <t>Flat 101, Dibdin House, Maida Vale, W9 1QF</t>
  </si>
  <si>
    <t>Flat 104, Dibdin House, Maida Vale, W9 1QF</t>
  </si>
  <si>
    <t>Flat 105, Dibdin House, Maida Vale, W9 1QF</t>
  </si>
  <si>
    <t>Flat 106, Dibdin House, Maida Vale, W9 1QF</t>
  </si>
  <si>
    <t>Flat 107, Dibdin House, Maida Vale, W9 1QF</t>
  </si>
  <si>
    <t>Flat 108, Dibdin House, Maida Vale, W9 1QF</t>
  </si>
  <si>
    <t>Flat 110, Dibdin House, Maida Vale, W9 1QF</t>
  </si>
  <si>
    <t>Flat 112, Dibdin House, Maida Vale, W9 1QF</t>
  </si>
  <si>
    <t>Flat 113, Dibdin House, Maida Vale, W9 1QF</t>
  </si>
  <si>
    <t>Flat 114, Dibdin House, Maida Vale, W9 1QF</t>
  </si>
  <si>
    <t>Flat 115, Dibdin House, Maida Vale, W9 1QF</t>
  </si>
  <si>
    <t>Flat 116, Dibdin House, Maida Vale, W9 1QF</t>
  </si>
  <si>
    <t>For Sale</t>
  </si>
  <si>
    <t>Flat 118, Dibdin House, Maida Vale, W9 1QF</t>
  </si>
  <si>
    <t>Flat 119, Dibdin House, Maida Vale, W9 1QF</t>
  </si>
  <si>
    <t>Flat 120, Dibdin House, Maida Vale, W9 1QF</t>
  </si>
  <si>
    <t>Flat 121, Dibdin House, Maida Vale, W9 1QF</t>
  </si>
  <si>
    <t>Flat 122, Dibdin House, Maida Vale, W9 1QG</t>
  </si>
  <si>
    <t>Flat 127, Dibdin House, Maida Vale, W9 1QG</t>
  </si>
  <si>
    <t>Flat 129, Dibdin House, Maida Vale, W9 1QG</t>
  </si>
  <si>
    <t>Flat 130, Dibdin House, Maida Vale, W9 1QG</t>
  </si>
  <si>
    <t>Flat 131, Dibdin House, Maida Vale, W9 1QG</t>
  </si>
  <si>
    <t>Flat 132, Dibdin House, Maida Vale, W9 1QG</t>
  </si>
  <si>
    <t>Flat 134, Dibdin House, Maida Vale, W9 1QG</t>
  </si>
  <si>
    <t>Flat 135, Dibdin House, Maida Vale, W9 1QG</t>
  </si>
  <si>
    <t>Flat 137, Dibdin House, Maida Vale, W9 1QG</t>
  </si>
  <si>
    <t>Flat 138, Dibdin House, Maida Vale, W9 1QG</t>
  </si>
  <si>
    <t>Flat 139, Dibdin House, Maida Vale, W9 1QG</t>
  </si>
  <si>
    <t>Flat 140, Dibdin House, Maida Vale, W9 1QG</t>
  </si>
  <si>
    <t>Flat 141, Dibdin House, Maida Vale, W9 1QG</t>
  </si>
  <si>
    <t>Flat 142, Dibdin House, Maida Vale, W9 1QG</t>
  </si>
  <si>
    <t>Flat 144, Dibdin House, Maida Vale, W9 1QG</t>
  </si>
  <si>
    <t>Flat 145, Dibdin House, Maida Vale, W9 1QG</t>
  </si>
  <si>
    <t>Flat 146, Dibdin House, Maida Vale, W9 1QG</t>
  </si>
  <si>
    <t>Flat 147, Dibdin House, Maida Vale, W9 1QG</t>
  </si>
  <si>
    <t>Flat 149, Dibdin House, Maida Vale, W9 1QG</t>
  </si>
  <si>
    <t>Flat 152, Dibdin House, Maida Vale, W9 1QG</t>
  </si>
  <si>
    <t>Flat 155, Dibdin House, Maida Vale, W9 1QG</t>
  </si>
  <si>
    <t>Flat 159, Dibdin House, Maida Vale, W9 1QG</t>
  </si>
  <si>
    <t>Flat 162, Dibdin House, Maida Vale, W9 1QQ</t>
  </si>
  <si>
    <t>Flat 164, Dibdin House, Maida Vale, W9 1QQ</t>
  </si>
  <si>
    <t>Flat 165, Dibdin House, Maida Vale, W9 1QQ</t>
  </si>
  <si>
    <t>Flat 168, Dibdin House, Maida Vale, W9 1QQ</t>
  </si>
  <si>
    <t>Flat 169, Dibdin House, Maida Vale, W9 1QQ</t>
  </si>
  <si>
    <t>Flat 173, Dibdin House, Maida Vale, W9 1QQ</t>
  </si>
  <si>
    <t>Flat 175, Dibdin House, Maida Vale, W9 1QQ</t>
  </si>
  <si>
    <t>Flat 178, Dibdin House, Maida Vale, W9 1QQ</t>
  </si>
  <si>
    <t>Flat  188a, Dibdin House, Maida Vale, W9 1QQ</t>
  </si>
  <si>
    <t>Flat 189, Dibdin House, Maida Vale, W9 1QQ</t>
  </si>
  <si>
    <t>Flat 191, Dibdin House, Maida Vale, W9 1QQ</t>
  </si>
  <si>
    <t>Flat 192, Dibdin House, Maida Vale, W9 1QQ</t>
  </si>
  <si>
    <t>Flat 193, Dibdin House, Maida Vale, W9 1QQ</t>
  </si>
  <si>
    <t>Flat 198, Dibdin House, Maida Vale, W9 1QQ</t>
  </si>
  <si>
    <t>Flat 202, Dibdin House, Maida Vale, W9 1QQ</t>
  </si>
  <si>
    <t>Flat 203, Dibdin House, Maida Vale, W9 1QQ</t>
  </si>
  <si>
    <t>Flat 204, Dibdin House, Maida Vale, W9 1QQ</t>
  </si>
  <si>
    <t>Flat 206, Dibdin House, Maida Vale, W9 1QQ</t>
  </si>
  <si>
    <t>Flat 207, Dibdin House, Maida Vale, W9 1QQ</t>
  </si>
  <si>
    <t>Flat 209, Dibdin House, Maida Vale, W9 1QH</t>
  </si>
  <si>
    <t>Flat 212, Dibdin House, Maida Vale, W9 1QH</t>
  </si>
  <si>
    <t>Flat 215, Dibdin House, Maida Vale, W9 1QH</t>
  </si>
  <si>
    <t>Flat 217, Dibdin House, Maida Vale, W9 1QH</t>
  </si>
  <si>
    <t>Flat 220, Dibdin House, Maida Vale, W9 1QH</t>
  </si>
  <si>
    <t>Flat 223, Dibdin House, Maida Vale, W9 1QH</t>
  </si>
  <si>
    <t>Flat 224, Dibdin House, Maida Vale, W9 1QH</t>
  </si>
  <si>
    <t>Flat 225, Dibdin House, Maida Vale, W9 1QH</t>
  </si>
  <si>
    <t>Flat 227, Dibdin House, Maida Vale, W9 1QH</t>
  </si>
  <si>
    <t>Flat 231, Dibdin House, Maida Vale, W9 1QH</t>
  </si>
  <si>
    <t>Flat 233, Dibdin House, Maida Vale, W9 1QH</t>
  </si>
  <si>
    <t>Dibdin House, Basement, London, W9</t>
  </si>
  <si>
    <t>Shed 1, Dibdin Hse , Andover Place, W9 1QE</t>
  </si>
  <si>
    <t>Shed 2, Dibdin Hse , Andover Place, W9 1QE</t>
  </si>
  <si>
    <t>Shed 3, Dibdin Hse , Andover Place, W9 1QE</t>
  </si>
  <si>
    <t>Shed 4, Dibdin Hse , Andover Place, W9 1QE</t>
  </si>
  <si>
    <t>Shed 5, Dibdin Hse , Andover Place, W9 1QE</t>
  </si>
  <si>
    <t>Shed 6, Dibdin Hse , Andover Place, W9 1QE</t>
  </si>
  <si>
    <t>Shed 7, Dibdin Hse , Andover Place, W9 1QE</t>
  </si>
  <si>
    <t>Shed 8, Dibdin Hse , Andover Place, W9 1QE</t>
  </si>
  <si>
    <t>Shed 9, Dibdin Hse , Andover Place, W9 1QE</t>
  </si>
  <si>
    <t>Shed 10, Dibdin Hse , Andover Place, W9 1QE</t>
  </si>
  <si>
    <t>Shed 11, Dibdin Hse , Andover Place, W9 1QE</t>
  </si>
  <si>
    <t>Shed 12, Dibdin Hse , Andover Place, W9 1QE</t>
  </si>
  <si>
    <t>Shed 13, Dibdin Hse , Andover Place, W9 1QE</t>
  </si>
  <si>
    <t>Shed 14, Dibdin Hse , Andover Place, W9 1QE</t>
  </si>
  <si>
    <t>Shed 15, Dibdin Hse , Andover Place, W9 1QE</t>
  </si>
  <si>
    <t>Shed 16, Dibdin Hse , Andover Place, W9 1QE</t>
  </si>
  <si>
    <t>Shed 17, Dibdin Hse , Andover Place, W9 1QE</t>
  </si>
  <si>
    <t>Shed 18, Dibdin Hse , Andover Place, W9 1QE</t>
  </si>
  <si>
    <t>Shed 19, Dibdin Hse , Andover Place, W9 1QE</t>
  </si>
  <si>
    <t>Shed 20, Dibdin Hse , Andover Place, W9 1QE</t>
  </si>
  <si>
    <t>Shed 21, Dibdin Hse , Andover Place, W9 1QE</t>
  </si>
  <si>
    <t>Shed 22, Dibdin Hse , Andover Place, W9 1QE</t>
  </si>
  <si>
    <t>Shed 23, Dibdin Hse , Andover Place, W9 1QE</t>
  </si>
  <si>
    <t>Shed 24, Dibdin Hse , Andover Place, W9 1QE</t>
  </si>
  <si>
    <t>Shed 25, Dibdin Hse , Andover Place, W9 1QE</t>
  </si>
  <si>
    <t>Shed 26, Dibdin Hse , Andover Place, W9 1QE</t>
  </si>
  <si>
    <t>Shed 27, Dibdin Hse , Andover Place, W9 1QE</t>
  </si>
  <si>
    <t>Shed 28, Dibdin Hse , Andover Place, W9 1QE</t>
  </si>
  <si>
    <t>Shed 29, Dibdin Hse , Andover Place, W9 1QE</t>
  </si>
  <si>
    <t>Shed 30, Dibdin Hse , Andover Place, W9 1QE</t>
  </si>
  <si>
    <t>Shed 31, Dibdin Hse , Andover Place, W9 1QE</t>
  </si>
  <si>
    <t>Shed 32, Dibdin Hse , Andover Place, W9 1QE</t>
  </si>
  <si>
    <t>Shed 33, Dibdin Hse , Andover Place, W9 1QE</t>
  </si>
  <si>
    <t>Shed 34, Dibdin Hse , Andover Place, W9 1QE</t>
  </si>
  <si>
    <t>Shed 35, Dibdin Hse , Andover Place, W9 1QE</t>
  </si>
  <si>
    <t>Shed 36, Dibdin Hse , Andover Place, W9 1QE</t>
  </si>
  <si>
    <t>Shed 37, Dibdin Hse , Andover Place, W9 1QE</t>
  </si>
  <si>
    <t>Shed 38, Dibdin Hse , Andover Place, W9 1QE</t>
  </si>
  <si>
    <t>Shed 39, Dibdin Hse , Andover Place, W9 1QE</t>
  </si>
  <si>
    <t>Shed 40, Dibdin Hse , Andover Place, W9 1QE</t>
  </si>
  <si>
    <t>Shed 41, Dibdin Hse , Andover Place, W9 1QE</t>
  </si>
  <si>
    <t>Shed 42, Dibdin Hse , Andover Place, W9 1QE</t>
  </si>
  <si>
    <t>Shed 43, Dibdin Hse , Andover Place, W9 1QE</t>
  </si>
  <si>
    <t>Shed 44, Dibdin Hse , Andover Place, W9 1QE</t>
  </si>
  <si>
    <t>Shed 45, Dibdin Hse , Andover Place, W9 1QE</t>
  </si>
  <si>
    <t>Shed 46, Dibdin Hse , Andover Place, W9 1QE</t>
  </si>
  <si>
    <t>Shed 47, Dibdin Hse , Andover Place, W9 1QE</t>
  </si>
  <si>
    <t>Shed 48, Dibdin Hse , Andover Place, W9 1QE</t>
  </si>
  <si>
    <t>Shed 49, Dibdin Hse , Andover Place, W9 1QE</t>
  </si>
  <si>
    <t>Shed 50, Dibdin Hse , Andover Place, W9 1QE</t>
  </si>
  <si>
    <t>Shed 51, Dibdin Hse , Andover Place, W9 1QE</t>
  </si>
  <si>
    <t>Shed 52, Dibdin Hse , Andover Place, W9 1QE</t>
  </si>
  <si>
    <t>Shed 53, Dibdin Hse , Andover Place, W9 1QE</t>
  </si>
  <si>
    <t>Shed 54, Dibdin Hse , Andover Place, W9 1QE</t>
  </si>
  <si>
    <t>Shed 55, Dibdin Hse , Andover Place, W9 1QE</t>
  </si>
  <si>
    <t>Shed 56, Dibdin Hse , Andover Place, W9 1QE</t>
  </si>
  <si>
    <t>Shed 57, Dibdin Hse , Andover Place, W9 1QE</t>
  </si>
  <si>
    <t>Shed 58, Dibdin Hse , Andover Place, W9 1QE</t>
  </si>
  <si>
    <t>Shed 59, Dibdin Hse , Andover Place, W9 1QE</t>
  </si>
  <si>
    <t>Shed 60, Dibdin Hse , Andover Place, W9 1QE</t>
  </si>
  <si>
    <t>Shed 61, Dibdin Hse , Andover Place, W9 1QE</t>
  </si>
  <si>
    <t>Shed 62, Dibdin Hse , Andover Place, W9 1QE</t>
  </si>
  <si>
    <t>Shed 63, Dibdin Hse , Andover Place, W9 1QE</t>
  </si>
  <si>
    <t>Shed 64, Dibdin Hse , Andover Place, W9 1QE</t>
  </si>
  <si>
    <t>Shed 65, Dibdin Hse , Andover Place, W9 1QE</t>
  </si>
  <si>
    <t>Shed 66, Dibdin Hse , Andover Place, W9 1QE</t>
  </si>
  <si>
    <t>Shed 67, Dibdin Hse , Andover Place, W9 1QE</t>
  </si>
  <si>
    <t>Shed 68, Dibdin Hse , Andover Place, W9 1QE</t>
  </si>
  <si>
    <t>Shed 69, Dibdin Hse , Andover Place, W9 1QE</t>
  </si>
  <si>
    <t>Shed 70, Dibdin Hse , Andover Place, W9 1QE</t>
  </si>
  <si>
    <t>Shed 71, Dibdin Hse , Andover Place, W9 1QE</t>
  </si>
  <si>
    <t>Shed 72, Dibdin Hse , Andover Place, W9 1QE</t>
  </si>
  <si>
    <t>Shed 73, Dibdin Hse , Andover Place, W9 1QE</t>
  </si>
  <si>
    <t>Shed 74, Dibdin Hse , Andover Place, W9 1QE</t>
  </si>
  <si>
    <t>Shed 75, Dibdin Hse , Andover Place, W9 1QE</t>
  </si>
  <si>
    <t>Shed 76, Dibdin Hse , Andover Place, W9 1QE</t>
  </si>
  <si>
    <t>Shed 77, Dibdin Hse , Andover Place, W9 1QE</t>
  </si>
  <si>
    <t>Shed 78, Dibdin Hse , Andover Place, W9 1QE</t>
  </si>
  <si>
    <t>Shed 79, Dibdin Hse , Andover Place, W9 1QE</t>
  </si>
  <si>
    <t>Shed 80, Dibdin Hse , Andover Place, W9 1QE</t>
  </si>
  <si>
    <t>Shed 81, Dibdin Hse , Andover Place, W9 1QE</t>
  </si>
  <si>
    <t>Shed 82, Dibdin Hse , Andover Place, W9 1QE</t>
  </si>
  <si>
    <t>Shed 83, Dibdin Hse , Andover Place, W9 1QE</t>
  </si>
  <si>
    <t>Shed 84, Dibdin Hse , Andover Place, W9 1QE</t>
  </si>
  <si>
    <t>Shed 85, Dibdin Hse , Andover Place, W9 1QE</t>
  </si>
  <si>
    <t>Shed 86, Dibdin Hse , Andover Place, W9 1QE</t>
  </si>
  <si>
    <t>Shed 87, Dibdin Hse , Andover Place, W9 1QE</t>
  </si>
  <si>
    <t>Shed 88, Dibdin Hse , Andover Place, W9 1QE</t>
  </si>
  <si>
    <t>Shed 89, Dibdin Hse , Andover Place, W9 1QE</t>
  </si>
  <si>
    <t>Shed 90, Dibdin Hse , Andover Place, W9 1QE</t>
  </si>
  <si>
    <t>Shed 91, Dibdin Hse , Andover Place, W9 1QE</t>
  </si>
  <si>
    <t>Shed 92, Dibdin Hse , Andover Place, W9 1QE</t>
  </si>
  <si>
    <t>Shed 93, Dibdin Hse , Andover Place, W9 1QE</t>
  </si>
  <si>
    <t>Shed 94, Dibdin Hse , Andover Place, W9 1QE</t>
  </si>
  <si>
    <t>Shed 95, Dibdin Hse , Andover Place, W9 1QE</t>
  </si>
  <si>
    <t>Shed 96, Dibdin Hse , Andover Place, W9 1QE</t>
  </si>
  <si>
    <t>Shed 97, Dibdin Hse , Andover Place, W9 1QE</t>
  </si>
  <si>
    <t>Shed 98, Dibdin Hse , Andover Place, W9 1QE</t>
  </si>
  <si>
    <t>Shed 99, Dibdin Hse , Andover Place, W9 1QE</t>
  </si>
  <si>
    <t>Shed 100, Dibdin Hse , Andover Place, W9 1QE</t>
  </si>
  <si>
    <t>Shed 101, Dibdin Hse , Andover Place, W9 1QE</t>
  </si>
  <si>
    <t>Shed 102, Dibdin Hse , Andover Place, W9 1QE</t>
  </si>
  <si>
    <t>Shed 103, Dibdin Hse , Andover Place, W9 1QE</t>
  </si>
  <si>
    <t>Shed 104, Dibdin Hse , Andover Place, W9 1QE</t>
  </si>
  <si>
    <t>Shed 105, Dibdin Hse , Andover Place, W9 1QE</t>
  </si>
  <si>
    <t>Shed 106, Dibdin Hse , Andover Place, W9 1QE</t>
  </si>
  <si>
    <t>Shed 111, Dibdin Hse , Andover Place, W9 1QE</t>
  </si>
  <si>
    <t>Shed 202, Dibdin Hse , Andover Place, W9 1QE</t>
  </si>
  <si>
    <t>Parking Bay 1, Dibdin Hse, Maida Vale, W9 1QE</t>
  </si>
  <si>
    <t>ParkingSpac</t>
  </si>
  <si>
    <t>Parking Bay 2, Dibdin Hse, Maida Vale, W9 1QE</t>
  </si>
  <si>
    <t>Parking Bay 3, Dibdin Hse, Maida Vale, W9 1QE</t>
  </si>
  <si>
    <t>Parking Bay 4, Dibdin Hse, Maida Vale, W9 1QE</t>
  </si>
  <si>
    <t>Parking Bay 5, Dibdin Hse, Maida Vale, W9 1QE</t>
  </si>
  <si>
    <t>Shed 107, Dibdin Hse , Andover Place, W9 1QE</t>
  </si>
  <si>
    <t>Hall, Dibdin Hse, Maida Vale,W9 1QF</t>
  </si>
  <si>
    <t>Non Lettable</t>
  </si>
  <si>
    <t>Dibdin House (DO NOT USE)</t>
  </si>
  <si>
    <t>Flat 1, Dibdin House, Maida Vale, W9 1QE</t>
  </si>
  <si>
    <t>Flat 10, Dibdin House, Maida Vale, W9 1QE</t>
  </si>
  <si>
    <t>Flat 11, Dibdin House, Maida Vale, W9 1QE</t>
  </si>
  <si>
    <t>Flat 12 , Dibdin House, W9 1QE</t>
  </si>
  <si>
    <t>Flat 14, Dibdin House, Maida Vale, W9 1QE</t>
  </si>
  <si>
    <t>Flat 17, Dibdin House, Maida Vale, W9 1QE</t>
  </si>
  <si>
    <t>Flat 18, Dibdin House, Maida Vale, W9 1QE</t>
  </si>
  <si>
    <t>Flat 19, Dibdin House, Maida Vale, W9 1QE</t>
  </si>
  <si>
    <t>Flat 22, Dibdin House, Maida Vale, W9 1QE</t>
  </si>
  <si>
    <t>Flat 25, Dibdin House, Maida Vale, W9 1QE</t>
  </si>
  <si>
    <t>Flat 26, Dibdin House, Maida Vale, W9 1QE</t>
  </si>
  <si>
    <t>Flat 27, Dibdin House, Maida Vale, W9 1QE</t>
  </si>
  <si>
    <t>Flat 29, Dibdin House, Maida Vale, W9 1QE</t>
  </si>
  <si>
    <t>Flat 32, Dibdin House, Maida Vale, W9 1QE</t>
  </si>
  <si>
    <t>Flat 35, Dibdin House, Maida Vale, W9 1QE</t>
  </si>
  <si>
    <t>Flat 36, Dibdin House, Maida Vale, W9 1QE</t>
  </si>
  <si>
    <t>Flat 39, Dibdin House, Maida Vale, W9 1QE</t>
  </si>
  <si>
    <t>Flat 40, Dibdin House, Maida Vale, W9 1QE</t>
  </si>
  <si>
    <t>Flat 41, Dibdin House, Maida Vale, W9 1QE</t>
  </si>
  <si>
    <t>Flat 43, Dibdin House, Maida Vale, W9 1QE</t>
  </si>
  <si>
    <t>Flat 45, Dibdin House, Maida Vale, W9 1QE</t>
  </si>
  <si>
    <t>Flat 47, Dibdin House, Maida Vale, W9 1QE</t>
  </si>
  <si>
    <t>Flat 49, Dibdin House, Maida Vale, W9 1QE</t>
  </si>
  <si>
    <t>Flat 50, Dibdin House, Maida Vale, W9 1QE</t>
  </si>
  <si>
    <t>Flat 51, Dibdin House, Maida Vale, W9 1QE</t>
  </si>
  <si>
    <t>Flat 52, Dibdin House, Maida Vale, W9 1QE</t>
  </si>
  <si>
    <t>Flat 55, Dibdin House, Maida Vale, W9 1QE</t>
  </si>
  <si>
    <t>Flat 56, Dibdin House, Maida Vale, W9 1QE</t>
  </si>
  <si>
    <t>Flat 60, Dibdin House, Maida Vale, W9 1QF</t>
  </si>
  <si>
    <t>Flat 61, Dibdin House, Maida Vale, W9 1QF</t>
  </si>
  <si>
    <t>Flat 69, Dibdin House, Maida Vale, W9 1QF</t>
  </si>
  <si>
    <t>Flat 71, Dibdin House, Maida Vale, W9 1QF</t>
  </si>
  <si>
    <t>Flat 77, Dibdin House, Maida Vale, W9 1QF</t>
  </si>
  <si>
    <t>Flat 82, Dibdin House, Maida Vale, W9 1QF</t>
  </si>
  <si>
    <t>Flat 83, Dibdin House, Maida Vale, W9 1QF</t>
  </si>
  <si>
    <t>Flat 84, Dibdin House, Maida Vale, W9 1QF</t>
  </si>
  <si>
    <t>Flat 87, Dibdin House, Maida Vale, W9 1QF</t>
  </si>
  <si>
    <t>Flat 88, Dibdin House, Maida Vale, W9 1QF</t>
  </si>
  <si>
    <t>Flat 89, Dibdin House, Maida Vale, W9 1QF</t>
  </si>
  <si>
    <t>Flat 93, Dibdin House, Maida Vale, W9 1QF</t>
  </si>
  <si>
    <t>Flat 95, Dibdin House, Maida Vale, W9 1QF</t>
  </si>
  <si>
    <t>Flat 100, Dibdin House, Maida Vale, W9 1QF</t>
  </si>
  <si>
    <t>Flat 102, Dibdin House, Maida Vale, W9 1QF</t>
  </si>
  <si>
    <t>Flat 103, Dibdin House, Maida Vale, W9 1QF</t>
  </si>
  <si>
    <t>Flat 109, Dibdin House, Maida Vale, W9 1QF</t>
  </si>
  <si>
    <t>Flat 111, Dibdin House, Maida Vale, W9 1QF</t>
  </si>
  <si>
    <t>Flat 117, Dibdin House, Maida Vale, W9 1QF</t>
  </si>
  <si>
    <t>Flat 123, Dibdin House, Maida Vale, W9 1QG</t>
  </si>
  <si>
    <t>Flat 124, Dibdin House, Maida Vale, W9 1QG</t>
  </si>
  <si>
    <t>Flat 125, Dibdin House, Maida Vale, W9 1QG</t>
  </si>
  <si>
    <t>Flat 126, Dibdin House, Maida Vale, W9 1QG</t>
  </si>
  <si>
    <t>Flat 128, Dibdin House, Maida Vale, W9 1QG</t>
  </si>
  <si>
    <t>Flat 133, Dibdin House, Maida Vale, W9 1QG</t>
  </si>
  <si>
    <t>Flat 136, Dibdin House, Maida Vale, W9 1QG</t>
  </si>
  <si>
    <t>Flat 143, Dibdin House, Maida Vale, W9 1QG</t>
  </si>
  <si>
    <t>Flat 148, Dibdin House, Maida Vale, W9 1QG</t>
  </si>
  <si>
    <t>Flat 150, Dibdin House, Maida Vale, W9 1QG</t>
  </si>
  <si>
    <t>Flat 151, Dibdin House, Maida Vale, W9 1QG</t>
  </si>
  <si>
    <t>Flat 153, Dibdin House, Maida Vale, W9 1QG</t>
  </si>
  <si>
    <t>Flat 154, Dibdin House, Maida Vale, W9 1QG</t>
  </si>
  <si>
    <t>Flat 156, Dibdin House, Maida Vale, W9 1QG</t>
  </si>
  <si>
    <t>Flat 157, Dibdin House, Maida Vale, W9 1QG</t>
  </si>
  <si>
    <t>Flat 158, Dibdin House, Maida Vale, W9 1QG</t>
  </si>
  <si>
    <t>Flat 160, Dibdin House, Maida Vale, W9 1QG</t>
  </si>
  <si>
    <t>Flat 161, Dibdin House, Maida Vale, W9 1QQ</t>
  </si>
  <si>
    <t>Flat 163, Dibdin House, Maida Vale, W9 1QQ</t>
  </si>
  <si>
    <t>Flat 166, Dibdin House, Maida Vale, W9 1QQ</t>
  </si>
  <si>
    <t>Flat 167, Dibdin House, Maida Vale, W9 1QQ</t>
  </si>
  <si>
    <t>Flat 170, Dibdin House, Maida Vale, W9 1QQ</t>
  </si>
  <si>
    <t>Flat 171, Dibdin House, Maida Vale, W9 1QQ</t>
  </si>
  <si>
    <t>Flat 172, Dibdin House, Maida Vale, W9 1QQ</t>
  </si>
  <si>
    <t>Flat 174, Dibdin House, Maida Vale, W9 1QQ</t>
  </si>
  <si>
    <t>Flat 176, Dibdin House, Maida Vale, W9 1QQ</t>
  </si>
  <si>
    <t>Flat 177, Dibdin House, Maida Vale, W9 1QQ</t>
  </si>
  <si>
    <t>Flat 179, Dibdin House, Maida Vale, W9 1QQ</t>
  </si>
  <si>
    <t>Flat 180, Dibdin House, Maida Vale, W9 1QQ</t>
  </si>
  <si>
    <t>Flat 181, Dibdin House, Maida Vale, W9 1QQ</t>
  </si>
  <si>
    <t>Flat 182, Dibdin House, Maida Vale, W9 1QQ</t>
  </si>
  <si>
    <t>Flat 183, Dibdin House, Maida Vale, W9 1QQ</t>
  </si>
  <si>
    <t>Flat 184, Dibdin House, Maida Vale, W9 1QQ</t>
  </si>
  <si>
    <t>Flat 185, Dibdin House, Maida Vale, W9 1QQ</t>
  </si>
  <si>
    <t>Flat 186, Dibdin House, Maida Vale, W9 1QQ</t>
  </si>
  <si>
    <t>Flat 187, Dibdin House, Maida Vale, W9 1QQ</t>
  </si>
  <si>
    <t>Flat 188, Dibdin House, Maida Vale, W9 1QQ</t>
  </si>
  <si>
    <t>Flat 190, Dibdin House, Maida Vale, W9 1QQ</t>
  </si>
  <si>
    <t>Flat 194, Dibdin House, Maida Vale, W9 1QQ</t>
  </si>
  <si>
    <t>Flat 195, Dibdin House, Maida Vale, W9 1QQ</t>
  </si>
  <si>
    <t>Flat 196, Dibdin House, Maida Vale, W9 1QQ</t>
  </si>
  <si>
    <t>Flat 197, Dibdin House, Maida Vale, W9 1QQ</t>
  </si>
  <si>
    <t>Flat 199, Dibdin House, Maida Vale, W9 1QQ</t>
  </si>
  <si>
    <t>Flat 200, Dibdin House, Maida Vale, W9 1QQ</t>
  </si>
  <si>
    <t>Flat 201, Dibdin House, Maida Vale, W9 1QQ</t>
  </si>
  <si>
    <t>Flat  201a, Dibdin House, Maida Vale, W9 1QQ</t>
  </si>
  <si>
    <t>Flat 202a, Dibdin House, Maida Vale, W9 1QQ</t>
  </si>
  <si>
    <t>Flat 205, Dibdin House, Maida Vale, W9 1QQ</t>
  </si>
  <si>
    <t>Flat 208, Dibdin House, Maida Vale, W9 1QQ</t>
  </si>
  <si>
    <t>Flat 210, Dibdin House, Maida Vale, W9 1QH</t>
  </si>
  <si>
    <t>Flat 211, Dibdin House, Maida Vale, W9 1QH</t>
  </si>
  <si>
    <t>Flat 213, Dibdin House, Maida Vale, W9 1QH</t>
  </si>
  <si>
    <t>Flat 214, Dibdin House, Maida Vale, W9 1QH</t>
  </si>
  <si>
    <t>Flat 216, Dibdin House, Maida Vale, W9 1QH</t>
  </si>
  <si>
    <t>Flat 218, Dibdin House, Maida Vale, W9 1QH</t>
  </si>
  <si>
    <t>Flat 219, Dibdin House, Maida Vale, W9 1QH</t>
  </si>
  <si>
    <t>Flat 221, Dibdin House, Maida Vale, W9 1QH</t>
  </si>
  <si>
    <t>Flat 222, Dibdin House, Maida Vale, W9 1QH</t>
  </si>
  <si>
    <t>Flat 226, Dibdin House, Maida Vale, W9 1QH</t>
  </si>
  <si>
    <t>Flat 228, Dibdin House, Maida Vale, W9 1QH</t>
  </si>
  <si>
    <t>Flat 229, Dibdin House, Maida Vale, W9 1QH</t>
  </si>
  <si>
    <t>Flat 230, Dibdin House, Maida Vale, W9 1QH</t>
  </si>
  <si>
    <t>Flat 232, Dibdin House, Maida Vale, W9 1QH</t>
  </si>
  <si>
    <t>227 Maida Vale Bsmnt/Grnd/Gge</t>
  </si>
  <si>
    <t>229 Maida Vale Bsmnt/Grnd Flr</t>
  </si>
  <si>
    <t>231 Maida Vale Bsmnt/Grnd Flr</t>
  </si>
  <si>
    <t>233 Maida Vale Bsmnt/Grnd Flr</t>
  </si>
  <si>
    <t>235 Maida Vale Bsmnt/Grnd Flr</t>
  </si>
  <si>
    <t>237 Maida Vale Bsmnt/Grnd Flr</t>
  </si>
  <si>
    <t>239 Maida Vale joint lease 237 Maida</t>
  </si>
  <si>
    <t>241 Maida Vale Bsmnt/Grnd Flr</t>
  </si>
  <si>
    <t>243 Maida Vale Bsmnt/Grnd Flr</t>
  </si>
  <si>
    <t>245 Maida Vale Bsmnt/Grnd Flr</t>
  </si>
  <si>
    <t>Flat 1, Aldwyn Hse, Davidson Gardens, SW8 2HX</t>
  </si>
  <si>
    <t>Flat 2, Aldwyn Hse, Davidson Gardens, SW8 2HX</t>
  </si>
  <si>
    <t>Flat 3, Aldwyn Hse, Davidson Gardens, SW8 2HX</t>
  </si>
  <si>
    <t>Flat 4, Aldwyn Hse, Davidson Gardens, SW8 2HX</t>
  </si>
  <si>
    <t>Flat 5, Aldwyn Hse, Davidson Gardens, SW8 2HX</t>
  </si>
  <si>
    <t>Flat 6, Aldwyn Hse, Davidson Gardens, SW8 2HX</t>
  </si>
  <si>
    <t>Flat 7, Aldwyn Hse, Davidson Gardens, SW8 2HX</t>
  </si>
  <si>
    <t>Flat 8, Aldwyn Hse, Davidson Gardens, SW8 2HX</t>
  </si>
  <si>
    <t>Flat 9, Aldwyn Hse, Davidson Gardens, SW8 2HX</t>
  </si>
  <si>
    <t>Flat 10, Aldwyn Hse, Davidson Gdn, SW8 2HX</t>
  </si>
  <si>
    <t>Flat 11, Aldwyn Hse, Davidson Gdn, SW8 2HX</t>
  </si>
  <si>
    <t>Flat 12, Aldwyn Hse, Davidson Gdn, SW8 2HX</t>
  </si>
  <si>
    <t>Flat 13, Aldwyn Hse, Davidson Gdn, SW8 2HX</t>
  </si>
  <si>
    <t>Flat 14, Aldwyn Hse, Davidson Gdn, SW8 2HX</t>
  </si>
  <si>
    <t>Flat 15, Aldwyn Hse, Davidson Gdn, SW8 2HX</t>
  </si>
  <si>
    <t>Flat 16, Aldwyn Hse, Davidson Gdn, SW8 2HX</t>
  </si>
  <si>
    <t>Flat 1, Burden House, Thorncroft St, SW8 2BG</t>
  </si>
  <si>
    <t>Flat 2, Burden House, Thorncroft St, SW8 2BG</t>
  </si>
  <si>
    <t>Flat 3, Burden House, Thorncroft St, SW8 2BG</t>
  </si>
  <si>
    <t>Flat 4, Burden House, Thorncroft St, SW8 2BG</t>
  </si>
  <si>
    <t>Flat 5, Burden House, Thorncroft St, SW8 2BG</t>
  </si>
  <si>
    <t>Flat 6, Burden House, Thorncroft St, SW8 2BG</t>
  </si>
  <si>
    <t>Flat 7, Burden House, Thorncroft St, SW8 2BG</t>
  </si>
  <si>
    <t>Flat 8, Burden House, Thorncroft St, SW8 2BG</t>
  </si>
  <si>
    <t>Flat 9, Burden House, Thorncroft St, SW8 2BG</t>
  </si>
  <si>
    <t>Flat 10, Burden House, Thorncroft St, SW8 2BG</t>
  </si>
  <si>
    <t>Flat 11, Burden House, Thorncroft St, SW8 2BG</t>
  </si>
  <si>
    <t>Flat 12, Burden House, Thorncroft St, SW8 2BG</t>
  </si>
  <si>
    <t>Flat 13, Burden House, Thorncroft St, SW8 2BG</t>
  </si>
  <si>
    <t>Flat 14, Burden House, Thorncroft St, SW8 2BG</t>
  </si>
  <si>
    <t>Flat 15, Burden House, Thorncroft St, SW8 2BG</t>
  </si>
  <si>
    <t>Flat 16, Burden House, Thorncroft St, SW8 2BG</t>
  </si>
  <si>
    <t>Flat 17, Burden House, Thorncroft St, SW8 2BG</t>
  </si>
  <si>
    <t>Flat 18, Burden House, Thorncroft St, SW8 2BG</t>
  </si>
  <si>
    <t>Flat 19, Burden House, Thorncroft St, SW8 2BG</t>
  </si>
  <si>
    <t>Flat 20, Burden House, Thorncroft St, SW8 2BG</t>
  </si>
  <si>
    <t>Flat 21, Burden House, Thorncroft St, SW8 2BG</t>
  </si>
  <si>
    <t>Flat 22, Burden House, Thorncroft St, SW8 2BG</t>
  </si>
  <si>
    <t>Flat 23, Burden House, Thorncroft St, SW8 2BG</t>
  </si>
  <si>
    <t>Flat 24, Burden House, Thorncroft St, SW8 2BG</t>
  </si>
  <si>
    <t>Flat 25, Burden House, Thorncroft St, SW8 2BG</t>
  </si>
  <si>
    <t>Flat 26, Burden House, Thorncroft St, SW8 2BG</t>
  </si>
  <si>
    <t>Flat 27, Burden House, Thorncroft St, SW8 2BG</t>
  </si>
  <si>
    <t>Flat 28, Burden House, Thorncroft St, SW8 2BG</t>
  </si>
  <si>
    <t>Flat 29, Burden House, Thorncroft St, SW8 2BG</t>
  </si>
  <si>
    <t>Flat 30, Burden House, Thorncroft St, SW8 2BG</t>
  </si>
  <si>
    <t>Flat 31, Burden House, Thorncroft St, SW8 2BG</t>
  </si>
  <si>
    <t>Flat 32, Burden House, Thorncroft St, SW8 2BG</t>
  </si>
  <si>
    <t>Flat 33, Burden House, Thorncroft St, SW8 2BG</t>
  </si>
  <si>
    <t>Flat 34, Burden House, Thorncroft St, SW8 2BG</t>
  </si>
  <si>
    <t>Flat 35, Burden House, Thorncroft St, SW8 2BG</t>
  </si>
  <si>
    <t>Flat 36, Burden House, Thorncroft St, SW8 2BG</t>
  </si>
  <si>
    <t>Flat 1, Fosbrooke Hse, Davidson Gdn, SW8 2XH</t>
  </si>
  <si>
    <t>Flat 2, Fosbrooke Hse, Davidson Gdn, SW8 2XH</t>
  </si>
  <si>
    <t>Flat 3, Fosbrooke Hse, Davidson Gdn, SW8 2XH</t>
  </si>
  <si>
    <t>Flat 4, Fosbrooke Hse, Davidson Gdn, SW8 2XH</t>
  </si>
  <si>
    <t>Flat 5, Fosbrooke Hse, Davidson Gdn, SW8 2XH</t>
  </si>
  <si>
    <t>Flat 6, Fosbrooke Hse, Davidson Gdn, SW8 2XH</t>
  </si>
  <si>
    <t>Flat 7, Fosbrooke Hse, Davidson Gdn, SW8 2XH</t>
  </si>
  <si>
    <t>Flat 8, Fosbrooke Hse, Davidson Gdn, SW8 2XH</t>
  </si>
  <si>
    <t>Flat 9, Fosbrooke Hse, Davidson Gdn, SW8 2XH</t>
  </si>
  <si>
    <t>Flat 10, Fosbrooke Hse, Davidson Gdn, SW8 2XH</t>
  </si>
  <si>
    <t>Flat 11, Fosbrooke Hse, Davidson Gdn, SW8 2XH</t>
  </si>
  <si>
    <t>Flat 12, Fosbrooke Hse, Davidson Gdn, SW8 2XH</t>
  </si>
  <si>
    <t>Flat 13, Fosbrooke Hse, Davidson Gdn, SW8 2XH</t>
  </si>
  <si>
    <t>Flat 14, Fosbrooke Hse, Davidson Gdn, SW8 2XH</t>
  </si>
  <si>
    <t>Flat 15, Fosbrooke Hse, Davidson Gdn, SW8 2XH</t>
  </si>
  <si>
    <t>Flat 16, Fosbrooke Hse, Davidson Gdn, SW8 2XH</t>
  </si>
  <si>
    <t>Flat 17, Fosbrooke Hse, Davidson Gdn, SW8 2XH</t>
  </si>
  <si>
    <t>Flat 18, Fosbrooke Hse, Davidson Gdn, SW8 2XH</t>
  </si>
  <si>
    <t>Flat 19, Fosbrooke Hse, Davidson Gdn, SW8 2XH</t>
  </si>
  <si>
    <t>Flat 20, Fosbrooke Hse, Davidson Gdn, SW8 2XH</t>
  </si>
  <si>
    <t>Flat 21, Fosbrooke Hse, Davidson Gdn, SW8 2XH</t>
  </si>
  <si>
    <t>Flat 22, Fosbrooke Hse, Davidson Gdn, SW8 2XH</t>
  </si>
  <si>
    <t>Flat 23, Fosbrooke Hse, Davidson Gdn, SW8 2XH</t>
  </si>
  <si>
    <t>Flat 24, Fosbrooke Hse, Davidson Gdn, SW8 2XH</t>
  </si>
  <si>
    <t>i)</t>
  </si>
  <si>
    <t>j)</t>
  </si>
  <si>
    <t>Flat 1, Wilbraham Hse, Wandsworth Rd, SW8 2XD</t>
  </si>
  <si>
    <t>Flat 2, Wilbraham Hse, Wandsworth Rd, SW8 2XD</t>
  </si>
  <si>
    <t>Flat 3, Wilbraham Hse, Wandsworth Rd, SW8 2XD</t>
  </si>
  <si>
    <t>Flat 4, Wilbraham Hse, Wandsworth Rd, SW8 2XD</t>
  </si>
  <si>
    <t>Flat 5, Wilbraham Hse, Wandsworth Rd, SW8 2XD</t>
  </si>
  <si>
    <t>Flat 6, Wilbraham Hse, Wandsworth Rd, SW8 2XD</t>
  </si>
  <si>
    <t>Flat 7, Wilbraham Hse, Wandsworth Rd, SW8 2XD</t>
  </si>
  <si>
    <t>Flat 8, Wilbraham Hse, Wandsworth Rd, SW8 2XD</t>
  </si>
  <si>
    <t>Flat 9, Wilbraham Hse, Wandsworth Rd, SW8 2XD</t>
  </si>
  <si>
    <t>Flat 10, Wilbraham Hse, Wandsworth Rd,SW8 2XD</t>
  </si>
  <si>
    <t>Flat 11, Wilbraham Hse, Wandsworth Rd,SW8 2XD</t>
  </si>
  <si>
    <t>Flat 12, Wilbraham Hse, Wandsworth Rd,SW8 2XD</t>
  </si>
  <si>
    <t>Flat 13, Wilbraham Hse, Wandsworth Rd,SW8 2XD</t>
  </si>
  <si>
    <t>Flat 14, Wilbraham Hse, Wandsworth Rd,SW8 2XD</t>
  </si>
  <si>
    <t>Flat 15 Wilbraham Hse, Wandsworth Rd,SW8 2XD</t>
  </si>
  <si>
    <t>Flat 16, Wilbraham Hse, Wandsworth Rd,SW8 2XD</t>
  </si>
  <si>
    <t>Flat 17, Wilbraham Hse, Wandsworth Rd,SW8 2XD</t>
  </si>
  <si>
    <t>Flat 18, Wilbraham Hse, Wandsworth Rd,SW8 2XD</t>
  </si>
  <si>
    <t>Flat 19 Wilbraham Hse, Wandsworth Rd,SW8 2XD</t>
  </si>
  <si>
    <t>Flat 20, Wilbraham Hse, Wandsworth Rd,SW8 2XD</t>
  </si>
  <si>
    <t>Flat 21, Wilbraham Hse, Wandsworth Rd,SW8 2XD</t>
  </si>
  <si>
    <t>Flat 22, Wilbraham Hse, Wandsworth Rd,SW8 2XD</t>
  </si>
  <si>
    <t>Flat 23, Wilbraham Hse, Wandsworth Rd,SW8 2XD</t>
  </si>
  <si>
    <t>Flat 24, Wilbraham Hse, Wandsworth Rd,SW8 2XD</t>
  </si>
  <si>
    <t>Flat 25, Wilbraham Hse, Wandsworth Rd,SW8 2XD</t>
  </si>
  <si>
    <t>Flat 26, Wilbraham Hse, Wandsworth Rd,SW8 2XD</t>
  </si>
  <si>
    <t>Flat 27, Wilbraham Hse, Wandsworth Rd,SW8 2XD</t>
  </si>
  <si>
    <t>Flat 28, Wilbraham Hse, Wandsworth Rd,SW8 2XD</t>
  </si>
  <si>
    <t>Flat 29, Wilbraham Hse, Wandsworth Rd,SW8 2XD</t>
  </si>
  <si>
    <t>Flat 30, Wilbraham Hse, Wandsworth Rd,SW8 2XD</t>
  </si>
  <si>
    <t>Flat 31, Wilbraham Hse, Wandsworth Rd,SW8 2XD</t>
  </si>
  <si>
    <t>Flat 32, Wilbraham Hse, Wandsworth Rd,SW8 2XD</t>
  </si>
  <si>
    <t>Flat 33, Wilbraham Hse, Wandsworth Rd,SW8 2XD</t>
  </si>
  <si>
    <t>Flat 34, Wilbraham Hse, Wandsworth Rd,SW8 2XD</t>
  </si>
  <si>
    <t>Flat 35, Wilbraham Hse, Wandsworth Rd,SW8 2XD</t>
  </si>
  <si>
    <t>Flat 36, Wilbraham Hse, Wandsworth Rd,SW8 2XD</t>
  </si>
  <si>
    <t>Flat 37, Wilbraham Hse, Wandsworth Rd,SW8 2XD</t>
  </si>
  <si>
    <t>Flat 38, Wilbraham Hse, Wandsworth Rd,SW8 2XD</t>
  </si>
  <si>
    <t>Flat 39, Wilbraham Hse, Wandsworth Rd,SW8 2XD</t>
  </si>
  <si>
    <t>Flat 40, Wilbraham Hse, Wandsworth Rd,SW8 2XD</t>
  </si>
  <si>
    <t>Flat 41, Wilbraham Hse, Wandsworth Rd,SW8 2XD</t>
  </si>
  <si>
    <t>Flat 42, Wilbraham Hse, Wandsworth Rd,SW8 2XD</t>
  </si>
  <si>
    <t>l)</t>
  </si>
  <si>
    <t>k)</t>
  </si>
  <si>
    <t>Flat 15, Wilbraham Hse, Wandsworth Rd,SW8 2XD</t>
  </si>
  <si>
    <t>Flat 19, Wilbraham Hse, Wandsworth Rd,SW8 2XD</t>
  </si>
  <si>
    <t>n)</t>
  </si>
  <si>
    <t>Flat 1, Courthope Hse, Hartington Rd,SW8 2HS</t>
  </si>
  <si>
    <t>o)</t>
  </si>
  <si>
    <t>Flat 3, Courthope Hse, Hartington Rd,SW8 2HS</t>
  </si>
  <si>
    <t>Flat 6, Courthope Hse, Hartington Rd,SW8 2HS</t>
  </si>
  <si>
    <t>Flat 8, Courthope Hse, Hartington Rd,SW8 2HS</t>
  </si>
  <si>
    <t>Flat 10, Courthope Hse,Hartington Rd,SW8 2HS</t>
  </si>
  <si>
    <t>Flat 14, Courthope Hse,Hartington Rd,SW8 2HS</t>
  </si>
  <si>
    <t>Flat 15, Courthope Hse,Hartington Rd,SW8 2HS</t>
  </si>
  <si>
    <t>Flat 18, Courthope Hse,Hartington Rd,SW8 2HS</t>
  </si>
  <si>
    <t>Flat 19, Courthope Hse,Hartington Rd,SW8 2HS</t>
  </si>
  <si>
    <t>Flat 22, Courthope Hse,Hartington Rd,SW8 2HS</t>
  </si>
  <si>
    <t>Flat 24, Courthope Hse,Hartington Rd,SW8 2HS</t>
  </si>
  <si>
    <t>m)</t>
  </si>
  <si>
    <t>Flat 2, Courthope Hse, Hartington Rd,SW8 2HS</t>
  </si>
  <si>
    <t>Flat 3, Courthope Hse, Hartington Rd, SW8 2HS</t>
  </si>
  <si>
    <t>Flat 4, Courthope Hse, Hartington Rd, SW8 2HS</t>
  </si>
  <si>
    <t>Flat 5, Courthope Hse, Hartington Rd, SW8 2HS</t>
  </si>
  <si>
    <t>Flat 7, Courthope Hse, Hartington Rd,SW8 2HS</t>
  </si>
  <si>
    <t>Flat 9, Courthope Hse, Hartington Rd, SW8 2HS</t>
  </si>
  <si>
    <t>Flat 10, Courthope Hse, Hartington Rd,SW8 2HS</t>
  </si>
  <si>
    <t>Flat 11, Courthope Hse,Hartington Rd, SW8 2HS</t>
  </si>
  <si>
    <t>Flat 12, Courthope Hse, Hartington Rd,SW8 2HS</t>
  </si>
  <si>
    <t>Flat 13, Courthope Hse, Hartington Rd,SW8 2HS</t>
  </si>
  <si>
    <t>Flat 14, Courthope Hse, Hartington Rd,SW8 2HS</t>
  </si>
  <si>
    <t>Flat 15, Courthope Hse, Hartington Rd,SW8 2HS</t>
  </si>
  <si>
    <t>Flat 16, Courthope Hse, Hartington Rd,SW8 2HS</t>
  </si>
  <si>
    <t>Flat 17, Courthope Hse, Hartington Rd,SW8 2HS</t>
  </si>
  <si>
    <t>Flat 18, Courthope Hse, Hartington Rd,SW8 2HS</t>
  </si>
  <si>
    <t>Flat 19, Courthope Hse, Hartington Rd,SW8 2HS</t>
  </si>
  <si>
    <t>Flat 20, Courthope Hse, Hartington Rd,SW8 2HS</t>
  </si>
  <si>
    <t>Flat 21, Courthope Hse, Hartington Rd,SW8 2HS</t>
  </si>
  <si>
    <t>Flat 22, Courthope Hse, Hartington Rd,SW8 2HS</t>
  </si>
  <si>
    <t>Flat 23, Courthope Hse,Hartington Rd, SW8 2HS</t>
  </si>
  <si>
    <t>Flat 24, Courthope Hse, Hartington Rd,SW8 2HS</t>
  </si>
  <si>
    <t>p)</t>
  </si>
  <si>
    <t>Flat 2, Daryngton Hse, Hartington Rd, SW8 2HR</t>
  </si>
  <si>
    <t>Flat 3, Daryngton Hse, Hartington Rd, SW8 2HR</t>
  </si>
  <si>
    <t>Flat 4, Daryngton Hse, Hartington Rd, SW8 2HR</t>
  </si>
  <si>
    <t>q)</t>
  </si>
  <si>
    <t>Flat 5, Daryngton Hse, Hartington Rd, SW8 2HR</t>
  </si>
  <si>
    <t>Flat 6, Daryngton Hse, Hartington Rd, SW8 2HR</t>
  </si>
  <si>
    <t>Flat 7, Daryngton Hse, Hartington Rd, SW8 2HR</t>
  </si>
  <si>
    <t>Flat 8, Daryngton Hse, Hartington Rd, SW8 2HR</t>
  </si>
  <si>
    <t>Flat 9, Daryngton Hse, Hartington Rd, SW8 2HR</t>
  </si>
  <si>
    <t>Flat 10, Daryngton Hse, Hartington Rd,SW8 2HR</t>
  </si>
  <si>
    <t>Flat 11, Daryngton Hse, Hartington Rd,SW8 2HR</t>
  </si>
  <si>
    <t>Flat 12, Daryngton Hse, Hartington Rd,SW8 2HR</t>
  </si>
  <si>
    <t>Flat 13, Daryngton Hse, Hartington Rd,SW8 2HR</t>
  </si>
  <si>
    <t>Flat 14, Daryngton Hse, Hartington Rd,SW8 2HR</t>
  </si>
  <si>
    <t>Flat 15, Daryngton Hse, Hartington Rd,SW8 2HR</t>
  </si>
  <si>
    <t>Flat 16, Daryngton Hse, Hartington Rd,SW8 2HR</t>
  </si>
  <si>
    <t>Flat 17, Daryngton Hse, Hartington Rd,SW8 2HR</t>
  </si>
  <si>
    <t>Flat 18, Daryngton Hse, Hartington Rd,SW8 2HR</t>
  </si>
  <si>
    <t>Flat 1 Daryngton House, Hartington Rd, london</t>
  </si>
  <si>
    <t>s)</t>
  </si>
  <si>
    <t>Flat 1, Eastry House, Hartingdon Rd, SW8 2HU</t>
  </si>
  <si>
    <t>t)</t>
  </si>
  <si>
    <t>Flat 8, Eastry House, Hartingdon Rd, SW8 2HU</t>
  </si>
  <si>
    <t>Flat 11, Eastry House, Hartingdon Rd, SW8 2HU</t>
  </si>
  <si>
    <t>Flat 12, Eastry House, Hartingdon Rd, SW8 2HU</t>
  </si>
  <si>
    <t>Flat 13, Eastry House, Hartingdon Rd, SW8 2HU</t>
  </si>
  <si>
    <t>Flat 14, Eastry House, Hartingdon Rd, SW8 2HU</t>
  </si>
  <si>
    <t>Flat 15, Eastry House, Hartingdon Rd, SW8 2HU</t>
  </si>
  <si>
    <t>Flat 16, Eastry House, Hartingdon Rd, SW8 2HU</t>
  </si>
  <si>
    <t>Flat 20, Eastry House, Hartingdon Rd, SW8 2HU</t>
  </si>
  <si>
    <t>Flat 22, Eastry House, Hartingdon Rd, SW8 2HU</t>
  </si>
  <si>
    <t>Flat 23, Eastry House, Hartingdon Rd, SW8 2HU</t>
  </si>
  <si>
    <t>r)</t>
  </si>
  <si>
    <t>Flat 2, Eastry House, Hartingdon Rd, SW8 2HU</t>
  </si>
  <si>
    <t>Flat 3, Eastry House, Hartingdon Rd, SW8 2HU</t>
  </si>
  <si>
    <t>Flat 4, Eastry House, Hartingdon Rd, SW8 2HU</t>
  </si>
  <si>
    <t>Flat 5, Eastry House, Hartingdon Rd, SW8 2HU</t>
  </si>
  <si>
    <t>Flat 6, Eastry House, Hartingdon Rd, SW8 2HU</t>
  </si>
  <si>
    <t>Flat 7, Eastry House, Hartingdon Rd, SW8 2HU</t>
  </si>
  <si>
    <t>Flat 9, Eastry House, Hartingdon Rd, SW8 2HU</t>
  </si>
  <si>
    <t>Flat 10, Eastry House, Hartingdon Rd, SW8 2HU</t>
  </si>
  <si>
    <t>Flat 17, Eastry House, Hartingdon Rd, SW8 2HU</t>
  </si>
  <si>
    <t>Flat 18, Eastry House, Hartingdon Rd, SW8 2HU</t>
  </si>
  <si>
    <t>Flat 19, Eastry House, Hartingdon Rd, SW8 2HU</t>
  </si>
  <si>
    <t>Flat 21, Eastry House, Hartingdon Rd, SW8 2HU</t>
  </si>
  <si>
    <t>Flat 24, Eastry House, Hartingdon Rd, SW8 2HU</t>
  </si>
  <si>
    <t>w)</t>
  </si>
  <si>
    <t>Flat 1, Lang House, Hartingdon Road, SW8 2HT</t>
  </si>
  <si>
    <t>v)</t>
  </si>
  <si>
    <t>Flat 3, Lang House, Hartingdon Road, SW8 2HT</t>
  </si>
  <si>
    <t>Flat 9, Lang House, Hartingdon Road, SW8 2HT</t>
  </si>
  <si>
    <t>Flat 15, Lang House, Hartingdon Road, SW8 2HT</t>
  </si>
  <si>
    <t>u)</t>
  </si>
  <si>
    <t>Flat 2, Lang House, Hartingdon Road, SW8 2HT</t>
  </si>
  <si>
    <t>Flat 4, Lang House, Hartingdon Road, SW8 2HT</t>
  </si>
  <si>
    <t>Flat 5, Lang House, Hartingdon Road, SW8 2HT</t>
  </si>
  <si>
    <t>Flat 6, Lang House, Hartingdon Road, SW8 2HT</t>
  </si>
  <si>
    <t>Flat 7, Lang House, Hartingdon Road, SW8 2HT</t>
  </si>
  <si>
    <t>Flat 8, Lang House, Hartingdon Road, SW8 2HT</t>
  </si>
  <si>
    <t>Flat 10, Lang House, Hartingdon Road, SW8 2HT</t>
  </si>
  <si>
    <t>Flat 11, Lang House, Hartingdon Road, SW8 2HT</t>
  </si>
  <si>
    <t>Flat 12, Lang House, Hartingdon Road, SW8 2HT</t>
  </si>
  <si>
    <t>Flat 13, Lang House, Hartingdon Road, SW8 2HT</t>
  </si>
  <si>
    <t>Flat 14, Lang House, Hartingdon Road, SW8 2HT</t>
  </si>
  <si>
    <t>Flat 16, Lang House, Hartingdon Road, SW8 2HT</t>
  </si>
  <si>
    <t>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</si>
</sst>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2" xfId="0" applyFill="1" applyBorder="1"/>
    <xf numFmtId="0" fontId="3" fillId="0" borderId="1" xfId="0" applyFont="1" applyBorder="1"/>
    <xf numFmtId="0" fontId="3" fillId="4" borderId="1" xfId="0" applyFont="1" applyFill="1" applyBorder="1"/>
    <xf numFmtId="0" fontId="0" fillId="3" borderId="3" xfId="0" applyFill="1" applyBorder="1"/>
    <xf numFmtId="0" fontId="0" fillId="3" borderId="3" xfId="0" applyFill="1" applyBorder="1" applyAlignment="1">
      <alignment horizontal="center"/>
    </xf>
    <xf numFmtId="0" fontId="0" fillId="3" borderId="4" xfId="0" applyFill="1" applyBorder="1"/>
    <xf numFmtId="0" fontId="0" fillId="3" borderId="0" xfId="0" applyFill="1"/>
    <xf numFmtId="0" fontId="0" fillId="3" borderId="4" xfId="0" applyFill="1" applyBorder="1" applyAlignment="1">
      <alignment horizontal="center"/>
    </xf>
    <xf numFmtId="0" fontId="2" fillId="5" borderId="1" xfId="0" applyFont="1" applyFill="1" applyBorder="1"/>
    <xf numFmtId="0" fontId="2" fillId="0" borderId="1" xfId="0" applyFont="1" applyBorder="1"/>
    <xf numFmtId="0" fontId="2" fillId="4" borderId="1" xfId="0" applyFont="1" applyFill="1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0" xfId="0" applyAlignment="1">
      <alignment wrapText="1"/>
    </xf>
    <xf numFmtId="0" fontId="2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wrapText="1"/>
    </xf>
    <xf numFmtId="0" fontId="0" fillId="7" borderId="1" xfId="0" applyFill="1" applyBorder="1" applyAlignment="1">
      <alignment wrapText="1"/>
    </xf>
    <xf numFmtId="49" fontId="0" fillId="0" borderId="0" xfId="0" applyNumberFormat="1"/>
    <xf numFmtId="0" fontId="2" fillId="4" borderId="4" xfId="0" applyFont="1" applyFill="1" applyBorder="1"/>
    <xf numFmtId="0" fontId="0" fillId="4" borderId="0" xfId="0" applyFill="1" applyAlignment="1">
      <alignment wrapText="1"/>
    </xf>
    <xf numFmtId="49" fontId="0" fillId="0" borderId="0" xfId="0" applyNumberFormat="1" applyAlignment="1">
      <alignment horizontal="left" textRotation="90"/>
    </xf>
    <xf numFmtId="0" fontId="0" fillId="0" borderId="0" xfId="0" applyAlignment="1">
      <alignment horizontal="left" textRotation="90"/>
    </xf>
    <xf numFmtId="0" fontId="0" fillId="3" borderId="0" xfId="0" applyFill="1" applyAlignment="1">
      <alignment horizontal="left" textRotation="90"/>
    </xf>
    <xf numFmtId="0" fontId="0" fillId="0" borderId="0" xfId="0" applyAlignment="1">
      <alignment horizontal="left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rkern\AppData\Local\Packages\Microsoft.MicrosoftEdge_8wekyb3d8bbwe\TempState\Downloads\Unit%20Tenure-Type-Status%20(QPM%20to%20MRI)%20R5%20-%20updated%2011%20Jun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dosoj\AppData\Local\Microsoft\Windows\INetCache\Content.Outlook\V4J4Q5PZ\Block%20Structure%20and%20SC%20analysis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RI type mapping"/>
      <sheetName val="MRI tenure mapping"/>
      <sheetName val="MRI unit status mapping"/>
      <sheetName val="RM or CM "/>
      <sheetName val="QPM tenure"/>
      <sheetName val="QPM type"/>
      <sheetName val="QPM status"/>
      <sheetName val="MRI UNIT GRG_TENURE"/>
      <sheetName val="MRI EUR_TENTYP"/>
      <sheetName val="3. MRI UNIT-GRG_TENTYPID"/>
      <sheetName val="MRI UNIT Type KIND"/>
      <sheetName val="MRI CORE AND GRG UNIT STATUS"/>
      <sheetName val="TENTYPE mapping"/>
    </sheetNames>
    <sheetDataSet>
      <sheetData sheetId="0"/>
      <sheetData sheetId="1"/>
      <sheetData sheetId="2"/>
      <sheetData sheetId="3"/>
      <sheetData sheetId="4">
        <row r="5">
          <cell r="B5" t="str">
            <v>QPM</v>
          </cell>
          <cell r="C5" t="str">
            <v>MRI Unit Tenure Type mapping (3. GRG_TENTYPEID)</v>
          </cell>
        </row>
        <row r="6">
          <cell r="B6" t="str">
            <v>ABSENTEE</v>
          </cell>
          <cell r="C6" t="str">
            <v>n/a</v>
          </cell>
        </row>
        <row r="7">
          <cell r="B7" t="str">
            <v>Aff Rent</v>
          </cell>
          <cell r="C7" t="str">
            <v>AFF</v>
          </cell>
        </row>
        <row r="8">
          <cell r="B8" t="str">
            <v>AHA (Agr)</v>
          </cell>
          <cell r="C8" t="str">
            <v>AGA</v>
          </cell>
        </row>
        <row r="9">
          <cell r="B9" t="str">
            <v xml:space="preserve">NH to add this </v>
          </cell>
          <cell r="C9" t="str">
            <v>APH</v>
          </cell>
        </row>
        <row r="10">
          <cell r="B10" t="str">
            <v xml:space="preserve">NH to add this </v>
          </cell>
          <cell r="C10" t="str">
            <v>ASH</v>
          </cell>
        </row>
        <row r="11">
          <cell r="B11" t="str">
            <v>Assd.Per</v>
          </cell>
          <cell r="C11" t="str">
            <v>ASP</v>
          </cell>
        </row>
        <row r="12">
          <cell r="B12" t="str">
            <v>Assured</v>
          </cell>
          <cell r="C12" t="str">
            <v>ASP</v>
          </cell>
        </row>
        <row r="13">
          <cell r="B13" t="str">
            <v>AST</v>
          </cell>
          <cell r="C13" t="str">
            <v>AST</v>
          </cell>
        </row>
        <row r="14">
          <cell r="B14" t="str">
            <v>AST Chc</v>
          </cell>
          <cell r="C14" t="str">
            <v>ACC</v>
          </cell>
        </row>
        <row r="15">
          <cell r="B15" t="str">
            <v>AST KW</v>
          </cell>
          <cell r="C15" t="str">
            <v>ASK</v>
          </cell>
        </row>
        <row r="16">
          <cell r="B16" t="str">
            <v>Caretaker</v>
          </cell>
          <cell r="C16" t="str">
            <v>STC</v>
          </cell>
        </row>
        <row r="17">
          <cell r="B17" t="str">
            <v>ChiefRent</v>
          </cell>
          <cell r="C17" t="str">
            <v>CHR</v>
          </cell>
        </row>
        <row r="18">
          <cell r="B18" t="str">
            <v>CommLease</v>
          </cell>
          <cell r="C18" t="str">
            <v>COM</v>
          </cell>
        </row>
        <row r="19">
          <cell r="B19" t="str">
            <v>Comm-Let</v>
          </cell>
          <cell r="C19" t="str">
            <v>CML</v>
          </cell>
        </row>
        <row r="20">
          <cell r="B20" t="str">
            <v>Comp-Let</v>
          </cell>
          <cell r="C20" t="str">
            <v>COL</v>
          </cell>
        </row>
        <row r="21">
          <cell r="B21" t="str">
            <v>DMR-AST</v>
          </cell>
          <cell r="C21" t="str">
            <v>DMR</v>
          </cell>
        </row>
        <row r="22">
          <cell r="B22" t="str">
            <v>Dummy</v>
          </cell>
          <cell r="C22" t="str">
            <v>DUM</v>
          </cell>
        </row>
        <row r="23">
          <cell r="B23" t="str">
            <v>EstateChg</v>
          </cell>
          <cell r="C23" t="str">
            <v>EST</v>
          </cell>
        </row>
        <row r="24">
          <cell r="B24" t="str">
            <v>FBT(Farm)</v>
          </cell>
          <cell r="C24" t="str">
            <v>AGA</v>
          </cell>
        </row>
        <row r="25">
          <cell r="B25" t="str">
            <v>FixedRent</v>
          </cell>
          <cell r="C25" t="str">
            <v>FIX</v>
          </cell>
        </row>
        <row r="26">
          <cell r="B26" t="str">
            <v>FREEHOLD</v>
          </cell>
          <cell r="C26" t="str">
            <v>ASP</v>
          </cell>
        </row>
        <row r="27">
          <cell r="B27" t="str">
            <v>Gr Lets</v>
          </cell>
          <cell r="C27" t="str">
            <v>DMR</v>
          </cell>
        </row>
        <row r="28">
          <cell r="B28" t="str">
            <v>GRIPSALE</v>
          </cell>
          <cell r="C28" t="str">
            <v>GRIP</v>
          </cell>
        </row>
        <row r="29">
          <cell r="B29" t="str">
            <v>Grnd Rent</v>
          </cell>
          <cell r="C29" t="str">
            <v>GRT</v>
          </cell>
        </row>
        <row r="30">
          <cell r="B30" t="str">
            <v>HeadLease</v>
          </cell>
          <cell r="C30" t="str">
            <v>COMM</v>
          </cell>
        </row>
        <row r="31">
          <cell r="B31" t="str">
            <v>Insurance</v>
          </cell>
          <cell r="C31" t="str">
            <v>DUM</v>
          </cell>
        </row>
        <row r="32">
          <cell r="B32" t="str">
            <v>JOINT VEN</v>
          </cell>
          <cell r="C32" t="str">
            <v>n/a</v>
          </cell>
        </row>
        <row r="33">
          <cell r="B33" t="str">
            <v>Land</v>
          </cell>
          <cell r="C33" t="str">
            <v>VAC</v>
          </cell>
        </row>
        <row r="34">
          <cell r="B34" t="str">
            <v>LEASEHOLD</v>
          </cell>
          <cell r="C34" t="str">
            <v>N/A</v>
          </cell>
        </row>
        <row r="35">
          <cell r="B35" t="str">
            <v>Licence</v>
          </cell>
          <cell r="C35" t="str">
            <v>LIC</v>
          </cell>
        </row>
        <row r="36">
          <cell r="B36" t="str">
            <v>Live Work</v>
          </cell>
          <cell r="C36" t="str">
            <v>ALW</v>
          </cell>
        </row>
        <row r="37">
          <cell r="B37" t="str">
            <v>MOD</v>
          </cell>
          <cell r="C37" t="str">
            <v>TRI</v>
          </cell>
        </row>
        <row r="38">
          <cell r="B38" t="str">
            <v>MORTGAGE</v>
          </cell>
          <cell r="C38" t="str">
            <v>N/A</v>
          </cell>
        </row>
        <row r="39">
          <cell r="B39" t="str">
            <v>NHA</v>
          </cell>
          <cell r="C39" t="str">
            <v>NHA</v>
          </cell>
        </row>
        <row r="40">
          <cell r="B40" t="str">
            <v>Nil GR</v>
          </cell>
          <cell r="C40" t="str">
            <v>NGR</v>
          </cell>
        </row>
        <row r="41">
          <cell r="B41" t="str">
            <v>No Tenure</v>
          </cell>
          <cell r="C41" t="str">
            <v>DUM</v>
          </cell>
        </row>
        <row r="42">
          <cell r="B42" t="str">
            <v>Regulated</v>
          </cell>
          <cell r="C42" t="str">
            <v>REG</v>
          </cell>
        </row>
        <row r="43">
          <cell r="B43" t="str">
            <v>Reversion</v>
          </cell>
          <cell r="C43" t="str">
            <v>CHA</v>
          </cell>
        </row>
        <row r="44">
          <cell r="B44" t="str">
            <v>Services</v>
          </cell>
          <cell r="C44" t="str">
            <v>SER</v>
          </cell>
        </row>
        <row r="45">
          <cell r="B45" t="str">
            <v>Sh Owner</v>
          </cell>
          <cell r="C45" t="str">
            <v>SHO</v>
          </cell>
        </row>
        <row r="46">
          <cell r="B46" t="str">
            <v>SHARE of</v>
          </cell>
          <cell r="C46" t="str">
            <v>N/A</v>
          </cell>
        </row>
        <row r="47">
          <cell r="B47" t="str">
            <v>Soc Rent</v>
          </cell>
          <cell r="C47" t="str">
            <v>n/a</v>
          </cell>
        </row>
        <row r="48">
          <cell r="B48" t="str">
            <v>Sold</v>
          </cell>
          <cell r="C48" t="str">
            <v>SOL</v>
          </cell>
        </row>
        <row r="49">
          <cell r="B49" t="str">
            <v>Unreg'd</v>
          </cell>
          <cell r="C49" t="str">
            <v>UNR</v>
          </cell>
        </row>
        <row r="50">
          <cell r="B50" t="str">
            <v>Vac-A</v>
          </cell>
          <cell r="C50" t="str">
            <v>VAC</v>
          </cell>
        </row>
        <row r="51">
          <cell r="B51" t="str">
            <v>Vacant</v>
          </cell>
          <cell r="C51" t="str">
            <v>VAC</v>
          </cell>
        </row>
        <row r="52">
          <cell r="B52" t="str">
            <v>Vac-C</v>
          </cell>
          <cell r="C52" t="str">
            <v>VAC</v>
          </cell>
        </row>
        <row r="53">
          <cell r="B53" t="str">
            <v>Vac-F</v>
          </cell>
          <cell r="C53" t="str">
            <v>VAC</v>
          </cell>
        </row>
        <row r="54">
          <cell r="B54" t="str">
            <v>Vac-R</v>
          </cell>
          <cell r="C54" t="str">
            <v>VAC</v>
          </cell>
        </row>
        <row r="55">
          <cell r="B55" t="str">
            <v>Vac-S</v>
          </cell>
          <cell r="C55" t="str">
            <v>VAC</v>
          </cell>
        </row>
        <row r="56">
          <cell r="B56" t="str">
            <v>VAC-SR</v>
          </cell>
          <cell r="C56" t="str">
            <v>VAC</v>
          </cell>
        </row>
        <row r="57">
          <cell r="C57" t="str">
            <v>CHA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Basic Elements"/>
      <sheetName val="Summary proposals for SC"/>
      <sheetName val="Property Hierarchy Blockers"/>
      <sheetName val="The Courtyard"/>
      <sheetName val="Denman"/>
      <sheetName val="De Nancy House"/>
      <sheetName val="Sketty Road"/>
      <sheetName val="Newton House"/>
      <sheetName val="Smith, Ensor &amp; Wellesley"/>
      <sheetName val="Dibdin House"/>
      <sheetName val="Tait &amp; Benson"/>
      <sheetName val="Vauxhall"/>
      <sheetName val="Davidson Gardens"/>
      <sheetName val="33 &amp;33a Temple Street"/>
      <sheetName val="Junction Houses"/>
    </sheetNames>
    <sheetDataSet>
      <sheetData sheetId="0">
        <row r="1">
          <cell r="A1" t="str">
            <v>Grainger plc</v>
          </cell>
        </row>
        <row r="2">
          <cell r="A2" t="str">
            <v>Tenure Type mapping RM or CM</v>
          </cell>
        </row>
        <row r="4">
          <cell r="A4" t="str">
            <v>QPM code</v>
          </cell>
          <cell r="B4" t="str">
            <v>MRI Code</v>
          </cell>
          <cell r="C4" t="str">
            <v>Description</v>
          </cell>
          <cell r="D4" t="str">
            <v>RM or CM</v>
          </cell>
        </row>
        <row r="5">
          <cell r="A5" t="str">
            <v>Aff Rent</v>
          </cell>
          <cell r="B5" t="str">
            <v>AFF</v>
          </cell>
          <cell r="C5" t="str">
            <v>AST Affordable</v>
          </cell>
          <cell r="D5" t="str">
            <v>RM</v>
          </cell>
        </row>
        <row r="6">
          <cell r="A6" t="str">
            <v>Live Work</v>
          </cell>
          <cell r="B6" t="str">
            <v>ALW</v>
          </cell>
          <cell r="C6" t="str">
            <v>Live Work</v>
          </cell>
          <cell r="D6" t="str">
            <v>RM</v>
          </cell>
        </row>
        <row r="7">
          <cell r="A7" t="str">
            <v xml:space="preserve">NH to add this </v>
          </cell>
          <cell r="B7" t="str">
            <v>APH</v>
          </cell>
          <cell r="C7" t="str">
            <v>AST Paignton Housing Association</v>
          </cell>
          <cell r="D7" t="str">
            <v>RM</v>
          </cell>
        </row>
        <row r="8">
          <cell r="A8" t="str">
            <v xml:space="preserve">NH to add this </v>
          </cell>
          <cell r="B8" t="str">
            <v>ASH</v>
          </cell>
          <cell r="C8" t="str">
            <v>Assured Paignton Housing Association</v>
          </cell>
          <cell r="D8" t="str">
            <v>RM</v>
          </cell>
        </row>
        <row r="9">
          <cell r="A9" t="str">
            <v>AST</v>
          </cell>
          <cell r="B9" t="str">
            <v>AST</v>
          </cell>
          <cell r="C9" t="str">
            <v>Assured Shorthold Tenancy</v>
          </cell>
          <cell r="D9" t="str">
            <v>RM</v>
          </cell>
        </row>
        <row r="10">
          <cell r="A10" t="str">
            <v>Comm-Let</v>
          </cell>
          <cell r="B10" t="str">
            <v>COL</v>
          </cell>
          <cell r="C10" t="str">
            <v>Company Let</v>
          </cell>
          <cell r="D10" t="str">
            <v>RM</v>
          </cell>
        </row>
        <row r="11">
          <cell r="A11" t="str">
            <v>DMR-AST</v>
          </cell>
          <cell r="B11" t="str">
            <v>DMR</v>
          </cell>
          <cell r="C11" t="str">
            <v>Discounted Market Rent</v>
          </cell>
          <cell r="D11" t="str">
            <v>RM</v>
          </cell>
        </row>
        <row r="12">
          <cell r="A12" t="str">
            <v>Gr Lets</v>
          </cell>
          <cell r="B12" t="str">
            <v>DMR</v>
          </cell>
          <cell r="C12" t="str">
            <v>Grainger Lets</v>
          </cell>
          <cell r="D12" t="str">
            <v>RM</v>
          </cell>
        </row>
        <row r="13">
          <cell r="A13" t="str">
            <v>GRIPSALE</v>
          </cell>
          <cell r="B13" t="str">
            <v>GRI</v>
          </cell>
          <cell r="C13" t="str">
            <v>GRIP SALE</v>
          </cell>
          <cell r="D13" t="str">
            <v>RM</v>
          </cell>
        </row>
        <row r="14">
          <cell r="A14" t="str">
            <v>N/A</v>
          </cell>
          <cell r="B14" t="str">
            <v>IMR</v>
          </cell>
          <cell r="C14" t="str">
            <v>Intermediate Market Rent</v>
          </cell>
          <cell r="D14" t="str">
            <v>RM</v>
          </cell>
        </row>
        <row r="15">
          <cell r="A15" t="str">
            <v>Licence</v>
          </cell>
          <cell r="B15" t="str">
            <v>LIC</v>
          </cell>
          <cell r="C15" t="str">
            <v>Licence</v>
          </cell>
          <cell r="D15" t="str">
            <v>RM</v>
          </cell>
        </row>
        <row r="16">
          <cell r="A16" t="str">
            <v>Soc Rent</v>
          </cell>
          <cell r="B16" t="str">
            <v>N/A</v>
          </cell>
          <cell r="C16" t="str">
            <v>Social Rent</v>
          </cell>
          <cell r="D16" t="str">
            <v>RM</v>
          </cell>
        </row>
        <row r="17">
          <cell r="A17" t="str">
            <v>NHA</v>
          </cell>
          <cell r="B17" t="str">
            <v>NHA</v>
          </cell>
          <cell r="C17" t="str">
            <v>Non Housing Act</v>
          </cell>
          <cell r="D17" t="str">
            <v>RM</v>
          </cell>
        </row>
        <row r="18">
          <cell r="A18" t="str">
            <v>Services</v>
          </cell>
          <cell r="B18" t="str">
            <v>SER</v>
          </cell>
          <cell r="C18" t="str">
            <v>Amenities</v>
          </cell>
          <cell r="D18" t="str">
            <v>RM</v>
          </cell>
        </row>
        <row r="19">
          <cell r="A19" t="str">
            <v>AST Chc</v>
          </cell>
          <cell r="B19" t="str">
            <v>ACC</v>
          </cell>
          <cell r="C19" t="str">
            <v>AST Church Commissioners</v>
          </cell>
          <cell r="D19" t="str">
            <v>RM</v>
          </cell>
        </row>
        <row r="20">
          <cell r="A20" t="str">
            <v>AHA (Agr)</v>
          </cell>
          <cell r="B20" t="str">
            <v>AGA</v>
          </cell>
          <cell r="C20" t="str">
            <v>Agricultural Farm</v>
          </cell>
          <cell r="D20" t="str">
            <v>RM</v>
          </cell>
        </row>
        <row r="21">
          <cell r="A21" t="str">
            <v>FBT(Farm)</v>
          </cell>
          <cell r="B21" t="str">
            <v>AGA</v>
          </cell>
          <cell r="C21" t="str">
            <v>Agricultural Farm</v>
          </cell>
          <cell r="D21" t="str">
            <v>RM</v>
          </cell>
        </row>
        <row r="22">
          <cell r="A22" t="str">
            <v>NH to add new code in QPM</v>
          </cell>
          <cell r="B22" t="str">
            <v>AGP</v>
          </cell>
          <cell r="C22" t="str">
            <v>Agricultural Protected Statutory</v>
          </cell>
          <cell r="D22" t="str">
            <v>RM</v>
          </cell>
        </row>
        <row r="23">
          <cell r="A23" t="str">
            <v>NH to add new code in QPM</v>
          </cell>
          <cell r="B23" t="str">
            <v>AGP</v>
          </cell>
          <cell r="C23" t="str">
            <v>Agricultural Assured Periodic</v>
          </cell>
          <cell r="D23" t="str">
            <v>RM</v>
          </cell>
        </row>
        <row r="24">
          <cell r="A24" t="str">
            <v>AST KW</v>
          </cell>
          <cell r="B24" t="str">
            <v>ASK</v>
          </cell>
          <cell r="C24" t="str">
            <v>AST-Keyworkers</v>
          </cell>
          <cell r="D24" t="str">
            <v>RM</v>
          </cell>
        </row>
        <row r="25">
          <cell r="A25" t="str">
            <v>Assured</v>
          </cell>
          <cell r="B25" t="str">
            <v>ASP</v>
          </cell>
          <cell r="C25" t="str">
            <v xml:space="preserve">Assured Statutory Periodic </v>
          </cell>
          <cell r="D25" t="str">
            <v>CM</v>
          </cell>
        </row>
        <row r="26">
          <cell r="A26" t="str">
            <v>Assd.Per</v>
          </cell>
          <cell r="B26" t="str">
            <v>ASP</v>
          </cell>
          <cell r="C26" t="str">
            <v xml:space="preserve">Assured Statutory Periodic </v>
          </cell>
          <cell r="D26" t="str">
            <v>CM</v>
          </cell>
        </row>
        <row r="27">
          <cell r="A27" t="str">
            <v>Freehold</v>
          </cell>
          <cell r="B27" t="str">
            <v>ASP</v>
          </cell>
          <cell r="C27" t="str">
            <v xml:space="preserve">Assured Statutory Periodic </v>
          </cell>
          <cell r="D27" t="str">
            <v>RM</v>
          </cell>
        </row>
        <row r="28">
          <cell r="A28" t="str">
            <v>Reversion</v>
          </cell>
          <cell r="B28" t="str">
            <v>CHA</v>
          </cell>
          <cell r="C28" t="str">
            <v>CHARM</v>
          </cell>
          <cell r="D28" t="str">
            <v>CM</v>
          </cell>
        </row>
        <row r="29">
          <cell r="A29" t="str">
            <v>ChiefRent</v>
          </cell>
          <cell r="B29" t="str">
            <v>CHR</v>
          </cell>
          <cell r="C29" t="str">
            <v>Chief Rent</v>
          </cell>
          <cell r="D29" t="str">
            <v>CM</v>
          </cell>
        </row>
        <row r="30">
          <cell r="A30" t="str">
            <v>Commercial Let</v>
          </cell>
          <cell r="B30" t="str">
            <v>CML</v>
          </cell>
          <cell r="C30" t="str">
            <v>Commercial Let</v>
          </cell>
          <cell r="D30" t="str">
            <v>CM</v>
          </cell>
        </row>
        <row r="31">
          <cell r="A31" t="str">
            <v>CommLease</v>
          </cell>
          <cell r="B31" t="str">
            <v>COM</v>
          </cell>
          <cell r="C31" t="str">
            <v>Commercial Lease</v>
          </cell>
          <cell r="D31" t="str">
            <v>CM</v>
          </cell>
        </row>
        <row r="32">
          <cell r="A32" t="str">
            <v>HeadLease</v>
          </cell>
          <cell r="B32" t="str">
            <v>COMM</v>
          </cell>
          <cell r="C32" t="str">
            <v>Commercial</v>
          </cell>
          <cell r="D32" t="str">
            <v>CM</v>
          </cell>
        </row>
        <row r="33">
          <cell r="A33" t="str">
            <v>Insurance</v>
          </cell>
          <cell r="B33" t="str">
            <v>DUM</v>
          </cell>
          <cell r="C33" t="str">
            <v>Dummy</v>
          </cell>
          <cell r="D33" t="str">
            <v>CM</v>
          </cell>
        </row>
        <row r="34">
          <cell r="A34" t="str">
            <v>EstateChg</v>
          </cell>
          <cell r="B34" t="str">
            <v>EST</v>
          </cell>
          <cell r="C34" t="str">
            <v>Estate Charge</v>
          </cell>
          <cell r="D34" t="str">
            <v>CM</v>
          </cell>
        </row>
        <row r="35">
          <cell r="A35" t="str">
            <v>FixedRent</v>
          </cell>
          <cell r="B35" t="str">
            <v>FIX</v>
          </cell>
          <cell r="C35" t="str">
            <v>Fixed Rent</v>
          </cell>
          <cell r="D35" t="str">
            <v>CM</v>
          </cell>
        </row>
        <row r="36">
          <cell r="A36" t="str">
            <v>Grnd Rent</v>
          </cell>
          <cell r="B36" t="str">
            <v>GRT</v>
          </cell>
          <cell r="C36" t="str">
            <v>Ground Rent</v>
          </cell>
          <cell r="D36" t="str">
            <v>CM</v>
          </cell>
        </row>
        <row r="37">
          <cell r="A37" t="str">
            <v>TRI</v>
          </cell>
          <cell r="B37" t="str">
            <v>MOD</v>
          </cell>
          <cell r="C37" t="str">
            <v>Ministry of Defence</v>
          </cell>
          <cell r="D37" t="str">
            <v>CM</v>
          </cell>
        </row>
        <row r="38">
          <cell r="A38" t="str">
            <v>JOINT VEN</v>
          </cell>
          <cell r="B38" t="str">
            <v>N/A</v>
          </cell>
          <cell r="C38" t="str">
            <v>N/A</v>
          </cell>
          <cell r="D38" t="str">
            <v>CM</v>
          </cell>
        </row>
        <row r="39">
          <cell r="A39" t="str">
            <v>MORTGAGE</v>
          </cell>
          <cell r="B39" t="str">
            <v>N/A</v>
          </cell>
          <cell r="C39" t="str">
            <v>N/A</v>
          </cell>
          <cell r="D39" t="str">
            <v>CM</v>
          </cell>
        </row>
        <row r="40">
          <cell r="A40" t="str">
            <v>SHARE of</v>
          </cell>
          <cell r="B40" t="str">
            <v>N/A</v>
          </cell>
          <cell r="C40" t="str">
            <v>Share of</v>
          </cell>
          <cell r="D40" t="str">
            <v>CM</v>
          </cell>
        </row>
        <row r="41">
          <cell r="A41" t="str">
            <v>Nil GR</v>
          </cell>
          <cell r="B41" t="str">
            <v>NGR</v>
          </cell>
          <cell r="C41" t="str">
            <v>Nil Ground Rent</v>
          </cell>
          <cell r="D41" t="str">
            <v>CM</v>
          </cell>
        </row>
        <row r="42">
          <cell r="A42" t="str">
            <v>Regulated</v>
          </cell>
          <cell r="B42" t="str">
            <v>REG</v>
          </cell>
          <cell r="C42" t="str">
            <v>Regulated</v>
          </cell>
          <cell r="D42" t="str">
            <v>CM</v>
          </cell>
        </row>
        <row r="43">
          <cell r="A43" t="str">
            <v>Sh Owner</v>
          </cell>
          <cell r="B43" t="str">
            <v>SHO</v>
          </cell>
          <cell r="C43" t="str">
            <v>Shared Ownership</v>
          </cell>
          <cell r="D43" t="str">
            <v>CM</v>
          </cell>
        </row>
        <row r="44">
          <cell r="A44" t="str">
            <v>Caretaker</v>
          </cell>
          <cell r="B44" t="str">
            <v>SLC</v>
          </cell>
          <cell r="C44" t="str">
            <v>Service Licence Caretaker</v>
          </cell>
          <cell r="D44" t="str">
            <v>RM</v>
          </cell>
        </row>
        <row r="45">
          <cell r="A45" t="str">
            <v>Caretaker</v>
          </cell>
          <cell r="B45" t="str">
            <v>STC</v>
          </cell>
          <cell r="C45" t="str">
            <v>Service Tenancy Caretaker</v>
          </cell>
          <cell r="D45" t="str">
            <v>RM</v>
          </cell>
        </row>
        <row r="46">
          <cell r="A46" t="str">
            <v>MOD</v>
          </cell>
          <cell r="B46" t="str">
            <v>TRI</v>
          </cell>
          <cell r="C46" t="str">
            <v>Tricomm</v>
          </cell>
          <cell r="D46" t="str">
            <v>CM</v>
          </cell>
        </row>
        <row r="47">
          <cell r="A47" t="str">
            <v>LEASEHOLD</v>
          </cell>
          <cell r="B47" t="str">
            <v>N/A</v>
          </cell>
          <cell r="C47" t="str">
            <v>N/A</v>
          </cell>
          <cell r="D47" t="str">
            <v>CM</v>
          </cell>
        </row>
        <row r="48">
          <cell r="A48" t="str">
            <v>Land</v>
          </cell>
          <cell r="B48" t="str">
            <v>VACANT</v>
          </cell>
          <cell r="C48" t="str">
            <v>Vacant</v>
          </cell>
          <cell r="D48" t="str">
            <v>CM</v>
          </cell>
        </row>
        <row r="49">
          <cell r="A49" t="str">
            <v>Dummy</v>
          </cell>
          <cell r="B49" t="str">
            <v>DUM</v>
          </cell>
          <cell r="C49" t="str">
            <v>Dummy</v>
          </cell>
          <cell r="D49" t="str">
            <v>RM</v>
          </cell>
        </row>
        <row r="50">
          <cell r="A50" t="str">
            <v>Sold</v>
          </cell>
          <cell r="B50" t="str">
            <v>SOL</v>
          </cell>
          <cell r="C50" t="str">
            <v>Sold</v>
          </cell>
          <cell r="D50" t="str">
            <v>RM</v>
          </cell>
        </row>
        <row r="51">
          <cell r="A51" t="str">
            <v>No Tenure</v>
          </cell>
          <cell r="B51" t="str">
            <v>UNK</v>
          </cell>
          <cell r="C51" t="str">
            <v>Unknown</v>
          </cell>
          <cell r="D51" t="str">
            <v>RM</v>
          </cell>
        </row>
        <row r="52">
          <cell r="A52" t="str">
            <v>Unreg'd</v>
          </cell>
          <cell r="B52" t="str">
            <v>UNR</v>
          </cell>
          <cell r="C52" t="str">
            <v>Unregistered</v>
          </cell>
          <cell r="D52" t="str">
            <v>CM</v>
          </cell>
        </row>
        <row r="53">
          <cell r="A53" t="str">
            <v>Vacant</v>
          </cell>
          <cell r="B53" t="str">
            <v>VAC</v>
          </cell>
          <cell r="C53" t="str">
            <v>Vacant</v>
          </cell>
          <cell r="D53" t="str">
            <v>RM</v>
          </cell>
        </row>
        <row r="54">
          <cell r="A54" t="str">
            <v>Vac-A</v>
          </cell>
          <cell r="B54" t="str">
            <v>VACANT</v>
          </cell>
          <cell r="C54" t="str">
            <v>Vacant</v>
          </cell>
          <cell r="D54" t="str">
            <v>RM</v>
          </cell>
        </row>
        <row r="55">
          <cell r="A55" t="str">
            <v>Vacant</v>
          </cell>
          <cell r="B55" t="str">
            <v>VACANT</v>
          </cell>
          <cell r="C55" t="str">
            <v>Vacant</v>
          </cell>
          <cell r="D55" t="str">
            <v>RM</v>
          </cell>
        </row>
        <row r="56">
          <cell r="A56" t="str">
            <v>Vac-C</v>
          </cell>
          <cell r="B56" t="str">
            <v>VACANT</v>
          </cell>
          <cell r="C56" t="str">
            <v>Vacant</v>
          </cell>
          <cell r="D56" t="str">
            <v>CM</v>
          </cell>
        </row>
        <row r="57">
          <cell r="A57" t="str">
            <v>Vac-F</v>
          </cell>
          <cell r="B57" t="str">
            <v>VACANT</v>
          </cell>
          <cell r="C57" t="str">
            <v>Vacant</v>
          </cell>
          <cell r="D57" t="str">
            <v>RM</v>
          </cell>
        </row>
        <row r="58">
          <cell r="A58" t="str">
            <v>Vac-R</v>
          </cell>
          <cell r="B58" t="str">
            <v>VACANT</v>
          </cell>
          <cell r="C58" t="str">
            <v>Vacant</v>
          </cell>
          <cell r="D58" t="str">
            <v>RM</v>
          </cell>
        </row>
        <row r="59">
          <cell r="A59" t="str">
            <v>Vac-S</v>
          </cell>
          <cell r="B59" t="str">
            <v>VACANT</v>
          </cell>
          <cell r="C59" t="str">
            <v>Vacant</v>
          </cell>
          <cell r="D59" t="str">
            <v>RM</v>
          </cell>
        </row>
        <row r="60">
          <cell r="A60" t="str">
            <v>VAC-SR</v>
          </cell>
          <cell r="B60" t="str">
            <v>VACANT</v>
          </cell>
          <cell r="C60" t="str">
            <v>Vacant</v>
          </cell>
          <cell r="D60" t="str">
            <v>RM</v>
          </cell>
        </row>
        <row r="61">
          <cell r="A61" t="str">
            <v>Comp-Let</v>
          </cell>
          <cell r="C61" t="str">
            <v>Company Let</v>
          </cell>
          <cell r="D61" t="str">
            <v>CM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60537-76B1-457F-889E-3E2EBBFD2C4B}">
  <dimension ref="A1:E61"/>
  <sheetViews>
    <sheetView workbookViewId="0">
      <selection activeCell="A21" sqref="A21"/>
    </sheetView>
  </sheetViews>
  <sheetFormatPr defaultRowHeight="14.45"/>
  <cols>
    <col min="1" max="1" width="26.140625" customWidth="1"/>
    <col min="3" max="3" width="33.5703125" customWidth="1"/>
    <col min="4" max="4" width="13.85546875" customWidth="1"/>
    <col min="5" max="5" width="15.5703125" customWidth="1"/>
  </cols>
  <sheetData>
    <row r="1" spans="1:5">
      <c r="A1" t="s">
        <v>0</v>
      </c>
    </row>
    <row r="2" spans="1:5">
      <c r="A2" t="s">
        <v>1</v>
      </c>
    </row>
    <row r="4" spans="1:5">
      <c r="A4" s="1" t="s">
        <v>2</v>
      </c>
      <c r="B4" s="1" t="s">
        <v>3</v>
      </c>
      <c r="C4" s="1" t="s">
        <v>4</v>
      </c>
      <c r="D4" s="2" t="s">
        <v>5</v>
      </c>
      <c r="E4" s="2" t="s">
        <v>6</v>
      </c>
    </row>
    <row r="5" spans="1:5">
      <c r="A5" s="3" t="s">
        <v>7</v>
      </c>
      <c r="B5" s="3" t="s">
        <v>8</v>
      </c>
      <c r="C5" s="3" t="s">
        <v>9</v>
      </c>
      <c r="D5" s="4" t="s">
        <v>10</v>
      </c>
      <c r="E5" s="4" t="s">
        <v>11</v>
      </c>
    </row>
    <row r="6" spans="1:5">
      <c r="A6" s="5" t="s">
        <v>12</v>
      </c>
      <c r="B6" s="5" t="s">
        <v>13</v>
      </c>
      <c r="C6" s="5" t="s">
        <v>12</v>
      </c>
      <c r="D6" s="6" t="s">
        <v>10</v>
      </c>
      <c r="E6" s="6" t="s">
        <v>11</v>
      </c>
    </row>
    <row r="7" spans="1:5">
      <c r="A7" s="5" t="s">
        <v>14</v>
      </c>
      <c r="B7" s="5" t="s">
        <v>15</v>
      </c>
      <c r="C7" s="5" t="s">
        <v>16</v>
      </c>
      <c r="D7" s="6" t="s">
        <v>10</v>
      </c>
      <c r="E7" s="6" t="s">
        <v>11</v>
      </c>
    </row>
    <row r="8" spans="1:5">
      <c r="A8" s="5" t="s">
        <v>14</v>
      </c>
      <c r="B8" s="5" t="s">
        <v>17</v>
      </c>
      <c r="C8" s="5" t="s">
        <v>18</v>
      </c>
      <c r="D8" s="6" t="s">
        <v>10</v>
      </c>
      <c r="E8" s="6" t="s">
        <v>11</v>
      </c>
    </row>
    <row r="9" spans="1:5">
      <c r="A9" s="5" t="str">
        <f>VLOOKUP(B9,'[1]QPM tenure'!B:C,2,FALSE)</f>
        <v>AST</v>
      </c>
      <c r="B9" s="5" t="s">
        <v>19</v>
      </c>
      <c r="C9" s="5" t="s">
        <v>20</v>
      </c>
      <c r="D9" s="6" t="s">
        <v>10</v>
      </c>
      <c r="E9" s="6" t="s">
        <v>11</v>
      </c>
    </row>
    <row r="10" spans="1:5">
      <c r="A10" s="5" t="s">
        <v>21</v>
      </c>
      <c r="B10" s="5" t="s">
        <v>22</v>
      </c>
      <c r="C10" s="5" t="s">
        <v>23</v>
      </c>
      <c r="D10" s="6" t="s">
        <v>10</v>
      </c>
      <c r="E10" s="6" t="s">
        <v>11</v>
      </c>
    </row>
    <row r="11" spans="1:5">
      <c r="A11" s="5" t="s">
        <v>24</v>
      </c>
      <c r="B11" s="5" t="s">
        <v>25</v>
      </c>
      <c r="C11" s="5" t="s">
        <v>26</v>
      </c>
      <c r="D11" s="6" t="s">
        <v>10</v>
      </c>
      <c r="E11" s="6" t="s">
        <v>11</v>
      </c>
    </row>
    <row r="12" spans="1:5">
      <c r="A12" s="3" t="s">
        <v>27</v>
      </c>
      <c r="B12" s="3" t="s">
        <v>25</v>
      </c>
      <c r="C12" s="3" t="s">
        <v>28</v>
      </c>
      <c r="D12" s="4" t="s">
        <v>10</v>
      </c>
      <c r="E12" s="4" t="s">
        <v>11</v>
      </c>
    </row>
    <row r="13" spans="1:5">
      <c r="A13" s="5" t="s">
        <v>29</v>
      </c>
      <c r="B13" s="5" t="s">
        <v>30</v>
      </c>
      <c r="C13" s="5" t="s">
        <v>31</v>
      </c>
      <c r="D13" s="6" t="s">
        <v>10</v>
      </c>
      <c r="E13" s="6" t="s">
        <v>11</v>
      </c>
    </row>
    <row r="14" spans="1:5">
      <c r="A14" s="3" t="s">
        <v>32</v>
      </c>
      <c r="B14" s="3" t="s">
        <v>33</v>
      </c>
      <c r="C14" s="3" t="s">
        <v>34</v>
      </c>
      <c r="D14" s="4" t="s">
        <v>10</v>
      </c>
      <c r="E14" s="4" t="s">
        <v>11</v>
      </c>
    </row>
    <row r="15" spans="1:5">
      <c r="A15" s="5" t="s">
        <v>35</v>
      </c>
      <c r="B15" s="5" t="s">
        <v>36</v>
      </c>
      <c r="C15" s="5" t="s">
        <v>35</v>
      </c>
      <c r="D15" s="6" t="s">
        <v>10</v>
      </c>
      <c r="E15" s="6" t="s">
        <v>11</v>
      </c>
    </row>
    <row r="16" spans="1:5">
      <c r="A16" s="7" t="s">
        <v>37</v>
      </c>
      <c r="B16" s="7" t="s">
        <v>32</v>
      </c>
      <c r="C16" s="7" t="s">
        <v>38</v>
      </c>
      <c r="D16" s="8" t="s">
        <v>10</v>
      </c>
      <c r="E16" s="8" t="s">
        <v>11</v>
      </c>
    </row>
    <row r="17" spans="1:5">
      <c r="A17" s="5" t="str">
        <f>VLOOKUP(B17,'[1]QPM tenure'!B:C,2,FALSE)</f>
        <v>NHA</v>
      </c>
      <c r="B17" s="5" t="s">
        <v>39</v>
      </c>
      <c r="C17" s="5" t="s">
        <v>40</v>
      </c>
      <c r="D17" s="6" t="s">
        <v>10</v>
      </c>
      <c r="E17" s="6" t="s">
        <v>11</v>
      </c>
    </row>
    <row r="18" spans="1:5">
      <c r="A18" s="5" t="s">
        <v>41</v>
      </c>
      <c r="B18" s="5" t="s">
        <v>42</v>
      </c>
      <c r="C18" s="5" t="s">
        <v>43</v>
      </c>
      <c r="D18" s="6" t="s">
        <v>10</v>
      </c>
      <c r="E18" s="6" t="s">
        <v>11</v>
      </c>
    </row>
    <row r="19" spans="1:5">
      <c r="A19" s="7" t="s">
        <v>44</v>
      </c>
      <c r="B19" s="7" t="s">
        <v>45</v>
      </c>
      <c r="C19" s="7" t="s">
        <v>46</v>
      </c>
      <c r="D19" s="8" t="s">
        <v>10</v>
      </c>
      <c r="E19" s="8" t="s">
        <v>11</v>
      </c>
    </row>
    <row r="20" spans="1:5">
      <c r="A20" s="7" t="s">
        <v>47</v>
      </c>
      <c r="B20" s="7" t="s">
        <v>48</v>
      </c>
      <c r="C20" s="7" t="s">
        <v>49</v>
      </c>
      <c r="D20" s="8" t="s">
        <v>10</v>
      </c>
      <c r="E20" s="8" t="s">
        <v>11</v>
      </c>
    </row>
    <row r="21" spans="1:5">
      <c r="A21" s="9" t="s">
        <v>50</v>
      </c>
      <c r="B21" s="7" t="s">
        <v>48</v>
      </c>
      <c r="C21" s="7" t="s">
        <v>49</v>
      </c>
      <c r="D21" s="8" t="s">
        <v>10</v>
      </c>
      <c r="E21" s="8" t="s">
        <v>11</v>
      </c>
    </row>
    <row r="22" spans="1:5">
      <c r="A22" s="7" t="s">
        <v>51</v>
      </c>
      <c r="B22" s="7" t="s">
        <v>52</v>
      </c>
      <c r="C22" s="7" t="s">
        <v>53</v>
      </c>
      <c r="D22" s="8" t="s">
        <v>10</v>
      </c>
      <c r="E22" s="8" t="s">
        <v>11</v>
      </c>
    </row>
    <row r="23" spans="1:5">
      <c r="A23" s="7" t="s">
        <v>51</v>
      </c>
      <c r="B23" s="7" t="s">
        <v>52</v>
      </c>
      <c r="C23" s="7" t="s">
        <v>54</v>
      </c>
      <c r="D23" s="8" t="s">
        <v>10</v>
      </c>
      <c r="E23" s="8" t="s">
        <v>11</v>
      </c>
    </row>
    <row r="24" spans="1:5">
      <c r="A24" s="7" t="s">
        <v>55</v>
      </c>
      <c r="B24" s="7" t="s">
        <v>56</v>
      </c>
      <c r="C24" s="7" t="s">
        <v>57</v>
      </c>
      <c r="D24" s="8" t="s">
        <v>10</v>
      </c>
      <c r="E24" s="8" t="s">
        <v>11</v>
      </c>
    </row>
    <row r="25" spans="1:5">
      <c r="A25" s="5" t="s">
        <v>58</v>
      </c>
      <c r="B25" s="5" t="s">
        <v>59</v>
      </c>
      <c r="C25" s="5" t="s">
        <v>60</v>
      </c>
      <c r="D25" s="6" t="s">
        <v>61</v>
      </c>
      <c r="E25" s="6" t="s">
        <v>11</v>
      </c>
    </row>
    <row r="26" spans="1:5">
      <c r="A26" s="5" t="s">
        <v>62</v>
      </c>
      <c r="B26" s="5" t="s">
        <v>59</v>
      </c>
      <c r="C26" s="5" t="s">
        <v>60</v>
      </c>
      <c r="D26" s="6" t="s">
        <v>61</v>
      </c>
      <c r="E26" s="6" t="s">
        <v>11</v>
      </c>
    </row>
    <row r="27" spans="1:5">
      <c r="A27" s="7" t="s">
        <v>63</v>
      </c>
      <c r="B27" s="7" t="s">
        <v>59</v>
      </c>
      <c r="C27" s="7" t="s">
        <v>60</v>
      </c>
      <c r="D27" s="8" t="s">
        <v>10</v>
      </c>
      <c r="E27" s="8" t="s">
        <v>11</v>
      </c>
    </row>
    <row r="28" spans="1:5">
      <c r="A28" s="5" t="s">
        <v>64</v>
      </c>
      <c r="B28" s="5" t="s">
        <v>65</v>
      </c>
      <c r="C28" s="5" t="s">
        <v>66</v>
      </c>
      <c r="D28" s="6" t="s">
        <v>61</v>
      </c>
      <c r="E28" s="6" t="s">
        <v>67</v>
      </c>
    </row>
    <row r="29" spans="1:5">
      <c r="A29" s="5" t="s">
        <v>68</v>
      </c>
      <c r="B29" s="5" t="s">
        <v>69</v>
      </c>
      <c r="C29" s="5" t="s">
        <v>70</v>
      </c>
      <c r="D29" s="6" t="s">
        <v>61</v>
      </c>
      <c r="E29" s="6" t="s">
        <v>11</v>
      </c>
    </row>
    <row r="30" spans="1:5">
      <c r="A30" s="5" t="s">
        <v>71</v>
      </c>
      <c r="B30" s="5" t="s">
        <v>72</v>
      </c>
      <c r="C30" s="5" t="s">
        <v>71</v>
      </c>
      <c r="D30" s="6" t="s">
        <v>61</v>
      </c>
      <c r="E30" s="6" t="s">
        <v>67</v>
      </c>
    </row>
    <row r="31" spans="1:5">
      <c r="A31" s="5" t="s">
        <v>73</v>
      </c>
      <c r="B31" s="5" t="s">
        <v>74</v>
      </c>
      <c r="C31" s="5" t="s">
        <v>75</v>
      </c>
      <c r="D31" s="6" t="s">
        <v>61</v>
      </c>
      <c r="E31" s="6" t="s">
        <v>67</v>
      </c>
    </row>
    <row r="32" spans="1:5">
      <c r="A32" s="10" t="s">
        <v>76</v>
      </c>
      <c r="B32" s="5" t="s">
        <v>77</v>
      </c>
      <c r="C32" s="10" t="s">
        <v>78</v>
      </c>
      <c r="D32" s="6" t="s">
        <v>61</v>
      </c>
      <c r="E32" s="6" t="s">
        <v>11</v>
      </c>
    </row>
    <row r="33" spans="1:5">
      <c r="A33" s="5" t="s">
        <v>79</v>
      </c>
      <c r="B33" s="5" t="s">
        <v>80</v>
      </c>
      <c r="C33" s="5" t="s">
        <v>81</v>
      </c>
      <c r="D33" s="6" t="s">
        <v>61</v>
      </c>
      <c r="E33" s="6" t="s">
        <v>11</v>
      </c>
    </row>
    <row r="34" spans="1:5">
      <c r="A34" s="5" t="s">
        <v>82</v>
      </c>
      <c r="B34" s="5" t="s">
        <v>83</v>
      </c>
      <c r="C34" s="5" t="s">
        <v>84</v>
      </c>
      <c r="D34" s="6" t="s">
        <v>61</v>
      </c>
      <c r="E34" s="6" t="s">
        <v>11</v>
      </c>
    </row>
    <row r="35" spans="1:5">
      <c r="A35" s="5" t="s">
        <v>85</v>
      </c>
      <c r="B35" s="5" t="s">
        <v>86</v>
      </c>
      <c r="C35" s="5" t="s">
        <v>87</v>
      </c>
      <c r="D35" s="6" t="s">
        <v>61</v>
      </c>
      <c r="E35" s="6" t="s">
        <v>11</v>
      </c>
    </row>
    <row r="36" spans="1:5">
      <c r="A36" s="5" t="s">
        <v>88</v>
      </c>
      <c r="B36" s="5" t="s">
        <v>89</v>
      </c>
      <c r="C36" s="5" t="s">
        <v>90</v>
      </c>
      <c r="D36" s="6" t="s">
        <v>61</v>
      </c>
      <c r="E36" s="6" t="s">
        <v>11</v>
      </c>
    </row>
    <row r="37" spans="1:5">
      <c r="A37" s="5" t="str">
        <f>VLOOKUP(B37,'[1]QPM tenure'!B:C,2,FALSE)</f>
        <v>TRI</v>
      </c>
      <c r="B37" s="5" t="s">
        <v>91</v>
      </c>
      <c r="C37" s="5" t="s">
        <v>92</v>
      </c>
      <c r="D37" s="6" t="s">
        <v>61</v>
      </c>
      <c r="E37" s="6" t="s">
        <v>11</v>
      </c>
    </row>
    <row r="38" spans="1:5">
      <c r="A38" s="5" t="s">
        <v>93</v>
      </c>
      <c r="B38" s="5" t="s">
        <v>32</v>
      </c>
      <c r="C38" s="5" t="s">
        <v>32</v>
      </c>
      <c r="D38" s="6" t="s">
        <v>61</v>
      </c>
      <c r="E38" s="6" t="s">
        <v>11</v>
      </c>
    </row>
    <row r="39" spans="1:5">
      <c r="A39" s="5" t="s">
        <v>94</v>
      </c>
      <c r="B39" s="5" t="s">
        <v>32</v>
      </c>
      <c r="C39" s="5" t="s">
        <v>32</v>
      </c>
      <c r="D39" s="6" t="s">
        <v>61</v>
      </c>
      <c r="E39" s="6" t="s">
        <v>11</v>
      </c>
    </row>
    <row r="40" spans="1:5">
      <c r="A40" s="5" t="s">
        <v>95</v>
      </c>
      <c r="B40" s="5" t="s">
        <v>32</v>
      </c>
      <c r="C40" s="5" t="s">
        <v>96</v>
      </c>
      <c r="D40" s="6" t="s">
        <v>61</v>
      </c>
      <c r="E40" s="6" t="s">
        <v>11</v>
      </c>
    </row>
    <row r="41" spans="1:5">
      <c r="A41" s="5" t="s">
        <v>97</v>
      </c>
      <c r="B41" s="5" t="s">
        <v>98</v>
      </c>
      <c r="C41" s="5" t="s">
        <v>99</v>
      </c>
      <c r="D41" s="6" t="s">
        <v>61</v>
      </c>
      <c r="E41" s="6" t="s">
        <v>11</v>
      </c>
    </row>
    <row r="42" spans="1:5">
      <c r="A42" s="5" t="s">
        <v>100</v>
      </c>
      <c r="B42" s="5" t="s">
        <v>101</v>
      </c>
      <c r="C42" s="5" t="s">
        <v>100</v>
      </c>
      <c r="D42" s="6" t="s">
        <v>61</v>
      </c>
      <c r="E42" s="6" t="s">
        <v>11</v>
      </c>
    </row>
    <row r="43" spans="1:5">
      <c r="A43" s="5" t="s">
        <v>102</v>
      </c>
      <c r="B43" s="5" t="s">
        <v>103</v>
      </c>
      <c r="C43" s="5" t="s">
        <v>104</v>
      </c>
      <c r="D43" s="6" t="s">
        <v>61</v>
      </c>
      <c r="E43" s="6" t="s">
        <v>11</v>
      </c>
    </row>
    <row r="44" spans="1:5">
      <c r="A44" s="11" t="s">
        <v>105</v>
      </c>
      <c r="B44" s="7" t="s">
        <v>106</v>
      </c>
      <c r="C44" s="7" t="s">
        <v>107</v>
      </c>
      <c r="D44" s="8" t="s">
        <v>10</v>
      </c>
      <c r="E44" s="8" t="s">
        <v>11</v>
      </c>
    </row>
    <row r="45" spans="1:5">
      <c r="A45" s="7" t="s">
        <v>105</v>
      </c>
      <c r="B45" s="7" t="s">
        <v>108</v>
      </c>
      <c r="C45" s="7" t="s">
        <v>109</v>
      </c>
      <c r="D45" s="8" t="s">
        <v>10</v>
      </c>
      <c r="E45" s="8" t="s">
        <v>11</v>
      </c>
    </row>
    <row r="46" spans="1:5">
      <c r="A46" s="5" t="s">
        <v>91</v>
      </c>
      <c r="B46" s="5" t="s">
        <v>110</v>
      </c>
      <c r="C46" s="5" t="s">
        <v>111</v>
      </c>
      <c r="D46" s="6" t="s">
        <v>61</v>
      </c>
      <c r="E46" s="6" t="s">
        <v>11</v>
      </c>
    </row>
    <row r="47" spans="1:5">
      <c r="A47" s="5" t="s">
        <v>112</v>
      </c>
      <c r="B47" s="5" t="s">
        <v>32</v>
      </c>
      <c r="C47" s="5" t="s">
        <v>32</v>
      </c>
      <c r="D47" s="6" t="s">
        <v>61</v>
      </c>
      <c r="E47" s="6" t="s">
        <v>11</v>
      </c>
    </row>
    <row r="48" spans="1:5" ht="15" thickBot="1">
      <c r="A48" s="5" t="s">
        <v>113</v>
      </c>
      <c r="B48" s="5" t="s">
        <v>114</v>
      </c>
      <c r="C48" s="5" t="s">
        <v>115</v>
      </c>
      <c r="D48" s="6" t="s">
        <v>61</v>
      </c>
      <c r="E48" s="6" t="s">
        <v>67</v>
      </c>
    </row>
    <row r="49" spans="1:5">
      <c r="A49" s="12" t="s">
        <v>81</v>
      </c>
      <c r="B49" s="12" t="s">
        <v>80</v>
      </c>
      <c r="C49" s="12" t="s">
        <v>81</v>
      </c>
      <c r="D49" s="13" t="s">
        <v>10</v>
      </c>
      <c r="E49" s="13" t="s">
        <v>11</v>
      </c>
    </row>
    <row r="50" spans="1:5">
      <c r="A50" s="7" t="s">
        <v>116</v>
      </c>
      <c r="B50" s="7" t="s">
        <v>117</v>
      </c>
      <c r="C50" s="7" t="s">
        <v>116</v>
      </c>
      <c r="D50" s="8" t="s">
        <v>10</v>
      </c>
      <c r="E50" s="8" t="s">
        <v>11</v>
      </c>
    </row>
    <row r="51" spans="1:5">
      <c r="A51" s="3" t="s">
        <v>118</v>
      </c>
      <c r="B51" s="3" t="s">
        <v>119</v>
      </c>
      <c r="C51" s="3" t="s">
        <v>120</v>
      </c>
      <c r="D51" s="4" t="s">
        <v>10</v>
      </c>
      <c r="E51" s="4" t="s">
        <v>11</v>
      </c>
    </row>
    <row r="52" spans="1:5">
      <c r="A52" s="3" t="s">
        <v>121</v>
      </c>
      <c r="B52" s="3" t="s">
        <v>122</v>
      </c>
      <c r="C52" s="3" t="s">
        <v>123</v>
      </c>
      <c r="D52" s="4" t="s">
        <v>61</v>
      </c>
      <c r="E52" s="4" t="s">
        <v>67</v>
      </c>
    </row>
    <row r="53" spans="1:5">
      <c r="A53" s="3" t="s">
        <v>115</v>
      </c>
      <c r="B53" s="3" t="s">
        <v>124</v>
      </c>
      <c r="C53" s="3" t="s">
        <v>115</v>
      </c>
      <c r="D53" s="4" t="s">
        <v>10</v>
      </c>
      <c r="E53" s="4" t="s">
        <v>11</v>
      </c>
    </row>
    <row r="54" spans="1:5">
      <c r="A54" s="3" t="s">
        <v>125</v>
      </c>
      <c r="B54" s="3" t="s">
        <v>114</v>
      </c>
      <c r="C54" s="3" t="s">
        <v>115</v>
      </c>
      <c r="D54" s="4" t="s">
        <v>10</v>
      </c>
      <c r="E54" s="4" t="s">
        <v>11</v>
      </c>
    </row>
    <row r="55" spans="1:5">
      <c r="A55" s="3" t="s">
        <v>115</v>
      </c>
      <c r="B55" s="3" t="s">
        <v>114</v>
      </c>
      <c r="C55" s="3" t="s">
        <v>115</v>
      </c>
      <c r="D55" s="4" t="s">
        <v>10</v>
      </c>
      <c r="E55" s="4" t="s">
        <v>11</v>
      </c>
    </row>
    <row r="56" spans="1:5">
      <c r="A56" s="3" t="s">
        <v>126</v>
      </c>
      <c r="B56" s="3" t="s">
        <v>114</v>
      </c>
      <c r="C56" s="3" t="s">
        <v>115</v>
      </c>
      <c r="D56" s="4" t="s">
        <v>61</v>
      </c>
      <c r="E56" s="4" t="s">
        <v>11</v>
      </c>
    </row>
    <row r="57" spans="1:5">
      <c r="A57" s="3" t="s">
        <v>127</v>
      </c>
      <c r="B57" s="3" t="s">
        <v>114</v>
      </c>
      <c r="C57" s="3" t="s">
        <v>115</v>
      </c>
      <c r="D57" s="4" t="s">
        <v>10</v>
      </c>
      <c r="E57" s="4" t="s">
        <v>11</v>
      </c>
    </row>
    <row r="58" spans="1:5">
      <c r="A58" s="3" t="s">
        <v>128</v>
      </c>
      <c r="B58" s="3" t="s">
        <v>114</v>
      </c>
      <c r="C58" s="3" t="s">
        <v>115</v>
      </c>
      <c r="D58" s="4" t="s">
        <v>10</v>
      </c>
      <c r="E58" s="4" t="s">
        <v>11</v>
      </c>
    </row>
    <row r="59" spans="1:5">
      <c r="A59" s="3" t="s">
        <v>129</v>
      </c>
      <c r="B59" s="3" t="s">
        <v>114</v>
      </c>
      <c r="C59" s="3" t="s">
        <v>115</v>
      </c>
      <c r="D59" s="4" t="s">
        <v>10</v>
      </c>
      <c r="E59" s="4" t="s">
        <v>11</v>
      </c>
    </row>
    <row r="60" spans="1:5">
      <c r="A60" s="3" t="s">
        <v>130</v>
      </c>
      <c r="B60" s="3" t="s">
        <v>114</v>
      </c>
      <c r="C60" s="3" t="s">
        <v>115</v>
      </c>
      <c r="D60" s="4" t="s">
        <v>10</v>
      </c>
      <c r="E60" s="4" t="s">
        <v>11</v>
      </c>
    </row>
    <row r="61" spans="1:5">
      <c r="A61" s="14" t="s">
        <v>131</v>
      </c>
      <c r="B61" s="15"/>
      <c r="C61" s="14" t="s">
        <v>23</v>
      </c>
      <c r="D61" s="16" t="s">
        <v>61</v>
      </c>
      <c r="E61" s="1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19F1-1984-404D-8C2B-94E2DF5CE2FC}">
  <dimension ref="A1:I60"/>
  <sheetViews>
    <sheetView zoomScale="80" zoomScaleNormal="80" workbookViewId="0">
      <pane xSplit="2" ySplit="1" topLeftCell="C14" activePane="bottomRight" state="frozen"/>
      <selection pane="bottomRight" activeCell="E17" sqref="E17"/>
      <selection pane="bottomLeft" activeCell="B13" sqref="B13"/>
      <selection pane="topRight" activeCell="B13" sqref="B13"/>
    </sheetView>
  </sheetViews>
  <sheetFormatPr defaultRowHeight="14.45"/>
  <cols>
    <col min="2" max="2" width="31.140625" customWidth="1"/>
    <col min="3" max="4" width="14.5703125" customWidth="1"/>
    <col min="5" max="5" width="24.28515625" customWidth="1"/>
    <col min="6" max="6" width="105.28515625" customWidth="1"/>
    <col min="7" max="7" width="60.140625" customWidth="1"/>
    <col min="8" max="8" width="62.140625" customWidth="1"/>
    <col min="9" max="9" width="44.5703125" customWidth="1"/>
  </cols>
  <sheetData>
    <row r="1" spans="1:9">
      <c r="A1" t="s">
        <v>132</v>
      </c>
      <c r="B1" t="s">
        <v>133</v>
      </c>
      <c r="C1" s="17" t="s">
        <v>134</v>
      </c>
      <c r="D1" s="17" t="s">
        <v>135</v>
      </c>
      <c r="E1" s="17" t="s">
        <v>136</v>
      </c>
      <c r="F1" s="18" t="s">
        <v>137</v>
      </c>
      <c r="G1" s="17" t="s">
        <v>138</v>
      </c>
      <c r="H1" s="17" t="s">
        <v>139</v>
      </c>
      <c r="I1" s="17" t="s">
        <v>140</v>
      </c>
    </row>
    <row r="2" spans="1:9" ht="57.95">
      <c r="A2" t="s">
        <v>141</v>
      </c>
      <c r="B2" t="s">
        <v>142</v>
      </c>
      <c r="C2" s="19" t="s">
        <v>143</v>
      </c>
      <c r="D2" s="5" t="s">
        <v>144</v>
      </c>
      <c r="E2" s="20" t="s">
        <v>145</v>
      </c>
      <c r="F2" s="21" t="s">
        <v>146</v>
      </c>
      <c r="G2" s="20"/>
      <c r="H2" s="20" t="s">
        <v>147</v>
      </c>
      <c r="I2" s="20" t="s">
        <v>148</v>
      </c>
    </row>
    <row r="3" spans="1:9" ht="87">
      <c r="A3" t="s">
        <v>141</v>
      </c>
      <c r="B3" t="s">
        <v>149</v>
      </c>
      <c r="C3" s="19" t="s">
        <v>150</v>
      </c>
      <c r="D3" s="5"/>
      <c r="E3" s="20" t="s">
        <v>151</v>
      </c>
      <c r="F3" s="21" t="s">
        <v>152</v>
      </c>
      <c r="G3" s="20" t="s">
        <v>153</v>
      </c>
      <c r="H3" s="20"/>
      <c r="I3" s="5"/>
    </row>
    <row r="4" spans="1:9" ht="57.95">
      <c r="B4">
        <v>127102</v>
      </c>
      <c r="C4" s="19" t="s">
        <v>154</v>
      </c>
      <c r="D4" s="5"/>
      <c r="E4" s="20" t="s">
        <v>155</v>
      </c>
      <c r="F4" s="20" t="s">
        <v>156</v>
      </c>
      <c r="G4" s="20"/>
      <c r="H4" s="20" t="s">
        <v>157</v>
      </c>
      <c r="I4" s="5"/>
    </row>
    <row r="5" spans="1:9" ht="57.95">
      <c r="B5">
        <v>127033</v>
      </c>
      <c r="C5" s="19" t="s">
        <v>158</v>
      </c>
      <c r="D5" s="5"/>
      <c r="E5" s="20" t="s">
        <v>155</v>
      </c>
      <c r="F5" s="20" t="s">
        <v>156</v>
      </c>
      <c r="G5" s="20"/>
      <c r="H5" s="20" t="s">
        <v>157</v>
      </c>
      <c r="I5" s="5"/>
    </row>
    <row r="6" spans="1:9" ht="57.95">
      <c r="B6">
        <v>127137</v>
      </c>
      <c r="C6" s="19" t="s">
        <v>159</v>
      </c>
      <c r="D6" s="5"/>
      <c r="E6" s="20" t="s">
        <v>155</v>
      </c>
      <c r="F6" s="20" t="s">
        <v>156</v>
      </c>
      <c r="G6" s="20"/>
      <c r="H6" s="20" t="s">
        <v>160</v>
      </c>
      <c r="I6" s="5"/>
    </row>
    <row r="7" spans="1:9" ht="57.95">
      <c r="B7">
        <v>127085</v>
      </c>
      <c r="C7" s="19" t="s">
        <v>161</v>
      </c>
      <c r="D7" s="5"/>
      <c r="E7" s="20" t="s">
        <v>155</v>
      </c>
      <c r="F7" s="20" t="s">
        <v>156</v>
      </c>
      <c r="G7" s="20"/>
      <c r="H7" s="20"/>
      <c r="I7" s="5"/>
    </row>
    <row r="8" spans="1:9" ht="43.5">
      <c r="B8">
        <v>216392</v>
      </c>
      <c r="C8" s="19" t="s">
        <v>162</v>
      </c>
      <c r="D8" s="5"/>
      <c r="E8" s="20"/>
      <c r="F8" s="20" t="s">
        <v>163</v>
      </c>
      <c r="G8" s="20" t="s">
        <v>164</v>
      </c>
      <c r="H8" s="20"/>
      <c r="I8" s="5" t="s">
        <v>165</v>
      </c>
    </row>
    <row r="9" spans="1:9" ht="72.599999999999994">
      <c r="B9">
        <v>127235</v>
      </c>
      <c r="C9" s="19" t="s">
        <v>166</v>
      </c>
      <c r="D9" s="5"/>
      <c r="E9" s="20" t="s">
        <v>167</v>
      </c>
      <c r="F9" s="20" t="s">
        <v>156</v>
      </c>
      <c r="G9" s="20"/>
      <c r="H9" s="20" t="s">
        <v>168</v>
      </c>
      <c r="I9" s="5"/>
    </row>
    <row r="10" spans="1:9" ht="29.1">
      <c r="B10">
        <v>127145</v>
      </c>
      <c r="C10" s="19" t="s">
        <v>169</v>
      </c>
      <c r="D10" s="5"/>
      <c r="E10" s="5" t="s">
        <v>170</v>
      </c>
      <c r="F10" s="20" t="s">
        <v>156</v>
      </c>
      <c r="G10" s="20"/>
      <c r="H10" s="20" t="s">
        <v>157</v>
      </c>
      <c r="I10" s="5"/>
    </row>
    <row r="11" spans="1:9" ht="57.95">
      <c r="A11" t="s">
        <v>141</v>
      </c>
      <c r="B11">
        <v>127331</v>
      </c>
      <c r="C11" s="19" t="s">
        <v>171</v>
      </c>
      <c r="D11" s="5"/>
      <c r="E11" s="20" t="s">
        <v>155</v>
      </c>
      <c r="F11" s="21" t="s">
        <v>172</v>
      </c>
      <c r="G11" s="20"/>
      <c r="H11" s="20" t="s">
        <v>173</v>
      </c>
      <c r="I11" s="5"/>
    </row>
    <row r="12" spans="1:9" ht="43.5">
      <c r="A12" t="s">
        <v>141</v>
      </c>
      <c r="B12">
        <v>127408</v>
      </c>
      <c r="C12" s="19" t="s">
        <v>174</v>
      </c>
      <c r="D12" s="5"/>
      <c r="E12" s="5"/>
      <c r="F12" s="21" t="s">
        <v>175</v>
      </c>
      <c r="G12" s="20"/>
      <c r="H12" s="20"/>
      <c r="I12" s="5"/>
    </row>
    <row r="13" spans="1:9">
      <c r="A13" t="s">
        <v>141</v>
      </c>
      <c r="B13" t="s">
        <v>176</v>
      </c>
      <c r="C13" s="19" t="s">
        <v>177</v>
      </c>
      <c r="D13" s="5"/>
      <c r="E13" s="5"/>
      <c r="F13" s="7" t="s">
        <v>178</v>
      </c>
      <c r="G13" s="5"/>
      <c r="H13" s="5" t="s">
        <v>179</v>
      </c>
      <c r="I13" s="20" t="s">
        <v>180</v>
      </c>
    </row>
    <row r="14" spans="1:9" ht="43.5">
      <c r="B14">
        <v>418587</v>
      </c>
      <c r="C14" s="19" t="s">
        <v>181</v>
      </c>
      <c r="D14" s="5" t="s">
        <v>182</v>
      </c>
      <c r="E14" s="5" t="s">
        <v>164</v>
      </c>
      <c r="F14" s="20" t="s">
        <v>183</v>
      </c>
      <c r="G14" s="20"/>
      <c r="H14" s="20" t="s">
        <v>184</v>
      </c>
      <c r="I14" s="5"/>
    </row>
    <row r="15" spans="1:9" ht="72.599999999999994">
      <c r="A15" t="s">
        <v>141</v>
      </c>
      <c r="B15">
        <v>127066</v>
      </c>
      <c r="C15" s="19" t="s">
        <v>185</v>
      </c>
      <c r="D15" s="5"/>
      <c r="E15" s="20" t="s">
        <v>186</v>
      </c>
      <c r="F15" s="21" t="s">
        <v>187</v>
      </c>
      <c r="G15" s="20"/>
      <c r="H15" s="20"/>
      <c r="I15" s="5"/>
    </row>
    <row r="16" spans="1:9" ht="57.95">
      <c r="B16">
        <v>127341</v>
      </c>
      <c r="C16" s="19" t="s">
        <v>188</v>
      </c>
      <c r="D16" s="5"/>
      <c r="E16" s="20" t="s">
        <v>155</v>
      </c>
      <c r="F16" s="20" t="s">
        <v>156</v>
      </c>
      <c r="G16" s="20"/>
      <c r="H16" s="20" t="s">
        <v>189</v>
      </c>
      <c r="I16" s="5"/>
    </row>
    <row r="17" spans="1:9" ht="409.5">
      <c r="A17" t="s">
        <v>141</v>
      </c>
      <c r="B17" s="22" t="s">
        <v>190</v>
      </c>
      <c r="C17" s="19" t="s">
        <v>191</v>
      </c>
      <c r="D17" s="5" t="s">
        <v>182</v>
      </c>
      <c r="E17" s="20"/>
      <c r="F17" s="21" t="s">
        <v>192</v>
      </c>
      <c r="G17" s="20"/>
      <c r="H17" s="20" t="s">
        <v>193</v>
      </c>
      <c r="I17" s="5"/>
    </row>
    <row r="18" spans="1:9" ht="43.5">
      <c r="B18">
        <v>104037</v>
      </c>
      <c r="C18" s="19" t="s">
        <v>194</v>
      </c>
      <c r="D18" s="5" t="s">
        <v>182</v>
      </c>
      <c r="E18" s="20" t="s">
        <v>195</v>
      </c>
      <c r="F18" s="20" t="s">
        <v>183</v>
      </c>
      <c r="G18" s="20"/>
      <c r="H18" s="20" t="s">
        <v>196</v>
      </c>
      <c r="I18" s="5"/>
    </row>
    <row r="19" spans="1:9" ht="75" customHeight="1">
      <c r="A19" t="s">
        <v>141</v>
      </c>
      <c r="B19" t="s">
        <v>197</v>
      </c>
      <c r="C19" s="19" t="s">
        <v>198</v>
      </c>
      <c r="D19" s="5"/>
      <c r="E19" s="20" t="s">
        <v>199</v>
      </c>
      <c r="F19" s="20" t="s">
        <v>200</v>
      </c>
      <c r="G19" s="20"/>
      <c r="H19" s="20"/>
      <c r="I19" s="20" t="s">
        <v>201</v>
      </c>
    </row>
    <row r="20" spans="1:9" ht="76.349999999999994" customHeight="1">
      <c r="B20" t="s">
        <v>202</v>
      </c>
      <c r="C20" s="19" t="s">
        <v>203</v>
      </c>
      <c r="D20" s="5"/>
      <c r="E20" s="5"/>
      <c r="F20" s="20" t="s">
        <v>204</v>
      </c>
      <c r="G20" s="20" t="s">
        <v>164</v>
      </c>
      <c r="H20" s="20" t="s">
        <v>205</v>
      </c>
      <c r="I20" s="5"/>
    </row>
    <row r="21" spans="1:9" ht="57.95">
      <c r="A21" t="s">
        <v>141</v>
      </c>
      <c r="B21">
        <v>110038</v>
      </c>
      <c r="C21" s="19" t="s">
        <v>206</v>
      </c>
      <c r="D21" s="5"/>
      <c r="E21" s="20" t="s">
        <v>207</v>
      </c>
      <c r="F21" s="21" t="s">
        <v>187</v>
      </c>
      <c r="G21" s="20"/>
      <c r="H21" s="20"/>
      <c r="I21" s="5"/>
    </row>
    <row r="22" spans="1:9" ht="99" customHeight="1">
      <c r="B22" s="22" t="s">
        <v>208</v>
      </c>
      <c r="C22" s="19" t="s">
        <v>209</v>
      </c>
      <c r="D22" s="5"/>
      <c r="E22" s="20" t="s">
        <v>210</v>
      </c>
      <c r="F22" s="20" t="s">
        <v>211</v>
      </c>
      <c r="G22" s="20" t="s">
        <v>212</v>
      </c>
      <c r="H22" s="20" t="s">
        <v>213</v>
      </c>
      <c r="I22" s="5"/>
    </row>
    <row r="23" spans="1:9" ht="43.5">
      <c r="B23">
        <v>127389</v>
      </c>
      <c r="C23" s="19" t="s">
        <v>214</v>
      </c>
      <c r="D23" s="5"/>
      <c r="E23" s="20" t="s">
        <v>164</v>
      </c>
      <c r="F23" s="20" t="s">
        <v>215</v>
      </c>
      <c r="G23" s="20"/>
      <c r="H23" s="20" t="s">
        <v>216</v>
      </c>
      <c r="I23" s="5"/>
    </row>
    <row r="24" spans="1:9" ht="43.5">
      <c r="B24">
        <v>217360</v>
      </c>
      <c r="C24" s="19" t="s">
        <v>217</v>
      </c>
      <c r="D24" s="5" t="s">
        <v>218</v>
      </c>
      <c r="E24" s="5" t="s">
        <v>164</v>
      </c>
      <c r="F24" s="20" t="s">
        <v>219</v>
      </c>
      <c r="G24" s="20"/>
      <c r="H24" s="20" t="s">
        <v>220</v>
      </c>
      <c r="I24" s="5"/>
    </row>
    <row r="25" spans="1:9" ht="87">
      <c r="B25" t="s">
        <v>221</v>
      </c>
      <c r="C25" s="23" t="s">
        <v>222</v>
      </c>
      <c r="D25" s="5"/>
      <c r="E25" s="20" t="s">
        <v>223</v>
      </c>
      <c r="F25" s="20" t="s">
        <v>224</v>
      </c>
      <c r="G25" s="20"/>
      <c r="H25" s="20" t="s">
        <v>225</v>
      </c>
      <c r="I25" s="5"/>
    </row>
    <row r="26" spans="1:9" ht="101.45">
      <c r="A26" t="s">
        <v>141</v>
      </c>
      <c r="B26" s="22" t="s">
        <v>226</v>
      </c>
      <c r="C26" s="19" t="s">
        <v>227</v>
      </c>
      <c r="D26" s="5"/>
      <c r="E26" s="20" t="s">
        <v>228</v>
      </c>
      <c r="F26" s="21" t="s">
        <v>229</v>
      </c>
      <c r="G26" s="20" t="s">
        <v>230</v>
      </c>
      <c r="H26" s="20" t="s">
        <v>231</v>
      </c>
      <c r="I26" s="5" t="s">
        <v>232</v>
      </c>
    </row>
    <row r="27" spans="1:9" ht="144.94999999999999">
      <c r="A27" t="s">
        <v>141</v>
      </c>
      <c r="B27" s="22" t="s">
        <v>233</v>
      </c>
      <c r="C27" s="19" t="s">
        <v>234</v>
      </c>
      <c r="D27" s="5" t="s">
        <v>182</v>
      </c>
      <c r="E27" s="5" t="s">
        <v>235</v>
      </c>
      <c r="F27" s="24" t="s">
        <v>236</v>
      </c>
      <c r="G27" s="25" t="s">
        <v>237</v>
      </c>
      <c r="H27" s="25" t="s">
        <v>238</v>
      </c>
      <c r="I27" s="5"/>
    </row>
    <row r="28" spans="1:9" ht="381.6" customHeight="1">
      <c r="B28" s="22" t="s">
        <v>239</v>
      </c>
      <c r="C28" s="19" t="s">
        <v>240</v>
      </c>
      <c r="D28" s="5"/>
      <c r="E28" s="5"/>
      <c r="F28" s="21" t="s">
        <v>241</v>
      </c>
      <c r="G28" s="20" t="s">
        <v>242</v>
      </c>
      <c r="H28" s="20" t="s">
        <v>243</v>
      </c>
      <c r="I28" s="20" t="s">
        <v>244</v>
      </c>
    </row>
    <row r="29" spans="1:9" ht="43.5">
      <c r="A29" t="s">
        <v>245</v>
      </c>
      <c r="B29" t="s">
        <v>246</v>
      </c>
      <c r="C29" s="19" t="s">
        <v>247</v>
      </c>
      <c r="D29" s="5"/>
      <c r="E29" s="20" t="s">
        <v>248</v>
      </c>
      <c r="F29" s="21" t="s">
        <v>249</v>
      </c>
      <c r="G29" s="20"/>
      <c r="H29" s="20" t="s">
        <v>250</v>
      </c>
      <c r="I29" s="20"/>
    </row>
    <row r="30" spans="1:9" ht="72.599999999999994">
      <c r="C30" s="18" t="s">
        <v>251</v>
      </c>
      <c r="D30" s="5"/>
      <c r="E30" s="20" t="s">
        <v>252</v>
      </c>
      <c r="F30" s="20" t="s">
        <v>253</v>
      </c>
      <c r="G30" s="20"/>
      <c r="H30" s="20"/>
      <c r="I30" s="5"/>
    </row>
    <row r="31" spans="1:9">
      <c r="C31" s="18" t="s">
        <v>254</v>
      </c>
      <c r="D31" s="5"/>
      <c r="E31" s="5"/>
      <c r="F31" s="5" t="s">
        <v>255</v>
      </c>
      <c r="G31" s="5"/>
      <c r="H31" s="5"/>
      <c r="I31" s="20" t="s">
        <v>180</v>
      </c>
    </row>
    <row r="32" spans="1:9">
      <c r="C32" s="18" t="s">
        <v>256</v>
      </c>
      <c r="D32" s="5"/>
      <c r="E32" s="5"/>
      <c r="F32" s="5" t="s">
        <v>180</v>
      </c>
      <c r="G32" s="5"/>
      <c r="H32" s="5"/>
      <c r="I32" s="20" t="s">
        <v>180</v>
      </c>
    </row>
    <row r="33" spans="1:9" ht="159.6">
      <c r="A33" t="s">
        <v>141</v>
      </c>
      <c r="B33" t="s">
        <v>257</v>
      </c>
      <c r="C33" s="23" t="s">
        <v>258</v>
      </c>
      <c r="D33" s="20"/>
      <c r="E33" s="20" t="s">
        <v>259</v>
      </c>
      <c r="F33" s="21" t="s">
        <v>260</v>
      </c>
      <c r="G33" s="20"/>
      <c r="H33" s="20" t="s">
        <v>261</v>
      </c>
      <c r="I33" s="20" t="s">
        <v>262</v>
      </c>
    </row>
    <row r="34" spans="1:9" ht="290.10000000000002">
      <c r="B34" t="s">
        <v>176</v>
      </c>
      <c r="C34" s="19" t="s">
        <v>263</v>
      </c>
      <c r="D34" s="5" t="s">
        <v>264</v>
      </c>
      <c r="E34" s="20" t="s">
        <v>265</v>
      </c>
      <c r="F34" s="26" t="s">
        <v>266</v>
      </c>
      <c r="G34" s="20"/>
      <c r="H34" s="20" t="s">
        <v>267</v>
      </c>
      <c r="I34" s="5"/>
    </row>
    <row r="35" spans="1:9" ht="144.94999999999999">
      <c r="B35" t="s">
        <v>176</v>
      </c>
      <c r="C35" s="19" t="s">
        <v>268</v>
      </c>
      <c r="D35" s="5" t="s">
        <v>269</v>
      </c>
      <c r="E35" s="20" t="s">
        <v>270</v>
      </c>
      <c r="F35" s="27" t="s">
        <v>271</v>
      </c>
      <c r="G35" s="20"/>
      <c r="H35" s="20"/>
      <c r="I35" s="5"/>
    </row>
    <row r="36" spans="1:9" ht="29.1">
      <c r="B36" s="28" t="s">
        <v>272</v>
      </c>
      <c r="C36" s="19" t="s">
        <v>273</v>
      </c>
      <c r="D36" s="5"/>
      <c r="E36" s="5"/>
      <c r="F36" s="20" t="s">
        <v>156</v>
      </c>
      <c r="G36" s="20"/>
      <c r="H36" s="20" t="s">
        <v>189</v>
      </c>
      <c r="I36" s="5"/>
    </row>
    <row r="37" spans="1:9" ht="29.1">
      <c r="B37">
        <v>127465</v>
      </c>
      <c r="C37" s="19" t="s">
        <v>274</v>
      </c>
      <c r="D37" s="5"/>
      <c r="E37" s="5"/>
      <c r="F37" s="20" t="s">
        <v>156</v>
      </c>
      <c r="G37" s="20"/>
      <c r="H37" s="20" t="s">
        <v>275</v>
      </c>
      <c r="I37" s="5"/>
    </row>
    <row r="38" spans="1:9" ht="57.95">
      <c r="B38">
        <v>127344</v>
      </c>
      <c r="C38" s="19" t="s">
        <v>276</v>
      </c>
      <c r="D38" s="5"/>
      <c r="E38" s="5" t="s">
        <v>277</v>
      </c>
      <c r="F38" s="20" t="s">
        <v>278</v>
      </c>
      <c r="G38" s="20"/>
      <c r="H38" s="20" t="s">
        <v>279</v>
      </c>
      <c r="I38" s="5"/>
    </row>
    <row r="39" spans="1:9" ht="57.95">
      <c r="A39" t="s">
        <v>141</v>
      </c>
      <c r="B39" s="22" t="s">
        <v>280</v>
      </c>
      <c r="C39" s="29" t="s">
        <v>281</v>
      </c>
      <c r="E39" t="s">
        <v>282</v>
      </c>
      <c r="F39" s="30" t="s">
        <v>283</v>
      </c>
    </row>
    <row r="40" spans="1:9" ht="159.6">
      <c r="B40" s="22" t="s">
        <v>284</v>
      </c>
      <c r="C40" s="29" t="s">
        <v>285</v>
      </c>
      <c r="F40" s="22" t="s">
        <v>286</v>
      </c>
    </row>
    <row r="41" spans="1:9" ht="130.5">
      <c r="B41" s="22" t="s">
        <v>287</v>
      </c>
      <c r="C41" s="29" t="s">
        <v>288</v>
      </c>
      <c r="F41" s="22" t="s">
        <v>289</v>
      </c>
    </row>
    <row r="42" spans="1:9" ht="29.1">
      <c r="B42" t="s">
        <v>290</v>
      </c>
      <c r="C42" s="29" t="s">
        <v>291</v>
      </c>
      <c r="F42" s="22" t="s">
        <v>292</v>
      </c>
    </row>
    <row r="55" spans="4:5">
      <c r="D55" t="s">
        <v>293</v>
      </c>
      <c r="E55" t="s">
        <v>294</v>
      </c>
    </row>
    <row r="56" spans="4:5">
      <c r="D56" t="s">
        <v>295</v>
      </c>
    </row>
    <row r="57" spans="4:5">
      <c r="D57" t="s">
        <v>296</v>
      </c>
      <c r="E57" t="s">
        <v>297</v>
      </c>
    </row>
    <row r="58" spans="4:5">
      <c r="D58" t="s">
        <v>264</v>
      </c>
      <c r="E58" t="s">
        <v>263</v>
      </c>
    </row>
    <row r="59" spans="4:5">
      <c r="D59" t="s">
        <v>298</v>
      </c>
      <c r="E59" t="s">
        <v>299</v>
      </c>
    </row>
    <row r="60" spans="4:5">
      <c r="D60" t="s">
        <v>264</v>
      </c>
      <c r="E60" t="s">
        <v>268</v>
      </c>
    </row>
  </sheetData>
  <autoFilter ref="A1:I42" xr:uid="{07576F8C-D2D9-450F-820E-817515153B49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BF7C6-6E2A-4F01-911A-F9E9725A1A49}">
  <sheetPr>
    <tabColor rgb="FF92D050"/>
  </sheetPr>
  <dimension ref="A1:L156"/>
  <sheetViews>
    <sheetView workbookViewId="0">
      <selection activeCell="B1" sqref="B1"/>
    </sheetView>
  </sheetViews>
  <sheetFormatPr defaultRowHeight="14.45"/>
  <cols>
    <col min="5" max="5" width="14.5703125" style="34" customWidth="1"/>
    <col min="6" max="6" width="43.85546875" bestFit="1" customWidth="1"/>
    <col min="9" max="9" width="10" bestFit="1" customWidth="1"/>
    <col min="10" max="10" width="13.140625" customWidth="1"/>
    <col min="11" max="11" width="10" bestFit="1" customWidth="1"/>
    <col min="14" max="14" width="40.5703125" bestFit="1" customWidth="1"/>
  </cols>
  <sheetData>
    <row r="1" spans="1:11" ht="72">
      <c r="A1" t="s">
        <v>300</v>
      </c>
      <c r="B1" t="s">
        <v>301</v>
      </c>
      <c r="C1" t="s">
        <v>302</v>
      </c>
      <c r="D1" t="s">
        <v>303</v>
      </c>
      <c r="E1" s="34" t="s">
        <v>304</v>
      </c>
      <c r="F1" t="s">
        <v>305</v>
      </c>
      <c r="G1" s="32" t="s">
        <v>306</v>
      </c>
      <c r="H1" s="32" t="s">
        <v>307</v>
      </c>
      <c r="I1" s="32" t="s">
        <v>308</v>
      </c>
      <c r="J1" s="32" t="s">
        <v>309</v>
      </c>
      <c r="K1" s="33" t="s">
        <v>310</v>
      </c>
    </row>
    <row r="2" spans="1:11">
      <c r="A2" t="s">
        <v>311</v>
      </c>
      <c r="B2">
        <v>1</v>
      </c>
      <c r="C2" t="str">
        <f>LEFT(E2,6)</f>
        <v>317351</v>
      </c>
      <c r="D2">
        <v>317351</v>
      </c>
      <c r="E2" s="34" t="s">
        <v>312</v>
      </c>
      <c r="F2" t="s">
        <v>313</v>
      </c>
      <c r="G2" t="s">
        <v>314</v>
      </c>
      <c r="H2" t="s">
        <v>315</v>
      </c>
      <c r="I2" t="s">
        <v>44</v>
      </c>
      <c r="J2" t="s">
        <v>316</v>
      </c>
      <c r="K2" s="15" t="str">
        <f>VLOOKUP(I2,[2]LOOKUP!$A:$D,4,FALSE)</f>
        <v>RM</v>
      </c>
    </row>
    <row r="3" spans="1:11">
      <c r="A3" t="s">
        <v>311</v>
      </c>
      <c r="B3">
        <v>1</v>
      </c>
      <c r="C3" t="str">
        <f t="shared" ref="C3:C66" si="0">LEFT(E3,6)</f>
        <v>317351</v>
      </c>
      <c r="D3">
        <v>317351</v>
      </c>
      <c r="E3" s="34" t="s">
        <v>317</v>
      </c>
      <c r="F3" t="s">
        <v>318</v>
      </c>
      <c r="G3" t="s">
        <v>314</v>
      </c>
      <c r="H3" t="s">
        <v>315</v>
      </c>
      <c r="I3" t="s">
        <v>55</v>
      </c>
      <c r="J3" t="s">
        <v>316</v>
      </c>
      <c r="K3" s="15" t="str">
        <f>VLOOKUP(I3,[2]LOOKUP!$A:$D,4,FALSE)</f>
        <v>RM</v>
      </c>
    </row>
    <row r="4" spans="1:11">
      <c r="A4" t="s">
        <v>311</v>
      </c>
      <c r="B4">
        <v>1</v>
      </c>
      <c r="C4" t="str">
        <f t="shared" si="0"/>
        <v>317351</v>
      </c>
      <c r="D4">
        <v>317351</v>
      </c>
      <c r="E4" s="34" t="s">
        <v>319</v>
      </c>
      <c r="F4" t="s">
        <v>320</v>
      </c>
      <c r="G4" t="s">
        <v>314</v>
      </c>
      <c r="H4" t="s">
        <v>315</v>
      </c>
      <c r="I4" t="s">
        <v>100</v>
      </c>
      <c r="J4" t="s">
        <v>316</v>
      </c>
      <c r="K4" s="15" t="str">
        <f>VLOOKUP(I4,[2]LOOKUP!$A:$D,4,FALSE)</f>
        <v>CM</v>
      </c>
    </row>
    <row r="5" spans="1:11">
      <c r="A5" t="s">
        <v>311</v>
      </c>
      <c r="B5">
        <v>1</v>
      </c>
      <c r="C5" t="str">
        <f t="shared" si="0"/>
        <v>317351</v>
      </c>
      <c r="D5">
        <v>317351</v>
      </c>
      <c r="E5" s="34" t="s">
        <v>321</v>
      </c>
      <c r="F5" t="s">
        <v>322</v>
      </c>
      <c r="G5" t="s">
        <v>314</v>
      </c>
      <c r="H5" t="s">
        <v>315</v>
      </c>
      <c r="I5" t="s">
        <v>58</v>
      </c>
      <c r="J5" t="s">
        <v>316</v>
      </c>
      <c r="K5" s="15" t="str">
        <f>VLOOKUP(I5,[2]LOOKUP!$A:$D,4,FALSE)</f>
        <v>CM</v>
      </c>
    </row>
    <row r="6" spans="1:11">
      <c r="A6" t="s">
        <v>311</v>
      </c>
      <c r="B6">
        <v>1</v>
      </c>
      <c r="C6" t="str">
        <f t="shared" si="0"/>
        <v>317351</v>
      </c>
      <c r="D6">
        <v>317351</v>
      </c>
      <c r="E6" s="34" t="s">
        <v>323</v>
      </c>
      <c r="F6" t="s">
        <v>324</v>
      </c>
      <c r="G6" t="s">
        <v>314</v>
      </c>
      <c r="H6" t="s">
        <v>315</v>
      </c>
      <c r="I6" t="s">
        <v>44</v>
      </c>
      <c r="J6" t="s">
        <v>316</v>
      </c>
      <c r="K6" s="15" t="str">
        <f>VLOOKUP(I6,[2]LOOKUP!$A:$D,4,FALSE)</f>
        <v>RM</v>
      </c>
    </row>
    <row r="7" spans="1:11">
      <c r="A7" t="s">
        <v>311</v>
      </c>
      <c r="B7">
        <v>1</v>
      </c>
      <c r="C7" t="str">
        <f t="shared" si="0"/>
        <v>317351</v>
      </c>
      <c r="D7">
        <v>317351</v>
      </c>
      <c r="E7" s="34" t="s">
        <v>325</v>
      </c>
      <c r="F7" t="s">
        <v>326</v>
      </c>
      <c r="G7" t="s">
        <v>314</v>
      </c>
      <c r="H7" t="s">
        <v>315</v>
      </c>
      <c r="I7" t="s">
        <v>58</v>
      </c>
      <c r="J7" t="s">
        <v>316</v>
      </c>
      <c r="K7" s="15" t="str">
        <f>VLOOKUP(I7,[2]LOOKUP!$A:$D,4,FALSE)</f>
        <v>CM</v>
      </c>
    </row>
    <row r="8" spans="1:11">
      <c r="A8" t="s">
        <v>311</v>
      </c>
      <c r="B8">
        <v>1</v>
      </c>
      <c r="C8" t="str">
        <f t="shared" si="0"/>
        <v>317351</v>
      </c>
      <c r="D8">
        <v>317351</v>
      </c>
      <c r="E8" s="34" t="s">
        <v>327</v>
      </c>
      <c r="F8" t="s">
        <v>328</v>
      </c>
      <c r="G8" t="s">
        <v>314</v>
      </c>
      <c r="H8" t="s">
        <v>315</v>
      </c>
      <c r="I8" t="s">
        <v>58</v>
      </c>
      <c r="J8" t="s">
        <v>316</v>
      </c>
      <c r="K8" s="15" t="str">
        <f>VLOOKUP(I8,[2]LOOKUP!$A:$D,4,FALSE)</f>
        <v>CM</v>
      </c>
    </row>
    <row r="9" spans="1:11">
      <c r="A9" t="s">
        <v>329</v>
      </c>
      <c r="B9">
        <v>1</v>
      </c>
      <c r="C9" t="str">
        <f t="shared" si="0"/>
        <v>317351</v>
      </c>
      <c r="D9">
        <v>999999</v>
      </c>
      <c r="E9" s="34">
        <v>317351025</v>
      </c>
      <c r="F9" t="s">
        <v>330</v>
      </c>
      <c r="G9" t="s">
        <v>314</v>
      </c>
      <c r="H9" t="s">
        <v>315</v>
      </c>
      <c r="I9" t="s">
        <v>19</v>
      </c>
      <c r="J9" t="s">
        <v>316</v>
      </c>
      <c r="K9" s="15" t="str">
        <f>VLOOKUP(I9,[2]LOOKUP!$A:$D,4,FALSE)</f>
        <v>RM</v>
      </c>
    </row>
    <row r="10" spans="1:11">
      <c r="A10" t="s">
        <v>311</v>
      </c>
      <c r="B10">
        <v>1</v>
      </c>
      <c r="C10" t="str">
        <f t="shared" si="0"/>
        <v>317351</v>
      </c>
      <c r="D10">
        <v>317351</v>
      </c>
      <c r="E10" s="34" t="s">
        <v>331</v>
      </c>
      <c r="F10" t="s">
        <v>332</v>
      </c>
      <c r="G10" t="s">
        <v>314</v>
      </c>
      <c r="H10" t="s">
        <v>315</v>
      </c>
      <c r="I10" t="s">
        <v>100</v>
      </c>
      <c r="J10" t="s">
        <v>316</v>
      </c>
      <c r="K10" s="15" t="str">
        <f>VLOOKUP(I10,[2]LOOKUP!$A:$D,4,FALSE)</f>
        <v>CM</v>
      </c>
    </row>
    <row r="11" spans="1:11">
      <c r="A11" t="s">
        <v>311</v>
      </c>
      <c r="B11">
        <v>1</v>
      </c>
      <c r="C11" t="str">
        <f t="shared" si="0"/>
        <v>317351</v>
      </c>
      <c r="D11">
        <v>317351</v>
      </c>
      <c r="E11" s="34" t="s">
        <v>333</v>
      </c>
      <c r="F11" t="s">
        <v>334</v>
      </c>
      <c r="G11" t="s">
        <v>314</v>
      </c>
      <c r="H11" t="s">
        <v>315</v>
      </c>
      <c r="I11" t="s">
        <v>58</v>
      </c>
      <c r="J11" t="s">
        <v>316</v>
      </c>
      <c r="K11" s="15" t="str">
        <f>VLOOKUP(I11,[2]LOOKUP!$A:$D,4,FALSE)</f>
        <v>CM</v>
      </c>
    </row>
    <row r="12" spans="1:11">
      <c r="A12" t="s">
        <v>311</v>
      </c>
      <c r="B12">
        <v>1</v>
      </c>
      <c r="C12" t="str">
        <f t="shared" si="0"/>
        <v>317351</v>
      </c>
      <c r="D12">
        <v>317351</v>
      </c>
      <c r="E12" s="34" t="s">
        <v>335</v>
      </c>
      <c r="F12" t="s">
        <v>336</v>
      </c>
      <c r="G12" t="s">
        <v>314</v>
      </c>
      <c r="H12" t="s">
        <v>315</v>
      </c>
      <c r="I12" t="s">
        <v>58</v>
      </c>
      <c r="J12" t="s">
        <v>316</v>
      </c>
      <c r="K12" s="15" t="str">
        <f>VLOOKUP(I12,[2]LOOKUP!$A:$D,4,FALSE)</f>
        <v>CM</v>
      </c>
    </row>
    <row r="13" spans="1:11">
      <c r="A13" t="s">
        <v>311</v>
      </c>
      <c r="B13">
        <v>1</v>
      </c>
      <c r="C13" t="str">
        <f t="shared" si="0"/>
        <v>317351</v>
      </c>
      <c r="D13">
        <v>317351</v>
      </c>
      <c r="E13" s="34" t="s">
        <v>337</v>
      </c>
      <c r="F13" t="s">
        <v>338</v>
      </c>
      <c r="G13" t="s">
        <v>314</v>
      </c>
      <c r="H13" t="s">
        <v>315</v>
      </c>
      <c r="I13" t="s">
        <v>100</v>
      </c>
      <c r="J13" t="s">
        <v>316</v>
      </c>
      <c r="K13" s="15" t="str">
        <f>VLOOKUP(I13,[2]LOOKUP!$A:$D,4,FALSE)</f>
        <v>CM</v>
      </c>
    </row>
    <row r="14" spans="1:11">
      <c r="A14" t="s">
        <v>311</v>
      </c>
      <c r="B14">
        <v>1</v>
      </c>
      <c r="C14" t="str">
        <f t="shared" si="0"/>
        <v>317351</v>
      </c>
      <c r="D14">
        <v>317351</v>
      </c>
      <c r="E14" s="34" t="s">
        <v>339</v>
      </c>
      <c r="F14" t="s">
        <v>340</v>
      </c>
      <c r="G14" t="s">
        <v>314</v>
      </c>
      <c r="H14" t="s">
        <v>315</v>
      </c>
      <c r="I14" t="s">
        <v>100</v>
      </c>
      <c r="J14" t="s">
        <v>316</v>
      </c>
      <c r="K14" s="15" t="str">
        <f>VLOOKUP(I14,[2]LOOKUP!$A:$D,4,FALSE)</f>
        <v>CM</v>
      </c>
    </row>
    <row r="15" spans="1:11">
      <c r="A15" t="s">
        <v>311</v>
      </c>
      <c r="B15">
        <v>1</v>
      </c>
      <c r="C15" t="str">
        <f t="shared" si="0"/>
        <v>317351</v>
      </c>
      <c r="D15">
        <v>317351</v>
      </c>
      <c r="E15" s="34" t="s">
        <v>341</v>
      </c>
      <c r="F15" t="s">
        <v>342</v>
      </c>
      <c r="G15" t="s">
        <v>314</v>
      </c>
      <c r="H15" t="s">
        <v>315</v>
      </c>
      <c r="I15" t="s">
        <v>100</v>
      </c>
      <c r="J15" t="s">
        <v>316</v>
      </c>
      <c r="K15" s="15" t="str">
        <f>VLOOKUP(I15,[2]LOOKUP!$A:$D,4,FALSE)</f>
        <v>CM</v>
      </c>
    </row>
    <row r="16" spans="1:11">
      <c r="A16" t="s">
        <v>311</v>
      </c>
      <c r="B16">
        <v>1</v>
      </c>
      <c r="C16" t="str">
        <f t="shared" si="0"/>
        <v>317351</v>
      </c>
      <c r="D16">
        <v>317351</v>
      </c>
      <c r="E16" s="34" t="s">
        <v>343</v>
      </c>
      <c r="F16" t="s">
        <v>344</v>
      </c>
      <c r="G16" t="s">
        <v>314</v>
      </c>
      <c r="H16" t="s">
        <v>315</v>
      </c>
      <c r="I16" t="s">
        <v>100</v>
      </c>
      <c r="J16" t="s">
        <v>316</v>
      </c>
      <c r="K16" s="15" t="str">
        <f>VLOOKUP(I16,[2]LOOKUP!$A:$D,4,FALSE)</f>
        <v>CM</v>
      </c>
    </row>
    <row r="17" spans="1:11">
      <c r="A17" t="s">
        <v>311</v>
      </c>
      <c r="B17">
        <v>1</v>
      </c>
      <c r="C17" t="str">
        <f t="shared" si="0"/>
        <v>317351</v>
      </c>
      <c r="D17">
        <v>317351</v>
      </c>
      <c r="E17" s="34" t="s">
        <v>345</v>
      </c>
      <c r="F17" t="s">
        <v>346</v>
      </c>
      <c r="G17" t="s">
        <v>314</v>
      </c>
      <c r="H17" t="s">
        <v>315</v>
      </c>
      <c r="I17" t="s">
        <v>100</v>
      </c>
      <c r="J17" t="s">
        <v>316</v>
      </c>
      <c r="K17" s="15" t="str">
        <f>VLOOKUP(I17,[2]LOOKUP!$A:$D,4,FALSE)</f>
        <v>CM</v>
      </c>
    </row>
    <row r="18" spans="1:11">
      <c r="A18" t="s">
        <v>311</v>
      </c>
      <c r="B18">
        <v>1</v>
      </c>
      <c r="C18" t="str">
        <f t="shared" si="0"/>
        <v>317351</v>
      </c>
      <c r="D18">
        <v>317351</v>
      </c>
      <c r="E18" s="34" t="s">
        <v>347</v>
      </c>
      <c r="F18" t="s">
        <v>348</v>
      </c>
      <c r="G18" t="s">
        <v>314</v>
      </c>
      <c r="H18" t="s">
        <v>315</v>
      </c>
      <c r="I18" t="s">
        <v>100</v>
      </c>
      <c r="J18" t="s">
        <v>316</v>
      </c>
      <c r="K18" s="15" t="str">
        <f>VLOOKUP(I18,[2]LOOKUP!$A:$D,4,FALSE)</f>
        <v>CM</v>
      </c>
    </row>
    <row r="19" spans="1:11">
      <c r="A19" t="s">
        <v>311</v>
      </c>
      <c r="B19">
        <v>1</v>
      </c>
      <c r="C19" t="str">
        <f t="shared" si="0"/>
        <v>317351</v>
      </c>
      <c r="D19">
        <v>317351</v>
      </c>
      <c r="E19" s="34" t="s">
        <v>349</v>
      </c>
      <c r="F19" t="s">
        <v>350</v>
      </c>
      <c r="G19" t="s">
        <v>314</v>
      </c>
      <c r="H19" t="s">
        <v>315</v>
      </c>
      <c r="I19" t="s">
        <v>100</v>
      </c>
      <c r="J19" t="s">
        <v>316</v>
      </c>
      <c r="K19" s="15" t="str">
        <f>VLOOKUP(I19,[2]LOOKUP!$A:$D,4,FALSE)</f>
        <v>CM</v>
      </c>
    </row>
    <row r="20" spans="1:11">
      <c r="A20" t="s">
        <v>311</v>
      </c>
      <c r="B20">
        <v>1</v>
      </c>
      <c r="C20" t="str">
        <f t="shared" si="0"/>
        <v>317351</v>
      </c>
      <c r="D20">
        <v>317351</v>
      </c>
      <c r="E20" s="34" t="s">
        <v>351</v>
      </c>
      <c r="F20" t="s">
        <v>352</v>
      </c>
      <c r="G20" t="s">
        <v>314</v>
      </c>
      <c r="H20" t="s">
        <v>315</v>
      </c>
      <c r="I20" t="s">
        <v>44</v>
      </c>
      <c r="J20" t="s">
        <v>316</v>
      </c>
      <c r="K20" s="15" t="str">
        <f>VLOOKUP(I20,[2]LOOKUP!$A:$D,4,FALSE)</f>
        <v>RM</v>
      </c>
    </row>
    <row r="21" spans="1:11">
      <c r="A21" t="s">
        <v>311</v>
      </c>
      <c r="B21">
        <v>1</v>
      </c>
      <c r="C21" t="str">
        <f t="shared" si="0"/>
        <v>317351</v>
      </c>
      <c r="D21">
        <v>317351</v>
      </c>
      <c r="E21" s="34" t="s">
        <v>353</v>
      </c>
      <c r="F21" t="s">
        <v>354</v>
      </c>
      <c r="G21" t="s">
        <v>314</v>
      </c>
      <c r="H21" t="s">
        <v>315</v>
      </c>
      <c r="I21" t="s">
        <v>55</v>
      </c>
      <c r="J21" t="s">
        <v>316</v>
      </c>
      <c r="K21" s="15" t="str">
        <f>VLOOKUP(I21,[2]LOOKUP!$A:$D,4,FALSE)</f>
        <v>RM</v>
      </c>
    </row>
    <row r="22" spans="1:11">
      <c r="A22" t="s">
        <v>311</v>
      </c>
      <c r="B22">
        <v>1</v>
      </c>
      <c r="C22" t="str">
        <f t="shared" si="0"/>
        <v>317351</v>
      </c>
      <c r="D22">
        <v>317351</v>
      </c>
      <c r="E22" s="34" t="s">
        <v>355</v>
      </c>
      <c r="F22" t="s">
        <v>356</v>
      </c>
      <c r="G22" t="s">
        <v>314</v>
      </c>
      <c r="H22" t="s">
        <v>315</v>
      </c>
      <c r="I22" t="s">
        <v>44</v>
      </c>
      <c r="J22" t="s">
        <v>316</v>
      </c>
      <c r="K22" s="15" t="str">
        <f>VLOOKUP(I22,[2]LOOKUP!$A:$D,4,FALSE)</f>
        <v>RM</v>
      </c>
    </row>
    <row r="23" spans="1:11">
      <c r="A23" t="s">
        <v>329</v>
      </c>
      <c r="B23">
        <v>1</v>
      </c>
      <c r="C23" t="str">
        <f t="shared" si="0"/>
        <v>317351</v>
      </c>
      <c r="D23">
        <v>999999</v>
      </c>
      <c r="E23" s="34">
        <v>317351071</v>
      </c>
      <c r="F23" t="s">
        <v>357</v>
      </c>
      <c r="G23" t="s">
        <v>314</v>
      </c>
      <c r="H23" t="s">
        <v>315</v>
      </c>
      <c r="I23" t="s">
        <v>19</v>
      </c>
      <c r="J23" t="s">
        <v>316</v>
      </c>
      <c r="K23" s="15" t="str">
        <f>VLOOKUP(I23,[2]LOOKUP!$A:$D,4,FALSE)</f>
        <v>RM</v>
      </c>
    </row>
    <row r="24" spans="1:11">
      <c r="A24" t="s">
        <v>311</v>
      </c>
      <c r="B24">
        <v>1</v>
      </c>
      <c r="C24" t="str">
        <f t="shared" si="0"/>
        <v>317351</v>
      </c>
      <c r="D24">
        <v>317351</v>
      </c>
      <c r="E24" s="34" t="s">
        <v>358</v>
      </c>
      <c r="F24" t="s">
        <v>359</v>
      </c>
      <c r="G24" t="s">
        <v>314</v>
      </c>
      <c r="H24" t="s">
        <v>315</v>
      </c>
      <c r="I24" t="s">
        <v>58</v>
      </c>
      <c r="J24" t="s">
        <v>316</v>
      </c>
      <c r="K24" s="15" t="str">
        <f>VLOOKUP(I24,[2]LOOKUP!$A:$D,4,FALSE)</f>
        <v>CM</v>
      </c>
    </row>
    <row r="25" spans="1:11">
      <c r="A25" t="s">
        <v>311</v>
      </c>
      <c r="B25">
        <v>1</v>
      </c>
      <c r="C25" t="str">
        <f t="shared" si="0"/>
        <v>317351</v>
      </c>
      <c r="D25">
        <v>317351</v>
      </c>
      <c r="E25" s="34" t="s">
        <v>360</v>
      </c>
      <c r="F25" t="s">
        <v>361</v>
      </c>
      <c r="G25" t="s">
        <v>314</v>
      </c>
      <c r="H25" t="s">
        <v>315</v>
      </c>
      <c r="I25" t="s">
        <v>58</v>
      </c>
      <c r="J25" t="s">
        <v>316</v>
      </c>
      <c r="K25" s="15" t="str">
        <f>VLOOKUP(I25,[2]LOOKUP!$A:$D,4,FALSE)</f>
        <v>CM</v>
      </c>
    </row>
    <row r="26" spans="1:11">
      <c r="A26" t="s">
        <v>311</v>
      </c>
      <c r="B26">
        <v>1</v>
      </c>
      <c r="C26" t="str">
        <f t="shared" si="0"/>
        <v>317351</v>
      </c>
      <c r="D26">
        <v>317351</v>
      </c>
      <c r="E26" s="34" t="s">
        <v>362</v>
      </c>
      <c r="F26" t="s">
        <v>363</v>
      </c>
      <c r="G26" t="s">
        <v>314</v>
      </c>
      <c r="H26" t="s">
        <v>315</v>
      </c>
      <c r="I26" t="s">
        <v>58</v>
      </c>
      <c r="J26" t="s">
        <v>316</v>
      </c>
      <c r="K26" s="15" t="str">
        <f>VLOOKUP(I26,[2]LOOKUP!$A:$D,4,FALSE)</f>
        <v>CM</v>
      </c>
    </row>
    <row r="27" spans="1:11">
      <c r="A27" t="s">
        <v>311</v>
      </c>
      <c r="B27">
        <v>1</v>
      </c>
      <c r="C27" t="str">
        <f t="shared" si="0"/>
        <v>317351</v>
      </c>
      <c r="D27">
        <v>317351</v>
      </c>
      <c r="E27" s="34" t="s">
        <v>364</v>
      </c>
      <c r="F27" t="s">
        <v>365</v>
      </c>
      <c r="G27" t="s">
        <v>314</v>
      </c>
      <c r="H27" t="s">
        <v>315</v>
      </c>
      <c r="I27" t="s">
        <v>100</v>
      </c>
      <c r="J27" t="s">
        <v>316</v>
      </c>
      <c r="K27" s="15" t="str">
        <f>VLOOKUP(I27,[2]LOOKUP!$A:$D,4,FALSE)</f>
        <v>CM</v>
      </c>
    </row>
    <row r="28" spans="1:11">
      <c r="A28" t="s">
        <v>311</v>
      </c>
      <c r="B28">
        <v>1</v>
      </c>
      <c r="C28" t="str">
        <f t="shared" si="0"/>
        <v>317351</v>
      </c>
      <c r="D28">
        <v>317351</v>
      </c>
      <c r="E28" s="34" t="s">
        <v>366</v>
      </c>
      <c r="F28" t="s">
        <v>367</v>
      </c>
      <c r="G28" t="s">
        <v>314</v>
      </c>
      <c r="H28" t="s">
        <v>315</v>
      </c>
      <c r="I28" t="s">
        <v>44</v>
      </c>
      <c r="J28" t="s">
        <v>316</v>
      </c>
      <c r="K28" s="15" t="str">
        <f>VLOOKUP(I28,[2]LOOKUP!$A:$D,4,FALSE)</f>
        <v>RM</v>
      </c>
    </row>
    <row r="29" spans="1:11">
      <c r="A29" t="s">
        <v>311</v>
      </c>
      <c r="B29">
        <v>1</v>
      </c>
      <c r="C29" t="str">
        <f t="shared" si="0"/>
        <v>317351</v>
      </c>
      <c r="D29">
        <v>317351</v>
      </c>
      <c r="E29" s="34" t="s">
        <v>368</v>
      </c>
      <c r="F29" t="s">
        <v>369</v>
      </c>
      <c r="G29" t="s">
        <v>314</v>
      </c>
      <c r="H29" t="s">
        <v>315</v>
      </c>
      <c r="I29" t="s">
        <v>44</v>
      </c>
      <c r="J29" t="s">
        <v>316</v>
      </c>
      <c r="K29" s="15" t="str">
        <f>VLOOKUP(I29,[2]LOOKUP!$A:$D,4,FALSE)</f>
        <v>RM</v>
      </c>
    </row>
    <row r="30" spans="1:11">
      <c r="A30" t="s">
        <v>311</v>
      </c>
      <c r="B30">
        <v>1</v>
      </c>
      <c r="C30" t="str">
        <f t="shared" si="0"/>
        <v>317351</v>
      </c>
      <c r="D30">
        <v>317351</v>
      </c>
      <c r="E30" s="34" t="s">
        <v>370</v>
      </c>
      <c r="F30" t="s">
        <v>371</v>
      </c>
      <c r="G30" t="s">
        <v>314</v>
      </c>
      <c r="H30" t="s">
        <v>315</v>
      </c>
      <c r="I30" t="s">
        <v>58</v>
      </c>
      <c r="J30" t="s">
        <v>316</v>
      </c>
      <c r="K30" s="15" t="str">
        <f>VLOOKUP(I30,[2]LOOKUP!$A:$D,4,FALSE)</f>
        <v>CM</v>
      </c>
    </row>
    <row r="31" spans="1:11">
      <c r="A31" t="s">
        <v>311</v>
      </c>
      <c r="B31">
        <v>1</v>
      </c>
      <c r="C31" t="str">
        <f t="shared" si="0"/>
        <v>317351</v>
      </c>
      <c r="D31">
        <v>317351</v>
      </c>
      <c r="E31" s="34" t="s">
        <v>372</v>
      </c>
      <c r="F31" t="s">
        <v>373</v>
      </c>
      <c r="G31" t="s">
        <v>314</v>
      </c>
      <c r="H31" t="s">
        <v>315</v>
      </c>
      <c r="I31" t="s">
        <v>100</v>
      </c>
      <c r="J31" t="s">
        <v>316</v>
      </c>
      <c r="K31" s="15" t="str">
        <f>VLOOKUP(I31,[2]LOOKUP!$A:$D,4,FALSE)</f>
        <v>CM</v>
      </c>
    </row>
    <row r="32" spans="1:11">
      <c r="A32" t="s">
        <v>311</v>
      </c>
      <c r="B32">
        <v>1</v>
      </c>
      <c r="C32" t="str">
        <f t="shared" si="0"/>
        <v>317351</v>
      </c>
      <c r="D32">
        <v>317351</v>
      </c>
      <c r="E32" s="34" t="s">
        <v>374</v>
      </c>
      <c r="F32" t="s">
        <v>375</v>
      </c>
      <c r="G32" t="s">
        <v>314</v>
      </c>
      <c r="H32" t="s">
        <v>315</v>
      </c>
      <c r="I32" t="s">
        <v>100</v>
      </c>
      <c r="J32" t="s">
        <v>316</v>
      </c>
      <c r="K32" s="15" t="str">
        <f>VLOOKUP(I32,[2]LOOKUP!$A:$D,4,FALSE)</f>
        <v>CM</v>
      </c>
    </row>
    <row r="33" spans="1:12">
      <c r="A33" t="s">
        <v>376</v>
      </c>
      <c r="B33">
        <v>2</v>
      </c>
      <c r="C33" t="str">
        <f t="shared" si="0"/>
        <v>317351</v>
      </c>
      <c r="D33">
        <v>999998</v>
      </c>
      <c r="E33" s="34">
        <v>317351090</v>
      </c>
      <c r="F33" t="s">
        <v>377</v>
      </c>
      <c r="G33" t="s">
        <v>314</v>
      </c>
      <c r="H33" t="s">
        <v>378</v>
      </c>
      <c r="I33" t="s">
        <v>35</v>
      </c>
      <c r="J33" t="s">
        <v>316</v>
      </c>
      <c r="K33" s="15" t="str">
        <f>VLOOKUP(I33,[2]LOOKUP!$A:$D,4,FALSE)</f>
        <v>RM</v>
      </c>
      <c r="L33" t="s">
        <v>379</v>
      </c>
    </row>
    <row r="34" spans="1:12">
      <c r="A34" t="s">
        <v>376</v>
      </c>
      <c r="B34">
        <v>2</v>
      </c>
      <c r="C34" t="str">
        <f t="shared" si="0"/>
        <v>317351</v>
      </c>
      <c r="D34">
        <v>999998</v>
      </c>
      <c r="E34" s="34">
        <v>317351091</v>
      </c>
      <c r="F34" t="s">
        <v>380</v>
      </c>
      <c r="G34" t="s">
        <v>314</v>
      </c>
      <c r="H34" t="s">
        <v>378</v>
      </c>
      <c r="I34" t="s">
        <v>35</v>
      </c>
      <c r="J34" t="s">
        <v>316</v>
      </c>
      <c r="K34" s="15" t="str">
        <f>VLOOKUP(I34,[2]LOOKUP!$A:$D,4,FALSE)</f>
        <v>RM</v>
      </c>
      <c r="L34" t="s">
        <v>381</v>
      </c>
    </row>
    <row r="35" spans="1:12">
      <c r="A35" t="s">
        <v>376</v>
      </c>
      <c r="B35">
        <v>2</v>
      </c>
      <c r="C35" t="str">
        <f t="shared" si="0"/>
        <v>317351</v>
      </c>
      <c r="D35">
        <v>999998</v>
      </c>
      <c r="E35" s="34">
        <v>317351092</v>
      </c>
      <c r="F35" t="s">
        <v>382</v>
      </c>
      <c r="G35" t="s">
        <v>314</v>
      </c>
      <c r="H35" t="s">
        <v>378</v>
      </c>
      <c r="I35" t="s">
        <v>35</v>
      </c>
      <c r="J35" t="s">
        <v>316</v>
      </c>
      <c r="K35" s="15" t="str">
        <f>VLOOKUP(I35,[2]LOOKUP!$A:$D,4,FALSE)</f>
        <v>RM</v>
      </c>
      <c r="L35" t="s">
        <v>383</v>
      </c>
    </row>
    <row r="36" spans="1:12">
      <c r="A36" t="s">
        <v>376</v>
      </c>
      <c r="B36">
        <v>2</v>
      </c>
      <c r="C36" t="str">
        <f t="shared" si="0"/>
        <v>317351</v>
      </c>
      <c r="D36">
        <v>999998</v>
      </c>
      <c r="E36" s="34">
        <v>317351093</v>
      </c>
      <c r="F36" t="s">
        <v>384</v>
      </c>
      <c r="G36" t="s">
        <v>314</v>
      </c>
      <c r="H36" t="s">
        <v>378</v>
      </c>
      <c r="I36" t="s">
        <v>35</v>
      </c>
      <c r="J36" t="s">
        <v>316</v>
      </c>
      <c r="K36" s="15" t="str">
        <f>VLOOKUP(I36,[2]LOOKUP!$A:$D,4,FALSE)</f>
        <v>RM</v>
      </c>
      <c r="L36" t="s">
        <v>385</v>
      </c>
    </row>
    <row r="37" spans="1:12">
      <c r="A37" t="s">
        <v>376</v>
      </c>
      <c r="B37">
        <v>2</v>
      </c>
      <c r="C37" t="str">
        <f t="shared" si="0"/>
        <v>317351</v>
      </c>
      <c r="D37">
        <v>999998</v>
      </c>
      <c r="E37" s="34">
        <v>317351094</v>
      </c>
      <c r="F37" t="s">
        <v>386</v>
      </c>
      <c r="G37" t="s">
        <v>314</v>
      </c>
      <c r="H37" t="s">
        <v>378</v>
      </c>
      <c r="I37" t="s">
        <v>35</v>
      </c>
      <c r="J37" t="s">
        <v>316</v>
      </c>
      <c r="K37" s="15" t="str">
        <f>VLOOKUP(I37,[2]LOOKUP!$A:$D,4,FALSE)</f>
        <v>RM</v>
      </c>
      <c r="L37" t="s">
        <v>387</v>
      </c>
    </row>
    <row r="38" spans="1:12">
      <c r="A38" t="s">
        <v>376</v>
      </c>
      <c r="B38">
        <v>2</v>
      </c>
      <c r="C38" t="str">
        <f t="shared" si="0"/>
        <v>317351</v>
      </c>
      <c r="D38">
        <v>999998</v>
      </c>
      <c r="E38" s="34">
        <v>317351095</v>
      </c>
      <c r="F38" t="s">
        <v>388</v>
      </c>
      <c r="G38" t="s">
        <v>314</v>
      </c>
      <c r="H38" t="s">
        <v>378</v>
      </c>
      <c r="I38" t="s">
        <v>35</v>
      </c>
      <c r="J38" t="s">
        <v>316</v>
      </c>
      <c r="K38" s="15" t="str">
        <f>VLOOKUP(I38,[2]LOOKUP!$A:$D,4,FALSE)</f>
        <v>RM</v>
      </c>
      <c r="L38" t="s">
        <v>389</v>
      </c>
    </row>
    <row r="39" spans="1:12">
      <c r="A39" t="s">
        <v>376</v>
      </c>
      <c r="B39">
        <v>2</v>
      </c>
      <c r="C39" t="str">
        <f t="shared" si="0"/>
        <v>317351</v>
      </c>
      <c r="D39">
        <v>999998</v>
      </c>
      <c r="E39" s="34">
        <v>317351096</v>
      </c>
      <c r="F39" t="s">
        <v>390</v>
      </c>
      <c r="G39" t="s">
        <v>314</v>
      </c>
      <c r="H39" t="s">
        <v>378</v>
      </c>
      <c r="I39" t="s">
        <v>35</v>
      </c>
      <c r="J39" t="s">
        <v>316</v>
      </c>
      <c r="K39" s="15" t="str">
        <f>VLOOKUP(I39,[2]LOOKUP!$A:$D,4,FALSE)</f>
        <v>RM</v>
      </c>
      <c r="L39" t="s">
        <v>391</v>
      </c>
    </row>
    <row r="40" spans="1:12">
      <c r="A40" t="s">
        <v>376</v>
      </c>
      <c r="B40">
        <v>2</v>
      </c>
      <c r="C40" t="str">
        <f t="shared" si="0"/>
        <v>317351</v>
      </c>
      <c r="D40">
        <v>999998</v>
      </c>
      <c r="E40" s="34">
        <v>317351097</v>
      </c>
      <c r="F40" t="s">
        <v>392</v>
      </c>
      <c r="G40" t="s">
        <v>314</v>
      </c>
      <c r="H40" t="s">
        <v>378</v>
      </c>
      <c r="I40" t="s">
        <v>35</v>
      </c>
      <c r="J40" t="s">
        <v>316</v>
      </c>
      <c r="K40" s="15" t="str">
        <f>VLOOKUP(I40,[2]LOOKUP!$A:$D,4,FALSE)</f>
        <v>RM</v>
      </c>
      <c r="L40" t="s">
        <v>393</v>
      </c>
    </row>
    <row r="41" spans="1:12">
      <c r="A41" t="s">
        <v>376</v>
      </c>
      <c r="B41">
        <v>2</v>
      </c>
      <c r="C41" t="str">
        <f t="shared" si="0"/>
        <v>317351</v>
      </c>
      <c r="D41">
        <v>999998</v>
      </c>
      <c r="E41" s="34">
        <v>317351098</v>
      </c>
      <c r="F41" t="s">
        <v>394</v>
      </c>
      <c r="G41" t="s">
        <v>314</v>
      </c>
      <c r="H41" t="s">
        <v>378</v>
      </c>
      <c r="I41" t="s">
        <v>35</v>
      </c>
      <c r="J41" t="s">
        <v>316</v>
      </c>
      <c r="K41" s="15" t="str">
        <f>VLOOKUP(I41,[2]LOOKUP!$A:$D,4,FALSE)</f>
        <v>RM</v>
      </c>
      <c r="L41" t="s">
        <v>395</v>
      </c>
    </row>
    <row r="42" spans="1:12">
      <c r="A42" t="s">
        <v>376</v>
      </c>
      <c r="B42">
        <v>2</v>
      </c>
      <c r="C42" t="str">
        <f t="shared" si="0"/>
        <v>317351</v>
      </c>
      <c r="D42">
        <v>999998</v>
      </c>
      <c r="E42" s="34">
        <v>317351099</v>
      </c>
      <c r="F42" t="s">
        <v>396</v>
      </c>
      <c r="G42" t="s">
        <v>314</v>
      </c>
      <c r="H42" t="s">
        <v>378</v>
      </c>
      <c r="I42" t="s">
        <v>35</v>
      </c>
      <c r="J42" t="s">
        <v>316</v>
      </c>
      <c r="K42" s="15" t="str">
        <f>VLOOKUP(I42,[2]LOOKUP!$A:$D,4,FALSE)</f>
        <v>RM</v>
      </c>
      <c r="L42" t="s">
        <v>397</v>
      </c>
    </row>
    <row r="43" spans="1:12">
      <c r="A43" t="s">
        <v>376</v>
      </c>
      <c r="B43">
        <v>2</v>
      </c>
      <c r="C43" t="str">
        <f t="shared" si="0"/>
        <v>317351</v>
      </c>
      <c r="D43">
        <v>999998</v>
      </c>
      <c r="E43" s="34">
        <v>317351100</v>
      </c>
      <c r="F43" t="s">
        <v>398</v>
      </c>
      <c r="G43" t="s">
        <v>314</v>
      </c>
      <c r="H43" t="s">
        <v>378</v>
      </c>
      <c r="I43" t="s">
        <v>35</v>
      </c>
      <c r="J43" t="s">
        <v>316</v>
      </c>
      <c r="K43" s="15" t="str">
        <f>VLOOKUP(I43,[2]LOOKUP!$A:$D,4,FALSE)</f>
        <v>RM</v>
      </c>
      <c r="L43" t="s">
        <v>399</v>
      </c>
    </row>
    <row r="44" spans="1:12">
      <c r="A44" t="s">
        <v>376</v>
      </c>
      <c r="B44">
        <v>2</v>
      </c>
      <c r="C44" t="str">
        <f t="shared" si="0"/>
        <v>317351</v>
      </c>
      <c r="D44">
        <v>999998</v>
      </c>
      <c r="E44" s="34">
        <v>317351101</v>
      </c>
      <c r="F44" t="s">
        <v>400</v>
      </c>
      <c r="G44" t="s">
        <v>314</v>
      </c>
      <c r="H44" t="s">
        <v>378</v>
      </c>
      <c r="I44" t="s">
        <v>35</v>
      </c>
      <c r="J44" t="s">
        <v>316</v>
      </c>
      <c r="K44" s="15" t="str">
        <f>VLOOKUP(I44,[2]LOOKUP!$A:$D,4,FALSE)</f>
        <v>RM</v>
      </c>
      <c r="L44" t="s">
        <v>401</v>
      </c>
    </row>
    <row r="45" spans="1:12">
      <c r="A45" t="s">
        <v>376</v>
      </c>
      <c r="B45">
        <v>2</v>
      </c>
      <c r="C45" t="str">
        <f t="shared" si="0"/>
        <v>317351</v>
      </c>
      <c r="D45">
        <v>999998</v>
      </c>
      <c r="E45" s="34">
        <v>317351102</v>
      </c>
      <c r="F45" t="s">
        <v>402</v>
      </c>
      <c r="G45" t="s">
        <v>314</v>
      </c>
      <c r="H45" t="s">
        <v>378</v>
      </c>
      <c r="I45" t="s">
        <v>35</v>
      </c>
      <c r="J45" t="s">
        <v>316</v>
      </c>
      <c r="K45" s="15" t="str">
        <f>VLOOKUP(I45,[2]LOOKUP!$A:$D,4,FALSE)</f>
        <v>RM</v>
      </c>
      <c r="L45" t="s">
        <v>403</v>
      </c>
    </row>
    <row r="46" spans="1:12">
      <c r="A46" t="s">
        <v>376</v>
      </c>
      <c r="B46">
        <v>2</v>
      </c>
      <c r="C46" t="str">
        <f t="shared" si="0"/>
        <v>317351</v>
      </c>
      <c r="D46">
        <v>999998</v>
      </c>
      <c r="E46" s="34">
        <v>317351103</v>
      </c>
      <c r="F46" t="s">
        <v>404</v>
      </c>
      <c r="G46" t="s">
        <v>314</v>
      </c>
      <c r="H46" t="s">
        <v>378</v>
      </c>
      <c r="I46" t="s">
        <v>35</v>
      </c>
      <c r="J46" t="s">
        <v>316</v>
      </c>
      <c r="K46" s="15" t="str">
        <f>VLOOKUP(I46,[2]LOOKUP!$A:$D,4,FALSE)</f>
        <v>RM</v>
      </c>
      <c r="L46" t="s">
        <v>405</v>
      </c>
    </row>
    <row r="47" spans="1:12">
      <c r="A47" t="s">
        <v>376</v>
      </c>
      <c r="B47">
        <v>2</v>
      </c>
      <c r="C47" t="str">
        <f t="shared" si="0"/>
        <v>317351</v>
      </c>
      <c r="D47">
        <v>999998</v>
      </c>
      <c r="E47" s="34">
        <v>317351104</v>
      </c>
      <c r="F47" t="s">
        <v>406</v>
      </c>
      <c r="G47" t="s">
        <v>314</v>
      </c>
      <c r="H47" t="s">
        <v>378</v>
      </c>
      <c r="I47" t="s">
        <v>35</v>
      </c>
      <c r="J47" t="s">
        <v>316</v>
      </c>
      <c r="K47" s="15" t="str">
        <f>VLOOKUP(I47,[2]LOOKUP!$A:$D,4,FALSE)</f>
        <v>RM</v>
      </c>
      <c r="L47" t="s">
        <v>407</v>
      </c>
    </row>
    <row r="48" spans="1:12">
      <c r="A48" t="s">
        <v>376</v>
      </c>
      <c r="B48">
        <v>2</v>
      </c>
      <c r="C48" t="str">
        <f t="shared" si="0"/>
        <v>317351</v>
      </c>
      <c r="D48">
        <v>999998</v>
      </c>
      <c r="E48" s="34">
        <v>317351105</v>
      </c>
      <c r="F48" t="s">
        <v>408</v>
      </c>
      <c r="G48" t="s">
        <v>314</v>
      </c>
      <c r="H48" t="s">
        <v>378</v>
      </c>
      <c r="I48" t="s">
        <v>35</v>
      </c>
      <c r="J48" t="s">
        <v>316</v>
      </c>
      <c r="K48" s="15" t="str">
        <f>VLOOKUP(I48,[2]LOOKUP!$A:$D,4,FALSE)</f>
        <v>RM</v>
      </c>
      <c r="L48" t="s">
        <v>409</v>
      </c>
    </row>
    <row r="49" spans="1:12">
      <c r="A49" t="s">
        <v>376</v>
      </c>
      <c r="B49">
        <v>2</v>
      </c>
      <c r="C49" t="str">
        <f t="shared" si="0"/>
        <v>317351</v>
      </c>
      <c r="D49">
        <v>999998</v>
      </c>
      <c r="E49" s="34">
        <v>317351136</v>
      </c>
      <c r="F49" t="s">
        <v>410</v>
      </c>
      <c r="G49" t="s">
        <v>314</v>
      </c>
      <c r="H49" t="s">
        <v>411</v>
      </c>
      <c r="I49" t="s">
        <v>115</v>
      </c>
      <c r="J49" t="s">
        <v>115</v>
      </c>
      <c r="K49" s="15" t="str">
        <f>VLOOKUP(I49,[2]LOOKUP!$A:$D,4,FALSE)</f>
        <v>RM</v>
      </c>
    </row>
    <row r="50" spans="1:12">
      <c r="A50" t="s">
        <v>376</v>
      </c>
      <c r="B50">
        <v>2</v>
      </c>
      <c r="C50" t="str">
        <f t="shared" si="0"/>
        <v>317351</v>
      </c>
      <c r="D50">
        <v>999998</v>
      </c>
      <c r="E50" s="34" t="s">
        <v>412</v>
      </c>
      <c r="F50" t="s">
        <v>413</v>
      </c>
      <c r="G50" t="s">
        <v>314</v>
      </c>
      <c r="H50" t="s">
        <v>113</v>
      </c>
      <c r="I50" t="s">
        <v>113</v>
      </c>
      <c r="J50" t="s">
        <v>414</v>
      </c>
      <c r="K50" s="15" t="str">
        <f>VLOOKUP(I50,[2]LOOKUP!$A:$D,4,FALSE)</f>
        <v>CM</v>
      </c>
    </row>
    <row r="51" spans="1:12">
      <c r="A51" t="s">
        <v>376</v>
      </c>
      <c r="B51">
        <v>2</v>
      </c>
      <c r="C51" t="str">
        <f t="shared" si="0"/>
        <v>317351</v>
      </c>
      <c r="D51">
        <v>999998</v>
      </c>
      <c r="E51" s="34">
        <v>317351139</v>
      </c>
      <c r="F51" t="s">
        <v>415</v>
      </c>
      <c r="G51" t="s">
        <v>314</v>
      </c>
      <c r="H51" t="s">
        <v>378</v>
      </c>
      <c r="I51" t="s">
        <v>35</v>
      </c>
      <c r="J51" t="s">
        <v>316</v>
      </c>
      <c r="K51" s="15" t="str">
        <f>VLOOKUP(I51,[2]LOOKUP!$A:$D,4,FALSE)</f>
        <v>RM</v>
      </c>
      <c r="L51" t="s">
        <v>416</v>
      </c>
    </row>
    <row r="52" spans="1:12">
      <c r="A52" t="s">
        <v>376</v>
      </c>
      <c r="B52">
        <v>2</v>
      </c>
      <c r="C52" t="str">
        <f t="shared" si="0"/>
        <v>317351</v>
      </c>
      <c r="D52">
        <v>999998</v>
      </c>
      <c r="E52" s="34">
        <v>317351140</v>
      </c>
      <c r="F52" t="s">
        <v>417</v>
      </c>
      <c r="G52" t="s">
        <v>314</v>
      </c>
      <c r="H52" t="s">
        <v>378</v>
      </c>
      <c r="I52" t="s">
        <v>35</v>
      </c>
      <c r="J52" t="s">
        <v>316</v>
      </c>
      <c r="K52" s="15" t="str">
        <f>VLOOKUP(I52,[2]LOOKUP!$A:$D,4,FALSE)</f>
        <v>RM</v>
      </c>
      <c r="L52" t="s">
        <v>418</v>
      </c>
    </row>
    <row r="53" spans="1:12">
      <c r="A53" t="s">
        <v>376</v>
      </c>
      <c r="B53">
        <v>2</v>
      </c>
      <c r="C53" t="str">
        <f t="shared" si="0"/>
        <v>317351</v>
      </c>
      <c r="D53">
        <v>999998</v>
      </c>
      <c r="E53" s="34">
        <v>317351141</v>
      </c>
      <c r="F53" t="s">
        <v>419</v>
      </c>
      <c r="G53" t="s">
        <v>314</v>
      </c>
      <c r="H53" t="s">
        <v>378</v>
      </c>
      <c r="I53" t="s">
        <v>115</v>
      </c>
      <c r="J53" t="s">
        <v>420</v>
      </c>
      <c r="K53" s="15" t="str">
        <f>VLOOKUP(I53,[2]LOOKUP!$A:$D,4,FALSE)</f>
        <v>RM</v>
      </c>
    </row>
    <row r="54" spans="1:12">
      <c r="A54" t="s">
        <v>376</v>
      </c>
      <c r="B54">
        <v>2</v>
      </c>
      <c r="C54" t="str">
        <f t="shared" si="0"/>
        <v>317351</v>
      </c>
      <c r="D54">
        <v>999998</v>
      </c>
      <c r="E54" s="34">
        <v>317351142</v>
      </c>
      <c r="F54" t="s">
        <v>421</v>
      </c>
      <c r="G54" t="s">
        <v>314</v>
      </c>
      <c r="H54" t="s">
        <v>378</v>
      </c>
      <c r="I54" t="s">
        <v>35</v>
      </c>
      <c r="J54" t="s">
        <v>316</v>
      </c>
      <c r="K54" s="15" t="str">
        <f>VLOOKUP(I54,[2]LOOKUP!$A:$D,4,FALSE)</f>
        <v>RM</v>
      </c>
      <c r="L54" t="s">
        <v>422</v>
      </c>
    </row>
    <row r="55" spans="1:12">
      <c r="A55" t="s">
        <v>376</v>
      </c>
      <c r="B55">
        <v>2</v>
      </c>
      <c r="C55" t="str">
        <f t="shared" si="0"/>
        <v>317351</v>
      </c>
      <c r="D55">
        <v>999998</v>
      </c>
      <c r="E55" s="34">
        <v>317351143</v>
      </c>
      <c r="F55" t="s">
        <v>423</v>
      </c>
      <c r="G55" t="s">
        <v>314</v>
      </c>
      <c r="H55" t="s">
        <v>378</v>
      </c>
      <c r="I55" t="s">
        <v>35</v>
      </c>
      <c r="J55" t="s">
        <v>316</v>
      </c>
      <c r="K55" s="15" t="str">
        <f>VLOOKUP(I55,[2]LOOKUP!$A:$D,4,FALSE)</f>
        <v>RM</v>
      </c>
      <c r="L55" t="s">
        <v>424</v>
      </c>
    </row>
    <row r="56" spans="1:12">
      <c r="A56" t="s">
        <v>376</v>
      </c>
      <c r="B56">
        <v>2</v>
      </c>
      <c r="C56" t="str">
        <f t="shared" si="0"/>
        <v>317351</v>
      </c>
      <c r="D56">
        <v>999998</v>
      </c>
      <c r="E56" s="34">
        <v>317351144</v>
      </c>
      <c r="F56" t="s">
        <v>425</v>
      </c>
      <c r="G56" t="s">
        <v>314</v>
      </c>
      <c r="H56" t="s">
        <v>378</v>
      </c>
      <c r="I56" t="s">
        <v>35</v>
      </c>
      <c r="J56" t="s">
        <v>316</v>
      </c>
      <c r="K56" s="15" t="str">
        <f>VLOOKUP(I56,[2]LOOKUP!$A:$D,4,FALSE)</f>
        <v>RM</v>
      </c>
      <c r="L56" t="s">
        <v>426</v>
      </c>
    </row>
    <row r="57" spans="1:12">
      <c r="A57" t="s">
        <v>376</v>
      </c>
      <c r="B57">
        <v>2</v>
      </c>
      <c r="C57" t="str">
        <f t="shared" si="0"/>
        <v>317351</v>
      </c>
      <c r="D57">
        <v>999998</v>
      </c>
      <c r="E57" s="34">
        <v>317351145</v>
      </c>
      <c r="F57" t="s">
        <v>427</v>
      </c>
      <c r="G57" t="s">
        <v>314</v>
      </c>
      <c r="H57" t="s">
        <v>378</v>
      </c>
      <c r="I57" t="s">
        <v>35</v>
      </c>
      <c r="J57" t="s">
        <v>316</v>
      </c>
      <c r="K57" s="15" t="str">
        <f>VLOOKUP(I57,[2]LOOKUP!$A:$D,4,FALSE)</f>
        <v>RM</v>
      </c>
      <c r="L57" t="s">
        <v>428</v>
      </c>
    </row>
    <row r="58" spans="1:12">
      <c r="A58" t="s">
        <v>376</v>
      </c>
      <c r="B58">
        <v>2</v>
      </c>
      <c r="C58" t="str">
        <f t="shared" si="0"/>
        <v>317351</v>
      </c>
      <c r="D58">
        <v>999998</v>
      </c>
      <c r="E58" s="34">
        <v>317351146</v>
      </c>
      <c r="F58" t="s">
        <v>429</v>
      </c>
      <c r="G58" t="s">
        <v>314</v>
      </c>
      <c r="H58" t="s">
        <v>378</v>
      </c>
      <c r="I58" t="s">
        <v>35</v>
      </c>
      <c r="J58" t="s">
        <v>316</v>
      </c>
      <c r="K58" s="15" t="str">
        <f>VLOOKUP(I58,[2]LOOKUP!$A:$D,4,FALSE)</f>
        <v>RM</v>
      </c>
      <c r="L58" t="s">
        <v>430</v>
      </c>
    </row>
    <row r="59" spans="1:12">
      <c r="A59" t="s">
        <v>376</v>
      </c>
      <c r="B59">
        <v>2</v>
      </c>
      <c r="C59" t="str">
        <f t="shared" si="0"/>
        <v>317351</v>
      </c>
      <c r="D59">
        <v>999998</v>
      </c>
      <c r="E59" s="34">
        <v>317351147</v>
      </c>
      <c r="F59" t="s">
        <v>431</v>
      </c>
      <c r="G59" t="s">
        <v>314</v>
      </c>
      <c r="H59" t="s">
        <v>378</v>
      </c>
      <c r="I59" t="s">
        <v>35</v>
      </c>
      <c r="J59" t="s">
        <v>316</v>
      </c>
      <c r="K59" s="15" t="str">
        <f>VLOOKUP(I59,[2]LOOKUP!$A:$D,4,FALSE)</f>
        <v>RM</v>
      </c>
      <c r="L59" t="s">
        <v>432</v>
      </c>
    </row>
    <row r="60" spans="1:12">
      <c r="A60" t="s">
        <v>376</v>
      </c>
      <c r="B60">
        <v>2</v>
      </c>
      <c r="C60" t="str">
        <f t="shared" si="0"/>
        <v>317351</v>
      </c>
      <c r="D60">
        <v>999998</v>
      </c>
      <c r="E60" s="34">
        <v>317351148</v>
      </c>
      <c r="F60" t="s">
        <v>433</v>
      </c>
      <c r="G60" t="s">
        <v>314</v>
      </c>
      <c r="H60" t="s">
        <v>378</v>
      </c>
      <c r="I60" t="s">
        <v>35</v>
      </c>
      <c r="J60" t="s">
        <v>316</v>
      </c>
      <c r="K60" s="15" t="str">
        <f>VLOOKUP(I60,[2]LOOKUP!$A:$D,4,FALSE)</f>
        <v>RM</v>
      </c>
      <c r="L60" t="s">
        <v>434</v>
      </c>
    </row>
    <row r="61" spans="1:12">
      <c r="A61" t="s">
        <v>376</v>
      </c>
      <c r="B61">
        <v>2</v>
      </c>
      <c r="C61" t="str">
        <f t="shared" si="0"/>
        <v>317351</v>
      </c>
      <c r="D61">
        <v>999998</v>
      </c>
      <c r="E61" s="34">
        <v>317351149</v>
      </c>
      <c r="F61" t="s">
        <v>435</v>
      </c>
      <c r="G61" t="s">
        <v>314</v>
      </c>
      <c r="H61" t="s">
        <v>378</v>
      </c>
      <c r="I61" t="s">
        <v>35</v>
      </c>
      <c r="J61" t="s">
        <v>316</v>
      </c>
      <c r="K61" s="15" t="str">
        <f>VLOOKUP(I61,[2]LOOKUP!$A:$D,4,FALSE)</f>
        <v>RM</v>
      </c>
      <c r="L61" t="s">
        <v>436</v>
      </c>
    </row>
    <row r="62" spans="1:12">
      <c r="A62" t="s">
        <v>376</v>
      </c>
      <c r="B62">
        <v>2</v>
      </c>
      <c r="C62" t="str">
        <f t="shared" si="0"/>
        <v>317351</v>
      </c>
      <c r="D62">
        <v>999998</v>
      </c>
      <c r="E62" s="34">
        <v>317351150</v>
      </c>
      <c r="F62" t="s">
        <v>437</v>
      </c>
      <c r="G62" t="s">
        <v>314</v>
      </c>
      <c r="H62" t="s">
        <v>378</v>
      </c>
      <c r="I62" t="s">
        <v>35</v>
      </c>
      <c r="J62" t="s">
        <v>316</v>
      </c>
      <c r="K62" s="15" t="str">
        <f>VLOOKUP(I62,[2]LOOKUP!$A:$D,4,FALSE)</f>
        <v>RM</v>
      </c>
      <c r="L62" t="s">
        <v>438</v>
      </c>
    </row>
    <row r="63" spans="1:12">
      <c r="A63" t="s">
        <v>376</v>
      </c>
      <c r="B63">
        <v>2</v>
      </c>
      <c r="C63" t="str">
        <f t="shared" si="0"/>
        <v>317351</v>
      </c>
      <c r="D63">
        <v>999998</v>
      </c>
      <c r="E63" s="34">
        <v>317351151</v>
      </c>
      <c r="F63" t="s">
        <v>439</v>
      </c>
      <c r="G63" t="s">
        <v>314</v>
      </c>
      <c r="H63" t="s">
        <v>378</v>
      </c>
      <c r="I63" t="s">
        <v>35</v>
      </c>
      <c r="J63" t="s">
        <v>316</v>
      </c>
      <c r="K63" s="15" t="str">
        <f>VLOOKUP(I63,[2]LOOKUP!$A:$D,4,FALSE)</f>
        <v>RM</v>
      </c>
      <c r="L63" t="s">
        <v>440</v>
      </c>
    </row>
    <row r="64" spans="1:12">
      <c r="A64" t="s">
        <v>376</v>
      </c>
      <c r="B64">
        <v>2</v>
      </c>
      <c r="C64" t="str">
        <f t="shared" si="0"/>
        <v>317351</v>
      </c>
      <c r="D64">
        <v>999998</v>
      </c>
      <c r="E64" s="34">
        <v>317351152</v>
      </c>
      <c r="F64" t="s">
        <v>441</v>
      </c>
      <c r="G64" t="s">
        <v>314</v>
      </c>
      <c r="H64" t="s">
        <v>378</v>
      </c>
      <c r="I64" t="s">
        <v>35</v>
      </c>
      <c r="J64" t="s">
        <v>316</v>
      </c>
      <c r="K64" s="15" t="str">
        <f>VLOOKUP(I64,[2]LOOKUP!$A:$D,4,FALSE)</f>
        <v>RM</v>
      </c>
      <c r="L64" t="s">
        <v>442</v>
      </c>
    </row>
    <row r="65" spans="1:12">
      <c r="A65" t="s">
        <v>376</v>
      </c>
      <c r="B65">
        <v>2</v>
      </c>
      <c r="C65" t="str">
        <f t="shared" si="0"/>
        <v>317351</v>
      </c>
      <c r="D65">
        <v>999998</v>
      </c>
      <c r="E65" s="34">
        <v>317351153</v>
      </c>
      <c r="F65" t="s">
        <v>443</v>
      </c>
      <c r="G65" t="s">
        <v>314</v>
      </c>
      <c r="H65" t="s">
        <v>378</v>
      </c>
      <c r="I65" t="s">
        <v>35</v>
      </c>
      <c r="J65" t="s">
        <v>316</v>
      </c>
      <c r="K65" s="15" t="str">
        <f>VLOOKUP(I65,[2]LOOKUP!$A:$D,4,FALSE)</f>
        <v>RM</v>
      </c>
      <c r="L65" t="s">
        <v>444</v>
      </c>
    </row>
    <row r="66" spans="1:12">
      <c r="A66" t="s">
        <v>376</v>
      </c>
      <c r="B66">
        <v>2</v>
      </c>
      <c r="C66" t="str">
        <f t="shared" si="0"/>
        <v>317351</v>
      </c>
      <c r="D66">
        <v>999998</v>
      </c>
      <c r="E66" s="34">
        <v>317351154</v>
      </c>
      <c r="F66" t="s">
        <v>445</v>
      </c>
      <c r="G66" t="s">
        <v>314</v>
      </c>
      <c r="H66" t="s">
        <v>378</v>
      </c>
      <c r="I66" t="s">
        <v>35</v>
      </c>
      <c r="J66" t="s">
        <v>316</v>
      </c>
      <c r="K66" s="15" t="str">
        <f>VLOOKUP(I66,[2]LOOKUP!$A:$D,4,FALSE)</f>
        <v>RM</v>
      </c>
      <c r="L66" t="s">
        <v>446</v>
      </c>
    </row>
    <row r="67" spans="1:12">
      <c r="A67" t="s">
        <v>447</v>
      </c>
      <c r="B67" t="s">
        <v>448</v>
      </c>
      <c r="C67" t="str">
        <f t="shared" ref="C67:C130" si="1">LEFT(E67,6)</f>
        <v>318292</v>
      </c>
      <c r="D67">
        <v>317351</v>
      </c>
      <c r="E67" s="34">
        <v>318292001</v>
      </c>
      <c r="F67" t="s">
        <v>313</v>
      </c>
      <c r="G67" t="s">
        <v>314</v>
      </c>
      <c r="H67" t="s">
        <v>315</v>
      </c>
      <c r="I67" t="s">
        <v>82</v>
      </c>
      <c r="J67" t="s">
        <v>316</v>
      </c>
      <c r="K67" s="15" t="str">
        <f>VLOOKUP(I67,[2]LOOKUP!$A:$D,4,FALSE)</f>
        <v>CM</v>
      </c>
    </row>
    <row r="68" spans="1:12">
      <c r="A68" t="s">
        <v>447</v>
      </c>
      <c r="B68">
        <v>1</v>
      </c>
      <c r="C68" t="str">
        <f t="shared" si="1"/>
        <v>317351</v>
      </c>
      <c r="D68">
        <v>317351</v>
      </c>
      <c r="E68" s="34" t="s">
        <v>449</v>
      </c>
      <c r="F68" t="s">
        <v>450</v>
      </c>
      <c r="G68" t="s">
        <v>314</v>
      </c>
      <c r="H68" t="s">
        <v>315</v>
      </c>
      <c r="I68" t="s">
        <v>88</v>
      </c>
      <c r="J68" t="s">
        <v>316</v>
      </c>
      <c r="K68" s="15" t="str">
        <f>VLOOKUP(I68,[2]LOOKUP!$A:$D,4,FALSE)</f>
        <v>CM</v>
      </c>
    </row>
    <row r="69" spans="1:12">
      <c r="A69" t="s">
        <v>447</v>
      </c>
      <c r="B69">
        <v>1</v>
      </c>
      <c r="C69" t="str">
        <f t="shared" si="1"/>
        <v>317351</v>
      </c>
      <c r="D69">
        <v>317351</v>
      </c>
      <c r="E69" s="34" t="s">
        <v>451</v>
      </c>
      <c r="F69" t="s">
        <v>452</v>
      </c>
      <c r="G69" t="s">
        <v>314</v>
      </c>
      <c r="H69" t="s">
        <v>315</v>
      </c>
      <c r="I69" t="s">
        <v>88</v>
      </c>
      <c r="J69" t="s">
        <v>316</v>
      </c>
      <c r="K69" s="15" t="str">
        <f>VLOOKUP(I69,[2]LOOKUP!$A:$D,4,FALSE)</f>
        <v>CM</v>
      </c>
    </row>
    <row r="70" spans="1:12">
      <c r="A70" t="s">
        <v>447</v>
      </c>
      <c r="B70">
        <v>1</v>
      </c>
      <c r="C70" t="str">
        <f t="shared" si="1"/>
        <v>317351</v>
      </c>
      <c r="D70">
        <v>317351</v>
      </c>
      <c r="E70" s="34" t="s">
        <v>453</v>
      </c>
      <c r="F70" t="s">
        <v>454</v>
      </c>
      <c r="G70" t="s">
        <v>314</v>
      </c>
      <c r="H70" t="s">
        <v>315</v>
      </c>
      <c r="I70" t="s">
        <v>88</v>
      </c>
      <c r="J70" t="s">
        <v>316</v>
      </c>
      <c r="K70" s="15" t="str">
        <f>VLOOKUP(I70,[2]LOOKUP!$A:$D,4,FALSE)</f>
        <v>CM</v>
      </c>
    </row>
    <row r="71" spans="1:12">
      <c r="A71" t="s">
        <v>447</v>
      </c>
      <c r="B71">
        <v>1</v>
      </c>
      <c r="C71" t="str">
        <f t="shared" si="1"/>
        <v>317351</v>
      </c>
      <c r="D71">
        <v>317351</v>
      </c>
      <c r="E71" s="34" t="s">
        <v>455</v>
      </c>
      <c r="F71" t="s">
        <v>456</v>
      </c>
      <c r="G71" t="s">
        <v>314</v>
      </c>
      <c r="H71" t="s">
        <v>315</v>
      </c>
      <c r="I71" t="s">
        <v>88</v>
      </c>
      <c r="J71" t="s">
        <v>316</v>
      </c>
      <c r="K71" s="15" t="str">
        <f>VLOOKUP(I71,[2]LOOKUP!$A:$D,4,FALSE)</f>
        <v>CM</v>
      </c>
    </row>
    <row r="72" spans="1:12">
      <c r="A72" t="s">
        <v>447</v>
      </c>
      <c r="B72" t="s">
        <v>448</v>
      </c>
      <c r="C72" t="str">
        <f t="shared" si="1"/>
        <v>318292</v>
      </c>
      <c r="D72">
        <v>317351</v>
      </c>
      <c r="E72" s="34">
        <v>318292006</v>
      </c>
      <c r="F72" t="s">
        <v>318</v>
      </c>
      <c r="G72" t="s">
        <v>314</v>
      </c>
      <c r="H72" t="s">
        <v>315</v>
      </c>
      <c r="I72" t="s">
        <v>82</v>
      </c>
      <c r="J72" t="s">
        <v>316</v>
      </c>
      <c r="K72" s="15" t="str">
        <f>VLOOKUP(I72,[2]LOOKUP!$A:$D,4,FALSE)</f>
        <v>CM</v>
      </c>
    </row>
    <row r="73" spans="1:12">
      <c r="A73" t="s">
        <v>447</v>
      </c>
      <c r="B73" t="s">
        <v>448</v>
      </c>
      <c r="C73" t="str">
        <f t="shared" si="1"/>
        <v>318292</v>
      </c>
      <c r="D73">
        <v>317351</v>
      </c>
      <c r="E73" s="34">
        <v>318292007</v>
      </c>
      <c r="F73" t="s">
        <v>320</v>
      </c>
      <c r="G73" t="s">
        <v>314</v>
      </c>
      <c r="H73" t="s">
        <v>315</v>
      </c>
      <c r="I73" t="s">
        <v>82</v>
      </c>
      <c r="J73" t="s">
        <v>316</v>
      </c>
      <c r="K73" s="15" t="str">
        <f>VLOOKUP(I73,[2]LOOKUP!$A:$D,4,FALSE)</f>
        <v>CM</v>
      </c>
    </row>
    <row r="74" spans="1:12">
      <c r="A74" t="s">
        <v>447</v>
      </c>
      <c r="B74">
        <v>1</v>
      </c>
      <c r="C74" t="str">
        <f t="shared" si="1"/>
        <v>317351</v>
      </c>
      <c r="D74">
        <v>317351</v>
      </c>
      <c r="E74" s="34" t="s">
        <v>457</v>
      </c>
      <c r="F74" t="s">
        <v>458</v>
      </c>
      <c r="G74" t="s">
        <v>314</v>
      </c>
      <c r="H74" t="s">
        <v>315</v>
      </c>
      <c r="I74" t="s">
        <v>88</v>
      </c>
      <c r="J74" t="s">
        <v>316</v>
      </c>
      <c r="K74" s="15" t="str">
        <f>VLOOKUP(I74,[2]LOOKUP!$A:$D,4,FALSE)</f>
        <v>CM</v>
      </c>
    </row>
    <row r="75" spans="1:12">
      <c r="A75" t="s">
        <v>447</v>
      </c>
      <c r="B75" t="s">
        <v>448</v>
      </c>
      <c r="C75" t="str">
        <f t="shared" si="1"/>
        <v>318292</v>
      </c>
      <c r="D75">
        <v>317351</v>
      </c>
      <c r="E75" s="34">
        <v>318292009</v>
      </c>
      <c r="F75" t="s">
        <v>322</v>
      </c>
      <c r="G75" t="s">
        <v>314</v>
      </c>
      <c r="H75" t="s">
        <v>315</v>
      </c>
      <c r="I75" t="s">
        <v>82</v>
      </c>
      <c r="J75" t="s">
        <v>316</v>
      </c>
      <c r="K75" s="15" t="str">
        <f>VLOOKUP(I75,[2]LOOKUP!$A:$D,4,FALSE)</f>
        <v>CM</v>
      </c>
    </row>
    <row r="76" spans="1:12">
      <c r="A76" t="s">
        <v>447</v>
      </c>
      <c r="B76">
        <v>1</v>
      </c>
      <c r="C76" t="str">
        <f t="shared" si="1"/>
        <v>317351</v>
      </c>
      <c r="D76">
        <v>317351</v>
      </c>
      <c r="E76" s="34" t="s">
        <v>459</v>
      </c>
      <c r="F76" t="s">
        <v>460</v>
      </c>
      <c r="G76" t="s">
        <v>314</v>
      </c>
      <c r="H76" t="s">
        <v>315</v>
      </c>
      <c r="I76" t="s">
        <v>88</v>
      </c>
      <c r="J76" t="s">
        <v>316</v>
      </c>
      <c r="K76" s="15" t="str">
        <f>VLOOKUP(I76,[2]LOOKUP!$A:$D,4,FALSE)</f>
        <v>CM</v>
      </c>
    </row>
    <row r="77" spans="1:12">
      <c r="A77" t="s">
        <v>447</v>
      </c>
      <c r="B77">
        <v>1</v>
      </c>
      <c r="C77" t="str">
        <f t="shared" si="1"/>
        <v>317351</v>
      </c>
      <c r="D77">
        <v>317351</v>
      </c>
      <c r="E77" s="34" t="s">
        <v>461</v>
      </c>
      <c r="F77" t="s">
        <v>462</v>
      </c>
      <c r="G77" t="s">
        <v>314</v>
      </c>
      <c r="H77" t="s">
        <v>315</v>
      </c>
      <c r="I77" t="s">
        <v>88</v>
      </c>
      <c r="J77" t="s">
        <v>316</v>
      </c>
      <c r="K77" s="15" t="str">
        <f>VLOOKUP(I77,[2]LOOKUP!$A:$D,4,FALSE)</f>
        <v>CM</v>
      </c>
    </row>
    <row r="78" spans="1:12">
      <c r="A78" t="s">
        <v>447</v>
      </c>
      <c r="B78">
        <v>1</v>
      </c>
      <c r="C78" t="str">
        <f t="shared" si="1"/>
        <v>317351</v>
      </c>
      <c r="D78">
        <v>317351</v>
      </c>
      <c r="E78" s="34" t="s">
        <v>463</v>
      </c>
      <c r="F78" t="s">
        <v>464</v>
      </c>
      <c r="G78" t="s">
        <v>314</v>
      </c>
      <c r="H78" t="s">
        <v>315</v>
      </c>
      <c r="I78" t="s">
        <v>88</v>
      </c>
      <c r="J78" t="s">
        <v>316</v>
      </c>
      <c r="K78" s="15" t="str">
        <f>VLOOKUP(I78,[2]LOOKUP!$A:$D,4,FALSE)</f>
        <v>CM</v>
      </c>
    </row>
    <row r="79" spans="1:12">
      <c r="A79" t="s">
        <v>447</v>
      </c>
      <c r="B79">
        <v>1</v>
      </c>
      <c r="C79" t="str">
        <f t="shared" si="1"/>
        <v>317351</v>
      </c>
      <c r="D79">
        <v>317351</v>
      </c>
      <c r="E79" s="34" t="s">
        <v>465</v>
      </c>
      <c r="F79" t="s">
        <v>466</v>
      </c>
      <c r="G79" t="s">
        <v>314</v>
      </c>
      <c r="H79" t="s">
        <v>315</v>
      </c>
      <c r="I79" t="s">
        <v>88</v>
      </c>
      <c r="J79" t="s">
        <v>316</v>
      </c>
      <c r="K79" s="15" t="str">
        <f>VLOOKUP(I79,[2]LOOKUP!$A:$D,4,FALSE)</f>
        <v>CM</v>
      </c>
    </row>
    <row r="80" spans="1:12">
      <c r="A80" t="s">
        <v>447</v>
      </c>
      <c r="B80">
        <v>1</v>
      </c>
      <c r="C80" t="str">
        <f t="shared" si="1"/>
        <v>317351</v>
      </c>
      <c r="D80">
        <v>317351</v>
      </c>
      <c r="E80" s="34" t="s">
        <v>467</v>
      </c>
      <c r="F80" t="s">
        <v>468</v>
      </c>
      <c r="G80" t="s">
        <v>314</v>
      </c>
      <c r="H80" t="s">
        <v>315</v>
      </c>
      <c r="I80" t="s">
        <v>88</v>
      </c>
      <c r="J80" t="s">
        <v>316</v>
      </c>
      <c r="K80" s="15" t="str">
        <f>VLOOKUP(I80,[2]LOOKUP!$A:$D,4,FALSE)</f>
        <v>CM</v>
      </c>
    </row>
    <row r="81" spans="1:11">
      <c r="A81" t="s">
        <v>447</v>
      </c>
      <c r="B81">
        <v>1</v>
      </c>
      <c r="C81" t="str">
        <f t="shared" si="1"/>
        <v>317351</v>
      </c>
      <c r="D81">
        <v>317351</v>
      </c>
      <c r="E81" s="34" t="s">
        <v>469</v>
      </c>
      <c r="F81" t="s">
        <v>470</v>
      </c>
      <c r="G81" t="s">
        <v>314</v>
      </c>
      <c r="H81" t="s">
        <v>315</v>
      </c>
      <c r="I81" t="s">
        <v>88</v>
      </c>
      <c r="J81" t="s">
        <v>316</v>
      </c>
      <c r="K81" s="15" t="str">
        <f>VLOOKUP(I81,[2]LOOKUP!$A:$D,4,FALSE)</f>
        <v>CM</v>
      </c>
    </row>
    <row r="82" spans="1:11">
      <c r="A82" t="s">
        <v>447</v>
      </c>
      <c r="B82">
        <v>1</v>
      </c>
      <c r="C82" t="str">
        <f t="shared" si="1"/>
        <v>317351</v>
      </c>
      <c r="D82">
        <v>317351</v>
      </c>
      <c r="E82" s="34" t="s">
        <v>471</v>
      </c>
      <c r="F82" t="s">
        <v>472</v>
      </c>
      <c r="G82" t="s">
        <v>314</v>
      </c>
      <c r="H82" t="s">
        <v>315</v>
      </c>
      <c r="I82" t="s">
        <v>88</v>
      </c>
      <c r="J82" t="s">
        <v>316</v>
      </c>
      <c r="K82" s="15" t="str">
        <f>VLOOKUP(I82,[2]LOOKUP!$A:$D,4,FALSE)</f>
        <v>CM</v>
      </c>
    </row>
    <row r="83" spans="1:11">
      <c r="A83" t="s">
        <v>447</v>
      </c>
      <c r="B83" t="s">
        <v>448</v>
      </c>
      <c r="C83" t="str">
        <f t="shared" si="1"/>
        <v>318292</v>
      </c>
      <c r="D83">
        <v>317351</v>
      </c>
      <c r="E83" s="34">
        <v>318292017</v>
      </c>
      <c r="F83" t="s">
        <v>324</v>
      </c>
      <c r="G83" t="s">
        <v>314</v>
      </c>
      <c r="H83" t="s">
        <v>315</v>
      </c>
      <c r="I83" t="s">
        <v>82</v>
      </c>
      <c r="J83" t="s">
        <v>316</v>
      </c>
      <c r="K83" s="15" t="str">
        <f>VLOOKUP(I83,[2]LOOKUP!$A:$D,4,FALSE)</f>
        <v>CM</v>
      </c>
    </row>
    <row r="84" spans="1:11">
      <c r="A84" t="s">
        <v>447</v>
      </c>
      <c r="B84">
        <v>1</v>
      </c>
      <c r="C84" t="str">
        <f t="shared" si="1"/>
        <v>317351</v>
      </c>
      <c r="D84">
        <v>317351</v>
      </c>
      <c r="E84" s="34" t="s">
        <v>473</v>
      </c>
      <c r="F84" t="s">
        <v>474</v>
      </c>
      <c r="G84" t="s">
        <v>314</v>
      </c>
      <c r="H84" t="s">
        <v>315</v>
      </c>
      <c r="I84" t="s">
        <v>88</v>
      </c>
      <c r="J84" t="s">
        <v>316</v>
      </c>
      <c r="K84" s="15" t="str">
        <f>VLOOKUP(I84,[2]LOOKUP!$A:$D,4,FALSE)</f>
        <v>CM</v>
      </c>
    </row>
    <row r="85" spans="1:11">
      <c r="A85" t="s">
        <v>447</v>
      </c>
      <c r="B85" t="s">
        <v>448</v>
      </c>
      <c r="C85" t="str">
        <f t="shared" si="1"/>
        <v>318292</v>
      </c>
      <c r="D85">
        <v>317351</v>
      </c>
      <c r="E85" s="34">
        <v>318292019</v>
      </c>
      <c r="F85" t="s">
        <v>326</v>
      </c>
      <c r="G85" t="s">
        <v>314</v>
      </c>
      <c r="H85" t="s">
        <v>315</v>
      </c>
      <c r="I85" t="s">
        <v>82</v>
      </c>
      <c r="J85" t="s">
        <v>316</v>
      </c>
      <c r="K85" s="15" t="str">
        <f>VLOOKUP(I85,[2]LOOKUP!$A:$D,4,FALSE)</f>
        <v>CM</v>
      </c>
    </row>
    <row r="86" spans="1:11">
      <c r="A86" t="s">
        <v>447</v>
      </c>
      <c r="B86">
        <v>1</v>
      </c>
      <c r="C86" t="str">
        <f t="shared" si="1"/>
        <v>317351</v>
      </c>
      <c r="D86">
        <v>317351</v>
      </c>
      <c r="E86" s="34" t="s">
        <v>475</v>
      </c>
      <c r="F86" t="s">
        <v>476</v>
      </c>
      <c r="G86" t="s">
        <v>314</v>
      </c>
      <c r="H86" t="s">
        <v>315</v>
      </c>
      <c r="I86" t="s">
        <v>88</v>
      </c>
      <c r="J86" t="s">
        <v>316</v>
      </c>
      <c r="K86" s="15" t="str">
        <f>VLOOKUP(I86,[2]LOOKUP!$A:$D,4,FALSE)</f>
        <v>CM</v>
      </c>
    </row>
    <row r="87" spans="1:11">
      <c r="A87" t="s">
        <v>447</v>
      </c>
      <c r="B87">
        <v>1</v>
      </c>
      <c r="C87" t="str">
        <f t="shared" si="1"/>
        <v>317351</v>
      </c>
      <c r="D87">
        <v>317351</v>
      </c>
      <c r="E87" s="34" t="s">
        <v>477</v>
      </c>
      <c r="F87" t="s">
        <v>478</v>
      </c>
      <c r="G87" t="s">
        <v>314</v>
      </c>
      <c r="H87" t="s">
        <v>315</v>
      </c>
      <c r="I87" t="s">
        <v>88</v>
      </c>
      <c r="J87" t="s">
        <v>316</v>
      </c>
      <c r="K87" s="15" t="str">
        <f>VLOOKUP(I87,[2]LOOKUP!$A:$D,4,FALSE)</f>
        <v>CM</v>
      </c>
    </row>
    <row r="88" spans="1:11">
      <c r="A88" t="s">
        <v>447</v>
      </c>
      <c r="B88">
        <v>1</v>
      </c>
      <c r="C88" t="str">
        <f t="shared" si="1"/>
        <v>317351</v>
      </c>
      <c r="D88">
        <v>317351</v>
      </c>
      <c r="E88" s="34" t="s">
        <v>479</v>
      </c>
      <c r="F88" t="s">
        <v>480</v>
      </c>
      <c r="G88" t="s">
        <v>314</v>
      </c>
      <c r="H88" t="s">
        <v>315</v>
      </c>
      <c r="I88" t="s">
        <v>88</v>
      </c>
      <c r="J88" t="s">
        <v>316</v>
      </c>
      <c r="K88" s="15" t="str">
        <f>VLOOKUP(I88,[2]LOOKUP!$A:$D,4,FALSE)</f>
        <v>CM</v>
      </c>
    </row>
    <row r="89" spans="1:11">
      <c r="A89" t="s">
        <v>447</v>
      </c>
      <c r="B89">
        <v>1</v>
      </c>
      <c r="C89" t="str">
        <f t="shared" si="1"/>
        <v>317351</v>
      </c>
      <c r="D89">
        <v>317351</v>
      </c>
      <c r="E89" s="34" t="s">
        <v>481</v>
      </c>
      <c r="F89" t="s">
        <v>482</v>
      </c>
      <c r="G89" t="s">
        <v>314</v>
      </c>
      <c r="H89" t="s">
        <v>315</v>
      </c>
      <c r="I89" t="s">
        <v>88</v>
      </c>
      <c r="J89" t="s">
        <v>316</v>
      </c>
      <c r="K89" s="15" t="str">
        <f>VLOOKUP(I89,[2]LOOKUP!$A:$D,4,FALSE)</f>
        <v>CM</v>
      </c>
    </row>
    <row r="90" spans="1:11">
      <c r="A90" t="s">
        <v>447</v>
      </c>
      <c r="B90" t="s">
        <v>448</v>
      </c>
      <c r="C90" t="str">
        <f t="shared" si="1"/>
        <v>318292</v>
      </c>
      <c r="D90">
        <v>317351</v>
      </c>
      <c r="E90" s="34">
        <v>318292024</v>
      </c>
      <c r="F90" t="s">
        <v>328</v>
      </c>
      <c r="G90" t="s">
        <v>314</v>
      </c>
      <c r="H90" t="s">
        <v>315</v>
      </c>
      <c r="I90" t="s">
        <v>82</v>
      </c>
      <c r="J90" t="s">
        <v>316</v>
      </c>
      <c r="K90" s="15" t="str">
        <f>VLOOKUP(I90,[2]LOOKUP!$A:$D,4,FALSE)</f>
        <v>CM</v>
      </c>
    </row>
    <row r="91" spans="1:11">
      <c r="A91" t="s">
        <v>447</v>
      </c>
      <c r="B91" t="s">
        <v>448</v>
      </c>
      <c r="C91" t="str">
        <f t="shared" si="1"/>
        <v>318292</v>
      </c>
      <c r="D91">
        <v>317351</v>
      </c>
      <c r="E91" s="34">
        <v>318292025</v>
      </c>
      <c r="F91" t="s">
        <v>330</v>
      </c>
      <c r="G91" t="s">
        <v>314</v>
      </c>
      <c r="H91" t="s">
        <v>315</v>
      </c>
      <c r="I91" t="s">
        <v>82</v>
      </c>
      <c r="J91" t="s">
        <v>316</v>
      </c>
      <c r="K91" s="15" t="str">
        <f>VLOOKUP(I91,[2]LOOKUP!$A:$D,4,FALSE)</f>
        <v>CM</v>
      </c>
    </row>
    <row r="92" spans="1:11">
      <c r="A92" t="s">
        <v>447</v>
      </c>
      <c r="B92">
        <v>1</v>
      </c>
      <c r="C92" t="str">
        <f t="shared" si="1"/>
        <v>317351</v>
      </c>
      <c r="D92">
        <v>317351</v>
      </c>
      <c r="E92" s="34" t="s">
        <v>483</v>
      </c>
      <c r="F92" t="s">
        <v>484</v>
      </c>
      <c r="G92" t="s">
        <v>314</v>
      </c>
      <c r="H92" t="s">
        <v>315</v>
      </c>
      <c r="I92" t="s">
        <v>88</v>
      </c>
      <c r="J92" t="s">
        <v>316</v>
      </c>
      <c r="K92" s="15" t="str">
        <f>VLOOKUP(I92,[2]LOOKUP!$A:$D,4,FALSE)</f>
        <v>CM</v>
      </c>
    </row>
    <row r="93" spans="1:11">
      <c r="A93" t="s">
        <v>447</v>
      </c>
      <c r="B93">
        <v>1</v>
      </c>
      <c r="C93" t="str">
        <f t="shared" si="1"/>
        <v>317351</v>
      </c>
      <c r="D93">
        <v>317351</v>
      </c>
      <c r="E93" s="34" t="s">
        <v>485</v>
      </c>
      <c r="F93" t="s">
        <v>486</v>
      </c>
      <c r="G93" t="s">
        <v>314</v>
      </c>
      <c r="H93" t="s">
        <v>315</v>
      </c>
      <c r="I93" t="s">
        <v>88</v>
      </c>
      <c r="J93" t="s">
        <v>316</v>
      </c>
      <c r="K93" s="15" t="str">
        <f>VLOOKUP(I93,[2]LOOKUP!$A:$D,4,FALSE)</f>
        <v>CM</v>
      </c>
    </row>
    <row r="94" spans="1:11">
      <c r="A94" t="s">
        <v>447</v>
      </c>
      <c r="B94">
        <v>1</v>
      </c>
      <c r="C94" t="str">
        <f t="shared" si="1"/>
        <v>317351</v>
      </c>
      <c r="D94">
        <v>317351</v>
      </c>
      <c r="E94" s="34" t="s">
        <v>487</v>
      </c>
      <c r="F94" t="s">
        <v>488</v>
      </c>
      <c r="G94" t="s">
        <v>314</v>
      </c>
      <c r="H94" t="s">
        <v>315</v>
      </c>
      <c r="I94" t="s">
        <v>88</v>
      </c>
      <c r="J94" t="s">
        <v>316</v>
      </c>
      <c r="K94" s="15" t="str">
        <f>VLOOKUP(I94,[2]LOOKUP!$A:$D,4,FALSE)</f>
        <v>CM</v>
      </c>
    </row>
    <row r="95" spans="1:11">
      <c r="A95" t="s">
        <v>447</v>
      </c>
      <c r="B95" t="s">
        <v>448</v>
      </c>
      <c r="C95" t="str">
        <f t="shared" si="1"/>
        <v>318292</v>
      </c>
      <c r="D95">
        <v>317351</v>
      </c>
      <c r="E95" s="34">
        <v>318292029</v>
      </c>
      <c r="F95" t="s">
        <v>332</v>
      </c>
      <c r="G95" t="s">
        <v>314</v>
      </c>
      <c r="H95" t="s">
        <v>315</v>
      </c>
      <c r="I95" t="s">
        <v>82</v>
      </c>
      <c r="J95" t="s">
        <v>316</v>
      </c>
      <c r="K95" s="15" t="str">
        <f>VLOOKUP(I95,[2]LOOKUP!$A:$D,4,FALSE)</f>
        <v>CM</v>
      </c>
    </row>
    <row r="96" spans="1:11">
      <c r="A96" t="s">
        <v>447</v>
      </c>
      <c r="B96" t="s">
        <v>448</v>
      </c>
      <c r="C96" t="str">
        <f t="shared" si="1"/>
        <v>318292</v>
      </c>
      <c r="D96">
        <v>317351</v>
      </c>
      <c r="E96" s="34">
        <v>318292030</v>
      </c>
      <c r="F96" t="s">
        <v>334</v>
      </c>
      <c r="G96" t="s">
        <v>314</v>
      </c>
      <c r="H96" t="s">
        <v>315</v>
      </c>
      <c r="I96" t="s">
        <v>82</v>
      </c>
      <c r="J96" t="s">
        <v>316</v>
      </c>
      <c r="K96" s="15" t="str">
        <f>VLOOKUP(I96,[2]LOOKUP!$A:$D,4,FALSE)</f>
        <v>CM</v>
      </c>
    </row>
    <row r="97" spans="1:11">
      <c r="A97" t="s">
        <v>447</v>
      </c>
      <c r="B97">
        <v>1</v>
      </c>
      <c r="C97" t="str">
        <f t="shared" si="1"/>
        <v>317351</v>
      </c>
      <c r="D97">
        <v>317351</v>
      </c>
      <c r="E97" s="34" t="s">
        <v>489</v>
      </c>
      <c r="F97" t="s">
        <v>490</v>
      </c>
      <c r="G97" t="s">
        <v>314</v>
      </c>
      <c r="H97" t="s">
        <v>315</v>
      </c>
      <c r="I97" t="s">
        <v>88</v>
      </c>
      <c r="J97" t="s">
        <v>316</v>
      </c>
      <c r="K97" s="15" t="str">
        <f>VLOOKUP(I97,[2]LOOKUP!$A:$D,4,FALSE)</f>
        <v>CM</v>
      </c>
    </row>
    <row r="98" spans="1:11">
      <c r="A98" t="s">
        <v>447</v>
      </c>
      <c r="B98">
        <v>1</v>
      </c>
      <c r="C98" t="str">
        <f t="shared" si="1"/>
        <v>317351</v>
      </c>
      <c r="D98">
        <v>317351</v>
      </c>
      <c r="E98" s="34" t="s">
        <v>491</v>
      </c>
      <c r="F98" t="s">
        <v>492</v>
      </c>
      <c r="G98" t="s">
        <v>314</v>
      </c>
      <c r="H98" t="s">
        <v>315</v>
      </c>
      <c r="I98" t="s">
        <v>88</v>
      </c>
      <c r="J98" t="s">
        <v>316</v>
      </c>
      <c r="K98" s="15" t="str">
        <f>VLOOKUP(I98,[2]LOOKUP!$A:$D,4,FALSE)</f>
        <v>CM</v>
      </c>
    </row>
    <row r="99" spans="1:11">
      <c r="A99" t="s">
        <v>447</v>
      </c>
      <c r="B99">
        <v>1</v>
      </c>
      <c r="C99" t="str">
        <f t="shared" si="1"/>
        <v>317351</v>
      </c>
      <c r="D99">
        <v>317351</v>
      </c>
      <c r="E99" s="34" t="s">
        <v>493</v>
      </c>
      <c r="F99" t="s">
        <v>494</v>
      </c>
      <c r="G99" t="s">
        <v>314</v>
      </c>
      <c r="H99" t="s">
        <v>315</v>
      </c>
      <c r="I99" t="s">
        <v>88</v>
      </c>
      <c r="J99" t="s">
        <v>316</v>
      </c>
      <c r="K99" s="15" t="str">
        <f>VLOOKUP(I99,[2]LOOKUP!$A:$D,4,FALSE)</f>
        <v>CM</v>
      </c>
    </row>
    <row r="100" spans="1:11">
      <c r="A100" t="s">
        <v>447</v>
      </c>
      <c r="B100">
        <v>1</v>
      </c>
      <c r="C100" t="str">
        <f t="shared" si="1"/>
        <v>317351</v>
      </c>
      <c r="D100">
        <v>317351</v>
      </c>
      <c r="E100" s="34" t="s">
        <v>495</v>
      </c>
      <c r="F100" t="s">
        <v>496</v>
      </c>
      <c r="G100" t="s">
        <v>314</v>
      </c>
      <c r="H100" t="s">
        <v>315</v>
      </c>
      <c r="I100" t="s">
        <v>88</v>
      </c>
      <c r="J100" t="s">
        <v>316</v>
      </c>
      <c r="K100" s="15" t="str">
        <f>VLOOKUP(I100,[2]LOOKUP!$A:$D,4,FALSE)</f>
        <v>CM</v>
      </c>
    </row>
    <row r="101" spans="1:11">
      <c r="A101" t="s">
        <v>447</v>
      </c>
      <c r="B101">
        <v>1</v>
      </c>
      <c r="C101" t="str">
        <f t="shared" si="1"/>
        <v>317351</v>
      </c>
      <c r="D101">
        <v>317351</v>
      </c>
      <c r="E101" s="34" t="s">
        <v>497</v>
      </c>
      <c r="F101" t="s">
        <v>498</v>
      </c>
      <c r="G101" t="s">
        <v>314</v>
      </c>
      <c r="H101" t="s">
        <v>315</v>
      </c>
      <c r="I101" t="s">
        <v>88</v>
      </c>
      <c r="J101" t="s">
        <v>316</v>
      </c>
      <c r="K101" s="15" t="str">
        <f>VLOOKUP(I101,[2]LOOKUP!$A:$D,4,FALSE)</f>
        <v>CM</v>
      </c>
    </row>
    <row r="102" spans="1:11">
      <c r="A102" t="s">
        <v>447</v>
      </c>
      <c r="B102">
        <v>1</v>
      </c>
      <c r="C102" t="str">
        <f t="shared" si="1"/>
        <v>317351</v>
      </c>
      <c r="D102">
        <v>317351</v>
      </c>
      <c r="E102" s="34" t="s">
        <v>499</v>
      </c>
      <c r="F102" t="s">
        <v>500</v>
      </c>
      <c r="G102" t="s">
        <v>314</v>
      </c>
      <c r="H102" t="s">
        <v>315</v>
      </c>
      <c r="I102" t="s">
        <v>88</v>
      </c>
      <c r="J102" t="s">
        <v>316</v>
      </c>
      <c r="K102" s="15" t="str">
        <f>VLOOKUP(I102,[2]LOOKUP!$A:$D,4,FALSE)</f>
        <v>CM</v>
      </c>
    </row>
    <row r="103" spans="1:11">
      <c r="A103" t="s">
        <v>447</v>
      </c>
      <c r="B103">
        <v>1</v>
      </c>
      <c r="C103" t="str">
        <f t="shared" si="1"/>
        <v>317351</v>
      </c>
      <c r="D103">
        <v>317351</v>
      </c>
      <c r="E103" s="34" t="s">
        <v>501</v>
      </c>
      <c r="F103" t="s">
        <v>502</v>
      </c>
      <c r="G103" t="s">
        <v>314</v>
      </c>
      <c r="H103" t="s">
        <v>315</v>
      </c>
      <c r="I103" t="s">
        <v>88</v>
      </c>
      <c r="J103" t="s">
        <v>316</v>
      </c>
      <c r="K103" s="15" t="str">
        <f>VLOOKUP(I103,[2]LOOKUP!$A:$D,4,FALSE)</f>
        <v>CM</v>
      </c>
    </row>
    <row r="104" spans="1:11">
      <c r="A104" t="s">
        <v>447</v>
      </c>
      <c r="B104">
        <v>1</v>
      </c>
      <c r="C104" t="str">
        <f t="shared" si="1"/>
        <v>317351</v>
      </c>
      <c r="D104">
        <v>317351</v>
      </c>
      <c r="E104" s="34" t="s">
        <v>503</v>
      </c>
      <c r="F104" t="s">
        <v>504</v>
      </c>
      <c r="G104" t="s">
        <v>314</v>
      </c>
      <c r="H104" t="s">
        <v>315</v>
      </c>
      <c r="I104" t="s">
        <v>88</v>
      </c>
      <c r="J104" t="s">
        <v>316</v>
      </c>
      <c r="K104" s="15" t="str">
        <f>VLOOKUP(I104,[2]LOOKUP!$A:$D,4,FALSE)</f>
        <v>CM</v>
      </c>
    </row>
    <row r="105" spans="1:11">
      <c r="A105" t="s">
        <v>447</v>
      </c>
      <c r="B105">
        <v>1</v>
      </c>
      <c r="C105" t="str">
        <f t="shared" si="1"/>
        <v>317351</v>
      </c>
      <c r="D105">
        <v>317351</v>
      </c>
      <c r="E105" s="34" t="s">
        <v>505</v>
      </c>
      <c r="F105" t="s">
        <v>506</v>
      </c>
      <c r="G105" t="s">
        <v>314</v>
      </c>
      <c r="H105" t="s">
        <v>315</v>
      </c>
      <c r="I105" t="s">
        <v>88</v>
      </c>
      <c r="J105" t="s">
        <v>316</v>
      </c>
      <c r="K105" s="15" t="str">
        <f>VLOOKUP(I105,[2]LOOKUP!$A:$D,4,FALSE)</f>
        <v>CM</v>
      </c>
    </row>
    <row r="106" spans="1:11">
      <c r="A106" t="s">
        <v>447</v>
      </c>
      <c r="B106">
        <v>1</v>
      </c>
      <c r="C106" t="str">
        <f t="shared" si="1"/>
        <v>317351</v>
      </c>
      <c r="D106">
        <v>317351</v>
      </c>
      <c r="E106" s="34" t="s">
        <v>507</v>
      </c>
      <c r="F106" t="s">
        <v>508</v>
      </c>
      <c r="G106" t="s">
        <v>314</v>
      </c>
      <c r="H106" t="s">
        <v>315</v>
      </c>
      <c r="I106" t="s">
        <v>88</v>
      </c>
      <c r="J106" t="s">
        <v>316</v>
      </c>
      <c r="K106" s="15" t="str">
        <f>VLOOKUP(I106,[2]LOOKUP!$A:$D,4,FALSE)</f>
        <v>CM</v>
      </c>
    </row>
    <row r="107" spans="1:11">
      <c r="A107" t="s">
        <v>447</v>
      </c>
      <c r="B107" t="s">
        <v>448</v>
      </c>
      <c r="C107" t="str">
        <f t="shared" si="1"/>
        <v>318292</v>
      </c>
      <c r="D107">
        <v>317351</v>
      </c>
      <c r="E107" s="34">
        <v>318292041</v>
      </c>
      <c r="F107" t="s">
        <v>336</v>
      </c>
      <c r="G107" t="s">
        <v>314</v>
      </c>
      <c r="H107" t="s">
        <v>315</v>
      </c>
      <c r="I107" t="s">
        <v>82</v>
      </c>
      <c r="J107" t="s">
        <v>316</v>
      </c>
      <c r="K107" s="15" t="str">
        <f>VLOOKUP(I107,[2]LOOKUP!$A:$D,4,FALSE)</f>
        <v>CM</v>
      </c>
    </row>
    <row r="108" spans="1:11">
      <c r="A108" t="s">
        <v>447</v>
      </c>
      <c r="B108">
        <v>1</v>
      </c>
      <c r="C108" t="str">
        <f t="shared" si="1"/>
        <v>317351</v>
      </c>
      <c r="D108">
        <v>317351</v>
      </c>
      <c r="E108" s="34" t="s">
        <v>509</v>
      </c>
      <c r="F108" t="s">
        <v>510</v>
      </c>
      <c r="G108" t="s">
        <v>314</v>
      </c>
      <c r="H108" t="s">
        <v>315</v>
      </c>
      <c r="I108" t="s">
        <v>88</v>
      </c>
      <c r="J108" t="s">
        <v>316</v>
      </c>
      <c r="K108" s="15" t="str">
        <f>VLOOKUP(I108,[2]LOOKUP!$A:$D,4,FALSE)</f>
        <v>CM</v>
      </c>
    </row>
    <row r="109" spans="1:11">
      <c r="A109" t="s">
        <v>447</v>
      </c>
      <c r="B109">
        <v>1</v>
      </c>
      <c r="C109" t="str">
        <f t="shared" si="1"/>
        <v>317351</v>
      </c>
      <c r="D109">
        <v>317351</v>
      </c>
      <c r="E109" s="34" t="s">
        <v>511</v>
      </c>
      <c r="F109" t="s">
        <v>512</v>
      </c>
      <c r="G109" t="s">
        <v>314</v>
      </c>
      <c r="H109" t="s">
        <v>315</v>
      </c>
      <c r="I109" t="s">
        <v>88</v>
      </c>
      <c r="J109" t="s">
        <v>316</v>
      </c>
      <c r="K109" s="15" t="str">
        <f>VLOOKUP(I109,[2]LOOKUP!$A:$D,4,FALSE)</f>
        <v>CM</v>
      </c>
    </row>
    <row r="110" spans="1:11">
      <c r="A110" t="s">
        <v>447</v>
      </c>
      <c r="B110">
        <v>1</v>
      </c>
      <c r="C110" t="str">
        <f t="shared" si="1"/>
        <v>317351</v>
      </c>
      <c r="D110">
        <v>317351</v>
      </c>
      <c r="E110" s="34" t="s">
        <v>513</v>
      </c>
      <c r="F110" t="s">
        <v>514</v>
      </c>
      <c r="G110" t="s">
        <v>314</v>
      </c>
      <c r="H110" t="s">
        <v>315</v>
      </c>
      <c r="I110" t="s">
        <v>88</v>
      </c>
      <c r="J110" t="s">
        <v>316</v>
      </c>
      <c r="K110" s="15" t="str">
        <f>VLOOKUP(I110,[2]LOOKUP!$A:$D,4,FALSE)</f>
        <v>CM</v>
      </c>
    </row>
    <row r="111" spans="1:11">
      <c r="A111" t="s">
        <v>447</v>
      </c>
      <c r="B111">
        <v>1</v>
      </c>
      <c r="C111" t="str">
        <f t="shared" si="1"/>
        <v>317351</v>
      </c>
      <c r="D111">
        <v>317351</v>
      </c>
      <c r="E111" s="34" t="s">
        <v>515</v>
      </c>
      <c r="F111" t="s">
        <v>516</v>
      </c>
      <c r="G111" t="s">
        <v>314</v>
      </c>
      <c r="H111" t="s">
        <v>315</v>
      </c>
      <c r="I111" t="s">
        <v>88</v>
      </c>
      <c r="J111" t="s">
        <v>316</v>
      </c>
      <c r="K111" s="15" t="str">
        <f>VLOOKUP(I111,[2]LOOKUP!$A:$D,4,FALSE)</f>
        <v>CM</v>
      </c>
    </row>
    <row r="112" spans="1:11">
      <c r="A112" t="s">
        <v>447</v>
      </c>
      <c r="B112" t="s">
        <v>448</v>
      </c>
      <c r="C112" t="str">
        <f t="shared" si="1"/>
        <v>318292</v>
      </c>
      <c r="D112">
        <v>317351</v>
      </c>
      <c r="E112" s="34">
        <v>318292046</v>
      </c>
      <c r="F112" t="s">
        <v>338</v>
      </c>
      <c r="G112" t="s">
        <v>314</v>
      </c>
      <c r="H112" t="s">
        <v>315</v>
      </c>
      <c r="I112" t="s">
        <v>82</v>
      </c>
      <c r="J112" t="s">
        <v>316</v>
      </c>
      <c r="K112" s="15" t="str">
        <f>VLOOKUP(I112,[2]LOOKUP!$A:$D,4,FALSE)</f>
        <v>CM</v>
      </c>
    </row>
    <row r="113" spans="1:11">
      <c r="A113" t="s">
        <v>447</v>
      </c>
      <c r="B113">
        <v>1</v>
      </c>
      <c r="C113" t="str">
        <f t="shared" si="1"/>
        <v>317351</v>
      </c>
      <c r="D113">
        <v>317351</v>
      </c>
      <c r="E113" s="34" t="s">
        <v>517</v>
      </c>
      <c r="F113" t="s">
        <v>518</v>
      </c>
      <c r="G113" t="s">
        <v>314</v>
      </c>
      <c r="H113" t="s">
        <v>315</v>
      </c>
      <c r="I113" t="s">
        <v>88</v>
      </c>
      <c r="J113" t="s">
        <v>316</v>
      </c>
      <c r="K113" s="15" t="str">
        <f>VLOOKUP(I113,[2]LOOKUP!$A:$D,4,FALSE)</f>
        <v>CM</v>
      </c>
    </row>
    <row r="114" spans="1:11">
      <c r="A114" t="s">
        <v>447</v>
      </c>
      <c r="B114" t="s">
        <v>448</v>
      </c>
      <c r="C114" t="str">
        <f t="shared" si="1"/>
        <v>318292</v>
      </c>
      <c r="D114">
        <v>317351</v>
      </c>
      <c r="E114" s="34">
        <v>318292048</v>
      </c>
      <c r="F114" t="s">
        <v>340</v>
      </c>
      <c r="G114" t="s">
        <v>314</v>
      </c>
      <c r="H114" t="s">
        <v>315</v>
      </c>
      <c r="I114" t="s">
        <v>82</v>
      </c>
      <c r="J114" t="s">
        <v>316</v>
      </c>
      <c r="K114" s="15" t="str">
        <f>VLOOKUP(I114,[2]LOOKUP!$A:$D,4,FALSE)</f>
        <v>CM</v>
      </c>
    </row>
    <row r="115" spans="1:11">
      <c r="A115" t="s">
        <v>447</v>
      </c>
      <c r="B115">
        <v>1</v>
      </c>
      <c r="C115" t="str">
        <f t="shared" si="1"/>
        <v>317351</v>
      </c>
      <c r="D115">
        <v>317351</v>
      </c>
      <c r="E115" s="34" t="s">
        <v>519</v>
      </c>
      <c r="F115" t="s">
        <v>520</v>
      </c>
      <c r="G115" t="s">
        <v>314</v>
      </c>
      <c r="H115" t="s">
        <v>315</v>
      </c>
      <c r="I115" t="s">
        <v>88</v>
      </c>
      <c r="J115" t="s">
        <v>316</v>
      </c>
      <c r="K115" s="15" t="str">
        <f>VLOOKUP(I115,[2]LOOKUP!$A:$D,4,FALSE)</f>
        <v>CM</v>
      </c>
    </row>
    <row r="116" spans="1:11">
      <c r="A116" t="s">
        <v>447</v>
      </c>
      <c r="B116" t="s">
        <v>448</v>
      </c>
      <c r="C116" t="str">
        <f t="shared" si="1"/>
        <v>318292</v>
      </c>
      <c r="D116">
        <v>317351</v>
      </c>
      <c r="E116" s="34">
        <v>318292050</v>
      </c>
      <c r="F116" t="s">
        <v>342</v>
      </c>
      <c r="G116" t="s">
        <v>314</v>
      </c>
      <c r="H116" t="s">
        <v>315</v>
      </c>
      <c r="I116" t="s">
        <v>82</v>
      </c>
      <c r="J116" t="s">
        <v>316</v>
      </c>
      <c r="K116" s="15" t="str">
        <f>VLOOKUP(I116,[2]LOOKUP!$A:$D,4,FALSE)</f>
        <v>CM</v>
      </c>
    </row>
    <row r="117" spans="1:11">
      <c r="A117" t="s">
        <v>447</v>
      </c>
      <c r="B117">
        <v>1</v>
      </c>
      <c r="C117" t="str">
        <f t="shared" si="1"/>
        <v>317351</v>
      </c>
      <c r="D117">
        <v>317351</v>
      </c>
      <c r="E117" s="34" t="s">
        <v>521</v>
      </c>
      <c r="F117" t="s">
        <v>522</v>
      </c>
      <c r="G117" t="s">
        <v>314</v>
      </c>
      <c r="H117" t="s">
        <v>315</v>
      </c>
      <c r="I117" t="s">
        <v>88</v>
      </c>
      <c r="J117" t="s">
        <v>316</v>
      </c>
      <c r="K117" s="15" t="str">
        <f>VLOOKUP(I117,[2]LOOKUP!$A:$D,4,FALSE)</f>
        <v>CM</v>
      </c>
    </row>
    <row r="118" spans="1:11">
      <c r="A118" t="s">
        <v>447</v>
      </c>
      <c r="B118" t="s">
        <v>448</v>
      </c>
      <c r="C118" t="str">
        <f t="shared" si="1"/>
        <v>318292</v>
      </c>
      <c r="D118">
        <v>317351</v>
      </c>
      <c r="E118" s="34">
        <v>318292052</v>
      </c>
      <c r="F118" t="s">
        <v>344</v>
      </c>
      <c r="G118" t="s">
        <v>314</v>
      </c>
      <c r="H118" t="s">
        <v>315</v>
      </c>
      <c r="I118" t="s">
        <v>82</v>
      </c>
      <c r="J118" t="s">
        <v>316</v>
      </c>
      <c r="K118" s="15" t="str">
        <f>VLOOKUP(I118,[2]LOOKUP!$A:$D,4,FALSE)</f>
        <v>CM</v>
      </c>
    </row>
    <row r="119" spans="1:11">
      <c r="A119" t="s">
        <v>447</v>
      </c>
      <c r="B119">
        <v>1</v>
      </c>
      <c r="C119" t="str">
        <f t="shared" si="1"/>
        <v>317351</v>
      </c>
      <c r="D119">
        <v>317351</v>
      </c>
      <c r="E119" s="34" t="s">
        <v>523</v>
      </c>
      <c r="F119" t="s">
        <v>524</v>
      </c>
      <c r="G119" t="s">
        <v>314</v>
      </c>
      <c r="H119" t="s">
        <v>315</v>
      </c>
      <c r="I119" t="s">
        <v>88</v>
      </c>
      <c r="J119" t="s">
        <v>316</v>
      </c>
      <c r="K119" s="15" t="str">
        <f>VLOOKUP(I119,[2]LOOKUP!$A:$D,4,FALSE)</f>
        <v>CM</v>
      </c>
    </row>
    <row r="120" spans="1:11">
      <c r="A120" t="s">
        <v>447</v>
      </c>
      <c r="B120">
        <v>1</v>
      </c>
      <c r="C120" t="str">
        <f t="shared" si="1"/>
        <v>317351</v>
      </c>
      <c r="D120">
        <v>317351</v>
      </c>
      <c r="E120" s="34" t="s">
        <v>525</v>
      </c>
      <c r="F120" t="s">
        <v>526</v>
      </c>
      <c r="G120" t="s">
        <v>314</v>
      </c>
      <c r="H120" t="s">
        <v>315</v>
      </c>
      <c r="I120" t="s">
        <v>88</v>
      </c>
      <c r="J120" t="s">
        <v>316</v>
      </c>
      <c r="K120" s="15" t="str">
        <f>VLOOKUP(I120,[2]LOOKUP!$A:$D,4,FALSE)</f>
        <v>CM</v>
      </c>
    </row>
    <row r="121" spans="1:11">
      <c r="A121" t="s">
        <v>447</v>
      </c>
      <c r="B121" t="s">
        <v>448</v>
      </c>
      <c r="C121" t="str">
        <f t="shared" si="1"/>
        <v>318292</v>
      </c>
      <c r="D121">
        <v>317351</v>
      </c>
      <c r="E121" s="34">
        <v>318292055</v>
      </c>
      <c r="F121" t="s">
        <v>346</v>
      </c>
      <c r="G121" t="s">
        <v>314</v>
      </c>
      <c r="H121" t="s">
        <v>315</v>
      </c>
      <c r="I121" t="s">
        <v>82</v>
      </c>
      <c r="J121" t="s">
        <v>316</v>
      </c>
      <c r="K121" s="15" t="str">
        <f>VLOOKUP(I121,[2]LOOKUP!$A:$D,4,FALSE)</f>
        <v>CM</v>
      </c>
    </row>
    <row r="122" spans="1:11">
      <c r="A122" t="s">
        <v>447</v>
      </c>
      <c r="B122">
        <v>1</v>
      </c>
      <c r="C122" t="str">
        <f t="shared" si="1"/>
        <v>317351</v>
      </c>
      <c r="D122">
        <v>317351</v>
      </c>
      <c r="E122" s="34" t="s">
        <v>527</v>
      </c>
      <c r="F122" t="s">
        <v>528</v>
      </c>
      <c r="G122" t="s">
        <v>314</v>
      </c>
      <c r="H122" t="s">
        <v>315</v>
      </c>
      <c r="I122" t="s">
        <v>88</v>
      </c>
      <c r="J122" t="s">
        <v>316</v>
      </c>
      <c r="K122" s="15" t="str">
        <f>VLOOKUP(I122,[2]LOOKUP!$A:$D,4,FALSE)</f>
        <v>CM</v>
      </c>
    </row>
    <row r="123" spans="1:11">
      <c r="A123" t="s">
        <v>447</v>
      </c>
      <c r="B123">
        <v>1</v>
      </c>
      <c r="C123" t="str">
        <f t="shared" si="1"/>
        <v>317351</v>
      </c>
      <c r="D123">
        <v>317351</v>
      </c>
      <c r="E123" s="34" t="s">
        <v>529</v>
      </c>
      <c r="F123" t="s">
        <v>530</v>
      </c>
      <c r="G123" t="s">
        <v>314</v>
      </c>
      <c r="H123" t="s">
        <v>315</v>
      </c>
      <c r="I123" t="s">
        <v>88</v>
      </c>
      <c r="J123" t="s">
        <v>316</v>
      </c>
      <c r="K123" s="15" t="str">
        <f>VLOOKUP(I123,[2]LOOKUP!$A:$D,4,FALSE)</f>
        <v>CM</v>
      </c>
    </row>
    <row r="124" spans="1:11">
      <c r="A124" t="s">
        <v>447</v>
      </c>
      <c r="B124" t="s">
        <v>448</v>
      </c>
      <c r="C124" t="str">
        <f t="shared" si="1"/>
        <v>318292</v>
      </c>
      <c r="D124">
        <v>317351</v>
      </c>
      <c r="E124" s="34">
        <v>318292058</v>
      </c>
      <c r="F124" t="s">
        <v>348</v>
      </c>
      <c r="G124" t="s">
        <v>314</v>
      </c>
      <c r="H124" t="s">
        <v>315</v>
      </c>
      <c r="I124" t="s">
        <v>82</v>
      </c>
      <c r="J124" t="s">
        <v>316</v>
      </c>
      <c r="K124" s="15" t="str">
        <f>VLOOKUP(I124,[2]LOOKUP!$A:$D,4,FALSE)</f>
        <v>CM</v>
      </c>
    </row>
    <row r="125" spans="1:11">
      <c r="A125" t="s">
        <v>447</v>
      </c>
      <c r="B125" t="s">
        <v>448</v>
      </c>
      <c r="C125" t="str">
        <f t="shared" si="1"/>
        <v>318292</v>
      </c>
      <c r="D125">
        <v>317351</v>
      </c>
      <c r="E125" s="34">
        <v>318292059</v>
      </c>
      <c r="F125" t="s">
        <v>350</v>
      </c>
      <c r="G125" t="s">
        <v>314</v>
      </c>
      <c r="H125" t="s">
        <v>315</v>
      </c>
      <c r="I125" t="s">
        <v>82</v>
      </c>
      <c r="J125" t="s">
        <v>316</v>
      </c>
      <c r="K125" s="15" t="str">
        <f>VLOOKUP(I125,[2]LOOKUP!$A:$D,4,FALSE)</f>
        <v>CM</v>
      </c>
    </row>
    <row r="126" spans="1:11">
      <c r="A126" t="s">
        <v>447</v>
      </c>
      <c r="B126">
        <v>1</v>
      </c>
      <c r="C126" t="str">
        <f t="shared" si="1"/>
        <v>317351</v>
      </c>
      <c r="D126">
        <v>317351</v>
      </c>
      <c r="E126" s="34" t="s">
        <v>531</v>
      </c>
      <c r="F126" t="s">
        <v>532</v>
      </c>
      <c r="G126" t="s">
        <v>314</v>
      </c>
      <c r="H126" t="s">
        <v>315</v>
      </c>
      <c r="I126" t="s">
        <v>88</v>
      </c>
      <c r="J126" t="s">
        <v>316</v>
      </c>
      <c r="K126" s="15" t="str">
        <f>VLOOKUP(I126,[2]LOOKUP!$A:$D,4,FALSE)</f>
        <v>CM</v>
      </c>
    </row>
    <row r="127" spans="1:11">
      <c r="A127" t="s">
        <v>447</v>
      </c>
      <c r="B127">
        <v>1</v>
      </c>
      <c r="C127" t="str">
        <f t="shared" si="1"/>
        <v>317351</v>
      </c>
      <c r="D127">
        <v>317351</v>
      </c>
      <c r="E127" s="34" t="s">
        <v>533</v>
      </c>
      <c r="F127" t="s">
        <v>534</v>
      </c>
      <c r="G127" t="s">
        <v>314</v>
      </c>
      <c r="H127" t="s">
        <v>315</v>
      </c>
      <c r="I127" t="s">
        <v>88</v>
      </c>
      <c r="J127" t="s">
        <v>316</v>
      </c>
      <c r="K127" s="15" t="str">
        <f>VLOOKUP(I127,[2]LOOKUP!$A:$D,4,FALSE)</f>
        <v>CM</v>
      </c>
    </row>
    <row r="128" spans="1:11">
      <c r="A128" t="s">
        <v>447</v>
      </c>
      <c r="B128" t="s">
        <v>448</v>
      </c>
      <c r="C128" t="str">
        <f t="shared" si="1"/>
        <v>318292</v>
      </c>
      <c r="D128">
        <v>317351</v>
      </c>
      <c r="E128" s="34">
        <v>318292062</v>
      </c>
      <c r="F128" t="s">
        <v>352</v>
      </c>
      <c r="G128" t="s">
        <v>314</v>
      </c>
      <c r="H128" t="s">
        <v>315</v>
      </c>
      <c r="I128" t="s">
        <v>82</v>
      </c>
      <c r="J128" t="s">
        <v>316</v>
      </c>
      <c r="K128" s="15" t="str">
        <f>VLOOKUP(I128,[2]LOOKUP!$A:$D,4,FALSE)</f>
        <v>CM</v>
      </c>
    </row>
    <row r="129" spans="1:11">
      <c r="A129" t="s">
        <v>447</v>
      </c>
      <c r="B129">
        <v>1</v>
      </c>
      <c r="C129" t="str">
        <f t="shared" si="1"/>
        <v>317351</v>
      </c>
      <c r="D129">
        <v>317351</v>
      </c>
      <c r="E129" s="34" t="s">
        <v>535</v>
      </c>
      <c r="F129" t="s">
        <v>536</v>
      </c>
      <c r="G129" t="s">
        <v>314</v>
      </c>
      <c r="H129" t="s">
        <v>315</v>
      </c>
      <c r="I129" t="s">
        <v>88</v>
      </c>
      <c r="J129" t="s">
        <v>316</v>
      </c>
      <c r="K129" s="15" t="str">
        <f>VLOOKUP(I129,[2]LOOKUP!$A:$D,4,FALSE)</f>
        <v>CM</v>
      </c>
    </row>
    <row r="130" spans="1:11">
      <c r="A130" t="s">
        <v>447</v>
      </c>
      <c r="B130" t="s">
        <v>448</v>
      </c>
      <c r="C130" t="str">
        <f t="shared" si="1"/>
        <v>318292</v>
      </c>
      <c r="D130">
        <v>317351</v>
      </c>
      <c r="E130" s="34">
        <v>318292064</v>
      </c>
      <c r="F130" t="s">
        <v>354</v>
      </c>
      <c r="G130" t="s">
        <v>314</v>
      </c>
      <c r="H130" t="s">
        <v>315</v>
      </c>
      <c r="I130" t="s">
        <v>82</v>
      </c>
      <c r="J130" t="s">
        <v>316</v>
      </c>
      <c r="K130" s="15" t="str">
        <f>VLOOKUP(I130,[2]LOOKUP!$A:$D,4,FALSE)</f>
        <v>CM</v>
      </c>
    </row>
    <row r="131" spans="1:11">
      <c r="A131" t="s">
        <v>447</v>
      </c>
      <c r="B131">
        <v>1</v>
      </c>
      <c r="C131" t="str">
        <f t="shared" ref="C131:C155" si="2">LEFT(E131,6)</f>
        <v>317351</v>
      </c>
      <c r="D131">
        <v>317351</v>
      </c>
      <c r="E131" s="34" t="s">
        <v>537</v>
      </c>
      <c r="F131" t="s">
        <v>538</v>
      </c>
      <c r="G131" t="s">
        <v>314</v>
      </c>
      <c r="H131" t="s">
        <v>315</v>
      </c>
      <c r="I131" t="s">
        <v>88</v>
      </c>
      <c r="J131" t="s">
        <v>316</v>
      </c>
      <c r="K131" s="15" t="str">
        <f>VLOOKUP(I131,[2]LOOKUP!$A:$D,4,FALSE)</f>
        <v>CM</v>
      </c>
    </row>
    <row r="132" spans="1:11">
      <c r="A132" t="s">
        <v>447</v>
      </c>
      <c r="B132">
        <v>1</v>
      </c>
      <c r="C132" t="str">
        <f t="shared" si="2"/>
        <v>317351</v>
      </c>
      <c r="D132">
        <v>317351</v>
      </c>
      <c r="E132" s="34" t="s">
        <v>539</v>
      </c>
      <c r="F132" t="s">
        <v>540</v>
      </c>
      <c r="G132" t="s">
        <v>314</v>
      </c>
      <c r="H132" t="s">
        <v>315</v>
      </c>
      <c r="I132" t="s">
        <v>88</v>
      </c>
      <c r="J132" t="s">
        <v>316</v>
      </c>
      <c r="K132" s="15" t="str">
        <f>VLOOKUP(I132,[2]LOOKUP!$A:$D,4,FALSE)</f>
        <v>CM</v>
      </c>
    </row>
    <row r="133" spans="1:11">
      <c r="A133" t="s">
        <v>447</v>
      </c>
      <c r="B133" t="s">
        <v>448</v>
      </c>
      <c r="C133" t="str">
        <f t="shared" si="2"/>
        <v>318292</v>
      </c>
      <c r="D133">
        <v>317351</v>
      </c>
      <c r="E133" s="34">
        <v>318292067</v>
      </c>
      <c r="F133" t="s">
        <v>356</v>
      </c>
      <c r="G133" t="s">
        <v>314</v>
      </c>
      <c r="H133" t="s">
        <v>315</v>
      </c>
      <c r="I133" t="s">
        <v>82</v>
      </c>
      <c r="J133" t="s">
        <v>316</v>
      </c>
      <c r="K133" s="15" t="str">
        <f>VLOOKUP(I133,[2]LOOKUP!$A:$D,4,FALSE)</f>
        <v>CM</v>
      </c>
    </row>
    <row r="134" spans="1:11">
      <c r="A134" t="s">
        <v>447</v>
      </c>
      <c r="B134">
        <v>1</v>
      </c>
      <c r="C134" t="str">
        <f t="shared" si="2"/>
        <v>317351</v>
      </c>
      <c r="D134">
        <v>317351</v>
      </c>
      <c r="E134" s="34" t="s">
        <v>541</v>
      </c>
      <c r="F134" t="s">
        <v>542</v>
      </c>
      <c r="G134" t="s">
        <v>314</v>
      </c>
      <c r="H134" t="s">
        <v>315</v>
      </c>
      <c r="I134" t="s">
        <v>88</v>
      </c>
      <c r="J134" t="s">
        <v>316</v>
      </c>
      <c r="K134" s="15" t="str">
        <f>VLOOKUP(I134,[2]LOOKUP!$A:$D,4,FALSE)</f>
        <v>CM</v>
      </c>
    </row>
    <row r="135" spans="1:11">
      <c r="A135" t="s">
        <v>447</v>
      </c>
      <c r="B135">
        <v>1</v>
      </c>
      <c r="C135" t="str">
        <f t="shared" si="2"/>
        <v>317351</v>
      </c>
      <c r="D135">
        <v>317351</v>
      </c>
      <c r="E135" s="34" t="s">
        <v>543</v>
      </c>
      <c r="F135" t="s">
        <v>544</v>
      </c>
      <c r="G135" t="s">
        <v>314</v>
      </c>
      <c r="H135" t="s">
        <v>315</v>
      </c>
      <c r="I135" t="s">
        <v>88</v>
      </c>
      <c r="J135" t="s">
        <v>316</v>
      </c>
      <c r="K135" s="15" t="str">
        <f>VLOOKUP(I135,[2]LOOKUP!$A:$D,4,FALSE)</f>
        <v>CM</v>
      </c>
    </row>
    <row r="136" spans="1:11">
      <c r="A136" t="s">
        <v>447</v>
      </c>
      <c r="B136">
        <v>1</v>
      </c>
      <c r="C136" t="str">
        <f t="shared" si="2"/>
        <v>317351</v>
      </c>
      <c r="D136">
        <v>317351</v>
      </c>
      <c r="E136" s="34" t="s">
        <v>545</v>
      </c>
      <c r="F136" t="s">
        <v>546</v>
      </c>
      <c r="G136" t="s">
        <v>314</v>
      </c>
      <c r="H136" t="s">
        <v>315</v>
      </c>
      <c r="I136" t="s">
        <v>88</v>
      </c>
      <c r="J136" t="s">
        <v>316</v>
      </c>
      <c r="K136" s="15" t="str">
        <f>VLOOKUP(I136,[2]LOOKUP!$A:$D,4,FALSE)</f>
        <v>CM</v>
      </c>
    </row>
    <row r="137" spans="1:11">
      <c r="A137" t="s">
        <v>447</v>
      </c>
      <c r="B137" t="s">
        <v>448</v>
      </c>
      <c r="C137" t="str">
        <f t="shared" si="2"/>
        <v>318292</v>
      </c>
      <c r="D137">
        <v>317351</v>
      </c>
      <c r="E137" s="34">
        <v>318292071</v>
      </c>
      <c r="F137" t="s">
        <v>357</v>
      </c>
      <c r="G137" t="s">
        <v>314</v>
      </c>
      <c r="H137" t="s">
        <v>315</v>
      </c>
      <c r="I137" t="s">
        <v>82</v>
      </c>
      <c r="J137" t="s">
        <v>316</v>
      </c>
      <c r="K137" s="15" t="str">
        <f>VLOOKUP(I137,[2]LOOKUP!$A:$D,4,FALSE)</f>
        <v>CM</v>
      </c>
    </row>
    <row r="138" spans="1:11">
      <c r="A138" t="s">
        <v>447</v>
      </c>
      <c r="B138">
        <v>1</v>
      </c>
      <c r="C138" t="str">
        <f t="shared" si="2"/>
        <v>317351</v>
      </c>
      <c r="D138">
        <v>317351</v>
      </c>
      <c r="E138" s="34" t="s">
        <v>547</v>
      </c>
      <c r="F138" t="s">
        <v>548</v>
      </c>
      <c r="G138" t="s">
        <v>314</v>
      </c>
      <c r="H138" t="s">
        <v>315</v>
      </c>
      <c r="I138" t="s">
        <v>88</v>
      </c>
      <c r="J138" t="s">
        <v>316</v>
      </c>
      <c r="K138" s="15" t="str">
        <f>VLOOKUP(I138,[2]LOOKUP!$A:$D,4,FALSE)</f>
        <v>CM</v>
      </c>
    </row>
    <row r="139" spans="1:11">
      <c r="A139" t="s">
        <v>447</v>
      </c>
      <c r="B139" t="s">
        <v>448</v>
      </c>
      <c r="C139" t="str">
        <f t="shared" si="2"/>
        <v>318292</v>
      </c>
      <c r="D139">
        <v>317351</v>
      </c>
      <c r="E139" s="34">
        <v>318292073</v>
      </c>
      <c r="F139" t="s">
        <v>359</v>
      </c>
      <c r="G139" t="s">
        <v>314</v>
      </c>
      <c r="H139" t="s">
        <v>315</v>
      </c>
      <c r="I139" t="s">
        <v>82</v>
      </c>
      <c r="J139" t="s">
        <v>316</v>
      </c>
      <c r="K139" s="15" t="str">
        <f>VLOOKUP(I139,[2]LOOKUP!$A:$D,4,FALSE)</f>
        <v>CM</v>
      </c>
    </row>
    <row r="140" spans="1:11">
      <c r="A140" t="s">
        <v>447</v>
      </c>
      <c r="B140" t="s">
        <v>448</v>
      </c>
      <c r="C140" t="str">
        <f t="shared" si="2"/>
        <v>318292</v>
      </c>
      <c r="D140">
        <v>317351</v>
      </c>
      <c r="E140" s="34">
        <v>318292074</v>
      </c>
      <c r="F140" t="s">
        <v>361</v>
      </c>
      <c r="G140" t="s">
        <v>314</v>
      </c>
      <c r="H140" t="s">
        <v>315</v>
      </c>
      <c r="I140" t="s">
        <v>82</v>
      </c>
      <c r="J140" t="s">
        <v>316</v>
      </c>
      <c r="K140" s="15" t="str">
        <f>VLOOKUP(I140,[2]LOOKUP!$A:$D,4,FALSE)</f>
        <v>CM</v>
      </c>
    </row>
    <row r="141" spans="1:11">
      <c r="A141" t="s">
        <v>447</v>
      </c>
      <c r="B141">
        <v>1</v>
      </c>
      <c r="C141" t="str">
        <f t="shared" si="2"/>
        <v>317351</v>
      </c>
      <c r="D141">
        <v>317351</v>
      </c>
      <c r="E141" s="34" t="s">
        <v>549</v>
      </c>
      <c r="F141" t="s">
        <v>550</v>
      </c>
      <c r="G141" t="s">
        <v>314</v>
      </c>
      <c r="H141" t="s">
        <v>315</v>
      </c>
      <c r="I141" t="s">
        <v>88</v>
      </c>
      <c r="J141" t="s">
        <v>316</v>
      </c>
      <c r="K141" s="15" t="str">
        <f>VLOOKUP(I141,[2]LOOKUP!$A:$D,4,FALSE)</f>
        <v>CM</v>
      </c>
    </row>
    <row r="142" spans="1:11">
      <c r="A142" t="s">
        <v>447</v>
      </c>
      <c r="B142">
        <v>1</v>
      </c>
      <c r="C142" t="str">
        <f t="shared" si="2"/>
        <v>317351</v>
      </c>
      <c r="D142">
        <v>317351</v>
      </c>
      <c r="E142" s="34" t="s">
        <v>551</v>
      </c>
      <c r="F142" t="s">
        <v>552</v>
      </c>
      <c r="G142" t="s">
        <v>314</v>
      </c>
      <c r="H142" t="s">
        <v>315</v>
      </c>
      <c r="I142" t="s">
        <v>88</v>
      </c>
      <c r="J142" t="s">
        <v>316</v>
      </c>
      <c r="K142" s="15" t="str">
        <f>VLOOKUP(I142,[2]LOOKUP!$A:$D,4,FALSE)</f>
        <v>CM</v>
      </c>
    </row>
    <row r="143" spans="1:11">
      <c r="A143" t="s">
        <v>447</v>
      </c>
      <c r="B143">
        <v>1</v>
      </c>
      <c r="C143" t="str">
        <f t="shared" si="2"/>
        <v>317351</v>
      </c>
      <c r="D143">
        <v>317351</v>
      </c>
      <c r="E143" s="34" t="s">
        <v>553</v>
      </c>
      <c r="F143" t="s">
        <v>554</v>
      </c>
      <c r="G143" t="s">
        <v>314</v>
      </c>
      <c r="H143" t="s">
        <v>315</v>
      </c>
      <c r="I143" t="s">
        <v>88</v>
      </c>
      <c r="J143" t="s">
        <v>316</v>
      </c>
      <c r="K143" s="15" t="str">
        <f>VLOOKUP(I143,[2]LOOKUP!$A:$D,4,FALSE)</f>
        <v>CM</v>
      </c>
    </row>
    <row r="144" spans="1:11">
      <c r="A144" t="s">
        <v>447</v>
      </c>
      <c r="B144">
        <v>1</v>
      </c>
      <c r="C144" t="str">
        <f t="shared" si="2"/>
        <v>317351</v>
      </c>
      <c r="D144">
        <v>317351</v>
      </c>
      <c r="E144" s="34" t="s">
        <v>555</v>
      </c>
      <c r="F144" t="s">
        <v>556</v>
      </c>
      <c r="G144" t="s">
        <v>314</v>
      </c>
      <c r="H144" t="s">
        <v>315</v>
      </c>
      <c r="I144" t="s">
        <v>88</v>
      </c>
      <c r="J144" t="s">
        <v>316</v>
      </c>
      <c r="K144" s="15" t="str">
        <f>VLOOKUP(I144,[2]LOOKUP!$A:$D,4,FALSE)</f>
        <v>CM</v>
      </c>
    </row>
    <row r="145" spans="1:11">
      <c r="A145" t="s">
        <v>447</v>
      </c>
      <c r="B145">
        <v>1</v>
      </c>
      <c r="C145" t="str">
        <f t="shared" si="2"/>
        <v>317351</v>
      </c>
      <c r="D145">
        <v>317351</v>
      </c>
      <c r="E145" s="34" t="s">
        <v>557</v>
      </c>
      <c r="F145" t="s">
        <v>558</v>
      </c>
      <c r="G145" t="s">
        <v>314</v>
      </c>
      <c r="H145" t="s">
        <v>315</v>
      </c>
      <c r="I145" t="s">
        <v>88</v>
      </c>
      <c r="J145" t="s">
        <v>316</v>
      </c>
      <c r="K145" s="15" t="str">
        <f>VLOOKUP(I145,[2]LOOKUP!$A:$D,4,FALSE)</f>
        <v>CM</v>
      </c>
    </row>
    <row r="146" spans="1:11">
      <c r="A146" t="s">
        <v>447</v>
      </c>
      <c r="B146">
        <v>1</v>
      </c>
      <c r="C146" t="str">
        <f t="shared" si="2"/>
        <v>317351</v>
      </c>
      <c r="D146">
        <v>317351</v>
      </c>
      <c r="E146" s="34" t="s">
        <v>559</v>
      </c>
      <c r="F146" t="s">
        <v>560</v>
      </c>
      <c r="G146" t="s">
        <v>314</v>
      </c>
      <c r="H146" t="s">
        <v>315</v>
      </c>
      <c r="I146" t="s">
        <v>88</v>
      </c>
      <c r="J146" t="s">
        <v>316</v>
      </c>
      <c r="K146" s="15" t="str">
        <f>VLOOKUP(I146,[2]LOOKUP!$A:$D,4,FALSE)</f>
        <v>CM</v>
      </c>
    </row>
    <row r="147" spans="1:11">
      <c r="A147" t="s">
        <v>447</v>
      </c>
      <c r="B147" t="s">
        <v>448</v>
      </c>
      <c r="C147" t="str">
        <f t="shared" si="2"/>
        <v>318292</v>
      </c>
      <c r="D147">
        <v>317351</v>
      </c>
      <c r="E147" s="34">
        <v>318292081</v>
      </c>
      <c r="F147" t="s">
        <v>363</v>
      </c>
      <c r="G147" t="s">
        <v>314</v>
      </c>
      <c r="H147" t="s">
        <v>315</v>
      </c>
      <c r="I147" t="s">
        <v>82</v>
      </c>
      <c r="J147" t="s">
        <v>316</v>
      </c>
      <c r="K147" s="15" t="str">
        <f>VLOOKUP(I147,[2]LOOKUP!$A:$D,4,FALSE)</f>
        <v>CM</v>
      </c>
    </row>
    <row r="148" spans="1:11">
      <c r="A148" t="s">
        <v>447</v>
      </c>
      <c r="B148">
        <v>1</v>
      </c>
      <c r="C148" t="str">
        <f t="shared" si="2"/>
        <v>317351</v>
      </c>
      <c r="D148">
        <v>317351</v>
      </c>
      <c r="E148" s="34" t="s">
        <v>561</v>
      </c>
      <c r="F148" t="s">
        <v>562</v>
      </c>
      <c r="G148" t="s">
        <v>314</v>
      </c>
      <c r="H148" t="s">
        <v>315</v>
      </c>
      <c r="I148" t="s">
        <v>88</v>
      </c>
      <c r="J148" t="s">
        <v>316</v>
      </c>
      <c r="K148" s="15" t="str">
        <f>VLOOKUP(I148,[2]LOOKUP!$A:$D,4,FALSE)</f>
        <v>CM</v>
      </c>
    </row>
    <row r="149" spans="1:11">
      <c r="A149" t="s">
        <v>447</v>
      </c>
      <c r="B149" t="s">
        <v>448</v>
      </c>
      <c r="C149" t="str">
        <f t="shared" si="2"/>
        <v>318292</v>
      </c>
      <c r="D149">
        <v>317351</v>
      </c>
      <c r="E149" s="34">
        <v>318292083</v>
      </c>
      <c r="F149" t="s">
        <v>365</v>
      </c>
      <c r="G149" t="s">
        <v>314</v>
      </c>
      <c r="H149" t="s">
        <v>315</v>
      </c>
      <c r="I149" t="s">
        <v>82</v>
      </c>
      <c r="J149" t="s">
        <v>316</v>
      </c>
      <c r="K149" s="15" t="str">
        <f>VLOOKUP(I149,[2]LOOKUP!$A:$D,4,FALSE)</f>
        <v>CM</v>
      </c>
    </row>
    <row r="150" spans="1:11">
      <c r="A150" t="s">
        <v>447</v>
      </c>
      <c r="B150">
        <v>1</v>
      </c>
      <c r="C150" t="str">
        <f t="shared" si="2"/>
        <v>317351</v>
      </c>
      <c r="D150">
        <v>317351</v>
      </c>
      <c r="E150" s="34" t="s">
        <v>563</v>
      </c>
      <c r="F150" t="s">
        <v>564</v>
      </c>
      <c r="G150" t="s">
        <v>314</v>
      </c>
      <c r="H150" t="s">
        <v>315</v>
      </c>
      <c r="I150" t="s">
        <v>88</v>
      </c>
      <c r="J150" t="s">
        <v>316</v>
      </c>
      <c r="K150" s="15" t="str">
        <f>VLOOKUP(I150,[2]LOOKUP!$A:$D,4,FALSE)</f>
        <v>CM</v>
      </c>
    </row>
    <row r="151" spans="1:11">
      <c r="A151" t="s">
        <v>447</v>
      </c>
      <c r="B151" t="s">
        <v>448</v>
      </c>
      <c r="C151" t="str">
        <f t="shared" si="2"/>
        <v>318292</v>
      </c>
      <c r="D151">
        <v>317351</v>
      </c>
      <c r="E151" s="34">
        <v>318292085</v>
      </c>
      <c r="F151" t="s">
        <v>367</v>
      </c>
      <c r="G151" t="s">
        <v>314</v>
      </c>
      <c r="H151" t="s">
        <v>315</v>
      </c>
      <c r="I151" t="s">
        <v>82</v>
      </c>
      <c r="J151" t="s">
        <v>316</v>
      </c>
      <c r="K151" s="15" t="str">
        <f>VLOOKUP(I151,[2]LOOKUP!$A:$D,4,FALSE)</f>
        <v>CM</v>
      </c>
    </row>
    <row r="152" spans="1:11">
      <c r="A152" t="s">
        <v>447</v>
      </c>
      <c r="B152" t="s">
        <v>448</v>
      </c>
      <c r="C152" t="str">
        <f t="shared" si="2"/>
        <v>318292</v>
      </c>
      <c r="D152">
        <v>317351</v>
      </c>
      <c r="E152" s="34">
        <v>318292086</v>
      </c>
      <c r="F152" t="s">
        <v>369</v>
      </c>
      <c r="G152" t="s">
        <v>314</v>
      </c>
      <c r="H152" t="s">
        <v>315</v>
      </c>
      <c r="I152" t="s">
        <v>82</v>
      </c>
      <c r="J152" t="s">
        <v>316</v>
      </c>
      <c r="K152" s="15" t="str">
        <f>VLOOKUP(I152,[2]LOOKUP!$A:$D,4,FALSE)</f>
        <v>CM</v>
      </c>
    </row>
    <row r="153" spans="1:11">
      <c r="A153" t="s">
        <v>447</v>
      </c>
      <c r="B153" t="s">
        <v>448</v>
      </c>
      <c r="C153" t="str">
        <f t="shared" si="2"/>
        <v>318292</v>
      </c>
      <c r="D153">
        <v>317351</v>
      </c>
      <c r="E153" s="34">
        <v>318292087</v>
      </c>
      <c r="F153" t="s">
        <v>371</v>
      </c>
      <c r="G153" t="s">
        <v>314</v>
      </c>
      <c r="H153" t="s">
        <v>315</v>
      </c>
      <c r="I153" t="s">
        <v>82</v>
      </c>
      <c r="J153" t="s">
        <v>316</v>
      </c>
      <c r="K153" s="15" t="str">
        <f>VLOOKUP(I153,[2]LOOKUP!$A:$D,4,FALSE)</f>
        <v>CM</v>
      </c>
    </row>
    <row r="154" spans="1:11">
      <c r="A154" t="s">
        <v>447</v>
      </c>
      <c r="B154" t="s">
        <v>448</v>
      </c>
      <c r="C154" t="str">
        <f t="shared" si="2"/>
        <v>318292</v>
      </c>
      <c r="D154">
        <v>317351</v>
      </c>
      <c r="E154" s="34">
        <v>318292088</v>
      </c>
      <c r="F154" t="s">
        <v>373</v>
      </c>
      <c r="G154" t="s">
        <v>314</v>
      </c>
      <c r="H154" t="s">
        <v>315</v>
      </c>
      <c r="I154" t="s">
        <v>82</v>
      </c>
      <c r="J154" t="s">
        <v>316</v>
      </c>
      <c r="K154" s="15" t="str">
        <f>VLOOKUP(I154,[2]LOOKUP!$A:$D,4,FALSE)</f>
        <v>CM</v>
      </c>
    </row>
    <row r="155" spans="1:11">
      <c r="A155" t="s">
        <v>447</v>
      </c>
      <c r="B155" t="s">
        <v>448</v>
      </c>
      <c r="C155" t="str">
        <f t="shared" si="2"/>
        <v>318292</v>
      </c>
      <c r="D155">
        <v>317351</v>
      </c>
      <c r="E155" s="34">
        <v>318292089</v>
      </c>
      <c r="F155" t="s">
        <v>375</v>
      </c>
      <c r="G155" t="s">
        <v>314</v>
      </c>
      <c r="H155" t="s">
        <v>315</v>
      </c>
      <c r="I155" t="s">
        <v>82</v>
      </c>
      <c r="J155" t="s">
        <v>316</v>
      </c>
      <c r="K155" s="15" t="str">
        <f>VLOOKUP(I155,[2]LOOKUP!$A:$D,4,FALSE)</f>
        <v>CM</v>
      </c>
    </row>
    <row r="156" spans="1:11">
      <c r="A156" t="s">
        <v>565</v>
      </c>
      <c r="B156">
        <v>3</v>
      </c>
      <c r="D156">
        <v>999997</v>
      </c>
      <c r="F156" t="s">
        <v>566</v>
      </c>
      <c r="K156" s="15" t="e">
        <f>VLOOKUP(I156,[2]LOOKUP!$A:$D,4,FALSE)</f>
        <v>#N/A</v>
      </c>
    </row>
  </sheetData>
  <autoFilter ref="A1:Q156" xr:uid="{147BF9F9-7D6C-4C22-9C80-629EFDAECDC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1EEC-904E-469F-AD64-91A4AD95FA04}">
  <sheetPr>
    <tabColor rgb="FF92D050"/>
  </sheetPr>
  <dimension ref="A1:K151"/>
  <sheetViews>
    <sheetView workbookViewId="0">
      <selection activeCell="F15" sqref="F15"/>
    </sheetView>
  </sheetViews>
  <sheetFormatPr defaultRowHeight="14.45"/>
  <cols>
    <col min="5" max="5" width="10" bestFit="1" customWidth="1"/>
    <col min="6" max="6" width="47.42578125" bestFit="1" customWidth="1"/>
    <col min="7" max="7" width="12.140625" bestFit="1" customWidth="1"/>
    <col min="8" max="8" width="12.85546875" bestFit="1" customWidth="1"/>
    <col min="9" max="9" width="10" bestFit="1" customWidth="1"/>
    <col min="10" max="10" width="13.85546875" bestFit="1" customWidth="1"/>
    <col min="11" max="11" width="9.7109375" customWidth="1"/>
  </cols>
  <sheetData>
    <row r="1" spans="1:11" ht="81.599999999999994">
      <c r="A1" t="s">
        <v>300</v>
      </c>
      <c r="B1" t="s">
        <v>301</v>
      </c>
      <c r="C1" t="s">
        <v>302</v>
      </c>
      <c r="D1" t="s">
        <v>303</v>
      </c>
      <c r="E1" s="31" t="s">
        <v>304</v>
      </c>
      <c r="F1" s="32" t="s">
        <v>305</v>
      </c>
      <c r="G1" s="32" t="s">
        <v>306</v>
      </c>
      <c r="H1" s="32" t="s">
        <v>307</v>
      </c>
      <c r="I1" s="32" t="s">
        <v>308</v>
      </c>
      <c r="J1" s="32" t="s">
        <v>309</v>
      </c>
      <c r="K1" s="33" t="s">
        <v>310</v>
      </c>
    </row>
    <row r="2" spans="1:11">
      <c r="A2" t="s">
        <v>311</v>
      </c>
      <c r="B2">
        <v>1</v>
      </c>
      <c r="C2" t="str">
        <f>LEFT(E2,6)</f>
        <v>317354</v>
      </c>
      <c r="D2">
        <v>317354</v>
      </c>
      <c r="E2">
        <v>317354003</v>
      </c>
      <c r="F2" t="s">
        <v>567</v>
      </c>
      <c r="G2" t="s">
        <v>314</v>
      </c>
      <c r="H2" t="s">
        <v>315</v>
      </c>
      <c r="I2" t="s">
        <v>100</v>
      </c>
      <c r="J2" t="s">
        <v>316</v>
      </c>
      <c r="K2" s="15" t="str">
        <f>VLOOKUP(I2,[2]LOOKUP!$A:$D,4,FALSE)</f>
        <v>CM</v>
      </c>
    </row>
    <row r="3" spans="1:11">
      <c r="A3" t="s">
        <v>311</v>
      </c>
      <c r="B3">
        <v>1</v>
      </c>
      <c r="C3" t="str">
        <f t="shared" ref="C3:C66" si="0">LEFT(E3,6)</f>
        <v>317354</v>
      </c>
      <c r="D3">
        <v>317354</v>
      </c>
      <c r="E3">
        <v>317354004</v>
      </c>
      <c r="F3" t="s">
        <v>568</v>
      </c>
      <c r="G3" t="s">
        <v>314</v>
      </c>
      <c r="H3" t="s">
        <v>315</v>
      </c>
      <c r="I3" t="s">
        <v>100</v>
      </c>
      <c r="J3" t="s">
        <v>316</v>
      </c>
      <c r="K3" s="15" t="str">
        <f>VLOOKUP(I3,[2]LOOKUP!$A:$D,4,FALSE)</f>
        <v>CM</v>
      </c>
    </row>
    <row r="4" spans="1:11">
      <c r="A4" t="s">
        <v>311</v>
      </c>
      <c r="B4">
        <v>1</v>
      </c>
      <c r="C4" t="str">
        <f t="shared" si="0"/>
        <v>317354</v>
      </c>
      <c r="D4">
        <v>317354</v>
      </c>
      <c r="E4">
        <v>317354006</v>
      </c>
      <c r="F4" t="s">
        <v>569</v>
      </c>
      <c r="G4" t="s">
        <v>314</v>
      </c>
      <c r="H4" t="s">
        <v>315</v>
      </c>
      <c r="I4" t="s">
        <v>58</v>
      </c>
      <c r="J4" t="s">
        <v>316</v>
      </c>
      <c r="K4" s="15" t="str">
        <f>VLOOKUP(I4,[2]LOOKUP!$A:$D,4,FALSE)</f>
        <v>CM</v>
      </c>
    </row>
    <row r="5" spans="1:11">
      <c r="A5" t="s">
        <v>311</v>
      </c>
      <c r="B5">
        <v>1</v>
      </c>
      <c r="C5" t="str">
        <f t="shared" si="0"/>
        <v>317354</v>
      </c>
      <c r="D5">
        <v>317354</v>
      </c>
      <c r="E5">
        <v>317354008</v>
      </c>
      <c r="F5" t="s">
        <v>570</v>
      </c>
      <c r="G5" t="s">
        <v>314</v>
      </c>
      <c r="H5" t="s">
        <v>315</v>
      </c>
      <c r="I5" t="s">
        <v>58</v>
      </c>
      <c r="J5" t="s">
        <v>316</v>
      </c>
      <c r="K5" s="15" t="str">
        <f>VLOOKUP(I5,[2]LOOKUP!$A:$D,4,FALSE)</f>
        <v>CM</v>
      </c>
    </row>
    <row r="6" spans="1:11">
      <c r="A6" t="s">
        <v>311</v>
      </c>
      <c r="B6">
        <v>1</v>
      </c>
      <c r="C6" t="str">
        <f t="shared" si="0"/>
        <v>317354</v>
      </c>
      <c r="D6">
        <v>317354</v>
      </c>
      <c r="E6">
        <v>317354009</v>
      </c>
      <c r="F6" t="s">
        <v>571</v>
      </c>
      <c r="G6" t="s">
        <v>314</v>
      </c>
      <c r="H6" t="s">
        <v>315</v>
      </c>
      <c r="I6" t="s">
        <v>100</v>
      </c>
      <c r="J6" t="s">
        <v>316</v>
      </c>
      <c r="K6" s="15" t="str">
        <f>VLOOKUP(I6,[2]LOOKUP!$A:$D,4,FALSE)</f>
        <v>CM</v>
      </c>
    </row>
    <row r="7" spans="1:11">
      <c r="A7" t="s">
        <v>329</v>
      </c>
      <c r="B7">
        <v>1</v>
      </c>
      <c r="C7" t="str">
        <f t="shared" si="0"/>
        <v>317354</v>
      </c>
      <c r="D7">
        <v>999996</v>
      </c>
      <c r="E7">
        <v>317354010</v>
      </c>
      <c r="F7" t="s">
        <v>572</v>
      </c>
      <c r="G7" t="s">
        <v>314</v>
      </c>
      <c r="H7" t="s">
        <v>315</v>
      </c>
      <c r="I7" t="s">
        <v>19</v>
      </c>
      <c r="J7" t="s">
        <v>316</v>
      </c>
      <c r="K7" s="15" t="str">
        <f>VLOOKUP(I7,[2]LOOKUP!$A:$D,4,FALSE)</f>
        <v>RM</v>
      </c>
    </row>
    <row r="8" spans="1:11">
      <c r="A8" t="s">
        <v>311</v>
      </c>
      <c r="B8">
        <v>1</v>
      </c>
      <c r="C8" t="str">
        <f t="shared" si="0"/>
        <v>317354</v>
      </c>
      <c r="D8">
        <v>317354</v>
      </c>
      <c r="E8">
        <v>317354013</v>
      </c>
      <c r="F8" t="s">
        <v>573</v>
      </c>
      <c r="G8" t="s">
        <v>314</v>
      </c>
      <c r="H8" t="s">
        <v>315</v>
      </c>
      <c r="I8" t="s">
        <v>44</v>
      </c>
      <c r="J8" t="s">
        <v>316</v>
      </c>
      <c r="K8" s="15" t="str">
        <f>VLOOKUP(I8,[2]LOOKUP!$A:$D,4,FALSE)</f>
        <v>RM</v>
      </c>
    </row>
    <row r="9" spans="1:11">
      <c r="A9" t="s">
        <v>311</v>
      </c>
      <c r="B9">
        <v>1</v>
      </c>
      <c r="C9" t="str">
        <f t="shared" si="0"/>
        <v>317354</v>
      </c>
      <c r="D9">
        <v>317354</v>
      </c>
      <c r="E9">
        <v>317354014</v>
      </c>
      <c r="F9" t="s">
        <v>574</v>
      </c>
      <c r="G9" t="s">
        <v>314</v>
      </c>
      <c r="H9" t="s">
        <v>315</v>
      </c>
      <c r="I9" t="s">
        <v>100</v>
      </c>
      <c r="J9" t="s">
        <v>316</v>
      </c>
      <c r="K9" s="15" t="str">
        <f>VLOOKUP(I9,[2]LOOKUP!$A:$D,4,FALSE)</f>
        <v>CM</v>
      </c>
    </row>
    <row r="10" spans="1:11">
      <c r="A10" t="s">
        <v>311</v>
      </c>
      <c r="B10">
        <v>1</v>
      </c>
      <c r="C10" t="str">
        <f t="shared" si="0"/>
        <v>317354</v>
      </c>
      <c r="D10">
        <v>317354</v>
      </c>
      <c r="E10">
        <v>317354016</v>
      </c>
      <c r="F10" t="s">
        <v>575</v>
      </c>
      <c r="G10" t="s">
        <v>314</v>
      </c>
      <c r="H10" t="s">
        <v>315</v>
      </c>
      <c r="I10" t="s">
        <v>44</v>
      </c>
      <c r="J10" t="s">
        <v>316</v>
      </c>
      <c r="K10" s="15" t="str">
        <f>VLOOKUP(I10,[2]LOOKUP!$A:$D,4,FALSE)</f>
        <v>RM</v>
      </c>
    </row>
    <row r="11" spans="1:11">
      <c r="A11" t="s">
        <v>329</v>
      </c>
      <c r="B11">
        <v>1</v>
      </c>
      <c r="C11" t="str">
        <f t="shared" si="0"/>
        <v>317354</v>
      </c>
      <c r="D11">
        <v>999996</v>
      </c>
      <c r="E11">
        <v>317354017</v>
      </c>
      <c r="F11" t="s">
        <v>576</v>
      </c>
      <c r="G11" t="s">
        <v>314</v>
      </c>
      <c r="H11" t="s">
        <v>315</v>
      </c>
      <c r="I11" t="s">
        <v>19</v>
      </c>
      <c r="J11" t="s">
        <v>316</v>
      </c>
      <c r="K11" s="15" t="str">
        <f>VLOOKUP(I11,[2]LOOKUP!$A:$D,4,FALSE)</f>
        <v>RM</v>
      </c>
    </row>
    <row r="12" spans="1:11">
      <c r="A12" t="s">
        <v>329</v>
      </c>
      <c r="B12">
        <v>1</v>
      </c>
      <c r="C12" t="str">
        <f t="shared" si="0"/>
        <v>317354</v>
      </c>
      <c r="D12">
        <v>999996</v>
      </c>
      <c r="E12">
        <v>317354020</v>
      </c>
      <c r="F12" t="s">
        <v>577</v>
      </c>
      <c r="G12" t="s">
        <v>314</v>
      </c>
      <c r="H12" t="s">
        <v>315</v>
      </c>
      <c r="I12" t="s">
        <v>19</v>
      </c>
      <c r="J12" t="s">
        <v>316</v>
      </c>
      <c r="K12" s="15" t="str">
        <f>VLOOKUP(I12,[2]LOOKUP!$A:$D,4,FALSE)</f>
        <v>RM</v>
      </c>
    </row>
    <row r="13" spans="1:11">
      <c r="A13" t="s">
        <v>311</v>
      </c>
      <c r="B13">
        <v>1</v>
      </c>
      <c r="C13" t="str">
        <f t="shared" si="0"/>
        <v>317354</v>
      </c>
      <c r="D13">
        <v>317354</v>
      </c>
      <c r="E13">
        <v>317354021</v>
      </c>
      <c r="F13" t="s">
        <v>578</v>
      </c>
      <c r="G13" t="s">
        <v>314</v>
      </c>
      <c r="H13" t="s">
        <v>315</v>
      </c>
      <c r="I13" t="s">
        <v>58</v>
      </c>
      <c r="J13" t="s">
        <v>316</v>
      </c>
      <c r="K13" s="15" t="str">
        <f>VLOOKUP(I13,[2]LOOKUP!$A:$D,4,FALSE)</f>
        <v>CM</v>
      </c>
    </row>
    <row r="14" spans="1:11">
      <c r="A14" t="s">
        <v>311</v>
      </c>
      <c r="B14">
        <v>1</v>
      </c>
      <c r="C14" t="str">
        <f t="shared" si="0"/>
        <v>317354</v>
      </c>
      <c r="D14">
        <v>317354</v>
      </c>
      <c r="E14">
        <v>317354023</v>
      </c>
      <c r="F14" t="s">
        <v>579</v>
      </c>
      <c r="G14" t="s">
        <v>314</v>
      </c>
      <c r="H14" t="s">
        <v>315</v>
      </c>
      <c r="I14" t="s">
        <v>58</v>
      </c>
      <c r="J14" t="s">
        <v>316</v>
      </c>
      <c r="K14" s="15" t="str">
        <f>VLOOKUP(I14,[2]LOOKUP!$A:$D,4,FALSE)</f>
        <v>CM</v>
      </c>
    </row>
    <row r="15" spans="1:11">
      <c r="A15" t="s">
        <v>311</v>
      </c>
      <c r="B15">
        <v>1</v>
      </c>
      <c r="C15" t="str">
        <f t="shared" si="0"/>
        <v>317354</v>
      </c>
      <c r="D15">
        <v>317354</v>
      </c>
      <c r="E15">
        <v>317354025</v>
      </c>
      <c r="F15" t="s">
        <v>580</v>
      </c>
      <c r="G15" t="s">
        <v>314</v>
      </c>
      <c r="H15" t="s">
        <v>315</v>
      </c>
      <c r="I15" t="s">
        <v>44</v>
      </c>
      <c r="J15" t="s">
        <v>316</v>
      </c>
      <c r="K15" s="15" t="str">
        <f>VLOOKUP(I15,[2]LOOKUP!$A:$D,4,FALSE)</f>
        <v>RM</v>
      </c>
    </row>
    <row r="16" spans="1:11">
      <c r="A16" t="s">
        <v>311</v>
      </c>
      <c r="B16">
        <v>1</v>
      </c>
      <c r="C16" t="str">
        <f t="shared" si="0"/>
        <v>317354</v>
      </c>
      <c r="D16">
        <v>317354</v>
      </c>
      <c r="E16">
        <v>317354026</v>
      </c>
      <c r="F16" t="s">
        <v>581</v>
      </c>
      <c r="G16" t="s">
        <v>314</v>
      </c>
      <c r="H16" t="s">
        <v>315</v>
      </c>
      <c r="I16" t="s">
        <v>55</v>
      </c>
      <c r="J16" t="s">
        <v>316</v>
      </c>
      <c r="K16" s="15" t="str">
        <f>VLOOKUP(I16,[2]LOOKUP!$A:$D,4,FALSE)</f>
        <v>RM</v>
      </c>
    </row>
    <row r="17" spans="1:11">
      <c r="A17" t="s">
        <v>311</v>
      </c>
      <c r="B17">
        <v>1</v>
      </c>
      <c r="C17" t="str">
        <f t="shared" si="0"/>
        <v>317354</v>
      </c>
      <c r="D17">
        <v>317354</v>
      </c>
      <c r="E17">
        <v>317354031</v>
      </c>
      <c r="F17" t="s">
        <v>582</v>
      </c>
      <c r="G17" t="s">
        <v>314</v>
      </c>
      <c r="H17" t="s">
        <v>315</v>
      </c>
      <c r="I17" t="s">
        <v>129</v>
      </c>
      <c r="J17" t="s">
        <v>583</v>
      </c>
      <c r="K17" s="15" t="str">
        <f>VLOOKUP(I17,[2]LOOKUP!$A:$D,4,FALSE)</f>
        <v>RM</v>
      </c>
    </row>
    <row r="18" spans="1:11">
      <c r="A18" t="s">
        <v>311</v>
      </c>
      <c r="B18">
        <v>1</v>
      </c>
      <c r="C18" t="str">
        <f t="shared" si="0"/>
        <v>317354</v>
      </c>
      <c r="D18">
        <v>317354</v>
      </c>
      <c r="E18">
        <v>317354034</v>
      </c>
      <c r="F18" t="s">
        <v>584</v>
      </c>
      <c r="G18" t="s">
        <v>314</v>
      </c>
      <c r="H18" t="s">
        <v>315</v>
      </c>
      <c r="I18" t="s">
        <v>44</v>
      </c>
      <c r="J18" t="s">
        <v>316</v>
      </c>
      <c r="K18" s="15" t="str">
        <f>VLOOKUP(I18,[2]LOOKUP!$A:$D,4,FALSE)</f>
        <v>RM</v>
      </c>
    </row>
    <row r="19" spans="1:11">
      <c r="A19" t="s">
        <v>585</v>
      </c>
      <c r="C19" t="str">
        <f t="shared" si="0"/>
        <v>317360</v>
      </c>
      <c r="D19" s="35"/>
      <c r="E19">
        <v>317360007</v>
      </c>
      <c r="F19" t="s">
        <v>586</v>
      </c>
      <c r="G19" t="e">
        <v>#N/A</v>
      </c>
      <c r="H19" t="s">
        <v>81</v>
      </c>
      <c r="I19" t="s">
        <v>81</v>
      </c>
      <c r="J19" t="s">
        <v>81</v>
      </c>
      <c r="K19" s="15" t="str">
        <f>VLOOKUP(I19,[2]LOOKUP!$A:$D,4,FALSE)</f>
        <v>RM</v>
      </c>
    </row>
    <row r="20" spans="1:11">
      <c r="A20" t="s">
        <v>447</v>
      </c>
      <c r="B20">
        <v>1</v>
      </c>
      <c r="C20" t="str">
        <f t="shared" si="0"/>
        <v>318294</v>
      </c>
      <c r="D20">
        <v>318294</v>
      </c>
      <c r="E20">
        <v>318294001</v>
      </c>
      <c r="F20" t="s">
        <v>587</v>
      </c>
      <c r="G20" t="s">
        <v>314</v>
      </c>
      <c r="H20" t="s">
        <v>315</v>
      </c>
      <c r="I20" t="s">
        <v>88</v>
      </c>
      <c r="J20" t="s">
        <v>316</v>
      </c>
      <c r="K20" s="15" t="str">
        <f>VLOOKUP(I20,[2]LOOKUP!$A:$D,4,FALSE)</f>
        <v>CM</v>
      </c>
    </row>
    <row r="21" spans="1:11">
      <c r="A21" t="s">
        <v>447</v>
      </c>
      <c r="B21">
        <v>1</v>
      </c>
      <c r="C21" t="str">
        <f t="shared" si="0"/>
        <v>318294</v>
      </c>
      <c r="D21">
        <v>318294</v>
      </c>
      <c r="E21">
        <v>318294002</v>
      </c>
      <c r="F21" t="s">
        <v>588</v>
      </c>
      <c r="G21" t="s">
        <v>314</v>
      </c>
      <c r="H21" t="s">
        <v>315</v>
      </c>
      <c r="I21" t="s">
        <v>88</v>
      </c>
      <c r="J21" t="s">
        <v>316</v>
      </c>
      <c r="K21" s="15" t="str">
        <f>VLOOKUP(I21,[2]LOOKUP!$A:$D,4,FALSE)</f>
        <v>CM</v>
      </c>
    </row>
    <row r="22" spans="1:11">
      <c r="A22" t="s">
        <v>447</v>
      </c>
      <c r="C22" t="str">
        <f t="shared" si="0"/>
        <v>318294</v>
      </c>
      <c r="D22">
        <v>318294</v>
      </c>
      <c r="E22">
        <v>318294003</v>
      </c>
      <c r="F22" t="s">
        <v>567</v>
      </c>
      <c r="G22" t="s">
        <v>314</v>
      </c>
      <c r="H22" t="s">
        <v>315</v>
      </c>
      <c r="I22" t="s">
        <v>82</v>
      </c>
      <c r="J22" t="s">
        <v>316</v>
      </c>
      <c r="K22" s="15" t="str">
        <f>VLOOKUP(I22,[2]LOOKUP!$A:$D,4,FALSE)</f>
        <v>CM</v>
      </c>
    </row>
    <row r="23" spans="1:11">
      <c r="A23" t="s">
        <v>447</v>
      </c>
      <c r="C23" t="str">
        <f t="shared" si="0"/>
        <v>318294</v>
      </c>
      <c r="D23">
        <v>318294</v>
      </c>
      <c r="E23">
        <v>318294004</v>
      </c>
      <c r="F23" t="s">
        <v>568</v>
      </c>
      <c r="G23" t="s">
        <v>314</v>
      </c>
      <c r="H23" t="s">
        <v>315</v>
      </c>
      <c r="I23" t="s">
        <v>82</v>
      </c>
      <c r="J23" t="s">
        <v>316</v>
      </c>
      <c r="K23" s="15" t="str">
        <f>VLOOKUP(I23,[2]LOOKUP!$A:$D,4,FALSE)</f>
        <v>CM</v>
      </c>
    </row>
    <row r="24" spans="1:11">
      <c r="A24" t="s">
        <v>447</v>
      </c>
      <c r="B24">
        <v>1</v>
      </c>
      <c r="C24" t="str">
        <f t="shared" si="0"/>
        <v>318294</v>
      </c>
      <c r="D24">
        <v>318294</v>
      </c>
      <c r="E24">
        <v>318294005</v>
      </c>
      <c r="F24" t="s">
        <v>589</v>
      </c>
      <c r="G24" t="s">
        <v>314</v>
      </c>
      <c r="H24" t="s">
        <v>315</v>
      </c>
      <c r="I24" t="s">
        <v>88</v>
      </c>
      <c r="J24" t="s">
        <v>316</v>
      </c>
      <c r="K24" s="15" t="str">
        <f>VLOOKUP(I24,[2]LOOKUP!$A:$D,4,FALSE)</f>
        <v>CM</v>
      </c>
    </row>
    <row r="25" spans="1:11">
      <c r="A25" t="s">
        <v>447</v>
      </c>
      <c r="C25" t="str">
        <f t="shared" si="0"/>
        <v>318294</v>
      </c>
      <c r="D25">
        <v>318294</v>
      </c>
      <c r="E25">
        <v>318294006</v>
      </c>
      <c r="F25" t="s">
        <v>569</v>
      </c>
      <c r="G25" t="s">
        <v>314</v>
      </c>
      <c r="H25" t="s">
        <v>315</v>
      </c>
      <c r="I25" t="s">
        <v>82</v>
      </c>
      <c r="J25" t="s">
        <v>316</v>
      </c>
      <c r="K25" s="15" t="str">
        <f>VLOOKUP(I25,[2]LOOKUP!$A:$D,4,FALSE)</f>
        <v>CM</v>
      </c>
    </row>
    <row r="26" spans="1:11">
      <c r="A26" t="s">
        <v>447</v>
      </c>
      <c r="B26">
        <v>1</v>
      </c>
      <c r="C26" t="str">
        <f t="shared" si="0"/>
        <v>318294</v>
      </c>
      <c r="D26">
        <v>318294</v>
      </c>
      <c r="E26">
        <v>318294007</v>
      </c>
      <c r="F26" t="s">
        <v>590</v>
      </c>
      <c r="G26" t="s">
        <v>314</v>
      </c>
      <c r="H26" t="s">
        <v>315</v>
      </c>
      <c r="I26" t="s">
        <v>88</v>
      </c>
      <c r="J26" t="s">
        <v>316</v>
      </c>
      <c r="K26" s="15" t="str">
        <f>VLOOKUP(I26,[2]LOOKUP!$A:$D,4,FALSE)</f>
        <v>CM</v>
      </c>
    </row>
    <row r="27" spans="1:11">
      <c r="A27" t="s">
        <v>447</v>
      </c>
      <c r="C27" t="str">
        <f t="shared" si="0"/>
        <v>318294</v>
      </c>
      <c r="D27">
        <v>318294</v>
      </c>
      <c r="E27">
        <v>318294008</v>
      </c>
      <c r="F27" t="s">
        <v>570</v>
      </c>
      <c r="G27" t="s">
        <v>314</v>
      </c>
      <c r="H27" t="s">
        <v>315</v>
      </c>
      <c r="I27" t="s">
        <v>82</v>
      </c>
      <c r="J27" t="s">
        <v>316</v>
      </c>
      <c r="K27" s="15" t="str">
        <f>VLOOKUP(I27,[2]LOOKUP!$A:$D,4,FALSE)</f>
        <v>CM</v>
      </c>
    </row>
    <row r="28" spans="1:11">
      <c r="A28" t="s">
        <v>447</v>
      </c>
      <c r="C28" t="str">
        <f t="shared" si="0"/>
        <v>318294</v>
      </c>
      <c r="D28">
        <v>318294</v>
      </c>
      <c r="E28">
        <v>318294009</v>
      </c>
      <c r="F28" t="s">
        <v>571</v>
      </c>
      <c r="G28" t="s">
        <v>314</v>
      </c>
      <c r="H28" t="s">
        <v>315</v>
      </c>
      <c r="I28" t="s">
        <v>82</v>
      </c>
      <c r="J28" t="s">
        <v>316</v>
      </c>
      <c r="K28" s="15" t="str">
        <f>VLOOKUP(I28,[2]LOOKUP!$A:$D,4,FALSE)</f>
        <v>CM</v>
      </c>
    </row>
    <row r="29" spans="1:11">
      <c r="A29" t="s">
        <v>447</v>
      </c>
      <c r="C29" t="str">
        <f t="shared" si="0"/>
        <v>318294</v>
      </c>
      <c r="D29">
        <v>318294</v>
      </c>
      <c r="E29">
        <v>318294010</v>
      </c>
      <c r="F29" t="s">
        <v>572</v>
      </c>
      <c r="G29" t="s">
        <v>314</v>
      </c>
      <c r="H29" t="s">
        <v>315</v>
      </c>
      <c r="I29" t="s">
        <v>82</v>
      </c>
      <c r="J29" t="s">
        <v>316</v>
      </c>
      <c r="K29" s="15" t="str">
        <f>VLOOKUP(I29,[2]LOOKUP!$A:$D,4,FALSE)</f>
        <v>CM</v>
      </c>
    </row>
    <row r="30" spans="1:11">
      <c r="A30" t="s">
        <v>447</v>
      </c>
      <c r="B30">
        <v>1</v>
      </c>
      <c r="C30" t="str">
        <f t="shared" si="0"/>
        <v>318294</v>
      </c>
      <c r="D30">
        <v>318294</v>
      </c>
      <c r="E30">
        <v>318294011</v>
      </c>
      <c r="F30" t="s">
        <v>591</v>
      </c>
      <c r="G30" t="s">
        <v>314</v>
      </c>
      <c r="H30" t="s">
        <v>315</v>
      </c>
      <c r="I30" t="s">
        <v>88</v>
      </c>
      <c r="J30" t="s">
        <v>316</v>
      </c>
      <c r="K30" s="15" t="str">
        <f>VLOOKUP(I30,[2]LOOKUP!$A:$D,4,FALSE)</f>
        <v>CM</v>
      </c>
    </row>
    <row r="31" spans="1:11">
      <c r="A31" t="s">
        <v>447</v>
      </c>
      <c r="B31">
        <v>1</v>
      </c>
      <c r="C31" t="str">
        <f t="shared" si="0"/>
        <v>318294</v>
      </c>
      <c r="D31">
        <v>318294</v>
      </c>
      <c r="E31">
        <v>318294012</v>
      </c>
      <c r="F31" t="s">
        <v>592</v>
      </c>
      <c r="G31" t="s">
        <v>314</v>
      </c>
      <c r="H31" t="s">
        <v>315</v>
      </c>
      <c r="I31" t="s">
        <v>88</v>
      </c>
      <c r="J31" t="s">
        <v>316</v>
      </c>
      <c r="K31" s="15" t="str">
        <f>VLOOKUP(I31,[2]LOOKUP!$A:$D,4,FALSE)</f>
        <v>CM</v>
      </c>
    </row>
    <row r="32" spans="1:11">
      <c r="A32" t="s">
        <v>447</v>
      </c>
      <c r="C32" t="str">
        <f t="shared" si="0"/>
        <v>318294</v>
      </c>
      <c r="D32">
        <v>318294</v>
      </c>
      <c r="E32">
        <v>318294013</v>
      </c>
      <c r="F32" t="s">
        <v>573</v>
      </c>
      <c r="G32" t="s">
        <v>314</v>
      </c>
      <c r="H32" t="s">
        <v>315</v>
      </c>
      <c r="I32" t="s">
        <v>82</v>
      </c>
      <c r="J32" t="s">
        <v>316</v>
      </c>
      <c r="K32" s="15" t="str">
        <f>VLOOKUP(I32,[2]LOOKUP!$A:$D,4,FALSE)</f>
        <v>CM</v>
      </c>
    </row>
    <row r="33" spans="1:11">
      <c r="A33" t="s">
        <v>447</v>
      </c>
      <c r="C33" t="str">
        <f t="shared" si="0"/>
        <v>318294</v>
      </c>
      <c r="D33">
        <v>318294</v>
      </c>
      <c r="E33">
        <v>318294014</v>
      </c>
      <c r="F33" t="s">
        <v>574</v>
      </c>
      <c r="G33" t="s">
        <v>314</v>
      </c>
      <c r="H33" t="s">
        <v>315</v>
      </c>
      <c r="I33" t="s">
        <v>82</v>
      </c>
      <c r="J33" t="s">
        <v>316</v>
      </c>
      <c r="K33" s="15" t="str">
        <f>VLOOKUP(I33,[2]LOOKUP!$A:$D,4,FALSE)</f>
        <v>CM</v>
      </c>
    </row>
    <row r="34" spans="1:11">
      <c r="A34" t="s">
        <v>447</v>
      </c>
      <c r="B34">
        <v>1</v>
      </c>
      <c r="C34" t="str">
        <f t="shared" si="0"/>
        <v>318294</v>
      </c>
      <c r="D34">
        <v>318294</v>
      </c>
      <c r="E34">
        <v>318294015</v>
      </c>
      <c r="F34" t="s">
        <v>593</v>
      </c>
      <c r="G34" t="s">
        <v>314</v>
      </c>
      <c r="H34" t="s">
        <v>315</v>
      </c>
      <c r="I34" t="s">
        <v>88</v>
      </c>
      <c r="J34" t="s">
        <v>316</v>
      </c>
      <c r="K34" s="15" t="str">
        <f>VLOOKUP(I34,[2]LOOKUP!$A:$D,4,FALSE)</f>
        <v>CM</v>
      </c>
    </row>
    <row r="35" spans="1:11">
      <c r="A35" t="s">
        <v>447</v>
      </c>
      <c r="C35" t="str">
        <f t="shared" si="0"/>
        <v>318294</v>
      </c>
      <c r="D35">
        <v>318294</v>
      </c>
      <c r="E35">
        <v>318294016</v>
      </c>
      <c r="F35" t="s">
        <v>575</v>
      </c>
      <c r="G35" t="s">
        <v>314</v>
      </c>
      <c r="H35" t="s">
        <v>315</v>
      </c>
      <c r="I35" t="s">
        <v>82</v>
      </c>
      <c r="J35" t="s">
        <v>316</v>
      </c>
      <c r="K35" s="15" t="str">
        <f>VLOOKUP(I35,[2]LOOKUP!$A:$D,4,FALSE)</f>
        <v>CM</v>
      </c>
    </row>
    <row r="36" spans="1:11">
      <c r="A36" t="s">
        <v>447</v>
      </c>
      <c r="C36" t="str">
        <f t="shared" si="0"/>
        <v>318294</v>
      </c>
      <c r="D36">
        <v>318294</v>
      </c>
      <c r="E36">
        <v>318294017</v>
      </c>
      <c r="F36" t="s">
        <v>576</v>
      </c>
      <c r="G36" t="s">
        <v>314</v>
      </c>
      <c r="H36" t="s">
        <v>315</v>
      </c>
      <c r="I36" t="s">
        <v>82</v>
      </c>
      <c r="J36" t="s">
        <v>316</v>
      </c>
      <c r="K36" s="15" t="str">
        <f>VLOOKUP(I36,[2]LOOKUP!$A:$D,4,FALSE)</f>
        <v>CM</v>
      </c>
    </row>
    <row r="37" spans="1:11">
      <c r="A37" t="s">
        <v>447</v>
      </c>
      <c r="B37">
        <v>1</v>
      </c>
      <c r="C37" t="str">
        <f t="shared" si="0"/>
        <v>318294</v>
      </c>
      <c r="D37">
        <v>318294</v>
      </c>
      <c r="E37">
        <v>318294018</v>
      </c>
      <c r="F37" t="s">
        <v>594</v>
      </c>
      <c r="G37" t="s">
        <v>314</v>
      </c>
      <c r="H37" t="s">
        <v>315</v>
      </c>
      <c r="I37" t="s">
        <v>88</v>
      </c>
      <c r="J37" t="s">
        <v>316</v>
      </c>
      <c r="K37" s="15" t="str">
        <f>VLOOKUP(I37,[2]LOOKUP!$A:$D,4,FALSE)</f>
        <v>CM</v>
      </c>
    </row>
    <row r="38" spans="1:11">
      <c r="A38" t="s">
        <v>447</v>
      </c>
      <c r="B38">
        <v>1</v>
      </c>
      <c r="C38" t="str">
        <f t="shared" si="0"/>
        <v>318294</v>
      </c>
      <c r="D38">
        <v>318294</v>
      </c>
      <c r="E38">
        <v>318294019</v>
      </c>
      <c r="F38" t="s">
        <v>595</v>
      </c>
      <c r="G38" t="s">
        <v>314</v>
      </c>
      <c r="H38" t="s">
        <v>315</v>
      </c>
      <c r="I38" t="s">
        <v>88</v>
      </c>
      <c r="J38" t="s">
        <v>316</v>
      </c>
      <c r="K38" s="15" t="str">
        <f>VLOOKUP(I38,[2]LOOKUP!$A:$D,4,FALSE)</f>
        <v>CM</v>
      </c>
    </row>
    <row r="39" spans="1:11">
      <c r="A39" t="s">
        <v>447</v>
      </c>
      <c r="C39" t="str">
        <f t="shared" si="0"/>
        <v>318294</v>
      </c>
      <c r="D39">
        <v>318294</v>
      </c>
      <c r="E39">
        <v>318294020</v>
      </c>
      <c r="F39" t="s">
        <v>577</v>
      </c>
      <c r="G39" t="s">
        <v>314</v>
      </c>
      <c r="H39" t="s">
        <v>315</v>
      </c>
      <c r="I39" t="s">
        <v>82</v>
      </c>
      <c r="J39" t="s">
        <v>316</v>
      </c>
      <c r="K39" s="15" t="str">
        <f>VLOOKUP(I39,[2]LOOKUP!$A:$D,4,FALSE)</f>
        <v>CM</v>
      </c>
    </row>
    <row r="40" spans="1:11">
      <c r="A40" t="s">
        <v>447</v>
      </c>
      <c r="C40" t="str">
        <f t="shared" si="0"/>
        <v>318294</v>
      </c>
      <c r="D40">
        <v>318294</v>
      </c>
      <c r="E40">
        <v>318294021</v>
      </c>
      <c r="F40" t="s">
        <v>578</v>
      </c>
      <c r="G40" t="s">
        <v>314</v>
      </c>
      <c r="H40" t="s">
        <v>315</v>
      </c>
      <c r="I40" t="s">
        <v>82</v>
      </c>
      <c r="J40" t="s">
        <v>316</v>
      </c>
      <c r="K40" s="15" t="str">
        <f>VLOOKUP(I40,[2]LOOKUP!$A:$D,4,FALSE)</f>
        <v>CM</v>
      </c>
    </row>
    <row r="41" spans="1:11">
      <c r="A41" t="s">
        <v>447</v>
      </c>
      <c r="B41">
        <v>1</v>
      </c>
      <c r="C41" t="str">
        <f t="shared" si="0"/>
        <v>318294</v>
      </c>
      <c r="D41">
        <v>318294</v>
      </c>
      <c r="E41">
        <v>318294022</v>
      </c>
      <c r="F41" t="s">
        <v>596</v>
      </c>
      <c r="G41" t="s">
        <v>314</v>
      </c>
      <c r="H41" t="s">
        <v>315</v>
      </c>
      <c r="I41" t="s">
        <v>88</v>
      </c>
      <c r="J41" t="s">
        <v>316</v>
      </c>
      <c r="K41" s="15" t="str">
        <f>VLOOKUP(I41,[2]LOOKUP!$A:$D,4,FALSE)</f>
        <v>CM</v>
      </c>
    </row>
    <row r="42" spans="1:11">
      <c r="A42" t="s">
        <v>447</v>
      </c>
      <c r="C42" t="str">
        <f t="shared" si="0"/>
        <v>318294</v>
      </c>
      <c r="D42">
        <v>318294</v>
      </c>
      <c r="E42">
        <v>318294023</v>
      </c>
      <c r="F42" t="s">
        <v>579</v>
      </c>
      <c r="G42" t="s">
        <v>314</v>
      </c>
      <c r="H42" t="s">
        <v>315</v>
      </c>
      <c r="I42" t="s">
        <v>82</v>
      </c>
      <c r="J42" t="s">
        <v>316</v>
      </c>
      <c r="K42" s="15" t="str">
        <f>VLOOKUP(I42,[2]LOOKUP!$A:$D,4,FALSE)</f>
        <v>CM</v>
      </c>
    </row>
    <row r="43" spans="1:11">
      <c r="A43" t="s">
        <v>447</v>
      </c>
      <c r="B43">
        <v>1</v>
      </c>
      <c r="C43" t="str">
        <f t="shared" si="0"/>
        <v>318294</v>
      </c>
      <c r="D43">
        <v>318294</v>
      </c>
      <c r="E43">
        <v>318294024</v>
      </c>
      <c r="F43" t="s">
        <v>597</v>
      </c>
      <c r="G43" t="s">
        <v>314</v>
      </c>
      <c r="H43" t="s">
        <v>315</v>
      </c>
      <c r="I43" t="s">
        <v>88</v>
      </c>
      <c r="J43" t="s">
        <v>316</v>
      </c>
      <c r="K43" s="15" t="str">
        <f>VLOOKUP(I43,[2]LOOKUP!$A:$D,4,FALSE)</f>
        <v>CM</v>
      </c>
    </row>
    <row r="44" spans="1:11">
      <c r="A44" t="s">
        <v>447</v>
      </c>
      <c r="C44" t="str">
        <f t="shared" si="0"/>
        <v>318294</v>
      </c>
      <c r="D44">
        <v>318294</v>
      </c>
      <c r="E44">
        <v>318294025</v>
      </c>
      <c r="F44" t="s">
        <v>580</v>
      </c>
      <c r="G44" t="s">
        <v>314</v>
      </c>
      <c r="H44" t="s">
        <v>315</v>
      </c>
      <c r="I44" t="s">
        <v>82</v>
      </c>
      <c r="J44" t="s">
        <v>316</v>
      </c>
      <c r="K44" s="15" t="str">
        <f>VLOOKUP(I44,[2]LOOKUP!$A:$D,4,FALSE)</f>
        <v>CM</v>
      </c>
    </row>
    <row r="45" spans="1:11">
      <c r="A45" t="s">
        <v>447</v>
      </c>
      <c r="C45" t="str">
        <f t="shared" si="0"/>
        <v>318294</v>
      </c>
      <c r="D45">
        <v>318294</v>
      </c>
      <c r="E45">
        <v>318294026</v>
      </c>
      <c r="F45" t="s">
        <v>581</v>
      </c>
      <c r="G45" t="s">
        <v>314</v>
      </c>
      <c r="H45" t="s">
        <v>315</v>
      </c>
      <c r="I45" t="s">
        <v>82</v>
      </c>
      <c r="J45" t="s">
        <v>316</v>
      </c>
      <c r="K45" s="15" t="str">
        <f>VLOOKUP(I45,[2]LOOKUP!$A:$D,4,FALSE)</f>
        <v>CM</v>
      </c>
    </row>
    <row r="46" spans="1:11">
      <c r="A46" t="s">
        <v>447</v>
      </c>
      <c r="B46">
        <v>1</v>
      </c>
      <c r="C46" t="str">
        <f t="shared" si="0"/>
        <v>318294</v>
      </c>
      <c r="D46">
        <v>318294</v>
      </c>
      <c r="E46">
        <v>318294027</v>
      </c>
      <c r="F46" t="s">
        <v>598</v>
      </c>
      <c r="G46" t="s">
        <v>314</v>
      </c>
      <c r="H46" t="s">
        <v>315</v>
      </c>
      <c r="I46" t="s">
        <v>88</v>
      </c>
      <c r="J46" t="s">
        <v>316</v>
      </c>
      <c r="K46" s="15" t="str">
        <f>VLOOKUP(I46,[2]LOOKUP!$A:$D,4,FALSE)</f>
        <v>CM</v>
      </c>
    </row>
    <row r="47" spans="1:11">
      <c r="A47" t="s">
        <v>447</v>
      </c>
      <c r="B47">
        <v>1</v>
      </c>
      <c r="C47" t="str">
        <f t="shared" si="0"/>
        <v>318294</v>
      </c>
      <c r="D47">
        <v>318294</v>
      </c>
      <c r="E47">
        <v>318294028</v>
      </c>
      <c r="F47" t="s">
        <v>599</v>
      </c>
      <c r="G47" t="s">
        <v>314</v>
      </c>
      <c r="H47" t="s">
        <v>315</v>
      </c>
      <c r="I47" t="s">
        <v>88</v>
      </c>
      <c r="J47" t="s">
        <v>316</v>
      </c>
      <c r="K47" s="15" t="str">
        <f>VLOOKUP(I47,[2]LOOKUP!$A:$D,4,FALSE)</f>
        <v>CM</v>
      </c>
    </row>
    <row r="48" spans="1:11">
      <c r="A48" t="s">
        <v>447</v>
      </c>
      <c r="B48">
        <v>1</v>
      </c>
      <c r="C48" t="str">
        <f t="shared" si="0"/>
        <v>318294</v>
      </c>
      <c r="D48">
        <v>318294</v>
      </c>
      <c r="E48">
        <v>318294029</v>
      </c>
      <c r="F48" t="s">
        <v>600</v>
      </c>
      <c r="G48" t="s">
        <v>314</v>
      </c>
      <c r="H48" t="s">
        <v>315</v>
      </c>
      <c r="I48" t="s">
        <v>88</v>
      </c>
      <c r="J48" t="s">
        <v>316</v>
      </c>
      <c r="K48" s="15" t="str">
        <f>VLOOKUP(I48,[2]LOOKUP!$A:$D,4,FALSE)</f>
        <v>CM</v>
      </c>
    </row>
    <row r="49" spans="1:11">
      <c r="A49" t="s">
        <v>447</v>
      </c>
      <c r="B49">
        <v>1</v>
      </c>
      <c r="C49" t="str">
        <f t="shared" si="0"/>
        <v>318294</v>
      </c>
      <c r="D49">
        <v>318294</v>
      </c>
      <c r="E49">
        <v>318294030</v>
      </c>
      <c r="F49" t="s">
        <v>601</v>
      </c>
      <c r="G49" t="s">
        <v>314</v>
      </c>
      <c r="H49" t="s">
        <v>315</v>
      </c>
      <c r="I49" t="s">
        <v>88</v>
      </c>
      <c r="J49" t="s">
        <v>316</v>
      </c>
      <c r="K49" s="15" t="str">
        <f>VLOOKUP(I49,[2]LOOKUP!$A:$D,4,FALSE)</f>
        <v>CM</v>
      </c>
    </row>
    <row r="50" spans="1:11">
      <c r="A50" t="s">
        <v>447</v>
      </c>
      <c r="C50" t="str">
        <f t="shared" si="0"/>
        <v>318294</v>
      </c>
      <c r="D50">
        <v>318294</v>
      </c>
      <c r="E50">
        <v>318294031</v>
      </c>
      <c r="F50" t="s">
        <v>582</v>
      </c>
      <c r="G50" t="s">
        <v>314</v>
      </c>
      <c r="H50" t="s">
        <v>315</v>
      </c>
      <c r="I50" t="s">
        <v>82</v>
      </c>
      <c r="J50" t="s">
        <v>316</v>
      </c>
      <c r="K50" s="15" t="str">
        <f>VLOOKUP(I50,[2]LOOKUP!$A:$D,4,FALSE)</f>
        <v>CM</v>
      </c>
    </row>
    <row r="51" spans="1:11">
      <c r="A51" t="s">
        <v>447</v>
      </c>
      <c r="B51">
        <v>1</v>
      </c>
      <c r="C51" t="str">
        <f t="shared" si="0"/>
        <v>318294</v>
      </c>
      <c r="D51">
        <v>318294</v>
      </c>
      <c r="E51">
        <v>318294032</v>
      </c>
      <c r="F51" t="s">
        <v>602</v>
      </c>
      <c r="G51" t="s">
        <v>314</v>
      </c>
      <c r="H51" t="s">
        <v>315</v>
      </c>
      <c r="I51" t="s">
        <v>88</v>
      </c>
      <c r="J51" t="s">
        <v>316</v>
      </c>
      <c r="K51" s="15" t="str">
        <f>VLOOKUP(I51,[2]LOOKUP!$A:$D,4,FALSE)</f>
        <v>CM</v>
      </c>
    </row>
    <row r="52" spans="1:11">
      <c r="A52" t="s">
        <v>447</v>
      </c>
      <c r="B52">
        <v>1</v>
      </c>
      <c r="C52" t="str">
        <f t="shared" si="0"/>
        <v>318294</v>
      </c>
      <c r="D52">
        <v>318294</v>
      </c>
      <c r="E52">
        <v>318294033</v>
      </c>
      <c r="F52" t="s">
        <v>603</v>
      </c>
      <c r="G52" t="s">
        <v>314</v>
      </c>
      <c r="H52" t="s">
        <v>315</v>
      </c>
      <c r="I52" t="s">
        <v>88</v>
      </c>
      <c r="J52" t="s">
        <v>316</v>
      </c>
      <c r="K52" s="15" t="str">
        <f>VLOOKUP(I52,[2]LOOKUP!$A:$D,4,FALSE)</f>
        <v>CM</v>
      </c>
    </row>
    <row r="53" spans="1:11">
      <c r="A53" t="s">
        <v>447</v>
      </c>
      <c r="C53" t="str">
        <f t="shared" si="0"/>
        <v>318294</v>
      </c>
      <c r="D53">
        <v>318294</v>
      </c>
      <c r="E53">
        <v>318294034</v>
      </c>
      <c r="F53" t="s">
        <v>584</v>
      </c>
      <c r="G53" t="s">
        <v>314</v>
      </c>
      <c r="H53" t="s">
        <v>315</v>
      </c>
      <c r="I53" t="s">
        <v>82</v>
      </c>
      <c r="J53" t="s">
        <v>316</v>
      </c>
      <c r="K53" s="15" t="str">
        <f>VLOOKUP(I53,[2]LOOKUP!$A:$D,4,FALSE)</f>
        <v>CM</v>
      </c>
    </row>
    <row r="54" spans="1:11">
      <c r="A54" t="s">
        <v>447</v>
      </c>
      <c r="B54">
        <v>1</v>
      </c>
      <c r="C54" t="str">
        <f t="shared" si="0"/>
        <v>318294</v>
      </c>
      <c r="D54">
        <v>318294</v>
      </c>
      <c r="E54">
        <v>318294035</v>
      </c>
      <c r="F54" t="s">
        <v>604</v>
      </c>
      <c r="G54" t="s">
        <v>314</v>
      </c>
      <c r="H54" t="s">
        <v>315</v>
      </c>
      <c r="I54" t="s">
        <v>88</v>
      </c>
      <c r="J54" t="s">
        <v>316</v>
      </c>
      <c r="K54" s="15" t="str">
        <f>VLOOKUP(I54,[2]LOOKUP!$A:$D,4,FALSE)</f>
        <v>CM</v>
      </c>
    </row>
    <row r="55" spans="1:11">
      <c r="A55" t="s">
        <v>447</v>
      </c>
      <c r="B55">
        <v>1</v>
      </c>
      <c r="C55" t="str">
        <f t="shared" si="0"/>
        <v>318294</v>
      </c>
      <c r="D55">
        <v>318294</v>
      </c>
      <c r="E55">
        <v>318294036</v>
      </c>
      <c r="F55" t="s">
        <v>605</v>
      </c>
      <c r="G55" t="s">
        <v>314</v>
      </c>
      <c r="H55" t="s">
        <v>315</v>
      </c>
      <c r="I55" t="s">
        <v>88</v>
      </c>
      <c r="J55" t="s">
        <v>316</v>
      </c>
      <c r="K55" s="15" t="str">
        <f>VLOOKUP(I55,[2]LOOKUP!$A:$D,4,FALSE)</f>
        <v>CM</v>
      </c>
    </row>
    <row r="56" spans="1:11">
      <c r="A56" t="s">
        <v>585</v>
      </c>
      <c r="C56" t="str">
        <f t="shared" si="0"/>
        <v>318296</v>
      </c>
      <c r="D56" s="35"/>
      <c r="E56">
        <v>318296001</v>
      </c>
      <c r="F56" t="s">
        <v>606</v>
      </c>
      <c r="G56" t="e">
        <v>#N/A</v>
      </c>
      <c r="H56" t="s">
        <v>81</v>
      </c>
      <c r="I56" t="s">
        <v>81</v>
      </c>
      <c r="J56" t="s">
        <v>81</v>
      </c>
      <c r="K56" s="15" t="str">
        <f>VLOOKUP(I56,[2]LOOKUP!$A:$D,4,FALSE)</f>
        <v>RM</v>
      </c>
    </row>
    <row r="57" spans="1:11">
      <c r="A57" t="s">
        <v>447</v>
      </c>
      <c r="B57">
        <v>1</v>
      </c>
      <c r="C57" t="str">
        <f t="shared" si="0"/>
        <v>318313</v>
      </c>
      <c r="D57">
        <v>318294</v>
      </c>
      <c r="E57">
        <v>318313001</v>
      </c>
      <c r="F57" t="s">
        <v>607</v>
      </c>
      <c r="G57" t="s">
        <v>608</v>
      </c>
      <c r="H57" t="s">
        <v>78</v>
      </c>
      <c r="I57" t="s">
        <v>73</v>
      </c>
      <c r="J57" t="s">
        <v>316</v>
      </c>
      <c r="K57" s="15" t="str">
        <f>VLOOKUP(I57,[2]LOOKUP!$A:$D,4,FALSE)</f>
        <v>CM</v>
      </c>
    </row>
    <row r="58" spans="1:11">
      <c r="A58" t="s">
        <v>447</v>
      </c>
      <c r="B58">
        <v>1</v>
      </c>
      <c r="C58" t="str">
        <f t="shared" si="0"/>
        <v>318313</v>
      </c>
      <c r="D58">
        <v>318294</v>
      </c>
      <c r="E58">
        <v>318313002</v>
      </c>
      <c r="F58" t="s">
        <v>609</v>
      </c>
      <c r="G58" t="s">
        <v>608</v>
      </c>
      <c r="H58" t="s">
        <v>78</v>
      </c>
      <c r="I58" t="s">
        <v>73</v>
      </c>
      <c r="J58" t="s">
        <v>316</v>
      </c>
      <c r="K58" s="15" t="str">
        <f>VLOOKUP(I58,[2]LOOKUP!$A:$D,4,FALSE)</f>
        <v>CM</v>
      </c>
    </row>
    <row r="59" spans="1:11">
      <c r="A59" t="s">
        <v>447</v>
      </c>
      <c r="B59">
        <v>1</v>
      </c>
      <c r="C59" t="str">
        <f t="shared" si="0"/>
        <v>318313</v>
      </c>
      <c r="D59">
        <v>318294</v>
      </c>
      <c r="E59">
        <v>318313003</v>
      </c>
      <c r="F59" t="s">
        <v>610</v>
      </c>
      <c r="G59" t="s">
        <v>608</v>
      </c>
      <c r="H59" t="s">
        <v>78</v>
      </c>
      <c r="I59" t="s">
        <v>73</v>
      </c>
      <c r="J59" t="s">
        <v>316</v>
      </c>
      <c r="K59" s="15" t="str">
        <f>VLOOKUP(I59,[2]LOOKUP!$A:$D,4,FALSE)</f>
        <v>CM</v>
      </c>
    </row>
    <row r="60" spans="1:11">
      <c r="A60" t="s">
        <v>447</v>
      </c>
      <c r="B60">
        <v>1</v>
      </c>
      <c r="C60" t="str">
        <f t="shared" si="0"/>
        <v>318313</v>
      </c>
      <c r="D60">
        <v>318294</v>
      </c>
      <c r="E60">
        <v>318313004</v>
      </c>
      <c r="F60" t="s">
        <v>611</v>
      </c>
      <c r="G60" t="s">
        <v>608</v>
      </c>
      <c r="H60" t="s">
        <v>78</v>
      </c>
      <c r="I60" t="s">
        <v>73</v>
      </c>
      <c r="J60" t="s">
        <v>316</v>
      </c>
      <c r="K60" s="15" t="str">
        <f>VLOOKUP(I60,[2]LOOKUP!$A:$D,4,FALSE)</f>
        <v>CM</v>
      </c>
    </row>
    <row r="61" spans="1:11">
      <c r="A61" t="s">
        <v>447</v>
      </c>
      <c r="B61">
        <v>1</v>
      </c>
      <c r="C61" t="str">
        <f t="shared" si="0"/>
        <v>318313</v>
      </c>
      <c r="D61">
        <v>318294</v>
      </c>
      <c r="E61">
        <v>318313005</v>
      </c>
      <c r="F61" t="s">
        <v>612</v>
      </c>
      <c r="G61" t="s">
        <v>608</v>
      </c>
      <c r="H61" t="s">
        <v>78</v>
      </c>
      <c r="I61" t="s">
        <v>73</v>
      </c>
      <c r="J61" t="s">
        <v>316</v>
      </c>
      <c r="K61" s="15" t="str">
        <f>VLOOKUP(I61,[2]LOOKUP!$A:$D,4,FALSE)</f>
        <v>CM</v>
      </c>
    </row>
    <row r="62" spans="1:11">
      <c r="A62" t="s">
        <v>447</v>
      </c>
      <c r="B62">
        <v>1</v>
      </c>
      <c r="C62" t="str">
        <f t="shared" si="0"/>
        <v>318313</v>
      </c>
      <c r="D62">
        <v>318294</v>
      </c>
      <c r="E62">
        <v>318313006</v>
      </c>
      <c r="F62" t="s">
        <v>613</v>
      </c>
      <c r="G62" t="s">
        <v>608</v>
      </c>
      <c r="H62" t="s">
        <v>78</v>
      </c>
      <c r="I62" t="s">
        <v>73</v>
      </c>
      <c r="J62" t="s">
        <v>316</v>
      </c>
      <c r="K62" s="15" t="str">
        <f>VLOOKUP(I62,[2]LOOKUP!$A:$D,4,FALSE)</f>
        <v>CM</v>
      </c>
    </row>
    <row r="63" spans="1:11">
      <c r="A63" t="s">
        <v>565</v>
      </c>
      <c r="B63">
        <v>2</v>
      </c>
      <c r="C63" t="str">
        <f t="shared" si="0"/>
        <v>317355</v>
      </c>
      <c r="D63">
        <v>317355</v>
      </c>
      <c r="E63">
        <v>317355001</v>
      </c>
      <c r="F63" t="s">
        <v>614</v>
      </c>
      <c r="G63" t="s">
        <v>314</v>
      </c>
      <c r="H63" t="s">
        <v>315</v>
      </c>
      <c r="I63" t="s">
        <v>100</v>
      </c>
      <c r="J63" t="s">
        <v>316</v>
      </c>
      <c r="K63" s="15" t="str">
        <f>VLOOKUP(I63,[2]LOOKUP!$A:$D,4,FALSE)</f>
        <v>CM</v>
      </c>
    </row>
    <row r="64" spans="1:11">
      <c r="A64" t="s">
        <v>565</v>
      </c>
      <c r="B64">
        <v>2</v>
      </c>
      <c r="C64" t="str">
        <f t="shared" si="0"/>
        <v>317355</v>
      </c>
      <c r="D64">
        <v>317355</v>
      </c>
      <c r="E64">
        <v>317355002</v>
      </c>
      <c r="F64" t="s">
        <v>615</v>
      </c>
      <c r="G64" t="s">
        <v>314</v>
      </c>
      <c r="H64" t="s">
        <v>315</v>
      </c>
      <c r="I64" t="s">
        <v>100</v>
      </c>
      <c r="J64" t="s">
        <v>316</v>
      </c>
      <c r="K64" s="15" t="str">
        <f>VLOOKUP(I64,[2]LOOKUP!$A:$D,4,FALSE)</f>
        <v>CM</v>
      </c>
    </row>
    <row r="65" spans="1:11">
      <c r="A65" t="s">
        <v>565</v>
      </c>
      <c r="B65">
        <v>2</v>
      </c>
      <c r="C65" t="str">
        <f t="shared" si="0"/>
        <v>317355</v>
      </c>
      <c r="D65">
        <v>317355</v>
      </c>
      <c r="E65">
        <v>317355003</v>
      </c>
      <c r="F65" t="s">
        <v>616</v>
      </c>
      <c r="G65" t="s">
        <v>314</v>
      </c>
      <c r="H65" t="s">
        <v>315</v>
      </c>
      <c r="I65" t="s">
        <v>44</v>
      </c>
      <c r="J65" t="s">
        <v>316</v>
      </c>
      <c r="K65" s="15" t="str">
        <f>VLOOKUP(I65,[2]LOOKUP!$A:$D,4,FALSE)</f>
        <v>RM</v>
      </c>
    </row>
    <row r="66" spans="1:11">
      <c r="A66" t="s">
        <v>565</v>
      </c>
      <c r="B66">
        <v>2</v>
      </c>
      <c r="C66" t="str">
        <f t="shared" si="0"/>
        <v>317355</v>
      </c>
      <c r="D66">
        <v>317355</v>
      </c>
      <c r="E66">
        <v>317355005</v>
      </c>
      <c r="F66" t="s">
        <v>617</v>
      </c>
      <c r="G66" t="s">
        <v>314</v>
      </c>
      <c r="H66" t="s">
        <v>315</v>
      </c>
      <c r="I66" t="s">
        <v>58</v>
      </c>
      <c r="J66" t="s">
        <v>316</v>
      </c>
      <c r="K66" s="15" t="str">
        <f>VLOOKUP(I66,[2]LOOKUP!$A:$D,4,FALSE)</f>
        <v>CM</v>
      </c>
    </row>
    <row r="67" spans="1:11">
      <c r="A67" t="s">
        <v>618</v>
      </c>
      <c r="B67">
        <v>2</v>
      </c>
      <c r="C67" t="str">
        <f t="shared" ref="C67:C130" si="1">LEFT(E67,6)</f>
        <v>317355</v>
      </c>
      <c r="D67">
        <v>999998</v>
      </c>
      <c r="E67">
        <v>317355007</v>
      </c>
      <c r="F67" t="s">
        <v>619</v>
      </c>
      <c r="G67" t="s">
        <v>314</v>
      </c>
      <c r="H67" t="s">
        <v>315</v>
      </c>
      <c r="I67" t="s">
        <v>19</v>
      </c>
      <c r="J67" t="s">
        <v>316</v>
      </c>
      <c r="K67" s="15" t="str">
        <f>VLOOKUP(I67,[2]LOOKUP!$A:$D,4,FALSE)</f>
        <v>RM</v>
      </c>
    </row>
    <row r="68" spans="1:11">
      <c r="A68" t="s">
        <v>565</v>
      </c>
      <c r="B68">
        <v>2</v>
      </c>
      <c r="C68" t="str">
        <f t="shared" si="1"/>
        <v>317355</v>
      </c>
      <c r="D68">
        <v>317355</v>
      </c>
      <c r="E68">
        <v>317355008</v>
      </c>
      <c r="F68" t="s">
        <v>620</v>
      </c>
      <c r="G68" t="s">
        <v>314</v>
      </c>
      <c r="H68" t="s">
        <v>315</v>
      </c>
      <c r="I68" t="s">
        <v>44</v>
      </c>
      <c r="J68" t="s">
        <v>316</v>
      </c>
      <c r="K68" s="15" t="str">
        <f>VLOOKUP(I68,[2]LOOKUP!$A:$D,4,FALSE)</f>
        <v>RM</v>
      </c>
    </row>
    <row r="69" spans="1:11">
      <c r="A69" t="s">
        <v>565</v>
      </c>
      <c r="B69">
        <v>2</v>
      </c>
      <c r="C69" t="str">
        <f t="shared" si="1"/>
        <v>317355</v>
      </c>
      <c r="D69">
        <v>317355</v>
      </c>
      <c r="E69">
        <v>317355009</v>
      </c>
      <c r="F69" t="s">
        <v>621</v>
      </c>
      <c r="G69" t="s">
        <v>314</v>
      </c>
      <c r="H69" t="s">
        <v>315</v>
      </c>
      <c r="I69" t="s">
        <v>58</v>
      </c>
      <c r="J69" t="s">
        <v>316</v>
      </c>
      <c r="K69" s="15" t="str">
        <f>VLOOKUP(I69,[2]LOOKUP!$A:$D,4,FALSE)</f>
        <v>CM</v>
      </c>
    </row>
    <row r="70" spans="1:11">
      <c r="A70" t="s">
        <v>565</v>
      </c>
      <c r="B70">
        <v>2</v>
      </c>
      <c r="C70" t="str">
        <f t="shared" si="1"/>
        <v>317355</v>
      </c>
      <c r="D70">
        <v>317355</v>
      </c>
      <c r="E70">
        <v>317355010</v>
      </c>
      <c r="F70" t="s">
        <v>622</v>
      </c>
      <c r="G70" t="s">
        <v>314</v>
      </c>
      <c r="H70" t="s">
        <v>315</v>
      </c>
      <c r="I70" t="s">
        <v>44</v>
      </c>
      <c r="J70" t="s">
        <v>316</v>
      </c>
      <c r="K70" s="15" t="str">
        <f>VLOOKUP(I70,[2]LOOKUP!$A:$D,4,FALSE)</f>
        <v>RM</v>
      </c>
    </row>
    <row r="71" spans="1:11">
      <c r="A71" t="s">
        <v>565</v>
      </c>
      <c r="B71">
        <v>2</v>
      </c>
      <c r="C71" t="str">
        <f t="shared" si="1"/>
        <v>317355</v>
      </c>
      <c r="D71">
        <v>317355</v>
      </c>
      <c r="E71">
        <v>317355011</v>
      </c>
      <c r="F71" t="s">
        <v>623</v>
      </c>
      <c r="G71" t="s">
        <v>314</v>
      </c>
      <c r="H71" t="s">
        <v>315</v>
      </c>
      <c r="I71" t="s">
        <v>55</v>
      </c>
      <c r="J71" t="s">
        <v>316</v>
      </c>
      <c r="K71" s="15" t="str">
        <f>VLOOKUP(I71,[2]LOOKUP!$A:$D,4,FALSE)</f>
        <v>RM</v>
      </c>
    </row>
    <row r="72" spans="1:11">
      <c r="A72" t="s">
        <v>565</v>
      </c>
      <c r="B72">
        <v>2</v>
      </c>
      <c r="C72" t="str">
        <f t="shared" si="1"/>
        <v>317355</v>
      </c>
      <c r="D72">
        <v>317355</v>
      </c>
      <c r="E72">
        <v>317355012</v>
      </c>
      <c r="F72" t="s">
        <v>624</v>
      </c>
      <c r="G72" t="s">
        <v>314</v>
      </c>
      <c r="H72" t="s">
        <v>315</v>
      </c>
      <c r="I72" t="s">
        <v>44</v>
      </c>
      <c r="J72" t="s">
        <v>316</v>
      </c>
      <c r="K72" s="15" t="str">
        <f>VLOOKUP(I72,[2]LOOKUP!$A:$D,4,FALSE)</f>
        <v>RM</v>
      </c>
    </row>
    <row r="73" spans="1:11">
      <c r="A73" t="s">
        <v>565</v>
      </c>
      <c r="B73">
        <v>2</v>
      </c>
      <c r="C73" t="str">
        <f t="shared" si="1"/>
        <v>317355</v>
      </c>
      <c r="D73">
        <v>317355</v>
      </c>
      <c r="E73">
        <v>317355017</v>
      </c>
      <c r="F73" t="s">
        <v>625</v>
      </c>
      <c r="G73" t="s">
        <v>314</v>
      </c>
      <c r="H73" t="s">
        <v>315</v>
      </c>
      <c r="I73" t="s">
        <v>100</v>
      </c>
      <c r="J73" t="s">
        <v>316</v>
      </c>
      <c r="K73" s="15" t="str">
        <f>VLOOKUP(I73,[2]LOOKUP!$A:$D,4,FALSE)</f>
        <v>CM</v>
      </c>
    </row>
    <row r="74" spans="1:11">
      <c r="A74" t="s">
        <v>565</v>
      </c>
      <c r="B74">
        <v>2</v>
      </c>
      <c r="C74" t="str">
        <f t="shared" si="1"/>
        <v>317355</v>
      </c>
      <c r="D74">
        <v>317355</v>
      </c>
      <c r="E74">
        <v>317355019</v>
      </c>
      <c r="F74" t="s">
        <v>626</v>
      </c>
      <c r="G74" t="s">
        <v>314</v>
      </c>
      <c r="H74" t="s">
        <v>315</v>
      </c>
      <c r="I74" t="s">
        <v>55</v>
      </c>
      <c r="J74" t="s">
        <v>316</v>
      </c>
      <c r="K74" s="15" t="str">
        <f>VLOOKUP(I74,[2]LOOKUP!$A:$D,4,FALSE)</f>
        <v>RM</v>
      </c>
    </row>
    <row r="75" spans="1:11">
      <c r="A75" t="s">
        <v>565</v>
      </c>
      <c r="B75">
        <v>2</v>
      </c>
      <c r="C75" t="str">
        <f t="shared" si="1"/>
        <v>317355</v>
      </c>
      <c r="D75">
        <v>317355</v>
      </c>
      <c r="E75">
        <v>317355020</v>
      </c>
      <c r="F75" t="s">
        <v>627</v>
      </c>
      <c r="G75" t="s">
        <v>314</v>
      </c>
      <c r="H75" t="s">
        <v>315</v>
      </c>
      <c r="I75" t="s">
        <v>44</v>
      </c>
      <c r="J75" t="s">
        <v>316</v>
      </c>
      <c r="K75" s="15" t="str">
        <f>VLOOKUP(I75,[2]LOOKUP!$A:$D,4,FALSE)</f>
        <v>RM</v>
      </c>
    </row>
    <row r="76" spans="1:11">
      <c r="A76" t="s">
        <v>565</v>
      </c>
      <c r="B76">
        <v>2</v>
      </c>
      <c r="C76" t="str">
        <f t="shared" si="1"/>
        <v>317355</v>
      </c>
      <c r="D76">
        <v>317355</v>
      </c>
      <c r="E76">
        <v>317355021</v>
      </c>
      <c r="F76" t="s">
        <v>628</v>
      </c>
      <c r="G76" t="s">
        <v>314</v>
      </c>
      <c r="H76" t="s">
        <v>315</v>
      </c>
      <c r="I76" t="s">
        <v>100</v>
      </c>
      <c r="J76" t="s">
        <v>316</v>
      </c>
      <c r="K76" s="15" t="str">
        <f>VLOOKUP(I76,[2]LOOKUP!$A:$D,4,FALSE)</f>
        <v>CM</v>
      </c>
    </row>
    <row r="77" spans="1:11">
      <c r="A77" t="s">
        <v>565</v>
      </c>
      <c r="B77">
        <v>2</v>
      </c>
      <c r="C77" t="str">
        <f t="shared" si="1"/>
        <v>317355</v>
      </c>
      <c r="D77">
        <v>317355</v>
      </c>
      <c r="E77">
        <v>317355025</v>
      </c>
      <c r="F77" t="s">
        <v>629</v>
      </c>
      <c r="G77" t="s">
        <v>314</v>
      </c>
      <c r="H77" t="s">
        <v>315</v>
      </c>
      <c r="I77" t="s">
        <v>58</v>
      </c>
      <c r="J77" t="s">
        <v>316</v>
      </c>
      <c r="K77" s="15" t="str">
        <f>VLOOKUP(I77,[2]LOOKUP!$A:$D,4,FALSE)</f>
        <v>CM</v>
      </c>
    </row>
    <row r="78" spans="1:11">
      <c r="A78" t="s">
        <v>565</v>
      </c>
      <c r="B78">
        <v>2</v>
      </c>
      <c r="C78" t="str">
        <f t="shared" si="1"/>
        <v>317355</v>
      </c>
      <c r="D78">
        <v>317355</v>
      </c>
      <c r="E78">
        <v>317355026</v>
      </c>
      <c r="F78" t="s">
        <v>630</v>
      </c>
      <c r="G78" t="s">
        <v>314</v>
      </c>
      <c r="H78" t="s">
        <v>315</v>
      </c>
      <c r="I78" t="s">
        <v>44</v>
      </c>
      <c r="J78" t="s">
        <v>316</v>
      </c>
      <c r="K78" s="15" t="str">
        <f>VLOOKUP(I78,[2]LOOKUP!$A:$D,4,FALSE)</f>
        <v>RM</v>
      </c>
    </row>
    <row r="79" spans="1:11">
      <c r="A79" t="s">
        <v>565</v>
      </c>
      <c r="B79">
        <v>2</v>
      </c>
      <c r="C79" t="str">
        <f t="shared" si="1"/>
        <v>317355</v>
      </c>
      <c r="D79">
        <v>317355</v>
      </c>
      <c r="E79">
        <v>317355027</v>
      </c>
      <c r="F79" t="s">
        <v>631</v>
      </c>
      <c r="G79" t="s">
        <v>314</v>
      </c>
      <c r="H79" t="s">
        <v>315</v>
      </c>
      <c r="I79" t="s">
        <v>100</v>
      </c>
      <c r="J79" t="s">
        <v>316</v>
      </c>
      <c r="K79" s="15" t="str">
        <f>VLOOKUP(I79,[2]LOOKUP!$A:$D,4,FALSE)</f>
        <v>CM</v>
      </c>
    </row>
    <row r="80" spans="1:11">
      <c r="A80" t="s">
        <v>565</v>
      </c>
      <c r="B80">
        <v>2</v>
      </c>
      <c r="C80" t="str">
        <f t="shared" si="1"/>
        <v>317355</v>
      </c>
      <c r="D80">
        <v>317355</v>
      </c>
      <c r="E80">
        <v>317355029</v>
      </c>
      <c r="F80" t="s">
        <v>632</v>
      </c>
      <c r="G80" t="s">
        <v>314</v>
      </c>
      <c r="H80" t="s">
        <v>315</v>
      </c>
      <c r="I80" t="s">
        <v>44</v>
      </c>
      <c r="J80" t="s">
        <v>316</v>
      </c>
      <c r="K80" s="15" t="str">
        <f>VLOOKUP(I80,[2]LOOKUP!$A:$D,4,FALSE)</f>
        <v>RM</v>
      </c>
    </row>
    <row r="81" spans="1:11">
      <c r="A81" t="s">
        <v>565</v>
      </c>
      <c r="B81">
        <v>2</v>
      </c>
      <c r="C81" t="str">
        <f t="shared" si="1"/>
        <v>317355</v>
      </c>
      <c r="D81">
        <v>317355</v>
      </c>
      <c r="E81">
        <v>317355030</v>
      </c>
      <c r="F81" t="s">
        <v>633</v>
      </c>
      <c r="G81" t="s">
        <v>314</v>
      </c>
      <c r="H81" t="s">
        <v>315</v>
      </c>
      <c r="I81" t="s">
        <v>100</v>
      </c>
      <c r="J81" t="s">
        <v>316</v>
      </c>
      <c r="K81" s="15" t="str">
        <f>VLOOKUP(I81,[2]LOOKUP!$A:$D,4,FALSE)</f>
        <v>CM</v>
      </c>
    </row>
    <row r="82" spans="1:11">
      <c r="A82" t="s">
        <v>634</v>
      </c>
      <c r="B82">
        <v>3</v>
      </c>
      <c r="C82" t="str">
        <f t="shared" si="1"/>
        <v>317355</v>
      </c>
      <c r="D82">
        <v>999997</v>
      </c>
      <c r="E82">
        <v>317355031</v>
      </c>
      <c r="F82" t="s">
        <v>635</v>
      </c>
      <c r="G82" t="s">
        <v>314</v>
      </c>
      <c r="H82" t="s">
        <v>378</v>
      </c>
      <c r="I82" t="s">
        <v>35</v>
      </c>
      <c r="J82" t="s">
        <v>316</v>
      </c>
      <c r="K82" s="15" t="str">
        <f>VLOOKUP(I82,[2]LOOKUP!$A:$D,4,FALSE)</f>
        <v>RM</v>
      </c>
    </row>
    <row r="83" spans="1:11">
      <c r="A83" t="s">
        <v>634</v>
      </c>
      <c r="B83">
        <v>3</v>
      </c>
      <c r="C83" t="str">
        <f t="shared" si="1"/>
        <v>317355</v>
      </c>
      <c r="D83">
        <v>999997</v>
      </c>
      <c r="E83">
        <v>317355032</v>
      </c>
      <c r="F83" t="s">
        <v>636</v>
      </c>
      <c r="G83" t="s">
        <v>314</v>
      </c>
      <c r="H83" t="s">
        <v>378</v>
      </c>
      <c r="I83" t="s">
        <v>35</v>
      </c>
      <c r="J83" t="s">
        <v>316</v>
      </c>
      <c r="K83" s="15" t="str">
        <f>VLOOKUP(I83,[2]LOOKUP!$A:$D,4,FALSE)</f>
        <v>RM</v>
      </c>
    </row>
    <row r="84" spans="1:11">
      <c r="A84" t="s">
        <v>634</v>
      </c>
      <c r="B84">
        <v>3</v>
      </c>
      <c r="C84" t="str">
        <f t="shared" si="1"/>
        <v>317355</v>
      </c>
      <c r="D84">
        <v>999997</v>
      </c>
      <c r="E84">
        <v>317355033</v>
      </c>
      <c r="F84" t="s">
        <v>637</v>
      </c>
      <c r="G84" t="s">
        <v>314</v>
      </c>
      <c r="H84" t="s">
        <v>378</v>
      </c>
      <c r="I84" t="s">
        <v>35</v>
      </c>
      <c r="J84" t="s">
        <v>316</v>
      </c>
      <c r="K84" s="15" t="str">
        <f>VLOOKUP(I84,[2]LOOKUP!$A:$D,4,FALSE)</f>
        <v>RM</v>
      </c>
    </row>
    <row r="85" spans="1:11">
      <c r="A85" t="s">
        <v>634</v>
      </c>
      <c r="B85">
        <v>3</v>
      </c>
      <c r="C85" t="str">
        <f t="shared" si="1"/>
        <v>317355</v>
      </c>
      <c r="D85">
        <v>999997</v>
      </c>
      <c r="E85">
        <v>317355034</v>
      </c>
      <c r="F85" t="s">
        <v>638</v>
      </c>
      <c r="G85" t="s">
        <v>314</v>
      </c>
      <c r="H85" t="s">
        <v>378</v>
      </c>
      <c r="I85" t="s">
        <v>35</v>
      </c>
      <c r="J85" t="s">
        <v>316</v>
      </c>
      <c r="K85" s="15" t="str">
        <f>VLOOKUP(I85,[2]LOOKUP!$A:$D,4,FALSE)</f>
        <v>RM</v>
      </c>
    </row>
    <row r="86" spans="1:11">
      <c r="A86" t="s">
        <v>634</v>
      </c>
      <c r="B86">
        <v>3</v>
      </c>
      <c r="C86" t="str">
        <f t="shared" si="1"/>
        <v>317355</v>
      </c>
      <c r="D86">
        <v>999997</v>
      </c>
      <c r="E86">
        <v>317355035</v>
      </c>
      <c r="F86" t="s">
        <v>639</v>
      </c>
      <c r="G86" t="s">
        <v>314</v>
      </c>
      <c r="H86" t="s">
        <v>378</v>
      </c>
      <c r="I86" t="s">
        <v>115</v>
      </c>
      <c r="J86" t="s">
        <v>420</v>
      </c>
      <c r="K86" s="15" t="str">
        <f>VLOOKUP(I86,[2]LOOKUP!$A:$D,4,FALSE)</f>
        <v>RM</v>
      </c>
    </row>
    <row r="87" spans="1:11">
      <c r="A87" t="s">
        <v>634</v>
      </c>
      <c r="B87">
        <v>3</v>
      </c>
      <c r="C87" t="str">
        <f t="shared" si="1"/>
        <v>317355</v>
      </c>
      <c r="D87">
        <v>999997</v>
      </c>
      <c r="E87">
        <v>317355036</v>
      </c>
      <c r="F87" t="s">
        <v>640</v>
      </c>
      <c r="G87" t="s">
        <v>314</v>
      </c>
      <c r="H87" t="s">
        <v>378</v>
      </c>
      <c r="I87" t="s">
        <v>35</v>
      </c>
      <c r="J87" t="s">
        <v>316</v>
      </c>
      <c r="K87" s="15" t="str">
        <f>VLOOKUP(I87,[2]LOOKUP!$A:$D,4,FALSE)</f>
        <v>RM</v>
      </c>
    </row>
    <row r="88" spans="1:11">
      <c r="A88" t="s">
        <v>634</v>
      </c>
      <c r="B88">
        <v>3</v>
      </c>
      <c r="C88" t="str">
        <f t="shared" si="1"/>
        <v>317355</v>
      </c>
      <c r="D88">
        <v>999997</v>
      </c>
      <c r="E88">
        <v>317355037</v>
      </c>
      <c r="F88" t="s">
        <v>641</v>
      </c>
      <c r="G88" t="s">
        <v>314</v>
      </c>
      <c r="H88" t="s">
        <v>378</v>
      </c>
      <c r="I88" t="s">
        <v>35</v>
      </c>
      <c r="J88" t="s">
        <v>316</v>
      </c>
      <c r="K88" s="15" t="str">
        <f>VLOOKUP(I88,[2]LOOKUP!$A:$D,4,FALSE)</f>
        <v>RM</v>
      </c>
    </row>
    <row r="89" spans="1:11">
      <c r="A89" t="s">
        <v>634</v>
      </c>
      <c r="B89">
        <v>3</v>
      </c>
      <c r="C89" t="str">
        <f t="shared" si="1"/>
        <v>317355</v>
      </c>
      <c r="D89">
        <v>999997</v>
      </c>
      <c r="E89">
        <v>317355038</v>
      </c>
      <c r="F89" t="s">
        <v>642</v>
      </c>
      <c r="G89" t="s">
        <v>314</v>
      </c>
      <c r="H89" t="s">
        <v>378</v>
      </c>
      <c r="I89" t="s">
        <v>115</v>
      </c>
      <c r="J89" t="s">
        <v>420</v>
      </c>
      <c r="K89" s="15" t="str">
        <f>VLOOKUP(I89,[2]LOOKUP!$A:$D,4,FALSE)</f>
        <v>RM</v>
      </c>
    </row>
    <row r="90" spans="1:11">
      <c r="A90" t="s">
        <v>634</v>
      </c>
      <c r="B90">
        <v>3</v>
      </c>
      <c r="C90" t="str">
        <f t="shared" si="1"/>
        <v>317355</v>
      </c>
      <c r="D90">
        <v>999997</v>
      </c>
      <c r="E90">
        <v>317355039</v>
      </c>
      <c r="F90" t="s">
        <v>643</v>
      </c>
      <c r="G90" t="s">
        <v>314</v>
      </c>
      <c r="H90" t="s">
        <v>378</v>
      </c>
      <c r="I90" t="s">
        <v>35</v>
      </c>
      <c r="J90" t="s">
        <v>316</v>
      </c>
      <c r="K90" s="15" t="str">
        <f>VLOOKUP(I90,[2]LOOKUP!$A:$D,4,FALSE)</f>
        <v>RM</v>
      </c>
    </row>
    <row r="91" spans="1:11">
      <c r="A91" t="s">
        <v>634</v>
      </c>
      <c r="B91">
        <v>3</v>
      </c>
      <c r="C91" t="str">
        <f t="shared" si="1"/>
        <v>317355</v>
      </c>
      <c r="D91">
        <v>999997</v>
      </c>
      <c r="E91">
        <v>317355040</v>
      </c>
      <c r="F91" t="s">
        <v>644</v>
      </c>
      <c r="G91" t="s">
        <v>314</v>
      </c>
      <c r="H91" t="s">
        <v>378</v>
      </c>
      <c r="I91" t="s">
        <v>35</v>
      </c>
      <c r="J91" t="s">
        <v>316</v>
      </c>
      <c r="K91" s="15" t="str">
        <f>VLOOKUP(I91,[2]LOOKUP!$A:$D,4,FALSE)</f>
        <v>RM</v>
      </c>
    </row>
    <row r="92" spans="1:11">
      <c r="A92" t="s">
        <v>634</v>
      </c>
      <c r="B92">
        <v>3</v>
      </c>
      <c r="C92" t="str">
        <f t="shared" si="1"/>
        <v>317355</v>
      </c>
      <c r="D92">
        <v>999997</v>
      </c>
      <c r="E92">
        <v>317355041</v>
      </c>
      <c r="F92" t="s">
        <v>645</v>
      </c>
      <c r="G92" t="s">
        <v>314</v>
      </c>
      <c r="H92" t="s">
        <v>378</v>
      </c>
      <c r="I92" t="s">
        <v>35</v>
      </c>
      <c r="J92" t="s">
        <v>316</v>
      </c>
      <c r="K92" s="15" t="str">
        <f>VLOOKUP(I92,[2]LOOKUP!$A:$D,4,FALSE)</f>
        <v>RM</v>
      </c>
    </row>
    <row r="93" spans="1:11">
      <c r="A93" t="s">
        <v>634</v>
      </c>
      <c r="B93">
        <v>3</v>
      </c>
      <c r="C93" t="str">
        <f t="shared" si="1"/>
        <v>317355</v>
      </c>
      <c r="D93">
        <v>999997</v>
      </c>
      <c r="E93">
        <v>317355042</v>
      </c>
      <c r="F93" t="s">
        <v>646</v>
      </c>
      <c r="G93" t="s">
        <v>314</v>
      </c>
      <c r="H93" t="s">
        <v>378</v>
      </c>
      <c r="I93" t="s">
        <v>35</v>
      </c>
      <c r="J93" t="s">
        <v>316</v>
      </c>
      <c r="K93" s="15" t="str">
        <f>VLOOKUP(I93,[2]LOOKUP!$A:$D,4,FALSE)</f>
        <v>RM</v>
      </c>
    </row>
    <row r="94" spans="1:11">
      <c r="A94" t="s">
        <v>634</v>
      </c>
      <c r="B94">
        <v>3</v>
      </c>
      <c r="C94" t="str">
        <f t="shared" si="1"/>
        <v>317355</v>
      </c>
      <c r="D94">
        <v>999997</v>
      </c>
      <c r="E94">
        <v>317355043</v>
      </c>
      <c r="F94" t="s">
        <v>647</v>
      </c>
      <c r="G94" t="s">
        <v>314</v>
      </c>
      <c r="H94" t="s">
        <v>378</v>
      </c>
      <c r="I94" t="s">
        <v>35</v>
      </c>
      <c r="J94" t="s">
        <v>316</v>
      </c>
      <c r="K94" s="15" t="str">
        <f>VLOOKUP(I94,[2]LOOKUP!$A:$D,4,FALSE)</f>
        <v>RM</v>
      </c>
    </row>
    <row r="95" spans="1:11">
      <c r="A95" t="s">
        <v>634</v>
      </c>
      <c r="B95">
        <v>3</v>
      </c>
      <c r="C95" t="str">
        <f t="shared" si="1"/>
        <v>317355</v>
      </c>
      <c r="D95">
        <v>999997</v>
      </c>
      <c r="E95">
        <v>317355044</v>
      </c>
      <c r="F95" t="s">
        <v>648</v>
      </c>
      <c r="G95" t="s">
        <v>314</v>
      </c>
      <c r="H95" t="s">
        <v>378</v>
      </c>
      <c r="I95" t="s">
        <v>35</v>
      </c>
      <c r="J95" t="s">
        <v>316</v>
      </c>
      <c r="K95" s="15" t="str">
        <f>VLOOKUP(I95,[2]LOOKUP!$A:$D,4,FALSE)</f>
        <v>RM</v>
      </c>
    </row>
    <row r="96" spans="1:11">
      <c r="A96" t="s">
        <v>634</v>
      </c>
      <c r="B96">
        <v>3</v>
      </c>
      <c r="C96" t="str">
        <f t="shared" si="1"/>
        <v>317355</v>
      </c>
      <c r="D96">
        <v>999997</v>
      </c>
      <c r="E96">
        <v>317355045</v>
      </c>
      <c r="F96" t="s">
        <v>649</v>
      </c>
      <c r="G96" t="s">
        <v>314</v>
      </c>
      <c r="H96" t="s">
        <v>378</v>
      </c>
      <c r="I96" t="s">
        <v>35</v>
      </c>
      <c r="J96" t="s">
        <v>316</v>
      </c>
      <c r="K96" s="15" t="str">
        <f>VLOOKUP(I96,[2]LOOKUP!$A:$D,4,FALSE)</f>
        <v>RM</v>
      </c>
    </row>
    <row r="97" spans="1:11">
      <c r="A97" t="s">
        <v>634</v>
      </c>
      <c r="B97">
        <v>3</v>
      </c>
      <c r="C97" t="str">
        <f t="shared" si="1"/>
        <v>317355</v>
      </c>
      <c r="D97">
        <v>999997</v>
      </c>
      <c r="E97">
        <v>317355046</v>
      </c>
      <c r="F97" t="s">
        <v>650</v>
      </c>
      <c r="G97" t="s">
        <v>314</v>
      </c>
      <c r="H97" t="s">
        <v>378</v>
      </c>
      <c r="I97" t="s">
        <v>35</v>
      </c>
      <c r="J97" t="s">
        <v>316</v>
      </c>
      <c r="K97" s="15" t="str">
        <f>VLOOKUP(I97,[2]LOOKUP!$A:$D,4,FALSE)</f>
        <v>RM</v>
      </c>
    </row>
    <row r="98" spans="1:11">
      <c r="A98" t="s">
        <v>634</v>
      </c>
      <c r="B98">
        <v>3</v>
      </c>
      <c r="C98" t="str">
        <f t="shared" si="1"/>
        <v>317355</v>
      </c>
      <c r="D98">
        <v>999997</v>
      </c>
      <c r="E98">
        <v>317355047</v>
      </c>
      <c r="F98" t="s">
        <v>651</v>
      </c>
      <c r="G98" t="s">
        <v>314</v>
      </c>
      <c r="H98" t="s">
        <v>378</v>
      </c>
      <c r="I98" t="s">
        <v>35</v>
      </c>
      <c r="J98" t="s">
        <v>316</v>
      </c>
      <c r="K98" s="15" t="str">
        <f>VLOOKUP(I98,[2]LOOKUP!$A:$D,4,FALSE)</f>
        <v>RM</v>
      </c>
    </row>
    <row r="99" spans="1:11">
      <c r="A99" t="s">
        <v>634</v>
      </c>
      <c r="B99">
        <v>3</v>
      </c>
      <c r="C99" t="str">
        <f t="shared" si="1"/>
        <v>317355</v>
      </c>
      <c r="D99">
        <v>999997</v>
      </c>
      <c r="E99">
        <v>317355048</v>
      </c>
      <c r="F99" t="s">
        <v>652</v>
      </c>
      <c r="G99" t="s">
        <v>314</v>
      </c>
      <c r="H99" t="s">
        <v>378</v>
      </c>
      <c r="I99" t="s">
        <v>35</v>
      </c>
      <c r="J99" t="s">
        <v>316</v>
      </c>
      <c r="K99" s="15" t="str">
        <f>VLOOKUP(I99,[2]LOOKUP!$A:$D,4,FALSE)</f>
        <v>RM</v>
      </c>
    </row>
    <row r="100" spans="1:11">
      <c r="A100" t="s">
        <v>634</v>
      </c>
      <c r="B100">
        <v>3</v>
      </c>
      <c r="C100" t="str">
        <f t="shared" si="1"/>
        <v>317355</v>
      </c>
      <c r="D100">
        <v>999997</v>
      </c>
      <c r="E100">
        <v>317355053</v>
      </c>
      <c r="F100" t="s">
        <v>653</v>
      </c>
      <c r="G100" t="s">
        <v>314</v>
      </c>
      <c r="H100" t="s">
        <v>378</v>
      </c>
      <c r="I100" t="s">
        <v>35</v>
      </c>
      <c r="J100" t="s">
        <v>316</v>
      </c>
      <c r="K100" s="15" t="str">
        <f>VLOOKUP(I100,[2]LOOKUP!$A:$D,4,FALSE)</f>
        <v>RM</v>
      </c>
    </row>
    <row r="101" spans="1:11">
      <c r="A101" t="s">
        <v>634</v>
      </c>
      <c r="B101">
        <v>3</v>
      </c>
      <c r="C101" t="str">
        <f t="shared" si="1"/>
        <v>317355</v>
      </c>
      <c r="D101">
        <v>999997</v>
      </c>
      <c r="E101">
        <v>317355054</v>
      </c>
      <c r="F101" t="s">
        <v>654</v>
      </c>
      <c r="G101" t="s">
        <v>314</v>
      </c>
      <c r="H101" t="s">
        <v>378</v>
      </c>
      <c r="I101" t="s">
        <v>35</v>
      </c>
      <c r="J101" t="s">
        <v>316</v>
      </c>
      <c r="K101" s="15" t="str">
        <f>VLOOKUP(I101,[2]LOOKUP!$A:$D,4,FALSE)</f>
        <v>RM</v>
      </c>
    </row>
    <row r="102" spans="1:11">
      <c r="A102" t="s">
        <v>634</v>
      </c>
      <c r="B102">
        <v>3</v>
      </c>
      <c r="C102" t="str">
        <f t="shared" si="1"/>
        <v>317355</v>
      </c>
      <c r="D102">
        <v>999997</v>
      </c>
      <c r="E102">
        <v>317355055</v>
      </c>
      <c r="F102" t="s">
        <v>655</v>
      </c>
      <c r="G102" t="s">
        <v>314</v>
      </c>
      <c r="H102" t="s">
        <v>378</v>
      </c>
      <c r="I102" t="s">
        <v>35</v>
      </c>
      <c r="J102" t="s">
        <v>316</v>
      </c>
      <c r="K102" s="15" t="str">
        <f>VLOOKUP(I102,[2]LOOKUP!$A:$D,4,FALSE)</f>
        <v>RM</v>
      </c>
    </row>
    <row r="103" spans="1:11">
      <c r="A103" t="s">
        <v>634</v>
      </c>
      <c r="B103">
        <v>3</v>
      </c>
      <c r="C103" t="str">
        <f t="shared" si="1"/>
        <v>317355</v>
      </c>
      <c r="D103">
        <v>999997</v>
      </c>
      <c r="E103">
        <v>317355056</v>
      </c>
      <c r="F103" t="s">
        <v>656</v>
      </c>
      <c r="G103" t="s">
        <v>314</v>
      </c>
      <c r="H103" t="s">
        <v>378</v>
      </c>
      <c r="I103" t="s">
        <v>35</v>
      </c>
      <c r="J103" t="s">
        <v>316</v>
      </c>
      <c r="K103" s="15" t="str">
        <f>VLOOKUP(I103,[2]LOOKUP!$A:$D,4,FALSE)</f>
        <v>RM</v>
      </c>
    </row>
    <row r="104" spans="1:11">
      <c r="A104" t="s">
        <v>634</v>
      </c>
      <c r="B104">
        <v>3</v>
      </c>
      <c r="C104" t="str">
        <f t="shared" si="1"/>
        <v>317355</v>
      </c>
      <c r="D104">
        <v>999997</v>
      </c>
      <c r="E104">
        <v>317355057</v>
      </c>
      <c r="F104" t="s">
        <v>657</v>
      </c>
      <c r="G104" t="s">
        <v>314</v>
      </c>
      <c r="H104" t="s">
        <v>378</v>
      </c>
      <c r="I104" t="s">
        <v>115</v>
      </c>
      <c r="J104" t="s">
        <v>420</v>
      </c>
      <c r="K104" s="15" t="str">
        <f>VLOOKUP(I104,[2]LOOKUP!$A:$D,4,FALSE)</f>
        <v>RM</v>
      </c>
    </row>
    <row r="105" spans="1:11">
      <c r="A105" t="s">
        <v>634</v>
      </c>
      <c r="B105">
        <v>3</v>
      </c>
      <c r="C105" t="str">
        <f t="shared" si="1"/>
        <v>317355</v>
      </c>
      <c r="D105">
        <v>999997</v>
      </c>
      <c r="E105">
        <v>317355058</v>
      </c>
      <c r="F105" t="s">
        <v>658</v>
      </c>
      <c r="G105" t="s">
        <v>314</v>
      </c>
      <c r="H105" t="s">
        <v>378</v>
      </c>
      <c r="I105" t="s">
        <v>35</v>
      </c>
      <c r="J105" t="s">
        <v>316</v>
      </c>
      <c r="K105" s="15" t="str">
        <f>VLOOKUP(I105,[2]LOOKUP!$A:$D,4,FALSE)</f>
        <v>RM</v>
      </c>
    </row>
    <row r="106" spans="1:11">
      <c r="A106" t="s">
        <v>634</v>
      </c>
      <c r="B106">
        <v>3</v>
      </c>
      <c r="C106" t="str">
        <f t="shared" si="1"/>
        <v>317355</v>
      </c>
      <c r="D106">
        <v>999997</v>
      </c>
      <c r="E106">
        <v>317355059</v>
      </c>
      <c r="F106" t="s">
        <v>659</v>
      </c>
      <c r="G106" t="s">
        <v>314</v>
      </c>
      <c r="H106" t="s">
        <v>378</v>
      </c>
      <c r="I106" t="s">
        <v>35</v>
      </c>
      <c r="J106" t="s">
        <v>316</v>
      </c>
      <c r="K106" s="15" t="str">
        <f>VLOOKUP(I106,[2]LOOKUP!$A:$D,4,FALSE)</f>
        <v>RM</v>
      </c>
    </row>
    <row r="107" spans="1:11">
      <c r="A107" t="s">
        <v>634</v>
      </c>
      <c r="B107">
        <v>3</v>
      </c>
      <c r="C107" t="str">
        <f t="shared" si="1"/>
        <v>317355</v>
      </c>
      <c r="D107">
        <v>999997</v>
      </c>
      <c r="E107">
        <v>317355060</v>
      </c>
      <c r="F107" t="s">
        <v>660</v>
      </c>
      <c r="G107" t="s">
        <v>314</v>
      </c>
      <c r="H107" t="s">
        <v>378</v>
      </c>
      <c r="I107" t="s">
        <v>35</v>
      </c>
      <c r="J107" t="s">
        <v>316</v>
      </c>
      <c r="K107" s="15" t="str">
        <f>VLOOKUP(I107,[2]LOOKUP!$A:$D,4,FALSE)</f>
        <v>RM</v>
      </c>
    </row>
    <row r="108" spans="1:11">
      <c r="A108" t="s">
        <v>634</v>
      </c>
      <c r="B108">
        <v>3</v>
      </c>
      <c r="C108" t="str">
        <f t="shared" si="1"/>
        <v>317355</v>
      </c>
      <c r="D108">
        <v>999997</v>
      </c>
      <c r="E108">
        <v>317355061</v>
      </c>
      <c r="F108" t="s">
        <v>661</v>
      </c>
      <c r="G108" t="s">
        <v>314</v>
      </c>
      <c r="H108" t="s">
        <v>378</v>
      </c>
      <c r="I108" t="s">
        <v>115</v>
      </c>
      <c r="J108" t="s">
        <v>420</v>
      </c>
      <c r="K108" s="15" t="str">
        <f>VLOOKUP(I108,[2]LOOKUP!$A:$D,4,FALSE)</f>
        <v>RM</v>
      </c>
    </row>
    <row r="109" spans="1:11">
      <c r="A109" t="s">
        <v>634</v>
      </c>
      <c r="B109">
        <v>3</v>
      </c>
      <c r="C109" t="str">
        <f t="shared" si="1"/>
        <v>317355</v>
      </c>
      <c r="D109">
        <v>999997</v>
      </c>
      <c r="E109">
        <v>317355062</v>
      </c>
      <c r="F109" t="s">
        <v>662</v>
      </c>
      <c r="G109" t="s">
        <v>314</v>
      </c>
      <c r="H109" t="s">
        <v>378</v>
      </c>
      <c r="I109" t="s">
        <v>35</v>
      </c>
      <c r="J109" t="s">
        <v>316</v>
      </c>
      <c r="K109" s="15" t="str">
        <f>VLOOKUP(I109,[2]LOOKUP!$A:$D,4,FALSE)</f>
        <v>RM</v>
      </c>
    </row>
    <row r="110" spans="1:11">
      <c r="A110" t="s">
        <v>634</v>
      </c>
      <c r="B110">
        <v>3</v>
      </c>
      <c r="C110" t="str">
        <f t="shared" si="1"/>
        <v>317355</v>
      </c>
      <c r="D110">
        <v>999997</v>
      </c>
      <c r="E110">
        <v>317355063</v>
      </c>
      <c r="F110" t="s">
        <v>663</v>
      </c>
      <c r="G110" t="s">
        <v>314</v>
      </c>
      <c r="H110" t="s">
        <v>378</v>
      </c>
      <c r="I110" t="s">
        <v>115</v>
      </c>
      <c r="J110" t="s">
        <v>420</v>
      </c>
      <c r="K110" s="15" t="str">
        <f>VLOOKUP(I110,[2]LOOKUP!$A:$D,4,FALSE)</f>
        <v>RM</v>
      </c>
    </row>
    <row r="111" spans="1:11">
      <c r="A111" t="s">
        <v>634</v>
      </c>
      <c r="B111">
        <v>3</v>
      </c>
      <c r="C111" t="str">
        <f t="shared" si="1"/>
        <v>317355</v>
      </c>
      <c r="D111">
        <v>999997</v>
      </c>
      <c r="E111">
        <v>317355064</v>
      </c>
      <c r="F111" t="s">
        <v>664</v>
      </c>
      <c r="G111" t="s">
        <v>314</v>
      </c>
      <c r="H111" t="s">
        <v>378</v>
      </c>
      <c r="I111" t="s">
        <v>115</v>
      </c>
      <c r="J111" t="s">
        <v>420</v>
      </c>
      <c r="K111" s="15" t="str">
        <f>VLOOKUP(I111,[2]LOOKUP!$A:$D,4,FALSE)</f>
        <v>RM</v>
      </c>
    </row>
    <row r="112" spans="1:11">
      <c r="A112" t="s">
        <v>634</v>
      </c>
      <c r="B112">
        <v>3</v>
      </c>
      <c r="C112" t="str">
        <f t="shared" si="1"/>
        <v>317355</v>
      </c>
      <c r="D112">
        <v>999997</v>
      </c>
      <c r="E112">
        <v>317355065</v>
      </c>
      <c r="F112" t="s">
        <v>665</v>
      </c>
      <c r="G112" t="s">
        <v>314</v>
      </c>
      <c r="H112" t="s">
        <v>378</v>
      </c>
      <c r="I112" t="s">
        <v>35</v>
      </c>
      <c r="J112" t="s">
        <v>316</v>
      </c>
      <c r="K112" s="15" t="str">
        <f>VLOOKUP(I112,[2]LOOKUP!$A:$D,4,FALSE)</f>
        <v>RM</v>
      </c>
    </row>
    <row r="113" spans="1:11">
      <c r="A113" t="s">
        <v>634</v>
      </c>
      <c r="B113">
        <v>3</v>
      </c>
      <c r="C113" t="str">
        <f t="shared" si="1"/>
        <v>317355</v>
      </c>
      <c r="D113">
        <v>999997</v>
      </c>
      <c r="E113">
        <v>317355066</v>
      </c>
      <c r="F113" t="s">
        <v>666</v>
      </c>
      <c r="G113" t="s">
        <v>314</v>
      </c>
      <c r="H113" t="s">
        <v>378</v>
      </c>
      <c r="I113" t="s">
        <v>35</v>
      </c>
      <c r="J113" t="s">
        <v>316</v>
      </c>
      <c r="K113" s="15" t="str">
        <f>VLOOKUP(I113,[2]LOOKUP!$A:$D,4,FALSE)</f>
        <v>RM</v>
      </c>
    </row>
    <row r="114" spans="1:11">
      <c r="A114" t="s">
        <v>634</v>
      </c>
      <c r="B114">
        <v>3</v>
      </c>
      <c r="C114" t="str">
        <f t="shared" si="1"/>
        <v>317355</v>
      </c>
      <c r="D114">
        <v>999997</v>
      </c>
      <c r="E114">
        <v>317355067</v>
      </c>
      <c r="F114" t="s">
        <v>667</v>
      </c>
      <c r="G114" t="s">
        <v>314</v>
      </c>
      <c r="H114" t="s">
        <v>378</v>
      </c>
      <c r="I114" t="s">
        <v>35</v>
      </c>
      <c r="J114" t="s">
        <v>316</v>
      </c>
      <c r="K114" s="15" t="str">
        <f>VLOOKUP(I114,[2]LOOKUP!$A:$D,4,FALSE)</f>
        <v>RM</v>
      </c>
    </row>
    <row r="115" spans="1:11">
      <c r="A115" t="s">
        <v>634</v>
      </c>
      <c r="B115">
        <v>3</v>
      </c>
      <c r="C115" t="str">
        <f t="shared" si="1"/>
        <v>317355</v>
      </c>
      <c r="D115">
        <v>999997</v>
      </c>
      <c r="E115">
        <v>317355068</v>
      </c>
      <c r="F115" t="s">
        <v>668</v>
      </c>
      <c r="G115" t="s">
        <v>314</v>
      </c>
      <c r="H115" t="s">
        <v>378</v>
      </c>
      <c r="I115" t="s">
        <v>35</v>
      </c>
      <c r="J115" t="s">
        <v>316</v>
      </c>
      <c r="K115" s="15" t="str">
        <f>VLOOKUP(I115,[2]LOOKUP!$A:$D,4,FALSE)</f>
        <v>RM</v>
      </c>
    </row>
    <row r="116" spans="1:11">
      <c r="A116" t="s">
        <v>634</v>
      </c>
      <c r="B116">
        <v>3</v>
      </c>
      <c r="C116" t="str">
        <f t="shared" si="1"/>
        <v>317355</v>
      </c>
      <c r="D116">
        <v>999997</v>
      </c>
      <c r="E116">
        <v>317355069</v>
      </c>
      <c r="F116" t="s">
        <v>669</v>
      </c>
      <c r="G116" t="s">
        <v>314</v>
      </c>
      <c r="H116" t="s">
        <v>378</v>
      </c>
      <c r="I116" t="s">
        <v>35</v>
      </c>
      <c r="J116" t="s">
        <v>316</v>
      </c>
      <c r="K116" s="15" t="str">
        <f>VLOOKUP(I116,[2]LOOKUP!$A:$D,4,FALSE)</f>
        <v>RM</v>
      </c>
    </row>
    <row r="117" spans="1:11">
      <c r="A117" t="s">
        <v>634</v>
      </c>
      <c r="B117">
        <v>3</v>
      </c>
      <c r="C117" t="str">
        <f t="shared" si="1"/>
        <v>317355</v>
      </c>
      <c r="D117">
        <v>999997</v>
      </c>
      <c r="E117">
        <v>317355070</v>
      </c>
      <c r="F117" t="s">
        <v>670</v>
      </c>
      <c r="G117" t="s">
        <v>314</v>
      </c>
      <c r="H117" t="s">
        <v>378</v>
      </c>
      <c r="I117" t="s">
        <v>35</v>
      </c>
      <c r="J117" t="s">
        <v>316</v>
      </c>
      <c r="K117" s="15" t="str">
        <f>VLOOKUP(I117,[2]LOOKUP!$A:$D,4,FALSE)</f>
        <v>RM</v>
      </c>
    </row>
    <row r="118" spans="1:11">
      <c r="A118" t="s">
        <v>634</v>
      </c>
      <c r="B118">
        <v>3</v>
      </c>
      <c r="C118" t="str">
        <f t="shared" si="1"/>
        <v>317355</v>
      </c>
      <c r="D118">
        <v>999997</v>
      </c>
      <c r="E118">
        <v>317355071</v>
      </c>
      <c r="F118" t="s">
        <v>671</v>
      </c>
      <c r="G118" t="s">
        <v>314</v>
      </c>
      <c r="H118" t="s">
        <v>378</v>
      </c>
      <c r="I118" t="s">
        <v>35</v>
      </c>
      <c r="J118" t="s">
        <v>316</v>
      </c>
      <c r="K118" s="15" t="str">
        <f>VLOOKUP(I118,[2]LOOKUP!$A:$D,4,FALSE)</f>
        <v>RM</v>
      </c>
    </row>
    <row r="119" spans="1:11">
      <c r="A119" t="s">
        <v>634</v>
      </c>
      <c r="B119">
        <v>3</v>
      </c>
      <c r="C119" t="str">
        <f t="shared" si="1"/>
        <v>317355</v>
      </c>
      <c r="D119">
        <v>999997</v>
      </c>
      <c r="E119">
        <v>317355072</v>
      </c>
      <c r="F119" t="s">
        <v>672</v>
      </c>
      <c r="G119" t="s">
        <v>314</v>
      </c>
      <c r="H119" t="s">
        <v>378</v>
      </c>
      <c r="I119" t="s">
        <v>115</v>
      </c>
      <c r="J119" t="s">
        <v>420</v>
      </c>
      <c r="K119" s="15" t="str">
        <f>VLOOKUP(I119,[2]LOOKUP!$A:$D,4,FALSE)</f>
        <v>RM</v>
      </c>
    </row>
    <row r="120" spans="1:11">
      <c r="A120" t="s">
        <v>634</v>
      </c>
      <c r="B120">
        <v>3</v>
      </c>
      <c r="C120" t="str">
        <f t="shared" si="1"/>
        <v>317355</v>
      </c>
      <c r="D120">
        <v>999997</v>
      </c>
      <c r="E120">
        <v>317355073</v>
      </c>
      <c r="F120" t="s">
        <v>673</v>
      </c>
      <c r="G120" t="s">
        <v>314</v>
      </c>
      <c r="H120" t="s">
        <v>378</v>
      </c>
      <c r="I120" t="s">
        <v>35</v>
      </c>
      <c r="J120" t="s">
        <v>316</v>
      </c>
      <c r="K120" s="15" t="str">
        <f>VLOOKUP(I120,[2]LOOKUP!$A:$D,4,FALSE)</f>
        <v>RM</v>
      </c>
    </row>
    <row r="121" spans="1:11">
      <c r="A121" t="s">
        <v>376</v>
      </c>
      <c r="C121" t="str">
        <f t="shared" si="1"/>
        <v>318295</v>
      </c>
      <c r="D121">
        <v>318295</v>
      </c>
      <c r="E121">
        <v>318295001</v>
      </c>
      <c r="F121" t="s">
        <v>614</v>
      </c>
      <c r="G121" t="s">
        <v>314</v>
      </c>
      <c r="H121" t="s">
        <v>315</v>
      </c>
      <c r="I121" t="s">
        <v>82</v>
      </c>
      <c r="J121" t="s">
        <v>316</v>
      </c>
      <c r="K121" s="15" t="str">
        <f>VLOOKUP(I121,[2]LOOKUP!$A:$D,4,FALSE)</f>
        <v>CM</v>
      </c>
    </row>
    <row r="122" spans="1:11">
      <c r="A122" t="s">
        <v>376</v>
      </c>
      <c r="C122" t="str">
        <f t="shared" si="1"/>
        <v>318295</v>
      </c>
      <c r="D122">
        <v>318295</v>
      </c>
      <c r="E122">
        <v>318295002</v>
      </c>
      <c r="F122" t="s">
        <v>615</v>
      </c>
      <c r="G122" t="s">
        <v>314</v>
      </c>
      <c r="H122" t="s">
        <v>315</v>
      </c>
      <c r="I122" t="s">
        <v>82</v>
      </c>
      <c r="J122" t="s">
        <v>316</v>
      </c>
      <c r="K122" s="15" t="str">
        <f>VLOOKUP(I122,[2]LOOKUP!$A:$D,4,FALSE)</f>
        <v>CM</v>
      </c>
    </row>
    <row r="123" spans="1:11">
      <c r="A123" t="s">
        <v>376</v>
      </c>
      <c r="C123" t="str">
        <f t="shared" si="1"/>
        <v>318295</v>
      </c>
      <c r="D123">
        <v>318295</v>
      </c>
      <c r="E123">
        <v>318295003</v>
      </c>
      <c r="F123" t="s">
        <v>616</v>
      </c>
      <c r="G123" t="s">
        <v>314</v>
      </c>
      <c r="H123" t="s">
        <v>315</v>
      </c>
      <c r="I123" t="s">
        <v>82</v>
      </c>
      <c r="J123" t="s">
        <v>316</v>
      </c>
      <c r="K123" s="15" t="str">
        <f>VLOOKUP(I123,[2]LOOKUP!$A:$D,4,FALSE)</f>
        <v>CM</v>
      </c>
    </row>
    <row r="124" spans="1:11">
      <c r="A124" t="s">
        <v>376</v>
      </c>
      <c r="B124">
        <v>2</v>
      </c>
      <c r="C124" t="str">
        <f t="shared" si="1"/>
        <v>318295</v>
      </c>
      <c r="D124">
        <v>318295</v>
      </c>
      <c r="E124">
        <v>318295004</v>
      </c>
      <c r="F124" t="s">
        <v>674</v>
      </c>
      <c r="G124" t="s">
        <v>314</v>
      </c>
      <c r="H124" t="s">
        <v>315</v>
      </c>
      <c r="I124" t="s">
        <v>88</v>
      </c>
      <c r="J124" t="s">
        <v>316</v>
      </c>
      <c r="K124" s="15" t="str">
        <f>VLOOKUP(I124,[2]LOOKUP!$A:$D,4,FALSE)</f>
        <v>CM</v>
      </c>
    </row>
    <row r="125" spans="1:11">
      <c r="A125" t="s">
        <v>376</v>
      </c>
      <c r="C125" t="str">
        <f t="shared" si="1"/>
        <v>318295</v>
      </c>
      <c r="D125">
        <v>318295</v>
      </c>
      <c r="E125">
        <v>318295005</v>
      </c>
      <c r="F125" t="s">
        <v>617</v>
      </c>
      <c r="G125" t="s">
        <v>314</v>
      </c>
      <c r="H125" t="s">
        <v>315</v>
      </c>
      <c r="I125" t="s">
        <v>82</v>
      </c>
      <c r="J125" t="s">
        <v>316</v>
      </c>
      <c r="K125" s="15" t="str">
        <f>VLOOKUP(I125,[2]LOOKUP!$A:$D,4,FALSE)</f>
        <v>CM</v>
      </c>
    </row>
    <row r="126" spans="1:11">
      <c r="A126" t="s">
        <v>376</v>
      </c>
      <c r="B126">
        <v>2</v>
      </c>
      <c r="C126" t="str">
        <f t="shared" si="1"/>
        <v>318295</v>
      </c>
      <c r="D126">
        <v>318295</v>
      </c>
      <c r="E126">
        <v>318295006</v>
      </c>
      <c r="F126" t="s">
        <v>675</v>
      </c>
      <c r="G126" t="s">
        <v>314</v>
      </c>
      <c r="H126" t="s">
        <v>315</v>
      </c>
      <c r="I126" t="s">
        <v>88</v>
      </c>
      <c r="J126" t="s">
        <v>316</v>
      </c>
      <c r="K126" s="15" t="str">
        <f>VLOOKUP(I126,[2]LOOKUP!$A:$D,4,FALSE)</f>
        <v>CM</v>
      </c>
    </row>
    <row r="127" spans="1:11">
      <c r="A127" t="s">
        <v>376</v>
      </c>
      <c r="C127" t="str">
        <f t="shared" si="1"/>
        <v>318295</v>
      </c>
      <c r="D127">
        <v>318295</v>
      </c>
      <c r="E127">
        <v>318295007</v>
      </c>
      <c r="F127" t="s">
        <v>619</v>
      </c>
      <c r="G127" t="s">
        <v>314</v>
      </c>
      <c r="H127" t="s">
        <v>315</v>
      </c>
      <c r="I127" t="s">
        <v>82</v>
      </c>
      <c r="J127" t="s">
        <v>316</v>
      </c>
      <c r="K127" s="15" t="str">
        <f>VLOOKUP(I127,[2]LOOKUP!$A:$D,4,FALSE)</f>
        <v>CM</v>
      </c>
    </row>
    <row r="128" spans="1:11">
      <c r="A128" t="s">
        <v>376</v>
      </c>
      <c r="C128" t="str">
        <f t="shared" si="1"/>
        <v>318295</v>
      </c>
      <c r="D128">
        <v>318295</v>
      </c>
      <c r="E128">
        <v>318295008</v>
      </c>
      <c r="F128" t="s">
        <v>620</v>
      </c>
      <c r="G128" t="s">
        <v>314</v>
      </c>
      <c r="H128" t="s">
        <v>315</v>
      </c>
      <c r="I128" t="s">
        <v>82</v>
      </c>
      <c r="J128" t="s">
        <v>316</v>
      </c>
      <c r="K128" s="15" t="str">
        <f>VLOOKUP(I128,[2]LOOKUP!$A:$D,4,FALSE)</f>
        <v>CM</v>
      </c>
    </row>
    <row r="129" spans="1:11">
      <c r="A129" t="s">
        <v>376</v>
      </c>
      <c r="C129" t="str">
        <f t="shared" si="1"/>
        <v>318295</v>
      </c>
      <c r="D129">
        <v>318295</v>
      </c>
      <c r="E129">
        <v>318295009</v>
      </c>
      <c r="F129" t="s">
        <v>621</v>
      </c>
      <c r="G129" t="s">
        <v>314</v>
      </c>
      <c r="H129" t="s">
        <v>315</v>
      </c>
      <c r="I129" t="s">
        <v>82</v>
      </c>
      <c r="J129" t="s">
        <v>316</v>
      </c>
      <c r="K129" s="15" t="str">
        <f>VLOOKUP(I129,[2]LOOKUP!$A:$D,4,FALSE)</f>
        <v>CM</v>
      </c>
    </row>
    <row r="130" spans="1:11">
      <c r="A130" t="s">
        <v>376</v>
      </c>
      <c r="C130" t="str">
        <f t="shared" si="1"/>
        <v>318295</v>
      </c>
      <c r="D130">
        <v>318295</v>
      </c>
      <c r="E130">
        <v>318295010</v>
      </c>
      <c r="F130" t="s">
        <v>622</v>
      </c>
      <c r="G130" t="s">
        <v>314</v>
      </c>
      <c r="H130" t="s">
        <v>315</v>
      </c>
      <c r="I130" t="s">
        <v>82</v>
      </c>
      <c r="J130" t="s">
        <v>316</v>
      </c>
      <c r="K130" s="15" t="str">
        <f>VLOOKUP(I130,[2]LOOKUP!$A:$D,4,FALSE)</f>
        <v>CM</v>
      </c>
    </row>
    <row r="131" spans="1:11">
      <c r="A131" t="s">
        <v>376</v>
      </c>
      <c r="C131" t="str">
        <f t="shared" ref="C131:C151" si="2">LEFT(E131,6)</f>
        <v>318295</v>
      </c>
      <c r="D131">
        <v>318295</v>
      </c>
      <c r="E131">
        <v>318295011</v>
      </c>
      <c r="F131" t="s">
        <v>623</v>
      </c>
      <c r="G131" t="s">
        <v>314</v>
      </c>
      <c r="H131" t="s">
        <v>315</v>
      </c>
      <c r="I131" t="s">
        <v>82</v>
      </c>
      <c r="J131" t="s">
        <v>316</v>
      </c>
      <c r="K131" s="15" t="str">
        <f>VLOOKUP(I131,[2]LOOKUP!$A:$D,4,FALSE)</f>
        <v>CM</v>
      </c>
    </row>
    <row r="132" spans="1:11">
      <c r="A132" t="s">
        <v>376</v>
      </c>
      <c r="C132" t="str">
        <f t="shared" si="2"/>
        <v>318295</v>
      </c>
      <c r="D132">
        <v>318295</v>
      </c>
      <c r="E132">
        <v>318295012</v>
      </c>
      <c r="F132" t="s">
        <v>624</v>
      </c>
      <c r="G132" t="s">
        <v>314</v>
      </c>
      <c r="H132" t="s">
        <v>315</v>
      </c>
      <c r="I132" t="s">
        <v>82</v>
      </c>
      <c r="J132" t="s">
        <v>316</v>
      </c>
      <c r="K132" s="15" t="str">
        <f>VLOOKUP(I132,[2]LOOKUP!$A:$D,4,FALSE)</f>
        <v>CM</v>
      </c>
    </row>
    <row r="133" spans="1:11">
      <c r="A133" t="s">
        <v>376</v>
      </c>
      <c r="B133">
        <v>2</v>
      </c>
      <c r="C133" t="str">
        <f t="shared" si="2"/>
        <v>318295</v>
      </c>
      <c r="D133">
        <v>318295</v>
      </c>
      <c r="E133">
        <v>318295013</v>
      </c>
      <c r="F133" t="s">
        <v>676</v>
      </c>
      <c r="G133" t="s">
        <v>314</v>
      </c>
      <c r="H133" t="s">
        <v>315</v>
      </c>
      <c r="I133" t="s">
        <v>88</v>
      </c>
      <c r="J133" t="s">
        <v>316</v>
      </c>
      <c r="K133" s="15" t="str">
        <f>VLOOKUP(I133,[2]LOOKUP!$A:$D,4,FALSE)</f>
        <v>CM</v>
      </c>
    </row>
    <row r="134" spans="1:11">
      <c r="A134" t="s">
        <v>376</v>
      </c>
      <c r="B134">
        <v>2</v>
      </c>
      <c r="C134" t="str">
        <f t="shared" si="2"/>
        <v>318295</v>
      </c>
      <c r="D134">
        <v>318295</v>
      </c>
      <c r="E134">
        <v>318295014</v>
      </c>
      <c r="F134" t="s">
        <v>677</v>
      </c>
      <c r="G134" t="s">
        <v>314</v>
      </c>
      <c r="H134" t="s">
        <v>315</v>
      </c>
      <c r="I134" t="s">
        <v>88</v>
      </c>
      <c r="J134" t="s">
        <v>316</v>
      </c>
      <c r="K134" s="15" t="str">
        <f>VLOOKUP(I134,[2]LOOKUP!$A:$D,4,FALSE)</f>
        <v>CM</v>
      </c>
    </row>
    <row r="135" spans="1:11">
      <c r="A135" t="s">
        <v>376</v>
      </c>
      <c r="B135">
        <v>2</v>
      </c>
      <c r="C135" t="str">
        <f t="shared" si="2"/>
        <v>318295</v>
      </c>
      <c r="D135">
        <v>318295</v>
      </c>
      <c r="E135">
        <v>318295015</v>
      </c>
      <c r="F135" t="s">
        <v>678</v>
      </c>
      <c r="G135" t="s">
        <v>314</v>
      </c>
      <c r="H135" t="s">
        <v>315</v>
      </c>
      <c r="I135" t="s">
        <v>88</v>
      </c>
      <c r="J135" t="s">
        <v>316</v>
      </c>
      <c r="K135" s="15" t="str">
        <f>VLOOKUP(I135,[2]LOOKUP!$A:$D,4,FALSE)</f>
        <v>CM</v>
      </c>
    </row>
    <row r="136" spans="1:11">
      <c r="A136" t="s">
        <v>376</v>
      </c>
      <c r="B136">
        <v>2</v>
      </c>
      <c r="C136" t="str">
        <f t="shared" si="2"/>
        <v>318295</v>
      </c>
      <c r="D136">
        <v>318295</v>
      </c>
      <c r="E136">
        <v>318295016</v>
      </c>
      <c r="F136" t="s">
        <v>679</v>
      </c>
      <c r="G136" t="s">
        <v>314</v>
      </c>
      <c r="H136" t="s">
        <v>315</v>
      </c>
      <c r="I136" t="s">
        <v>88</v>
      </c>
      <c r="J136" t="s">
        <v>316</v>
      </c>
      <c r="K136" s="15" t="str">
        <f>VLOOKUP(I136,[2]LOOKUP!$A:$D,4,FALSE)</f>
        <v>CM</v>
      </c>
    </row>
    <row r="137" spans="1:11">
      <c r="A137" t="s">
        <v>376</v>
      </c>
      <c r="C137" t="str">
        <f t="shared" si="2"/>
        <v>318295</v>
      </c>
      <c r="D137">
        <v>318295</v>
      </c>
      <c r="E137">
        <v>318295017</v>
      </c>
      <c r="F137" t="s">
        <v>625</v>
      </c>
      <c r="G137" t="s">
        <v>314</v>
      </c>
      <c r="H137" t="s">
        <v>315</v>
      </c>
      <c r="I137" t="s">
        <v>82</v>
      </c>
      <c r="J137" t="s">
        <v>316</v>
      </c>
      <c r="K137" s="15" t="str">
        <f>VLOOKUP(I137,[2]LOOKUP!$A:$D,4,FALSE)</f>
        <v>CM</v>
      </c>
    </row>
    <row r="138" spans="1:11">
      <c r="A138" t="s">
        <v>376</v>
      </c>
      <c r="B138">
        <v>2</v>
      </c>
      <c r="C138" t="str">
        <f t="shared" si="2"/>
        <v>318295</v>
      </c>
      <c r="D138">
        <v>318295</v>
      </c>
      <c r="E138">
        <v>318295018</v>
      </c>
      <c r="F138" t="s">
        <v>680</v>
      </c>
      <c r="G138" t="s">
        <v>314</v>
      </c>
      <c r="H138" t="s">
        <v>315</v>
      </c>
      <c r="I138" t="s">
        <v>88</v>
      </c>
      <c r="J138" t="s">
        <v>316</v>
      </c>
      <c r="K138" s="15" t="str">
        <f>VLOOKUP(I138,[2]LOOKUP!$A:$D,4,FALSE)</f>
        <v>CM</v>
      </c>
    </row>
    <row r="139" spans="1:11">
      <c r="A139" t="s">
        <v>376</v>
      </c>
      <c r="C139" t="str">
        <f t="shared" si="2"/>
        <v>318295</v>
      </c>
      <c r="D139">
        <v>318295</v>
      </c>
      <c r="E139">
        <v>318295019</v>
      </c>
      <c r="F139" t="s">
        <v>626</v>
      </c>
      <c r="G139" t="s">
        <v>314</v>
      </c>
      <c r="H139" t="s">
        <v>315</v>
      </c>
      <c r="I139" t="s">
        <v>82</v>
      </c>
      <c r="J139" t="s">
        <v>316</v>
      </c>
      <c r="K139" s="15" t="str">
        <f>VLOOKUP(I139,[2]LOOKUP!$A:$D,4,FALSE)</f>
        <v>CM</v>
      </c>
    </row>
    <row r="140" spans="1:11">
      <c r="A140" t="s">
        <v>376</v>
      </c>
      <c r="C140" t="str">
        <f t="shared" si="2"/>
        <v>318295</v>
      </c>
      <c r="D140">
        <v>318295</v>
      </c>
      <c r="E140">
        <v>318295020</v>
      </c>
      <c r="F140" t="s">
        <v>627</v>
      </c>
      <c r="G140" t="s">
        <v>314</v>
      </c>
      <c r="H140" t="s">
        <v>315</v>
      </c>
      <c r="I140" t="s">
        <v>82</v>
      </c>
      <c r="J140" t="s">
        <v>316</v>
      </c>
      <c r="K140" s="15" t="str">
        <f>VLOOKUP(I140,[2]LOOKUP!$A:$D,4,FALSE)</f>
        <v>CM</v>
      </c>
    </row>
    <row r="141" spans="1:11">
      <c r="A141" t="s">
        <v>376</v>
      </c>
      <c r="C141" t="str">
        <f t="shared" si="2"/>
        <v>318295</v>
      </c>
      <c r="D141">
        <v>318295</v>
      </c>
      <c r="E141">
        <v>318295021</v>
      </c>
      <c r="F141" t="s">
        <v>628</v>
      </c>
      <c r="G141" t="s">
        <v>314</v>
      </c>
      <c r="H141" t="s">
        <v>315</v>
      </c>
      <c r="I141" t="s">
        <v>82</v>
      </c>
      <c r="J141" t="s">
        <v>316</v>
      </c>
      <c r="K141" s="15" t="str">
        <f>VLOOKUP(I141,[2]LOOKUP!$A:$D,4,FALSE)</f>
        <v>CM</v>
      </c>
    </row>
    <row r="142" spans="1:11">
      <c r="A142" t="s">
        <v>376</v>
      </c>
      <c r="B142">
        <v>2</v>
      </c>
      <c r="C142" t="str">
        <f t="shared" si="2"/>
        <v>318295</v>
      </c>
      <c r="D142">
        <v>318295</v>
      </c>
      <c r="E142">
        <v>318295022</v>
      </c>
      <c r="F142" t="s">
        <v>681</v>
      </c>
      <c r="G142" t="s">
        <v>314</v>
      </c>
      <c r="H142" t="s">
        <v>315</v>
      </c>
      <c r="I142" t="s">
        <v>88</v>
      </c>
      <c r="J142" t="s">
        <v>316</v>
      </c>
      <c r="K142" s="15" t="str">
        <f>VLOOKUP(I142,[2]LOOKUP!$A:$D,4,FALSE)</f>
        <v>CM</v>
      </c>
    </row>
    <row r="143" spans="1:11">
      <c r="A143" t="s">
        <v>376</v>
      </c>
      <c r="B143">
        <v>2</v>
      </c>
      <c r="C143" t="str">
        <f t="shared" si="2"/>
        <v>318295</v>
      </c>
      <c r="D143">
        <v>318295</v>
      </c>
      <c r="E143">
        <v>318295023</v>
      </c>
      <c r="F143" t="s">
        <v>682</v>
      </c>
      <c r="G143" t="s">
        <v>314</v>
      </c>
      <c r="H143" t="s">
        <v>315</v>
      </c>
      <c r="I143" t="s">
        <v>88</v>
      </c>
      <c r="J143" t="s">
        <v>316</v>
      </c>
      <c r="K143" s="15" t="str">
        <f>VLOOKUP(I143,[2]LOOKUP!$A:$D,4,FALSE)</f>
        <v>CM</v>
      </c>
    </row>
    <row r="144" spans="1:11">
      <c r="A144" t="s">
        <v>376</v>
      </c>
      <c r="B144">
        <v>2</v>
      </c>
      <c r="C144" t="str">
        <f t="shared" si="2"/>
        <v>318295</v>
      </c>
      <c r="D144">
        <v>318295</v>
      </c>
      <c r="E144">
        <v>318295024</v>
      </c>
      <c r="F144" t="s">
        <v>683</v>
      </c>
      <c r="G144" t="s">
        <v>314</v>
      </c>
      <c r="H144" t="s">
        <v>315</v>
      </c>
      <c r="I144" t="s">
        <v>88</v>
      </c>
      <c r="J144" t="s">
        <v>316</v>
      </c>
      <c r="K144" s="15" t="str">
        <f>VLOOKUP(I144,[2]LOOKUP!$A:$D,4,FALSE)</f>
        <v>CM</v>
      </c>
    </row>
    <row r="145" spans="1:11">
      <c r="A145" t="s">
        <v>376</v>
      </c>
      <c r="C145" t="str">
        <f t="shared" si="2"/>
        <v>318295</v>
      </c>
      <c r="D145">
        <v>318295</v>
      </c>
      <c r="E145">
        <v>318295025</v>
      </c>
      <c r="F145" t="s">
        <v>629</v>
      </c>
      <c r="G145" t="s">
        <v>314</v>
      </c>
      <c r="H145" t="s">
        <v>315</v>
      </c>
      <c r="I145" t="s">
        <v>82</v>
      </c>
      <c r="J145" t="s">
        <v>316</v>
      </c>
      <c r="K145" s="15" t="str">
        <f>VLOOKUP(I145,[2]LOOKUP!$A:$D,4,FALSE)</f>
        <v>CM</v>
      </c>
    </row>
    <row r="146" spans="1:11">
      <c r="A146" t="s">
        <v>376</v>
      </c>
      <c r="C146" t="str">
        <f t="shared" si="2"/>
        <v>318295</v>
      </c>
      <c r="D146">
        <v>318295</v>
      </c>
      <c r="E146">
        <v>318295026</v>
      </c>
      <c r="F146" t="s">
        <v>630</v>
      </c>
      <c r="G146" t="s">
        <v>314</v>
      </c>
      <c r="H146" t="s">
        <v>315</v>
      </c>
      <c r="I146" t="s">
        <v>82</v>
      </c>
      <c r="J146" t="s">
        <v>316</v>
      </c>
      <c r="K146" s="15" t="str">
        <f>VLOOKUP(I146,[2]LOOKUP!$A:$D,4,FALSE)</f>
        <v>CM</v>
      </c>
    </row>
    <row r="147" spans="1:11">
      <c r="A147" t="s">
        <v>376</v>
      </c>
      <c r="C147" t="str">
        <f t="shared" si="2"/>
        <v>318295</v>
      </c>
      <c r="D147">
        <v>318295</v>
      </c>
      <c r="E147">
        <v>318295027</v>
      </c>
      <c r="F147" t="s">
        <v>631</v>
      </c>
      <c r="G147" t="s">
        <v>314</v>
      </c>
      <c r="H147" t="s">
        <v>315</v>
      </c>
      <c r="I147" t="s">
        <v>82</v>
      </c>
      <c r="J147" t="s">
        <v>316</v>
      </c>
      <c r="K147" s="15" t="str">
        <f>VLOOKUP(I147,[2]LOOKUP!$A:$D,4,FALSE)</f>
        <v>CM</v>
      </c>
    </row>
    <row r="148" spans="1:11">
      <c r="A148" t="s">
        <v>376</v>
      </c>
      <c r="B148">
        <v>2</v>
      </c>
      <c r="C148" t="str">
        <f t="shared" si="2"/>
        <v>318295</v>
      </c>
      <c r="D148">
        <v>318295</v>
      </c>
      <c r="E148">
        <v>318295028</v>
      </c>
      <c r="F148" t="s">
        <v>684</v>
      </c>
      <c r="G148" t="s">
        <v>314</v>
      </c>
      <c r="H148" t="s">
        <v>315</v>
      </c>
      <c r="I148" t="s">
        <v>88</v>
      </c>
      <c r="J148" t="s">
        <v>316</v>
      </c>
      <c r="K148" s="15" t="str">
        <f>VLOOKUP(I148,[2]LOOKUP!$A:$D,4,FALSE)</f>
        <v>CM</v>
      </c>
    </row>
    <row r="149" spans="1:11">
      <c r="A149" t="s">
        <v>376</v>
      </c>
      <c r="C149" t="str">
        <f t="shared" si="2"/>
        <v>318295</v>
      </c>
      <c r="D149">
        <v>318295</v>
      </c>
      <c r="E149">
        <v>318295029</v>
      </c>
      <c r="F149" t="s">
        <v>632</v>
      </c>
      <c r="G149" t="s">
        <v>314</v>
      </c>
      <c r="H149" t="s">
        <v>315</v>
      </c>
      <c r="I149" t="s">
        <v>82</v>
      </c>
      <c r="J149" t="s">
        <v>316</v>
      </c>
      <c r="K149" s="15" t="str">
        <f>VLOOKUP(I149,[2]LOOKUP!$A:$D,4,FALSE)</f>
        <v>CM</v>
      </c>
    </row>
    <row r="150" spans="1:11">
      <c r="A150" t="s">
        <v>376</v>
      </c>
      <c r="C150" t="str">
        <f t="shared" si="2"/>
        <v>318295</v>
      </c>
      <c r="D150">
        <v>318295</v>
      </c>
      <c r="E150">
        <v>318295030</v>
      </c>
      <c r="F150" t="s">
        <v>633</v>
      </c>
      <c r="G150" t="s">
        <v>314</v>
      </c>
      <c r="H150" t="s">
        <v>315</v>
      </c>
      <c r="I150" t="s">
        <v>82</v>
      </c>
      <c r="J150" t="s">
        <v>316</v>
      </c>
      <c r="K150" s="15" t="str">
        <f>VLOOKUP(I150,[2]LOOKUP!$A:$D,4,FALSE)</f>
        <v>CM</v>
      </c>
    </row>
    <row r="151" spans="1:11">
      <c r="A151" t="s">
        <v>685</v>
      </c>
      <c r="C151" t="str">
        <f t="shared" si="2"/>
        <v/>
      </c>
      <c r="D151">
        <v>999999</v>
      </c>
      <c r="F151" t="s">
        <v>566</v>
      </c>
      <c r="K151" s="15" t="e">
        <f>VLOOKUP(I151,[2]LOOKUP!$A:$D,4,FALSE)</f>
        <v>#N/A</v>
      </c>
    </row>
  </sheetData>
  <autoFilter ref="A1:O151" xr:uid="{1E9AA281-2539-4800-958C-CE5C8B95FF7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2232-0D28-4F0C-8A32-DC1A74EFEBA8}">
  <sheetPr>
    <tabColor rgb="FF92D050"/>
  </sheetPr>
  <dimension ref="A1:K491"/>
  <sheetViews>
    <sheetView topLeftCell="A472" workbookViewId="0">
      <selection activeCell="F480" sqref="F480"/>
    </sheetView>
  </sheetViews>
  <sheetFormatPr defaultRowHeight="14.45"/>
  <cols>
    <col min="5" max="5" width="10" bestFit="1" customWidth="1"/>
    <col min="6" max="6" width="47.42578125" bestFit="1" customWidth="1"/>
    <col min="7" max="7" width="12.140625" bestFit="1" customWidth="1"/>
    <col min="8" max="8" width="12.85546875" bestFit="1" customWidth="1"/>
    <col min="9" max="9" width="10" bestFit="1" customWidth="1"/>
    <col min="10" max="10" width="13.85546875" bestFit="1" customWidth="1"/>
    <col min="11" max="11" width="10" bestFit="1" customWidth="1"/>
  </cols>
  <sheetData>
    <row r="1" spans="1:11" ht="81.599999999999994">
      <c r="A1" t="s">
        <v>300</v>
      </c>
      <c r="B1" t="s">
        <v>301</v>
      </c>
      <c r="C1" t="s">
        <v>686</v>
      </c>
      <c r="D1" t="s">
        <v>303</v>
      </c>
      <c r="E1" s="31" t="s">
        <v>304</v>
      </c>
      <c r="F1" s="32" t="s">
        <v>305</v>
      </c>
      <c r="G1" s="32" t="s">
        <v>306</v>
      </c>
      <c r="H1" s="32" t="s">
        <v>307</v>
      </c>
      <c r="I1" s="32" t="s">
        <v>308</v>
      </c>
      <c r="J1" s="32" t="s">
        <v>309</v>
      </c>
      <c r="K1" s="33" t="s">
        <v>310</v>
      </c>
    </row>
    <row r="2" spans="1:11">
      <c r="A2" t="s">
        <v>311</v>
      </c>
      <c r="B2">
        <v>1</v>
      </c>
      <c r="C2" t="str">
        <f>LEFT(E2,6)</f>
        <v>317352</v>
      </c>
      <c r="D2">
        <v>317352</v>
      </c>
      <c r="E2">
        <v>317352002</v>
      </c>
      <c r="F2" t="s">
        <v>687</v>
      </c>
      <c r="G2" t="s">
        <v>314</v>
      </c>
      <c r="H2" t="s">
        <v>315</v>
      </c>
      <c r="I2" t="s">
        <v>100</v>
      </c>
      <c r="J2" t="s">
        <v>316</v>
      </c>
      <c r="K2" s="15" t="str">
        <f>VLOOKUP(I2,[2]LOOKUP!$A:$D,4,FALSE)</f>
        <v>CM</v>
      </c>
    </row>
    <row r="3" spans="1:11">
      <c r="A3" t="s">
        <v>311</v>
      </c>
      <c r="B3">
        <v>1</v>
      </c>
      <c r="C3" t="str">
        <f t="shared" ref="C3:C66" si="0">LEFT(E3,6)</f>
        <v>317352</v>
      </c>
      <c r="D3">
        <v>317352</v>
      </c>
      <c r="E3">
        <v>317352003</v>
      </c>
      <c r="F3" t="s">
        <v>688</v>
      </c>
      <c r="G3" t="s">
        <v>314</v>
      </c>
      <c r="H3" t="s">
        <v>315</v>
      </c>
      <c r="I3" t="s">
        <v>44</v>
      </c>
      <c r="J3" t="s">
        <v>316</v>
      </c>
      <c r="K3" s="15" t="str">
        <f>VLOOKUP(I3,[2]LOOKUP!$A:$D,4,FALSE)</f>
        <v>RM</v>
      </c>
    </row>
    <row r="4" spans="1:11">
      <c r="A4" t="s">
        <v>311</v>
      </c>
      <c r="B4">
        <v>1</v>
      </c>
      <c r="C4" t="str">
        <f t="shared" si="0"/>
        <v>317352</v>
      </c>
      <c r="D4">
        <v>317352</v>
      </c>
      <c r="E4">
        <v>317352004</v>
      </c>
      <c r="F4" t="s">
        <v>689</v>
      </c>
      <c r="G4" t="s">
        <v>314</v>
      </c>
      <c r="H4" t="s">
        <v>315</v>
      </c>
      <c r="I4" t="s">
        <v>58</v>
      </c>
      <c r="J4" t="s">
        <v>316</v>
      </c>
      <c r="K4" s="15" t="str">
        <f>VLOOKUP(I4,[2]LOOKUP!$A:$D,4,FALSE)</f>
        <v>CM</v>
      </c>
    </row>
    <row r="5" spans="1:11">
      <c r="A5" t="s">
        <v>311</v>
      </c>
      <c r="B5">
        <v>1</v>
      </c>
      <c r="C5" t="str">
        <f t="shared" si="0"/>
        <v>317352</v>
      </c>
      <c r="D5">
        <v>317352</v>
      </c>
      <c r="E5">
        <v>317352005</v>
      </c>
      <c r="F5" t="s">
        <v>690</v>
      </c>
      <c r="G5" t="s">
        <v>314</v>
      </c>
      <c r="H5" t="s">
        <v>315</v>
      </c>
      <c r="I5" t="s">
        <v>100</v>
      </c>
      <c r="J5" t="s">
        <v>316</v>
      </c>
      <c r="K5" s="15" t="str">
        <f>VLOOKUP(I5,[2]LOOKUP!$A:$D,4,FALSE)</f>
        <v>CM</v>
      </c>
    </row>
    <row r="6" spans="1:11">
      <c r="A6" t="s">
        <v>311</v>
      </c>
      <c r="B6">
        <v>1</v>
      </c>
      <c r="C6" t="str">
        <f t="shared" si="0"/>
        <v>317352</v>
      </c>
      <c r="D6">
        <v>317352</v>
      </c>
      <c r="E6">
        <v>317352006</v>
      </c>
      <c r="F6" t="s">
        <v>691</v>
      </c>
      <c r="G6" t="s">
        <v>314</v>
      </c>
      <c r="H6" t="s">
        <v>315</v>
      </c>
      <c r="I6" t="s">
        <v>100</v>
      </c>
      <c r="J6" t="s">
        <v>316</v>
      </c>
      <c r="K6" s="15" t="str">
        <f>VLOOKUP(I6,[2]LOOKUP!$A:$D,4,FALSE)</f>
        <v>CM</v>
      </c>
    </row>
    <row r="7" spans="1:11">
      <c r="A7" t="s">
        <v>311</v>
      </c>
      <c r="B7">
        <v>1</v>
      </c>
      <c r="C7" t="str">
        <f t="shared" si="0"/>
        <v>317352</v>
      </c>
      <c r="D7">
        <v>317352</v>
      </c>
      <c r="E7">
        <v>317352007</v>
      </c>
      <c r="F7" t="s">
        <v>692</v>
      </c>
      <c r="G7" t="s">
        <v>314</v>
      </c>
      <c r="H7" t="s">
        <v>315</v>
      </c>
      <c r="I7" t="s">
        <v>100</v>
      </c>
      <c r="J7" t="s">
        <v>316</v>
      </c>
      <c r="K7" s="15" t="str">
        <f>VLOOKUP(I7,[2]LOOKUP!$A:$D,4,FALSE)</f>
        <v>CM</v>
      </c>
    </row>
    <row r="8" spans="1:11">
      <c r="A8" t="s">
        <v>311</v>
      </c>
      <c r="B8">
        <v>1</v>
      </c>
      <c r="C8" t="str">
        <f t="shared" si="0"/>
        <v>317352</v>
      </c>
      <c r="D8">
        <v>317352</v>
      </c>
      <c r="E8">
        <v>317352008</v>
      </c>
      <c r="F8" t="s">
        <v>693</v>
      </c>
      <c r="G8" t="s">
        <v>314</v>
      </c>
      <c r="H8" t="s">
        <v>315</v>
      </c>
      <c r="I8" t="s">
        <v>58</v>
      </c>
      <c r="J8" t="s">
        <v>316</v>
      </c>
      <c r="K8" s="15" t="str">
        <f>VLOOKUP(I8,[2]LOOKUP!$A:$D,4,FALSE)</f>
        <v>CM</v>
      </c>
    </row>
    <row r="9" spans="1:11">
      <c r="A9" t="s">
        <v>311</v>
      </c>
      <c r="B9">
        <v>1</v>
      </c>
      <c r="C9" t="str">
        <f t="shared" si="0"/>
        <v>317352</v>
      </c>
      <c r="D9">
        <v>317352</v>
      </c>
      <c r="E9">
        <v>317352009</v>
      </c>
      <c r="F9" t="s">
        <v>694</v>
      </c>
      <c r="G9" t="s">
        <v>314</v>
      </c>
      <c r="H9" t="s">
        <v>315</v>
      </c>
      <c r="I9" t="s">
        <v>58</v>
      </c>
      <c r="J9" t="s">
        <v>316</v>
      </c>
      <c r="K9" s="15" t="str">
        <f>VLOOKUP(I9,[2]LOOKUP!$A:$D,4,FALSE)</f>
        <v>CM</v>
      </c>
    </row>
    <row r="10" spans="1:11">
      <c r="A10" t="s">
        <v>311</v>
      </c>
      <c r="B10">
        <v>1</v>
      </c>
      <c r="C10" t="str">
        <f t="shared" si="0"/>
        <v>317352</v>
      </c>
      <c r="D10">
        <v>317352</v>
      </c>
      <c r="E10">
        <v>317352013</v>
      </c>
      <c r="F10" t="s">
        <v>695</v>
      </c>
      <c r="G10" t="s">
        <v>314</v>
      </c>
      <c r="H10" t="s">
        <v>315</v>
      </c>
      <c r="I10" t="s">
        <v>100</v>
      </c>
      <c r="J10" t="s">
        <v>316</v>
      </c>
      <c r="K10" s="15" t="str">
        <f>VLOOKUP(I10,[2]LOOKUP!$A:$D,4,FALSE)</f>
        <v>CM</v>
      </c>
    </row>
    <row r="11" spans="1:11">
      <c r="A11" t="s">
        <v>311</v>
      </c>
      <c r="B11">
        <v>1</v>
      </c>
      <c r="C11" t="str">
        <f t="shared" si="0"/>
        <v>317352</v>
      </c>
      <c r="D11">
        <v>317352</v>
      </c>
      <c r="E11">
        <v>317352015</v>
      </c>
      <c r="F11" t="s">
        <v>696</v>
      </c>
      <c r="G11" t="s">
        <v>314</v>
      </c>
      <c r="H11" t="s">
        <v>315</v>
      </c>
      <c r="I11" t="s">
        <v>58</v>
      </c>
      <c r="J11" t="s">
        <v>316</v>
      </c>
      <c r="K11" s="15" t="str">
        <f>VLOOKUP(I11,[2]LOOKUP!$A:$D,4,FALSE)</f>
        <v>CM</v>
      </c>
    </row>
    <row r="12" spans="1:11">
      <c r="A12" t="s">
        <v>311</v>
      </c>
      <c r="B12">
        <v>1</v>
      </c>
      <c r="C12" t="str">
        <f t="shared" si="0"/>
        <v>317352</v>
      </c>
      <c r="D12">
        <v>317352</v>
      </c>
      <c r="E12">
        <v>317352016</v>
      </c>
      <c r="F12" t="s">
        <v>697</v>
      </c>
      <c r="G12" t="s">
        <v>314</v>
      </c>
      <c r="H12" t="s">
        <v>315</v>
      </c>
      <c r="I12" t="s">
        <v>100</v>
      </c>
      <c r="J12" t="s">
        <v>316</v>
      </c>
      <c r="K12" s="15" t="str">
        <f>VLOOKUP(I12,[2]LOOKUP!$A:$D,4,FALSE)</f>
        <v>CM</v>
      </c>
    </row>
    <row r="13" spans="1:11">
      <c r="A13" t="s">
        <v>311</v>
      </c>
      <c r="B13">
        <v>1</v>
      </c>
      <c r="C13" t="str">
        <f t="shared" si="0"/>
        <v>317352</v>
      </c>
      <c r="D13">
        <v>317352</v>
      </c>
      <c r="E13">
        <v>317352020</v>
      </c>
      <c r="F13" t="s">
        <v>698</v>
      </c>
      <c r="G13" t="s">
        <v>314</v>
      </c>
      <c r="H13" t="s">
        <v>315</v>
      </c>
      <c r="I13" t="s">
        <v>44</v>
      </c>
      <c r="J13" t="s">
        <v>316</v>
      </c>
      <c r="K13" s="15" t="str">
        <f>VLOOKUP(I13,[2]LOOKUP!$A:$D,4,FALSE)</f>
        <v>RM</v>
      </c>
    </row>
    <row r="14" spans="1:11">
      <c r="A14" t="s">
        <v>311</v>
      </c>
      <c r="B14">
        <v>1</v>
      </c>
      <c r="C14" t="str">
        <f t="shared" si="0"/>
        <v>317352</v>
      </c>
      <c r="D14">
        <v>317352</v>
      </c>
      <c r="E14">
        <v>317352021</v>
      </c>
      <c r="F14" t="s">
        <v>699</v>
      </c>
      <c r="G14" t="s">
        <v>314</v>
      </c>
      <c r="H14" t="s">
        <v>315</v>
      </c>
      <c r="I14" t="s">
        <v>44</v>
      </c>
      <c r="J14" t="s">
        <v>316</v>
      </c>
      <c r="K14" s="15" t="str">
        <f>VLOOKUP(I14,[2]LOOKUP!$A:$D,4,FALSE)</f>
        <v>RM</v>
      </c>
    </row>
    <row r="15" spans="1:11">
      <c r="A15" t="s">
        <v>311</v>
      </c>
      <c r="B15">
        <v>1</v>
      </c>
      <c r="C15" t="str">
        <f t="shared" si="0"/>
        <v>317352</v>
      </c>
      <c r="D15">
        <v>317352</v>
      </c>
      <c r="E15">
        <v>317352023</v>
      </c>
      <c r="F15" t="s">
        <v>700</v>
      </c>
      <c r="G15" t="s">
        <v>314</v>
      </c>
      <c r="H15" t="s">
        <v>315</v>
      </c>
      <c r="I15" t="s">
        <v>44</v>
      </c>
      <c r="J15" t="s">
        <v>316</v>
      </c>
      <c r="K15" s="15" t="str">
        <f>VLOOKUP(I15,[2]LOOKUP!$A:$D,4,FALSE)</f>
        <v>RM</v>
      </c>
    </row>
    <row r="16" spans="1:11">
      <c r="A16" t="s">
        <v>311</v>
      </c>
      <c r="B16">
        <v>1</v>
      </c>
      <c r="C16" t="str">
        <f t="shared" si="0"/>
        <v>317352</v>
      </c>
      <c r="D16">
        <v>317352</v>
      </c>
      <c r="E16">
        <v>317352024</v>
      </c>
      <c r="F16" t="s">
        <v>701</v>
      </c>
      <c r="G16" t="s">
        <v>314</v>
      </c>
      <c r="H16" t="s">
        <v>315</v>
      </c>
      <c r="I16" t="s">
        <v>58</v>
      </c>
      <c r="J16" t="s">
        <v>316</v>
      </c>
      <c r="K16" s="15" t="str">
        <f>VLOOKUP(I16,[2]LOOKUP!$A:$D,4,FALSE)</f>
        <v>CM</v>
      </c>
    </row>
    <row r="17" spans="1:11">
      <c r="A17" t="s">
        <v>311</v>
      </c>
      <c r="B17">
        <v>1</v>
      </c>
      <c r="C17" t="str">
        <f t="shared" si="0"/>
        <v>317352</v>
      </c>
      <c r="D17">
        <v>317352</v>
      </c>
      <c r="E17">
        <v>317352028</v>
      </c>
      <c r="F17" t="s">
        <v>702</v>
      </c>
      <c r="G17" t="s">
        <v>314</v>
      </c>
      <c r="H17" t="s">
        <v>315</v>
      </c>
      <c r="I17" t="s">
        <v>100</v>
      </c>
      <c r="J17" t="s">
        <v>316</v>
      </c>
      <c r="K17" s="15" t="str">
        <f>VLOOKUP(I17,[2]LOOKUP!$A:$D,4,FALSE)</f>
        <v>CM</v>
      </c>
    </row>
    <row r="18" spans="1:11">
      <c r="A18" t="s">
        <v>311</v>
      </c>
      <c r="B18">
        <v>1</v>
      </c>
      <c r="C18" t="str">
        <f t="shared" si="0"/>
        <v>317352</v>
      </c>
      <c r="D18">
        <v>317352</v>
      </c>
      <c r="E18">
        <v>317352030</v>
      </c>
      <c r="F18" t="s">
        <v>703</v>
      </c>
      <c r="G18" t="s">
        <v>314</v>
      </c>
      <c r="H18" t="s">
        <v>315</v>
      </c>
      <c r="I18" t="s">
        <v>58</v>
      </c>
      <c r="J18" t="s">
        <v>316</v>
      </c>
      <c r="K18" s="15" t="str">
        <f>VLOOKUP(I18,[2]LOOKUP!$A:$D,4,FALSE)</f>
        <v>CM</v>
      </c>
    </row>
    <row r="19" spans="1:11">
      <c r="A19" t="s">
        <v>311</v>
      </c>
      <c r="B19">
        <v>1</v>
      </c>
      <c r="C19" t="str">
        <f t="shared" si="0"/>
        <v>317352</v>
      </c>
      <c r="D19">
        <v>317352</v>
      </c>
      <c r="E19">
        <v>317352031</v>
      </c>
      <c r="F19" t="s">
        <v>704</v>
      </c>
      <c r="G19" t="s">
        <v>314</v>
      </c>
      <c r="H19" t="s">
        <v>315</v>
      </c>
      <c r="I19" t="s">
        <v>55</v>
      </c>
      <c r="J19" t="s">
        <v>316</v>
      </c>
      <c r="K19" s="15" t="str">
        <f>VLOOKUP(I19,[2]LOOKUP!$A:$D,4,FALSE)</f>
        <v>RM</v>
      </c>
    </row>
    <row r="20" spans="1:11">
      <c r="A20" t="s">
        <v>311</v>
      </c>
      <c r="B20">
        <v>1</v>
      </c>
      <c r="C20" t="str">
        <f t="shared" si="0"/>
        <v>317352</v>
      </c>
      <c r="D20">
        <v>317352</v>
      </c>
      <c r="E20">
        <v>317352033</v>
      </c>
      <c r="F20" t="s">
        <v>705</v>
      </c>
      <c r="G20" t="s">
        <v>314</v>
      </c>
      <c r="H20" t="s">
        <v>315</v>
      </c>
      <c r="I20" t="s">
        <v>44</v>
      </c>
      <c r="J20" t="s">
        <v>316</v>
      </c>
      <c r="K20" s="15" t="str">
        <f>VLOOKUP(I20,[2]LOOKUP!$A:$D,4,FALSE)</f>
        <v>RM</v>
      </c>
    </row>
    <row r="21" spans="1:11">
      <c r="A21" t="s">
        <v>311</v>
      </c>
      <c r="B21">
        <v>1</v>
      </c>
      <c r="C21" t="str">
        <f t="shared" si="0"/>
        <v>317352</v>
      </c>
      <c r="D21">
        <v>317352</v>
      </c>
      <c r="E21">
        <v>317352034</v>
      </c>
      <c r="F21" t="s">
        <v>706</v>
      </c>
      <c r="G21" t="s">
        <v>314</v>
      </c>
      <c r="H21" t="s">
        <v>315</v>
      </c>
      <c r="I21" t="s">
        <v>58</v>
      </c>
      <c r="J21" t="s">
        <v>316</v>
      </c>
      <c r="K21" s="15" t="str">
        <f>VLOOKUP(I21,[2]LOOKUP!$A:$D,4,FALSE)</f>
        <v>CM</v>
      </c>
    </row>
    <row r="22" spans="1:11">
      <c r="A22" t="s">
        <v>311</v>
      </c>
      <c r="B22">
        <v>1</v>
      </c>
      <c r="C22" t="str">
        <f t="shared" si="0"/>
        <v>317352</v>
      </c>
      <c r="D22">
        <v>317352</v>
      </c>
      <c r="E22">
        <v>317352037</v>
      </c>
      <c r="F22" t="s">
        <v>707</v>
      </c>
      <c r="G22" t="s">
        <v>314</v>
      </c>
      <c r="H22" t="s">
        <v>315</v>
      </c>
      <c r="I22" t="s">
        <v>100</v>
      </c>
      <c r="J22" t="s">
        <v>316</v>
      </c>
      <c r="K22" s="15" t="str">
        <f>VLOOKUP(I22,[2]LOOKUP!$A:$D,4,FALSE)</f>
        <v>CM</v>
      </c>
    </row>
    <row r="23" spans="1:11">
      <c r="A23" t="s">
        <v>329</v>
      </c>
      <c r="B23">
        <v>1</v>
      </c>
      <c r="C23" t="str">
        <f t="shared" si="0"/>
        <v>317352</v>
      </c>
      <c r="D23">
        <v>317353</v>
      </c>
      <c r="E23">
        <v>317352038</v>
      </c>
      <c r="F23" t="s">
        <v>708</v>
      </c>
      <c r="G23" t="s">
        <v>314</v>
      </c>
      <c r="H23" t="s">
        <v>315</v>
      </c>
      <c r="I23" t="s">
        <v>19</v>
      </c>
      <c r="J23" t="s">
        <v>316</v>
      </c>
      <c r="K23" s="15" t="str">
        <f>VLOOKUP(I23,[2]LOOKUP!$A:$D,4,FALSE)</f>
        <v>RM</v>
      </c>
    </row>
    <row r="24" spans="1:11">
      <c r="A24" t="s">
        <v>311</v>
      </c>
      <c r="B24">
        <v>1</v>
      </c>
      <c r="C24" t="str">
        <f t="shared" si="0"/>
        <v>317352</v>
      </c>
      <c r="D24">
        <v>317352</v>
      </c>
      <c r="E24">
        <v>317352042</v>
      </c>
      <c r="F24" t="s">
        <v>709</v>
      </c>
      <c r="G24" t="s">
        <v>314</v>
      </c>
      <c r="H24" t="s">
        <v>315</v>
      </c>
      <c r="I24" t="s">
        <v>100</v>
      </c>
      <c r="J24" t="s">
        <v>316</v>
      </c>
      <c r="K24" s="15" t="str">
        <f>VLOOKUP(I24,[2]LOOKUP!$A:$D,4,FALSE)</f>
        <v>CM</v>
      </c>
    </row>
    <row r="25" spans="1:11">
      <c r="A25" t="s">
        <v>311</v>
      </c>
      <c r="B25">
        <v>1</v>
      </c>
      <c r="C25" t="str">
        <f t="shared" si="0"/>
        <v>317352</v>
      </c>
      <c r="D25">
        <v>317352</v>
      </c>
      <c r="E25">
        <v>317352044</v>
      </c>
      <c r="F25" t="s">
        <v>710</v>
      </c>
      <c r="G25" t="s">
        <v>314</v>
      </c>
      <c r="H25" t="s">
        <v>315</v>
      </c>
      <c r="I25" t="s">
        <v>44</v>
      </c>
      <c r="J25" t="s">
        <v>316</v>
      </c>
      <c r="K25" s="15" t="str">
        <f>VLOOKUP(I25,[2]LOOKUP!$A:$D,4,FALSE)</f>
        <v>RM</v>
      </c>
    </row>
    <row r="26" spans="1:11">
      <c r="A26" t="s">
        <v>311</v>
      </c>
      <c r="B26">
        <v>1</v>
      </c>
      <c r="C26" t="str">
        <f t="shared" si="0"/>
        <v>317352</v>
      </c>
      <c r="D26">
        <v>317352</v>
      </c>
      <c r="E26">
        <v>317352046</v>
      </c>
      <c r="F26" t="s">
        <v>711</v>
      </c>
      <c r="G26" t="s">
        <v>314</v>
      </c>
      <c r="H26" t="s">
        <v>315</v>
      </c>
      <c r="I26" t="s">
        <v>44</v>
      </c>
      <c r="J26" t="s">
        <v>316</v>
      </c>
      <c r="K26" s="15" t="str">
        <f>VLOOKUP(I26,[2]LOOKUP!$A:$D,4,FALSE)</f>
        <v>RM</v>
      </c>
    </row>
    <row r="27" spans="1:11">
      <c r="A27" t="s">
        <v>311</v>
      </c>
      <c r="B27">
        <v>1</v>
      </c>
      <c r="C27" t="str">
        <f t="shared" si="0"/>
        <v>317352</v>
      </c>
      <c r="D27">
        <v>317352</v>
      </c>
      <c r="E27">
        <v>317352048</v>
      </c>
      <c r="F27" t="s">
        <v>712</v>
      </c>
      <c r="G27" t="s">
        <v>314</v>
      </c>
      <c r="H27" t="s">
        <v>315</v>
      </c>
      <c r="I27" t="s">
        <v>100</v>
      </c>
      <c r="J27" t="s">
        <v>316</v>
      </c>
      <c r="K27" s="15" t="str">
        <f>VLOOKUP(I27,[2]LOOKUP!$A:$D,4,FALSE)</f>
        <v>CM</v>
      </c>
    </row>
    <row r="28" spans="1:11">
      <c r="A28" t="s">
        <v>311</v>
      </c>
      <c r="B28">
        <v>1</v>
      </c>
      <c r="C28" t="str">
        <f t="shared" si="0"/>
        <v>317352</v>
      </c>
      <c r="D28">
        <v>317352</v>
      </c>
      <c r="E28">
        <v>317352053</v>
      </c>
      <c r="F28" t="s">
        <v>713</v>
      </c>
      <c r="G28" t="s">
        <v>314</v>
      </c>
      <c r="H28" t="s">
        <v>315</v>
      </c>
      <c r="I28" t="s">
        <v>100</v>
      </c>
      <c r="J28" t="s">
        <v>316</v>
      </c>
      <c r="K28" s="15" t="str">
        <f>VLOOKUP(I28,[2]LOOKUP!$A:$D,4,FALSE)</f>
        <v>CM</v>
      </c>
    </row>
    <row r="29" spans="1:11">
      <c r="A29" t="s">
        <v>311</v>
      </c>
      <c r="B29">
        <v>1</v>
      </c>
      <c r="C29" t="str">
        <f t="shared" si="0"/>
        <v>317352</v>
      </c>
      <c r="D29">
        <v>317352</v>
      </c>
      <c r="E29">
        <v>317352054</v>
      </c>
      <c r="F29" t="s">
        <v>714</v>
      </c>
      <c r="G29" t="s">
        <v>314</v>
      </c>
      <c r="H29" t="s">
        <v>315</v>
      </c>
      <c r="I29" t="s">
        <v>100</v>
      </c>
      <c r="J29" t="s">
        <v>316</v>
      </c>
      <c r="K29" s="15" t="str">
        <f>VLOOKUP(I29,[2]LOOKUP!$A:$D,4,FALSE)</f>
        <v>CM</v>
      </c>
    </row>
    <row r="30" spans="1:11">
      <c r="A30" t="s">
        <v>311</v>
      </c>
      <c r="B30">
        <v>1</v>
      </c>
      <c r="C30" t="str">
        <f t="shared" si="0"/>
        <v>317352</v>
      </c>
      <c r="D30">
        <v>317352</v>
      </c>
      <c r="E30">
        <v>317352057</v>
      </c>
      <c r="F30" t="s">
        <v>715</v>
      </c>
      <c r="G30" t="s">
        <v>314</v>
      </c>
      <c r="H30" t="s">
        <v>315</v>
      </c>
      <c r="I30" t="s">
        <v>58</v>
      </c>
      <c r="J30" t="s">
        <v>316</v>
      </c>
      <c r="K30" s="15" t="str">
        <f>VLOOKUP(I30,[2]LOOKUP!$A:$D,4,FALSE)</f>
        <v>CM</v>
      </c>
    </row>
    <row r="31" spans="1:11">
      <c r="A31" t="s">
        <v>311</v>
      </c>
      <c r="B31">
        <v>1</v>
      </c>
      <c r="C31" t="str">
        <f t="shared" si="0"/>
        <v>317352</v>
      </c>
      <c r="D31">
        <v>317352</v>
      </c>
      <c r="E31">
        <v>317352058</v>
      </c>
      <c r="F31" t="s">
        <v>716</v>
      </c>
      <c r="G31" t="s">
        <v>314</v>
      </c>
      <c r="H31" t="s">
        <v>315</v>
      </c>
      <c r="I31" t="s">
        <v>58</v>
      </c>
      <c r="J31" t="s">
        <v>316</v>
      </c>
      <c r="K31" s="15" t="str">
        <f>VLOOKUP(I31,[2]LOOKUP!$A:$D,4,FALSE)</f>
        <v>CM</v>
      </c>
    </row>
    <row r="32" spans="1:11">
      <c r="A32" t="s">
        <v>311</v>
      </c>
      <c r="B32">
        <v>1</v>
      </c>
      <c r="C32" t="str">
        <f t="shared" si="0"/>
        <v>317352</v>
      </c>
      <c r="D32">
        <v>317352</v>
      </c>
      <c r="E32">
        <v>317352059</v>
      </c>
      <c r="F32" t="s">
        <v>717</v>
      </c>
      <c r="G32" t="s">
        <v>314</v>
      </c>
      <c r="H32" t="s">
        <v>315</v>
      </c>
      <c r="I32" t="s">
        <v>100</v>
      </c>
      <c r="J32" t="s">
        <v>316</v>
      </c>
      <c r="K32" s="15" t="str">
        <f>VLOOKUP(I32,[2]LOOKUP!$A:$D,4,FALSE)</f>
        <v>CM</v>
      </c>
    </row>
    <row r="33" spans="1:11">
      <c r="A33" t="s">
        <v>329</v>
      </c>
      <c r="B33">
        <v>1</v>
      </c>
      <c r="C33" t="str">
        <f t="shared" si="0"/>
        <v>317352</v>
      </c>
      <c r="D33">
        <v>317353</v>
      </c>
      <c r="E33">
        <v>317352062</v>
      </c>
      <c r="F33" t="s">
        <v>718</v>
      </c>
      <c r="G33" t="s">
        <v>314</v>
      </c>
      <c r="H33" t="s">
        <v>315</v>
      </c>
      <c r="I33" t="s">
        <v>19</v>
      </c>
      <c r="J33" t="s">
        <v>316</v>
      </c>
      <c r="K33" s="15" t="str">
        <f>VLOOKUP(I33,[2]LOOKUP!$A:$D,4,FALSE)</f>
        <v>RM</v>
      </c>
    </row>
    <row r="34" spans="1:11">
      <c r="A34" t="s">
        <v>311</v>
      </c>
      <c r="B34">
        <v>1</v>
      </c>
      <c r="C34" t="str">
        <f t="shared" si="0"/>
        <v>317352</v>
      </c>
      <c r="D34">
        <v>317352</v>
      </c>
      <c r="E34">
        <v>317352063</v>
      </c>
      <c r="F34" t="s">
        <v>719</v>
      </c>
      <c r="G34" t="s">
        <v>314</v>
      </c>
      <c r="H34" t="s">
        <v>315</v>
      </c>
      <c r="I34" t="s">
        <v>58</v>
      </c>
      <c r="J34" t="s">
        <v>316</v>
      </c>
      <c r="K34" s="15" t="str">
        <f>VLOOKUP(I34,[2]LOOKUP!$A:$D,4,FALSE)</f>
        <v>CM</v>
      </c>
    </row>
    <row r="35" spans="1:11">
      <c r="A35" t="s">
        <v>311</v>
      </c>
      <c r="B35">
        <v>1</v>
      </c>
      <c r="C35" t="str">
        <f t="shared" si="0"/>
        <v>317352</v>
      </c>
      <c r="D35">
        <v>317352</v>
      </c>
      <c r="E35">
        <v>317352064</v>
      </c>
      <c r="F35" t="s">
        <v>720</v>
      </c>
      <c r="G35" t="s">
        <v>314</v>
      </c>
      <c r="H35" t="s">
        <v>315</v>
      </c>
      <c r="I35" t="s">
        <v>100</v>
      </c>
      <c r="J35" t="s">
        <v>316</v>
      </c>
      <c r="K35" s="15" t="str">
        <f>VLOOKUP(I35,[2]LOOKUP!$A:$D,4,FALSE)</f>
        <v>CM</v>
      </c>
    </row>
    <row r="36" spans="1:11">
      <c r="A36" t="s">
        <v>311</v>
      </c>
      <c r="B36">
        <v>1</v>
      </c>
      <c r="C36" t="str">
        <f t="shared" si="0"/>
        <v>317352</v>
      </c>
      <c r="D36">
        <v>317352</v>
      </c>
      <c r="E36">
        <v>317352065</v>
      </c>
      <c r="F36" t="s">
        <v>721</v>
      </c>
      <c r="G36" t="s">
        <v>314</v>
      </c>
      <c r="H36" t="s">
        <v>315</v>
      </c>
      <c r="I36" t="s">
        <v>100</v>
      </c>
      <c r="J36" t="s">
        <v>316</v>
      </c>
      <c r="K36" s="15" t="str">
        <f>VLOOKUP(I36,[2]LOOKUP!$A:$D,4,FALSE)</f>
        <v>CM</v>
      </c>
    </row>
    <row r="37" spans="1:11">
      <c r="A37" t="s">
        <v>311</v>
      </c>
      <c r="B37">
        <v>1</v>
      </c>
      <c r="C37" t="str">
        <f t="shared" si="0"/>
        <v>317352</v>
      </c>
      <c r="D37">
        <v>317352</v>
      </c>
      <c r="E37">
        <v>317352066</v>
      </c>
      <c r="F37" t="s">
        <v>722</v>
      </c>
      <c r="G37" t="s">
        <v>314</v>
      </c>
      <c r="H37" t="s">
        <v>315</v>
      </c>
      <c r="I37" t="s">
        <v>100</v>
      </c>
      <c r="J37" t="s">
        <v>316</v>
      </c>
      <c r="K37" s="15" t="str">
        <f>VLOOKUP(I37,[2]LOOKUP!$A:$D,4,FALSE)</f>
        <v>CM</v>
      </c>
    </row>
    <row r="38" spans="1:11">
      <c r="A38" t="s">
        <v>311</v>
      </c>
      <c r="B38">
        <v>1</v>
      </c>
      <c r="C38" t="str">
        <f t="shared" si="0"/>
        <v>317352</v>
      </c>
      <c r="D38">
        <v>317352</v>
      </c>
      <c r="E38">
        <v>317352067</v>
      </c>
      <c r="F38" t="s">
        <v>723</v>
      </c>
      <c r="G38" t="s">
        <v>314</v>
      </c>
      <c r="H38" t="s">
        <v>315</v>
      </c>
      <c r="I38" t="s">
        <v>44</v>
      </c>
      <c r="J38" t="s">
        <v>316</v>
      </c>
      <c r="K38" s="15" t="str">
        <f>VLOOKUP(I38,[2]LOOKUP!$A:$D,4,FALSE)</f>
        <v>RM</v>
      </c>
    </row>
    <row r="39" spans="1:11">
      <c r="A39" t="s">
        <v>311</v>
      </c>
      <c r="B39">
        <v>1</v>
      </c>
      <c r="C39" t="str">
        <f t="shared" si="0"/>
        <v>317352</v>
      </c>
      <c r="D39">
        <v>317352</v>
      </c>
      <c r="E39">
        <v>317352068</v>
      </c>
      <c r="F39" t="s">
        <v>724</v>
      </c>
      <c r="G39" t="s">
        <v>314</v>
      </c>
      <c r="H39" t="s">
        <v>315</v>
      </c>
      <c r="I39" t="s">
        <v>100</v>
      </c>
      <c r="J39" t="s">
        <v>316</v>
      </c>
      <c r="K39" s="15" t="str">
        <f>VLOOKUP(I39,[2]LOOKUP!$A:$D,4,FALSE)</f>
        <v>CM</v>
      </c>
    </row>
    <row r="40" spans="1:11">
      <c r="A40" t="s">
        <v>311</v>
      </c>
      <c r="B40">
        <v>1</v>
      </c>
      <c r="C40" t="str">
        <f t="shared" si="0"/>
        <v>317352</v>
      </c>
      <c r="D40">
        <v>317352</v>
      </c>
      <c r="E40">
        <v>317352070</v>
      </c>
      <c r="F40" t="s">
        <v>725</v>
      </c>
      <c r="G40" t="s">
        <v>314</v>
      </c>
      <c r="H40" t="s">
        <v>315</v>
      </c>
      <c r="I40" t="s">
        <v>100</v>
      </c>
      <c r="J40" t="s">
        <v>316</v>
      </c>
      <c r="K40" s="15" t="str">
        <f>VLOOKUP(I40,[2]LOOKUP!$A:$D,4,FALSE)</f>
        <v>CM</v>
      </c>
    </row>
    <row r="41" spans="1:11">
      <c r="A41" t="s">
        <v>311</v>
      </c>
      <c r="B41">
        <v>1</v>
      </c>
      <c r="C41" t="str">
        <f t="shared" si="0"/>
        <v>317352</v>
      </c>
      <c r="D41">
        <v>317352</v>
      </c>
      <c r="E41">
        <v>317352072</v>
      </c>
      <c r="F41" t="s">
        <v>726</v>
      </c>
      <c r="G41" t="s">
        <v>314</v>
      </c>
      <c r="H41" t="s">
        <v>315</v>
      </c>
      <c r="I41" t="s">
        <v>58</v>
      </c>
      <c r="J41" t="s">
        <v>316</v>
      </c>
      <c r="K41" s="15" t="str">
        <f>VLOOKUP(I41,[2]LOOKUP!$A:$D,4,FALSE)</f>
        <v>CM</v>
      </c>
    </row>
    <row r="42" spans="1:11">
      <c r="A42" t="s">
        <v>311</v>
      </c>
      <c r="B42">
        <v>1</v>
      </c>
      <c r="C42" t="str">
        <f t="shared" si="0"/>
        <v>317352</v>
      </c>
      <c r="D42">
        <v>317352</v>
      </c>
      <c r="E42">
        <v>317352073</v>
      </c>
      <c r="F42" t="s">
        <v>727</v>
      </c>
      <c r="G42" t="s">
        <v>314</v>
      </c>
      <c r="H42" t="s">
        <v>315</v>
      </c>
      <c r="I42" t="s">
        <v>100</v>
      </c>
      <c r="J42" t="s">
        <v>316</v>
      </c>
      <c r="K42" s="15" t="str">
        <f>VLOOKUP(I42,[2]LOOKUP!$A:$D,4,FALSE)</f>
        <v>CM</v>
      </c>
    </row>
    <row r="43" spans="1:11">
      <c r="A43" t="s">
        <v>311</v>
      </c>
      <c r="B43">
        <v>1</v>
      </c>
      <c r="C43" t="str">
        <f t="shared" si="0"/>
        <v>317352</v>
      </c>
      <c r="D43">
        <v>317352</v>
      </c>
      <c r="E43">
        <v>317352074</v>
      </c>
      <c r="F43" t="s">
        <v>728</v>
      </c>
      <c r="G43" t="s">
        <v>314</v>
      </c>
      <c r="H43" t="s">
        <v>315</v>
      </c>
      <c r="I43" t="s">
        <v>44</v>
      </c>
      <c r="J43" t="s">
        <v>316</v>
      </c>
      <c r="K43" s="15" t="str">
        <f>VLOOKUP(I43,[2]LOOKUP!$A:$D,4,FALSE)</f>
        <v>RM</v>
      </c>
    </row>
    <row r="44" spans="1:11">
      <c r="A44" t="s">
        <v>311</v>
      </c>
      <c r="B44">
        <v>1</v>
      </c>
      <c r="C44" t="str">
        <f t="shared" si="0"/>
        <v>317352</v>
      </c>
      <c r="D44">
        <v>317352</v>
      </c>
      <c r="E44">
        <v>317352075</v>
      </c>
      <c r="F44" t="s">
        <v>729</v>
      </c>
      <c r="G44" t="s">
        <v>314</v>
      </c>
      <c r="H44" t="s">
        <v>315</v>
      </c>
      <c r="I44" t="s">
        <v>100</v>
      </c>
      <c r="J44" t="s">
        <v>316</v>
      </c>
      <c r="K44" s="15" t="str">
        <f>VLOOKUP(I44,[2]LOOKUP!$A:$D,4,FALSE)</f>
        <v>CM</v>
      </c>
    </row>
    <row r="45" spans="1:11">
      <c r="A45" t="s">
        <v>329</v>
      </c>
      <c r="B45">
        <v>1</v>
      </c>
      <c r="C45" t="str">
        <f t="shared" si="0"/>
        <v>317352</v>
      </c>
      <c r="D45">
        <v>317353</v>
      </c>
      <c r="E45">
        <v>317352076</v>
      </c>
      <c r="F45" t="s">
        <v>730</v>
      </c>
      <c r="G45" t="s">
        <v>314</v>
      </c>
      <c r="H45" t="s">
        <v>315</v>
      </c>
      <c r="I45" t="s">
        <v>19</v>
      </c>
      <c r="J45" t="s">
        <v>316</v>
      </c>
      <c r="K45" s="15" t="str">
        <f>VLOOKUP(I45,[2]LOOKUP!$A:$D,4,FALSE)</f>
        <v>RM</v>
      </c>
    </row>
    <row r="46" spans="1:11">
      <c r="A46" t="s">
        <v>311</v>
      </c>
      <c r="B46">
        <v>1</v>
      </c>
      <c r="C46" t="str">
        <f t="shared" si="0"/>
        <v>317352</v>
      </c>
      <c r="D46">
        <v>317352</v>
      </c>
      <c r="E46">
        <v>317352078</v>
      </c>
      <c r="F46" t="s">
        <v>731</v>
      </c>
      <c r="G46" t="s">
        <v>314</v>
      </c>
      <c r="H46" t="s">
        <v>315</v>
      </c>
      <c r="I46" t="s">
        <v>100</v>
      </c>
      <c r="J46" t="s">
        <v>316</v>
      </c>
      <c r="K46" s="15" t="str">
        <f>VLOOKUP(I46,[2]LOOKUP!$A:$D,4,FALSE)</f>
        <v>CM</v>
      </c>
    </row>
    <row r="47" spans="1:11">
      <c r="A47" t="s">
        <v>311</v>
      </c>
      <c r="B47">
        <v>1</v>
      </c>
      <c r="C47" t="str">
        <f t="shared" si="0"/>
        <v>317352</v>
      </c>
      <c r="D47">
        <v>317352</v>
      </c>
      <c r="E47">
        <v>317352079</v>
      </c>
      <c r="F47" t="s">
        <v>732</v>
      </c>
      <c r="G47" t="s">
        <v>314</v>
      </c>
      <c r="H47" t="s">
        <v>315</v>
      </c>
      <c r="I47" t="s">
        <v>100</v>
      </c>
      <c r="J47" t="s">
        <v>316</v>
      </c>
      <c r="K47" s="15" t="str">
        <f>VLOOKUP(I47,[2]LOOKUP!$A:$D,4,FALSE)</f>
        <v>CM</v>
      </c>
    </row>
    <row r="48" spans="1:11">
      <c r="A48" t="s">
        <v>311</v>
      </c>
      <c r="B48">
        <v>1</v>
      </c>
      <c r="C48" t="str">
        <f t="shared" si="0"/>
        <v>317352</v>
      </c>
      <c r="D48">
        <v>317352</v>
      </c>
      <c r="E48">
        <v>317352080</v>
      </c>
      <c r="F48" t="s">
        <v>733</v>
      </c>
      <c r="G48" t="s">
        <v>314</v>
      </c>
      <c r="H48" t="s">
        <v>315</v>
      </c>
      <c r="I48" t="s">
        <v>100</v>
      </c>
      <c r="J48" t="s">
        <v>316</v>
      </c>
      <c r="K48" s="15" t="str">
        <f>VLOOKUP(I48,[2]LOOKUP!$A:$D,4,FALSE)</f>
        <v>CM</v>
      </c>
    </row>
    <row r="49" spans="1:11">
      <c r="A49" t="s">
        <v>311</v>
      </c>
      <c r="B49">
        <v>1</v>
      </c>
      <c r="C49" t="str">
        <f t="shared" si="0"/>
        <v>317352</v>
      </c>
      <c r="D49">
        <v>317352</v>
      </c>
      <c r="E49">
        <v>317352081</v>
      </c>
      <c r="F49" t="s">
        <v>734</v>
      </c>
      <c r="G49" t="s">
        <v>314</v>
      </c>
      <c r="H49" t="s">
        <v>315</v>
      </c>
      <c r="I49" t="s">
        <v>100</v>
      </c>
      <c r="J49" t="s">
        <v>316</v>
      </c>
      <c r="K49" s="15" t="str">
        <f>VLOOKUP(I49,[2]LOOKUP!$A:$D,4,FALSE)</f>
        <v>CM</v>
      </c>
    </row>
    <row r="50" spans="1:11">
      <c r="A50" t="s">
        <v>311</v>
      </c>
      <c r="B50">
        <v>1</v>
      </c>
      <c r="C50" t="str">
        <f t="shared" si="0"/>
        <v>317352</v>
      </c>
      <c r="D50">
        <v>317352</v>
      </c>
      <c r="E50">
        <v>317352085</v>
      </c>
      <c r="F50" t="s">
        <v>735</v>
      </c>
      <c r="G50" t="s">
        <v>314</v>
      </c>
      <c r="H50" t="s">
        <v>315</v>
      </c>
      <c r="I50" t="s">
        <v>100</v>
      </c>
      <c r="J50" t="s">
        <v>316</v>
      </c>
      <c r="K50" s="15" t="str">
        <f>VLOOKUP(I50,[2]LOOKUP!$A:$D,4,FALSE)</f>
        <v>CM</v>
      </c>
    </row>
    <row r="51" spans="1:11">
      <c r="A51" t="s">
        <v>311</v>
      </c>
      <c r="B51">
        <v>1</v>
      </c>
      <c r="C51" t="str">
        <f t="shared" si="0"/>
        <v>317352</v>
      </c>
      <c r="D51">
        <v>317352</v>
      </c>
      <c r="E51">
        <v>317352086</v>
      </c>
      <c r="F51" t="s">
        <v>736</v>
      </c>
      <c r="G51" t="s">
        <v>314</v>
      </c>
      <c r="H51" t="s">
        <v>315</v>
      </c>
      <c r="I51" t="s">
        <v>58</v>
      </c>
      <c r="J51" t="s">
        <v>316</v>
      </c>
      <c r="K51" s="15" t="str">
        <f>VLOOKUP(I51,[2]LOOKUP!$A:$D,4,FALSE)</f>
        <v>CM</v>
      </c>
    </row>
    <row r="52" spans="1:11">
      <c r="A52" t="s">
        <v>311</v>
      </c>
      <c r="B52">
        <v>1</v>
      </c>
      <c r="C52" t="str">
        <f t="shared" si="0"/>
        <v>317352</v>
      </c>
      <c r="D52">
        <v>317352</v>
      </c>
      <c r="E52">
        <v>317352090</v>
      </c>
      <c r="F52" t="s">
        <v>737</v>
      </c>
      <c r="G52" t="s">
        <v>314</v>
      </c>
      <c r="H52" t="s">
        <v>315</v>
      </c>
      <c r="I52" t="s">
        <v>100</v>
      </c>
      <c r="J52" t="s">
        <v>316</v>
      </c>
      <c r="K52" s="15" t="str">
        <f>VLOOKUP(I52,[2]LOOKUP!$A:$D,4,FALSE)</f>
        <v>CM</v>
      </c>
    </row>
    <row r="53" spans="1:11">
      <c r="A53" t="s">
        <v>311</v>
      </c>
      <c r="B53">
        <v>1</v>
      </c>
      <c r="C53" t="str">
        <f t="shared" si="0"/>
        <v>317352</v>
      </c>
      <c r="D53">
        <v>317352</v>
      </c>
      <c r="E53">
        <v>317352091</v>
      </c>
      <c r="F53" t="s">
        <v>738</v>
      </c>
      <c r="G53" t="s">
        <v>314</v>
      </c>
      <c r="H53" t="s">
        <v>315</v>
      </c>
      <c r="I53" t="s">
        <v>100</v>
      </c>
      <c r="J53" t="s">
        <v>316</v>
      </c>
      <c r="K53" s="15" t="str">
        <f>VLOOKUP(I53,[2]LOOKUP!$A:$D,4,FALSE)</f>
        <v>CM</v>
      </c>
    </row>
    <row r="54" spans="1:11">
      <c r="A54" t="s">
        <v>311</v>
      </c>
      <c r="B54">
        <v>1</v>
      </c>
      <c r="C54" t="str">
        <f t="shared" si="0"/>
        <v>317352</v>
      </c>
      <c r="D54">
        <v>317352</v>
      </c>
      <c r="E54">
        <v>317352092</v>
      </c>
      <c r="F54" t="s">
        <v>739</v>
      </c>
      <c r="G54" t="s">
        <v>314</v>
      </c>
      <c r="H54" t="s">
        <v>315</v>
      </c>
      <c r="I54" t="s">
        <v>58</v>
      </c>
      <c r="J54" t="s">
        <v>316</v>
      </c>
      <c r="K54" s="15" t="str">
        <f>VLOOKUP(I54,[2]LOOKUP!$A:$D,4,FALSE)</f>
        <v>CM</v>
      </c>
    </row>
    <row r="55" spans="1:11">
      <c r="A55" t="s">
        <v>311</v>
      </c>
      <c r="B55">
        <v>1</v>
      </c>
      <c r="C55" t="str">
        <f t="shared" si="0"/>
        <v>317352</v>
      </c>
      <c r="D55">
        <v>317352</v>
      </c>
      <c r="E55">
        <v>317352094</v>
      </c>
      <c r="F55" t="s">
        <v>740</v>
      </c>
      <c r="G55" t="s">
        <v>314</v>
      </c>
      <c r="H55" t="s">
        <v>315</v>
      </c>
      <c r="I55" t="s">
        <v>58</v>
      </c>
      <c r="J55" t="s">
        <v>316</v>
      </c>
      <c r="K55" s="15" t="str">
        <f>VLOOKUP(I55,[2]LOOKUP!$A:$D,4,FALSE)</f>
        <v>CM</v>
      </c>
    </row>
    <row r="56" spans="1:11">
      <c r="A56" t="s">
        <v>311</v>
      </c>
      <c r="B56">
        <v>1</v>
      </c>
      <c r="C56" t="str">
        <f t="shared" si="0"/>
        <v>317352</v>
      </c>
      <c r="D56">
        <v>317352</v>
      </c>
      <c r="E56">
        <v>317352096</v>
      </c>
      <c r="F56" t="s">
        <v>741</v>
      </c>
      <c r="G56" t="s">
        <v>314</v>
      </c>
      <c r="H56" t="s">
        <v>315</v>
      </c>
      <c r="I56" t="s">
        <v>44</v>
      </c>
      <c r="J56" t="s">
        <v>316</v>
      </c>
      <c r="K56" s="15" t="str">
        <f>VLOOKUP(I56,[2]LOOKUP!$A:$D,4,FALSE)</f>
        <v>RM</v>
      </c>
    </row>
    <row r="57" spans="1:11">
      <c r="A57" t="s">
        <v>311</v>
      </c>
      <c r="B57">
        <v>1</v>
      </c>
      <c r="C57" t="str">
        <f t="shared" si="0"/>
        <v>317352</v>
      </c>
      <c r="D57">
        <v>317352</v>
      </c>
      <c r="E57">
        <v>317352097</v>
      </c>
      <c r="F57" t="s">
        <v>742</v>
      </c>
      <c r="G57" t="s">
        <v>314</v>
      </c>
      <c r="H57" t="s">
        <v>315</v>
      </c>
      <c r="I57" t="s">
        <v>44</v>
      </c>
      <c r="J57" t="s">
        <v>316</v>
      </c>
      <c r="K57" s="15" t="str">
        <f>VLOOKUP(I57,[2]LOOKUP!$A:$D,4,FALSE)</f>
        <v>RM</v>
      </c>
    </row>
    <row r="58" spans="1:11">
      <c r="A58" t="s">
        <v>311</v>
      </c>
      <c r="B58">
        <v>1</v>
      </c>
      <c r="C58" t="str">
        <f t="shared" si="0"/>
        <v>317352</v>
      </c>
      <c r="D58">
        <v>317352</v>
      </c>
      <c r="E58">
        <v>317352098</v>
      </c>
      <c r="F58" t="s">
        <v>743</v>
      </c>
      <c r="G58" t="s">
        <v>314</v>
      </c>
      <c r="H58" t="s">
        <v>315</v>
      </c>
      <c r="I58" t="s">
        <v>58</v>
      </c>
      <c r="J58" t="s">
        <v>316</v>
      </c>
      <c r="K58" s="15" t="str">
        <f>VLOOKUP(I58,[2]LOOKUP!$A:$D,4,FALSE)</f>
        <v>CM</v>
      </c>
    </row>
    <row r="59" spans="1:11">
      <c r="A59" t="s">
        <v>311</v>
      </c>
      <c r="B59">
        <v>1</v>
      </c>
      <c r="C59" t="str">
        <f t="shared" si="0"/>
        <v>317352</v>
      </c>
      <c r="D59">
        <v>317352</v>
      </c>
      <c r="E59">
        <v>317352099</v>
      </c>
      <c r="F59" t="s">
        <v>744</v>
      </c>
      <c r="G59" t="s">
        <v>314</v>
      </c>
      <c r="H59" t="s">
        <v>315</v>
      </c>
      <c r="I59" t="s">
        <v>44</v>
      </c>
      <c r="J59" t="s">
        <v>316</v>
      </c>
      <c r="K59" s="15" t="str">
        <f>VLOOKUP(I59,[2]LOOKUP!$A:$D,4,FALSE)</f>
        <v>RM</v>
      </c>
    </row>
    <row r="60" spans="1:11">
      <c r="A60" t="s">
        <v>311</v>
      </c>
      <c r="B60">
        <v>1</v>
      </c>
      <c r="C60" t="str">
        <f t="shared" si="0"/>
        <v>317352</v>
      </c>
      <c r="D60">
        <v>317352</v>
      </c>
      <c r="E60">
        <v>317352101</v>
      </c>
      <c r="F60" t="s">
        <v>745</v>
      </c>
      <c r="G60" t="s">
        <v>314</v>
      </c>
      <c r="H60" t="s">
        <v>315</v>
      </c>
      <c r="I60" t="s">
        <v>55</v>
      </c>
      <c r="J60" t="s">
        <v>316</v>
      </c>
      <c r="K60" s="15" t="str">
        <f>VLOOKUP(I60,[2]LOOKUP!$A:$D,4,FALSE)</f>
        <v>RM</v>
      </c>
    </row>
    <row r="61" spans="1:11">
      <c r="A61" t="s">
        <v>311</v>
      </c>
      <c r="B61">
        <v>1</v>
      </c>
      <c r="C61" t="str">
        <f t="shared" si="0"/>
        <v>317352</v>
      </c>
      <c r="D61">
        <v>317352</v>
      </c>
      <c r="E61">
        <v>317352104</v>
      </c>
      <c r="F61" t="s">
        <v>746</v>
      </c>
      <c r="G61" t="s">
        <v>314</v>
      </c>
      <c r="H61" t="s">
        <v>315</v>
      </c>
      <c r="I61" t="s">
        <v>100</v>
      </c>
      <c r="J61" t="s">
        <v>316</v>
      </c>
      <c r="K61" s="15" t="str">
        <f>VLOOKUP(I61,[2]LOOKUP!$A:$D,4,FALSE)</f>
        <v>CM</v>
      </c>
    </row>
    <row r="62" spans="1:11">
      <c r="A62" t="s">
        <v>311</v>
      </c>
      <c r="B62">
        <v>1</v>
      </c>
      <c r="C62" t="str">
        <f t="shared" si="0"/>
        <v>317352</v>
      </c>
      <c r="D62">
        <v>317352</v>
      </c>
      <c r="E62">
        <v>317352105</v>
      </c>
      <c r="F62" t="s">
        <v>747</v>
      </c>
      <c r="G62" t="s">
        <v>314</v>
      </c>
      <c r="H62" t="s">
        <v>315</v>
      </c>
      <c r="I62" t="s">
        <v>44</v>
      </c>
      <c r="J62" t="s">
        <v>316</v>
      </c>
      <c r="K62" s="15" t="str">
        <f>VLOOKUP(I62,[2]LOOKUP!$A:$D,4,FALSE)</f>
        <v>RM</v>
      </c>
    </row>
    <row r="63" spans="1:11">
      <c r="A63" t="s">
        <v>311</v>
      </c>
      <c r="B63">
        <v>1</v>
      </c>
      <c r="C63" t="str">
        <f t="shared" si="0"/>
        <v>317352</v>
      </c>
      <c r="D63">
        <v>317352</v>
      </c>
      <c r="E63">
        <v>317352106</v>
      </c>
      <c r="F63" t="s">
        <v>748</v>
      </c>
      <c r="G63" t="s">
        <v>314</v>
      </c>
      <c r="H63" t="s">
        <v>315</v>
      </c>
      <c r="I63" t="s">
        <v>58</v>
      </c>
      <c r="J63" t="s">
        <v>316</v>
      </c>
      <c r="K63" s="15" t="str">
        <f>VLOOKUP(I63,[2]LOOKUP!$A:$D,4,FALSE)</f>
        <v>CM</v>
      </c>
    </row>
    <row r="64" spans="1:11">
      <c r="A64" t="s">
        <v>311</v>
      </c>
      <c r="B64">
        <v>1</v>
      </c>
      <c r="C64" t="str">
        <f t="shared" si="0"/>
        <v>317352</v>
      </c>
      <c r="D64">
        <v>317352</v>
      </c>
      <c r="E64">
        <v>317352107</v>
      </c>
      <c r="F64" t="s">
        <v>749</v>
      </c>
      <c r="G64" t="s">
        <v>314</v>
      </c>
      <c r="H64" t="s">
        <v>315</v>
      </c>
      <c r="I64" t="s">
        <v>100</v>
      </c>
      <c r="J64" t="s">
        <v>316</v>
      </c>
      <c r="K64" s="15" t="str">
        <f>VLOOKUP(I64,[2]LOOKUP!$A:$D,4,FALSE)</f>
        <v>CM</v>
      </c>
    </row>
    <row r="65" spans="1:11">
      <c r="A65" t="s">
        <v>311</v>
      </c>
      <c r="B65">
        <v>1</v>
      </c>
      <c r="C65" t="str">
        <f t="shared" si="0"/>
        <v>317352</v>
      </c>
      <c r="D65">
        <v>317352</v>
      </c>
      <c r="E65">
        <v>317352108</v>
      </c>
      <c r="F65" t="s">
        <v>750</v>
      </c>
      <c r="G65" t="s">
        <v>314</v>
      </c>
      <c r="H65" t="s">
        <v>315</v>
      </c>
      <c r="I65" t="s">
        <v>100</v>
      </c>
      <c r="J65" t="s">
        <v>316</v>
      </c>
      <c r="K65" s="15" t="str">
        <f>VLOOKUP(I65,[2]LOOKUP!$A:$D,4,FALSE)</f>
        <v>CM</v>
      </c>
    </row>
    <row r="66" spans="1:11">
      <c r="A66" t="s">
        <v>311</v>
      </c>
      <c r="B66">
        <v>1</v>
      </c>
      <c r="C66" t="str">
        <f t="shared" si="0"/>
        <v>317352</v>
      </c>
      <c r="D66">
        <v>317352</v>
      </c>
      <c r="E66">
        <v>317352110</v>
      </c>
      <c r="F66" t="s">
        <v>751</v>
      </c>
      <c r="G66" t="s">
        <v>314</v>
      </c>
      <c r="H66" t="s">
        <v>315</v>
      </c>
      <c r="I66" t="s">
        <v>44</v>
      </c>
      <c r="J66" t="s">
        <v>316</v>
      </c>
      <c r="K66" s="15" t="str">
        <f>VLOOKUP(I66,[2]LOOKUP!$A:$D,4,FALSE)</f>
        <v>RM</v>
      </c>
    </row>
    <row r="67" spans="1:11">
      <c r="A67" t="s">
        <v>311</v>
      </c>
      <c r="B67">
        <v>1</v>
      </c>
      <c r="C67" t="str">
        <f t="shared" ref="C67:C130" si="1">LEFT(E67,6)</f>
        <v>317352</v>
      </c>
      <c r="D67">
        <v>317352</v>
      </c>
      <c r="E67">
        <v>317352112</v>
      </c>
      <c r="F67" t="s">
        <v>752</v>
      </c>
      <c r="G67" t="s">
        <v>314</v>
      </c>
      <c r="H67" t="s">
        <v>315</v>
      </c>
      <c r="I67" t="s">
        <v>100</v>
      </c>
      <c r="J67" t="s">
        <v>316</v>
      </c>
      <c r="K67" s="15" t="str">
        <f>VLOOKUP(I67,[2]LOOKUP!$A:$D,4,FALSE)</f>
        <v>CM</v>
      </c>
    </row>
    <row r="68" spans="1:11">
      <c r="A68" t="s">
        <v>311</v>
      </c>
      <c r="B68">
        <v>1</v>
      </c>
      <c r="C68" t="str">
        <f t="shared" si="1"/>
        <v>317352</v>
      </c>
      <c r="D68">
        <v>317352</v>
      </c>
      <c r="E68">
        <v>317352113</v>
      </c>
      <c r="F68" t="s">
        <v>753</v>
      </c>
      <c r="G68" t="s">
        <v>314</v>
      </c>
      <c r="H68" t="s">
        <v>315</v>
      </c>
      <c r="I68" t="s">
        <v>129</v>
      </c>
      <c r="J68" t="s">
        <v>583</v>
      </c>
      <c r="K68" s="15" t="str">
        <f>VLOOKUP(I68,[2]LOOKUP!$A:$D,4,FALSE)</f>
        <v>RM</v>
      </c>
    </row>
    <row r="69" spans="1:11">
      <c r="A69" t="s">
        <v>311</v>
      </c>
      <c r="B69">
        <v>1</v>
      </c>
      <c r="C69" t="str">
        <f t="shared" si="1"/>
        <v>317352</v>
      </c>
      <c r="D69">
        <v>317352</v>
      </c>
      <c r="E69">
        <v>317352114</v>
      </c>
      <c r="F69" t="s">
        <v>754</v>
      </c>
      <c r="G69" t="s">
        <v>314</v>
      </c>
      <c r="H69" t="s">
        <v>315</v>
      </c>
      <c r="I69" t="s">
        <v>58</v>
      </c>
      <c r="J69" t="s">
        <v>316</v>
      </c>
      <c r="K69" s="15" t="str">
        <f>VLOOKUP(I69,[2]LOOKUP!$A:$D,4,FALSE)</f>
        <v>CM</v>
      </c>
    </row>
    <row r="70" spans="1:11">
      <c r="A70" t="s">
        <v>311</v>
      </c>
      <c r="B70">
        <v>1</v>
      </c>
      <c r="C70" t="str">
        <f t="shared" si="1"/>
        <v>317352</v>
      </c>
      <c r="D70">
        <v>317352</v>
      </c>
      <c r="E70">
        <v>317352115</v>
      </c>
      <c r="F70" t="s">
        <v>755</v>
      </c>
      <c r="G70" t="s">
        <v>314</v>
      </c>
      <c r="H70" t="s">
        <v>315</v>
      </c>
      <c r="I70" t="s">
        <v>100</v>
      </c>
      <c r="J70" t="s">
        <v>316</v>
      </c>
      <c r="K70" s="15" t="str">
        <f>VLOOKUP(I70,[2]LOOKUP!$A:$D,4,FALSE)</f>
        <v>CM</v>
      </c>
    </row>
    <row r="71" spans="1:11">
      <c r="A71" t="s">
        <v>311</v>
      </c>
      <c r="B71">
        <v>1</v>
      </c>
      <c r="C71" t="str">
        <f t="shared" si="1"/>
        <v>317352</v>
      </c>
      <c r="D71">
        <v>317352</v>
      </c>
      <c r="E71">
        <v>317352116</v>
      </c>
      <c r="F71" t="s">
        <v>756</v>
      </c>
      <c r="G71" t="s">
        <v>314</v>
      </c>
      <c r="H71" t="s">
        <v>315</v>
      </c>
      <c r="I71" t="s">
        <v>129</v>
      </c>
      <c r="J71" t="s">
        <v>757</v>
      </c>
      <c r="K71" s="15" t="str">
        <f>VLOOKUP(I71,[2]LOOKUP!$A:$D,4,FALSE)</f>
        <v>RM</v>
      </c>
    </row>
    <row r="72" spans="1:11">
      <c r="A72" t="s">
        <v>311</v>
      </c>
      <c r="B72">
        <v>1</v>
      </c>
      <c r="C72" t="str">
        <f t="shared" si="1"/>
        <v>317352</v>
      </c>
      <c r="D72">
        <v>317352</v>
      </c>
      <c r="E72">
        <v>317352118</v>
      </c>
      <c r="F72" t="s">
        <v>758</v>
      </c>
      <c r="G72" t="s">
        <v>314</v>
      </c>
      <c r="H72" t="s">
        <v>315</v>
      </c>
      <c r="I72" t="s">
        <v>100</v>
      </c>
      <c r="J72" t="s">
        <v>316</v>
      </c>
      <c r="K72" s="15" t="str">
        <f>VLOOKUP(I72,[2]LOOKUP!$A:$D,4,FALSE)</f>
        <v>CM</v>
      </c>
    </row>
    <row r="73" spans="1:11">
      <c r="A73" t="s">
        <v>311</v>
      </c>
      <c r="B73">
        <v>1</v>
      </c>
      <c r="C73" t="str">
        <f t="shared" si="1"/>
        <v>317352</v>
      </c>
      <c r="D73">
        <v>317352</v>
      </c>
      <c r="E73">
        <v>317352119</v>
      </c>
      <c r="F73" t="s">
        <v>759</v>
      </c>
      <c r="G73" t="s">
        <v>314</v>
      </c>
      <c r="H73" t="s">
        <v>315</v>
      </c>
      <c r="I73" t="s">
        <v>100</v>
      </c>
      <c r="J73" t="s">
        <v>316</v>
      </c>
      <c r="K73" s="15" t="str">
        <f>VLOOKUP(I73,[2]LOOKUP!$A:$D,4,FALSE)</f>
        <v>CM</v>
      </c>
    </row>
    <row r="74" spans="1:11">
      <c r="A74" t="s">
        <v>311</v>
      </c>
      <c r="B74">
        <v>1</v>
      </c>
      <c r="C74" t="str">
        <f t="shared" si="1"/>
        <v>317352</v>
      </c>
      <c r="D74">
        <v>317352</v>
      </c>
      <c r="E74">
        <v>317352120</v>
      </c>
      <c r="F74" t="s">
        <v>760</v>
      </c>
      <c r="G74" t="s">
        <v>314</v>
      </c>
      <c r="H74" t="s">
        <v>315</v>
      </c>
      <c r="I74" t="s">
        <v>100</v>
      </c>
      <c r="J74" t="s">
        <v>316</v>
      </c>
      <c r="K74" s="15" t="str">
        <f>VLOOKUP(I74,[2]LOOKUP!$A:$D,4,FALSE)</f>
        <v>CM</v>
      </c>
    </row>
    <row r="75" spans="1:11">
      <c r="A75" t="s">
        <v>311</v>
      </c>
      <c r="B75">
        <v>1</v>
      </c>
      <c r="C75" t="str">
        <f t="shared" si="1"/>
        <v>317352</v>
      </c>
      <c r="D75">
        <v>317352</v>
      </c>
      <c r="E75">
        <v>317352121</v>
      </c>
      <c r="F75" t="s">
        <v>761</v>
      </c>
      <c r="G75" t="s">
        <v>314</v>
      </c>
      <c r="H75" t="s">
        <v>315</v>
      </c>
      <c r="I75" t="s">
        <v>100</v>
      </c>
      <c r="J75" t="s">
        <v>316</v>
      </c>
      <c r="K75" s="15" t="str">
        <f>VLOOKUP(I75,[2]LOOKUP!$A:$D,4,FALSE)</f>
        <v>CM</v>
      </c>
    </row>
    <row r="76" spans="1:11">
      <c r="A76" t="s">
        <v>311</v>
      </c>
      <c r="B76">
        <v>1</v>
      </c>
      <c r="C76" t="str">
        <f t="shared" si="1"/>
        <v>317352</v>
      </c>
      <c r="D76">
        <v>317352</v>
      </c>
      <c r="E76">
        <v>317352122</v>
      </c>
      <c r="F76" t="s">
        <v>762</v>
      </c>
      <c r="G76" t="s">
        <v>314</v>
      </c>
      <c r="H76" t="s">
        <v>315</v>
      </c>
      <c r="I76" t="s">
        <v>58</v>
      </c>
      <c r="J76" t="s">
        <v>316</v>
      </c>
      <c r="K76" s="15" t="str">
        <f>VLOOKUP(I76,[2]LOOKUP!$A:$D,4,FALSE)</f>
        <v>CM</v>
      </c>
    </row>
    <row r="77" spans="1:11">
      <c r="A77" t="s">
        <v>311</v>
      </c>
      <c r="B77">
        <v>1</v>
      </c>
      <c r="C77" t="str">
        <f t="shared" si="1"/>
        <v>317352</v>
      </c>
      <c r="D77">
        <v>317352</v>
      </c>
      <c r="E77">
        <v>317352127</v>
      </c>
      <c r="F77" t="s">
        <v>763</v>
      </c>
      <c r="G77" t="s">
        <v>314</v>
      </c>
      <c r="H77" t="s">
        <v>315</v>
      </c>
      <c r="I77" t="s">
        <v>100</v>
      </c>
      <c r="J77" t="s">
        <v>316</v>
      </c>
      <c r="K77" s="15" t="str">
        <f>VLOOKUP(I77,[2]LOOKUP!$A:$D,4,FALSE)</f>
        <v>CM</v>
      </c>
    </row>
    <row r="78" spans="1:11">
      <c r="A78" t="s">
        <v>329</v>
      </c>
      <c r="B78">
        <v>1</v>
      </c>
      <c r="C78" t="str">
        <f t="shared" si="1"/>
        <v>317352</v>
      </c>
      <c r="D78">
        <v>317353</v>
      </c>
      <c r="E78">
        <v>317352129</v>
      </c>
      <c r="F78" t="s">
        <v>764</v>
      </c>
      <c r="G78" t="s">
        <v>314</v>
      </c>
      <c r="H78" t="s">
        <v>315</v>
      </c>
      <c r="I78" t="s">
        <v>19</v>
      </c>
      <c r="J78" t="s">
        <v>316</v>
      </c>
      <c r="K78" s="15" t="str">
        <f>VLOOKUP(I78,[2]LOOKUP!$A:$D,4,FALSE)</f>
        <v>RM</v>
      </c>
    </row>
    <row r="79" spans="1:11">
      <c r="A79" t="s">
        <v>311</v>
      </c>
      <c r="B79">
        <v>1</v>
      </c>
      <c r="C79" t="str">
        <f t="shared" si="1"/>
        <v>317352</v>
      </c>
      <c r="D79">
        <v>317352</v>
      </c>
      <c r="E79">
        <v>317352130</v>
      </c>
      <c r="F79" t="s">
        <v>765</v>
      </c>
      <c r="G79" t="s">
        <v>314</v>
      </c>
      <c r="H79" t="s">
        <v>315</v>
      </c>
      <c r="I79" t="s">
        <v>100</v>
      </c>
      <c r="J79" t="s">
        <v>316</v>
      </c>
      <c r="K79" s="15" t="str">
        <f>VLOOKUP(I79,[2]LOOKUP!$A:$D,4,FALSE)</f>
        <v>CM</v>
      </c>
    </row>
    <row r="80" spans="1:11">
      <c r="A80" t="s">
        <v>311</v>
      </c>
      <c r="B80">
        <v>1</v>
      </c>
      <c r="C80" t="str">
        <f t="shared" si="1"/>
        <v>317352</v>
      </c>
      <c r="D80">
        <v>317352</v>
      </c>
      <c r="E80">
        <v>317352131</v>
      </c>
      <c r="F80" t="s">
        <v>766</v>
      </c>
      <c r="G80" t="s">
        <v>314</v>
      </c>
      <c r="H80" t="s">
        <v>315</v>
      </c>
      <c r="I80" t="s">
        <v>100</v>
      </c>
      <c r="J80" t="s">
        <v>316</v>
      </c>
      <c r="K80" s="15" t="str">
        <f>VLOOKUP(I80,[2]LOOKUP!$A:$D,4,FALSE)</f>
        <v>CM</v>
      </c>
    </row>
    <row r="81" spans="1:11">
      <c r="A81" t="s">
        <v>311</v>
      </c>
      <c r="B81">
        <v>1</v>
      </c>
      <c r="C81" t="str">
        <f t="shared" si="1"/>
        <v>317352</v>
      </c>
      <c r="D81">
        <v>317352</v>
      </c>
      <c r="E81">
        <v>317352132</v>
      </c>
      <c r="F81" t="s">
        <v>767</v>
      </c>
      <c r="G81" t="s">
        <v>314</v>
      </c>
      <c r="H81" t="s">
        <v>315</v>
      </c>
      <c r="I81" t="s">
        <v>58</v>
      </c>
      <c r="J81" t="s">
        <v>316</v>
      </c>
      <c r="K81" s="15" t="str">
        <f>VLOOKUP(I81,[2]LOOKUP!$A:$D,4,FALSE)</f>
        <v>CM</v>
      </c>
    </row>
    <row r="82" spans="1:11">
      <c r="A82" t="s">
        <v>311</v>
      </c>
      <c r="B82">
        <v>1</v>
      </c>
      <c r="C82" t="str">
        <f t="shared" si="1"/>
        <v>317352</v>
      </c>
      <c r="D82">
        <v>317352</v>
      </c>
      <c r="E82">
        <v>317352134</v>
      </c>
      <c r="F82" t="s">
        <v>768</v>
      </c>
      <c r="G82" t="s">
        <v>314</v>
      </c>
      <c r="H82" t="s">
        <v>315</v>
      </c>
      <c r="I82" t="s">
        <v>100</v>
      </c>
      <c r="J82" t="s">
        <v>316</v>
      </c>
      <c r="K82" s="15" t="str">
        <f>VLOOKUP(I82,[2]LOOKUP!$A:$D,4,FALSE)</f>
        <v>CM</v>
      </c>
    </row>
    <row r="83" spans="1:11">
      <c r="A83" t="s">
        <v>311</v>
      </c>
      <c r="B83">
        <v>1</v>
      </c>
      <c r="C83" t="str">
        <f t="shared" si="1"/>
        <v>317352</v>
      </c>
      <c r="D83">
        <v>317352</v>
      </c>
      <c r="E83">
        <v>317352135</v>
      </c>
      <c r="F83" t="s">
        <v>769</v>
      </c>
      <c r="G83" t="s">
        <v>314</v>
      </c>
      <c r="H83" t="s">
        <v>315</v>
      </c>
      <c r="I83" t="s">
        <v>100</v>
      </c>
      <c r="J83" t="s">
        <v>316</v>
      </c>
      <c r="K83" s="15" t="str">
        <f>VLOOKUP(I83,[2]LOOKUP!$A:$D,4,FALSE)</f>
        <v>CM</v>
      </c>
    </row>
    <row r="84" spans="1:11">
      <c r="A84" t="s">
        <v>311</v>
      </c>
      <c r="B84">
        <v>1</v>
      </c>
      <c r="C84" t="str">
        <f t="shared" si="1"/>
        <v>317352</v>
      </c>
      <c r="D84">
        <v>317352</v>
      </c>
      <c r="E84">
        <v>317352137</v>
      </c>
      <c r="F84" t="s">
        <v>770</v>
      </c>
      <c r="G84" t="s">
        <v>314</v>
      </c>
      <c r="H84" t="s">
        <v>315</v>
      </c>
      <c r="I84" t="s">
        <v>58</v>
      </c>
      <c r="J84" t="s">
        <v>316</v>
      </c>
      <c r="K84" s="15" t="str">
        <f>VLOOKUP(I84,[2]LOOKUP!$A:$D,4,FALSE)</f>
        <v>CM</v>
      </c>
    </row>
    <row r="85" spans="1:11">
      <c r="A85" t="s">
        <v>311</v>
      </c>
      <c r="B85">
        <v>1</v>
      </c>
      <c r="C85" t="str">
        <f t="shared" si="1"/>
        <v>317352</v>
      </c>
      <c r="D85">
        <v>317352</v>
      </c>
      <c r="E85">
        <v>317352138</v>
      </c>
      <c r="F85" t="s">
        <v>771</v>
      </c>
      <c r="G85" t="s">
        <v>314</v>
      </c>
      <c r="H85" t="s">
        <v>315</v>
      </c>
      <c r="I85" t="s">
        <v>44</v>
      </c>
      <c r="J85" t="s">
        <v>316</v>
      </c>
      <c r="K85" s="15" t="str">
        <f>VLOOKUP(I85,[2]LOOKUP!$A:$D,4,FALSE)</f>
        <v>RM</v>
      </c>
    </row>
    <row r="86" spans="1:11">
      <c r="A86" t="s">
        <v>311</v>
      </c>
      <c r="B86">
        <v>1</v>
      </c>
      <c r="C86" t="str">
        <f t="shared" si="1"/>
        <v>317352</v>
      </c>
      <c r="D86">
        <v>317352</v>
      </c>
      <c r="E86">
        <v>317352139</v>
      </c>
      <c r="F86" t="s">
        <v>772</v>
      </c>
      <c r="G86" t="s">
        <v>314</v>
      </c>
      <c r="H86" t="s">
        <v>315</v>
      </c>
      <c r="I86" t="s">
        <v>58</v>
      </c>
      <c r="J86" t="s">
        <v>316</v>
      </c>
      <c r="K86" s="15" t="str">
        <f>VLOOKUP(I86,[2]LOOKUP!$A:$D,4,FALSE)</f>
        <v>CM</v>
      </c>
    </row>
    <row r="87" spans="1:11">
      <c r="A87" t="s">
        <v>311</v>
      </c>
      <c r="B87">
        <v>1</v>
      </c>
      <c r="C87" t="str">
        <f t="shared" si="1"/>
        <v>317352</v>
      </c>
      <c r="D87">
        <v>317352</v>
      </c>
      <c r="E87">
        <v>317352140</v>
      </c>
      <c r="F87" t="s">
        <v>773</v>
      </c>
      <c r="G87" t="s">
        <v>314</v>
      </c>
      <c r="H87" t="s">
        <v>315</v>
      </c>
      <c r="I87" t="s">
        <v>100</v>
      </c>
      <c r="J87" t="s">
        <v>316</v>
      </c>
      <c r="K87" s="15" t="str">
        <f>VLOOKUP(I87,[2]LOOKUP!$A:$D,4,FALSE)</f>
        <v>CM</v>
      </c>
    </row>
    <row r="88" spans="1:11">
      <c r="A88" t="s">
        <v>311</v>
      </c>
      <c r="B88">
        <v>1</v>
      </c>
      <c r="C88" t="str">
        <f t="shared" si="1"/>
        <v>317352</v>
      </c>
      <c r="D88">
        <v>317352</v>
      </c>
      <c r="E88">
        <v>317352141</v>
      </c>
      <c r="F88" t="s">
        <v>774</v>
      </c>
      <c r="G88" t="s">
        <v>314</v>
      </c>
      <c r="H88" t="s">
        <v>315</v>
      </c>
      <c r="I88" t="s">
        <v>100</v>
      </c>
      <c r="J88" t="s">
        <v>316</v>
      </c>
      <c r="K88" s="15" t="str">
        <f>VLOOKUP(I88,[2]LOOKUP!$A:$D,4,FALSE)</f>
        <v>CM</v>
      </c>
    </row>
    <row r="89" spans="1:11">
      <c r="A89" t="s">
        <v>311</v>
      </c>
      <c r="B89">
        <v>1</v>
      </c>
      <c r="C89" t="str">
        <f t="shared" si="1"/>
        <v>317352</v>
      </c>
      <c r="D89">
        <v>317352</v>
      </c>
      <c r="E89">
        <v>317352142</v>
      </c>
      <c r="F89" t="s">
        <v>775</v>
      </c>
      <c r="G89" t="s">
        <v>314</v>
      </c>
      <c r="H89" t="s">
        <v>315</v>
      </c>
      <c r="I89" t="s">
        <v>44</v>
      </c>
      <c r="J89" t="s">
        <v>316</v>
      </c>
      <c r="K89" s="15" t="str">
        <f>VLOOKUP(I89,[2]LOOKUP!$A:$D,4,FALSE)</f>
        <v>RM</v>
      </c>
    </row>
    <row r="90" spans="1:11">
      <c r="A90" t="s">
        <v>311</v>
      </c>
      <c r="B90">
        <v>1</v>
      </c>
      <c r="C90" t="str">
        <f t="shared" si="1"/>
        <v>317352</v>
      </c>
      <c r="D90">
        <v>317352</v>
      </c>
      <c r="E90">
        <v>317352144</v>
      </c>
      <c r="F90" t="s">
        <v>776</v>
      </c>
      <c r="G90" t="s">
        <v>314</v>
      </c>
      <c r="H90" t="s">
        <v>315</v>
      </c>
      <c r="I90" t="s">
        <v>58</v>
      </c>
      <c r="J90" t="s">
        <v>316</v>
      </c>
      <c r="K90" s="15" t="str">
        <f>VLOOKUP(I90,[2]LOOKUP!$A:$D,4,FALSE)</f>
        <v>CM</v>
      </c>
    </row>
    <row r="91" spans="1:11">
      <c r="A91" t="s">
        <v>311</v>
      </c>
      <c r="B91">
        <v>1</v>
      </c>
      <c r="C91" t="str">
        <f t="shared" si="1"/>
        <v>317352</v>
      </c>
      <c r="D91">
        <v>317352</v>
      </c>
      <c r="E91">
        <v>317352145</v>
      </c>
      <c r="F91" t="s">
        <v>777</v>
      </c>
      <c r="G91" t="s">
        <v>314</v>
      </c>
      <c r="H91" t="s">
        <v>315</v>
      </c>
      <c r="I91" t="s">
        <v>100</v>
      </c>
      <c r="J91" t="s">
        <v>316</v>
      </c>
      <c r="K91" s="15" t="str">
        <f>VLOOKUP(I91,[2]LOOKUP!$A:$D,4,FALSE)</f>
        <v>CM</v>
      </c>
    </row>
    <row r="92" spans="1:11">
      <c r="A92" t="s">
        <v>311</v>
      </c>
      <c r="B92">
        <v>1</v>
      </c>
      <c r="C92" t="str">
        <f t="shared" si="1"/>
        <v>317352</v>
      </c>
      <c r="D92">
        <v>317352</v>
      </c>
      <c r="E92">
        <v>317352146</v>
      </c>
      <c r="F92" t="s">
        <v>778</v>
      </c>
      <c r="G92" t="s">
        <v>314</v>
      </c>
      <c r="H92" t="s">
        <v>315</v>
      </c>
      <c r="I92" t="s">
        <v>100</v>
      </c>
      <c r="J92" t="s">
        <v>316</v>
      </c>
      <c r="K92" s="15" t="str">
        <f>VLOOKUP(I92,[2]LOOKUP!$A:$D,4,FALSE)</f>
        <v>CM</v>
      </c>
    </row>
    <row r="93" spans="1:11">
      <c r="A93" t="s">
        <v>311</v>
      </c>
      <c r="B93">
        <v>1</v>
      </c>
      <c r="C93" t="str">
        <f t="shared" si="1"/>
        <v>317352</v>
      </c>
      <c r="D93">
        <v>317352</v>
      </c>
      <c r="E93">
        <v>317352147</v>
      </c>
      <c r="F93" t="s">
        <v>779</v>
      </c>
      <c r="G93" t="s">
        <v>314</v>
      </c>
      <c r="H93" t="s">
        <v>315</v>
      </c>
      <c r="I93" t="s">
        <v>100</v>
      </c>
      <c r="J93" t="s">
        <v>316</v>
      </c>
      <c r="K93" s="15" t="str">
        <f>VLOOKUP(I93,[2]LOOKUP!$A:$D,4,FALSE)</f>
        <v>CM</v>
      </c>
    </row>
    <row r="94" spans="1:11">
      <c r="A94" t="s">
        <v>311</v>
      </c>
      <c r="B94">
        <v>1</v>
      </c>
      <c r="C94" t="str">
        <f t="shared" si="1"/>
        <v>317352</v>
      </c>
      <c r="D94">
        <v>317352</v>
      </c>
      <c r="E94">
        <v>317352149</v>
      </c>
      <c r="F94" t="s">
        <v>780</v>
      </c>
      <c r="G94" t="s">
        <v>314</v>
      </c>
      <c r="H94" t="s">
        <v>315</v>
      </c>
      <c r="I94" t="s">
        <v>100</v>
      </c>
      <c r="J94" t="s">
        <v>316</v>
      </c>
      <c r="K94" s="15" t="str">
        <f>VLOOKUP(I94,[2]LOOKUP!$A:$D,4,FALSE)</f>
        <v>CM</v>
      </c>
    </row>
    <row r="95" spans="1:11">
      <c r="A95" t="s">
        <v>311</v>
      </c>
      <c r="B95">
        <v>1</v>
      </c>
      <c r="C95" t="str">
        <f t="shared" si="1"/>
        <v>317352</v>
      </c>
      <c r="D95">
        <v>317352</v>
      </c>
      <c r="E95">
        <v>317352152</v>
      </c>
      <c r="F95" t="s">
        <v>781</v>
      </c>
      <c r="G95" t="s">
        <v>314</v>
      </c>
      <c r="H95" t="s">
        <v>315</v>
      </c>
      <c r="I95" t="s">
        <v>58</v>
      </c>
      <c r="J95" t="s">
        <v>316</v>
      </c>
      <c r="K95" s="15" t="str">
        <f>VLOOKUP(I95,[2]LOOKUP!$A:$D,4,FALSE)</f>
        <v>CM</v>
      </c>
    </row>
    <row r="96" spans="1:11">
      <c r="A96" t="s">
        <v>311</v>
      </c>
      <c r="B96">
        <v>1</v>
      </c>
      <c r="C96" t="str">
        <f t="shared" si="1"/>
        <v>317352</v>
      </c>
      <c r="D96">
        <v>317352</v>
      </c>
      <c r="E96">
        <v>317352155</v>
      </c>
      <c r="F96" t="s">
        <v>782</v>
      </c>
      <c r="G96" t="s">
        <v>314</v>
      </c>
      <c r="H96" t="s">
        <v>315</v>
      </c>
      <c r="I96" t="s">
        <v>58</v>
      </c>
      <c r="J96" t="s">
        <v>316</v>
      </c>
      <c r="K96" s="15" t="str">
        <f>VLOOKUP(I96,[2]LOOKUP!$A:$D,4,FALSE)</f>
        <v>CM</v>
      </c>
    </row>
    <row r="97" spans="1:11">
      <c r="A97" t="s">
        <v>311</v>
      </c>
      <c r="B97">
        <v>1</v>
      </c>
      <c r="C97" t="str">
        <f t="shared" si="1"/>
        <v>317352</v>
      </c>
      <c r="D97">
        <v>317352</v>
      </c>
      <c r="E97">
        <v>317352159</v>
      </c>
      <c r="F97" t="s">
        <v>783</v>
      </c>
      <c r="G97" t="s">
        <v>314</v>
      </c>
      <c r="H97" t="s">
        <v>315</v>
      </c>
      <c r="I97" t="s">
        <v>100</v>
      </c>
      <c r="J97" t="s">
        <v>316</v>
      </c>
      <c r="K97" s="15" t="str">
        <f>VLOOKUP(I97,[2]LOOKUP!$A:$D,4,FALSE)</f>
        <v>CM</v>
      </c>
    </row>
    <row r="98" spans="1:11">
      <c r="A98" t="s">
        <v>311</v>
      </c>
      <c r="B98">
        <v>1</v>
      </c>
      <c r="C98" t="str">
        <f t="shared" si="1"/>
        <v>317353</v>
      </c>
      <c r="D98">
        <v>317352</v>
      </c>
      <c r="E98">
        <v>317353002</v>
      </c>
      <c r="F98" t="s">
        <v>784</v>
      </c>
      <c r="G98" t="s">
        <v>314</v>
      </c>
      <c r="H98" t="s">
        <v>315</v>
      </c>
      <c r="I98" t="s">
        <v>58</v>
      </c>
      <c r="J98" t="s">
        <v>316</v>
      </c>
      <c r="K98" s="15" t="str">
        <f>VLOOKUP(I98,[2]LOOKUP!$A:$D,4,FALSE)</f>
        <v>CM</v>
      </c>
    </row>
    <row r="99" spans="1:11">
      <c r="A99" t="s">
        <v>311</v>
      </c>
      <c r="B99">
        <v>1</v>
      </c>
      <c r="C99" t="str">
        <f t="shared" si="1"/>
        <v>317353</v>
      </c>
      <c r="D99">
        <v>317352</v>
      </c>
      <c r="E99">
        <v>317353004</v>
      </c>
      <c r="F99" t="s">
        <v>785</v>
      </c>
      <c r="G99" t="s">
        <v>314</v>
      </c>
      <c r="H99" t="s">
        <v>315</v>
      </c>
      <c r="I99" t="s">
        <v>44</v>
      </c>
      <c r="J99" t="s">
        <v>316</v>
      </c>
      <c r="K99" s="15" t="str">
        <f>VLOOKUP(I99,[2]LOOKUP!$A:$D,4,FALSE)</f>
        <v>RM</v>
      </c>
    </row>
    <row r="100" spans="1:11">
      <c r="A100" t="s">
        <v>311</v>
      </c>
      <c r="B100">
        <v>1</v>
      </c>
      <c r="C100" t="str">
        <f t="shared" si="1"/>
        <v>317353</v>
      </c>
      <c r="D100">
        <v>317352</v>
      </c>
      <c r="E100">
        <v>317353005</v>
      </c>
      <c r="F100" t="s">
        <v>786</v>
      </c>
      <c r="G100" t="s">
        <v>314</v>
      </c>
      <c r="H100" t="s">
        <v>315</v>
      </c>
      <c r="I100" t="s">
        <v>58</v>
      </c>
      <c r="J100" t="s">
        <v>316</v>
      </c>
      <c r="K100" s="15" t="str">
        <f>VLOOKUP(I100,[2]LOOKUP!$A:$D,4,FALSE)</f>
        <v>CM</v>
      </c>
    </row>
    <row r="101" spans="1:11">
      <c r="A101" t="s">
        <v>311</v>
      </c>
      <c r="B101">
        <v>1</v>
      </c>
      <c r="C101" t="str">
        <f t="shared" si="1"/>
        <v>317353</v>
      </c>
      <c r="D101">
        <v>317352</v>
      </c>
      <c r="E101">
        <v>317353008</v>
      </c>
      <c r="F101" t="s">
        <v>787</v>
      </c>
      <c r="G101" t="s">
        <v>314</v>
      </c>
      <c r="H101" t="s">
        <v>315</v>
      </c>
      <c r="I101" t="s">
        <v>58</v>
      </c>
      <c r="J101" t="s">
        <v>316</v>
      </c>
      <c r="K101" s="15" t="str">
        <f>VLOOKUP(I101,[2]LOOKUP!$A:$D,4,FALSE)</f>
        <v>CM</v>
      </c>
    </row>
    <row r="102" spans="1:11">
      <c r="A102" t="s">
        <v>311</v>
      </c>
      <c r="B102">
        <v>1</v>
      </c>
      <c r="C102" t="str">
        <f t="shared" si="1"/>
        <v>317353</v>
      </c>
      <c r="D102">
        <v>317352</v>
      </c>
      <c r="E102">
        <v>317353009</v>
      </c>
      <c r="F102" t="s">
        <v>788</v>
      </c>
      <c r="G102" t="s">
        <v>314</v>
      </c>
      <c r="H102" t="s">
        <v>315</v>
      </c>
      <c r="I102" t="s">
        <v>100</v>
      </c>
      <c r="J102" t="s">
        <v>316</v>
      </c>
      <c r="K102" s="15" t="str">
        <f>VLOOKUP(I102,[2]LOOKUP!$A:$D,4,FALSE)</f>
        <v>CM</v>
      </c>
    </row>
    <row r="103" spans="1:11">
      <c r="A103" t="s">
        <v>311</v>
      </c>
      <c r="B103">
        <v>1</v>
      </c>
      <c r="C103" t="str">
        <f t="shared" si="1"/>
        <v>317353</v>
      </c>
      <c r="D103">
        <v>317352</v>
      </c>
      <c r="E103">
        <v>317353013</v>
      </c>
      <c r="F103" t="s">
        <v>789</v>
      </c>
      <c r="G103" t="s">
        <v>314</v>
      </c>
      <c r="H103" t="s">
        <v>315</v>
      </c>
      <c r="I103" t="s">
        <v>100</v>
      </c>
      <c r="J103" t="s">
        <v>316</v>
      </c>
      <c r="K103" s="15" t="str">
        <f>VLOOKUP(I103,[2]LOOKUP!$A:$D,4,FALSE)</f>
        <v>CM</v>
      </c>
    </row>
    <row r="104" spans="1:11">
      <c r="A104" t="s">
        <v>311</v>
      </c>
      <c r="B104">
        <v>1</v>
      </c>
      <c r="C104" t="str">
        <f t="shared" si="1"/>
        <v>317353</v>
      </c>
      <c r="D104">
        <v>317352</v>
      </c>
      <c r="E104">
        <v>317353015</v>
      </c>
      <c r="F104" t="s">
        <v>790</v>
      </c>
      <c r="G104" t="s">
        <v>314</v>
      </c>
      <c r="H104" t="s">
        <v>315</v>
      </c>
      <c r="I104" t="s">
        <v>58</v>
      </c>
      <c r="J104" t="s">
        <v>316</v>
      </c>
      <c r="K104" s="15" t="str">
        <f>VLOOKUP(I104,[2]LOOKUP!$A:$D,4,FALSE)</f>
        <v>CM</v>
      </c>
    </row>
    <row r="105" spans="1:11">
      <c r="A105" t="s">
        <v>311</v>
      </c>
      <c r="B105">
        <v>1</v>
      </c>
      <c r="C105" t="str">
        <f t="shared" si="1"/>
        <v>317353</v>
      </c>
      <c r="D105">
        <v>317352</v>
      </c>
      <c r="E105">
        <v>317353018</v>
      </c>
      <c r="F105" t="s">
        <v>791</v>
      </c>
      <c r="G105" t="s">
        <v>314</v>
      </c>
      <c r="H105" t="s">
        <v>315</v>
      </c>
      <c r="I105" t="s">
        <v>58</v>
      </c>
      <c r="J105" t="s">
        <v>316</v>
      </c>
      <c r="K105" s="15" t="str">
        <f>VLOOKUP(I105,[2]LOOKUP!$A:$D,4,FALSE)</f>
        <v>CM</v>
      </c>
    </row>
    <row r="106" spans="1:11">
      <c r="A106" t="s">
        <v>311</v>
      </c>
      <c r="B106">
        <v>1</v>
      </c>
      <c r="C106" t="str">
        <f t="shared" si="1"/>
        <v>317353</v>
      </c>
      <c r="D106">
        <v>317352</v>
      </c>
      <c r="E106">
        <v>317353029</v>
      </c>
      <c r="F106" t="s">
        <v>792</v>
      </c>
      <c r="G106" t="s">
        <v>314</v>
      </c>
      <c r="H106" t="s">
        <v>315</v>
      </c>
      <c r="I106" t="s">
        <v>55</v>
      </c>
      <c r="J106" t="s">
        <v>316</v>
      </c>
      <c r="K106" s="15" t="str">
        <f>VLOOKUP(I106,[2]LOOKUP!$A:$D,4,FALSE)</f>
        <v>RM</v>
      </c>
    </row>
    <row r="107" spans="1:11">
      <c r="A107" t="s">
        <v>329</v>
      </c>
      <c r="B107">
        <v>1</v>
      </c>
      <c r="C107" t="str">
        <f t="shared" si="1"/>
        <v>317353</v>
      </c>
      <c r="D107">
        <v>317353</v>
      </c>
      <c r="E107">
        <v>317353030</v>
      </c>
      <c r="F107" t="s">
        <v>793</v>
      </c>
      <c r="G107" t="s">
        <v>314</v>
      </c>
      <c r="H107" t="s">
        <v>315</v>
      </c>
      <c r="I107" t="s">
        <v>19</v>
      </c>
      <c r="J107" t="s">
        <v>316</v>
      </c>
      <c r="K107" s="15" t="str">
        <f>VLOOKUP(I107,[2]LOOKUP!$A:$D,4,FALSE)</f>
        <v>RM</v>
      </c>
    </row>
    <row r="108" spans="1:11">
      <c r="A108" t="s">
        <v>311</v>
      </c>
      <c r="B108">
        <v>1</v>
      </c>
      <c r="C108" t="str">
        <f t="shared" si="1"/>
        <v>317353</v>
      </c>
      <c r="D108">
        <v>317352</v>
      </c>
      <c r="E108">
        <v>317353032</v>
      </c>
      <c r="F108" t="s">
        <v>794</v>
      </c>
      <c r="G108" t="s">
        <v>314</v>
      </c>
      <c r="H108" t="s">
        <v>315</v>
      </c>
      <c r="I108" t="s">
        <v>44</v>
      </c>
      <c r="J108" t="s">
        <v>316</v>
      </c>
      <c r="K108" s="15" t="str">
        <f>VLOOKUP(I108,[2]LOOKUP!$A:$D,4,FALSE)</f>
        <v>RM</v>
      </c>
    </row>
    <row r="109" spans="1:11">
      <c r="A109" t="s">
        <v>311</v>
      </c>
      <c r="B109">
        <v>1</v>
      </c>
      <c r="C109" t="str">
        <f t="shared" si="1"/>
        <v>317353</v>
      </c>
      <c r="D109">
        <v>317352</v>
      </c>
      <c r="E109">
        <v>317353033</v>
      </c>
      <c r="F109" t="s">
        <v>795</v>
      </c>
      <c r="G109" t="s">
        <v>314</v>
      </c>
      <c r="H109" t="s">
        <v>315</v>
      </c>
      <c r="I109" t="s">
        <v>58</v>
      </c>
      <c r="J109" t="s">
        <v>316</v>
      </c>
      <c r="K109" s="15" t="str">
        <f>VLOOKUP(I109,[2]LOOKUP!$A:$D,4,FALSE)</f>
        <v>CM</v>
      </c>
    </row>
    <row r="110" spans="1:11">
      <c r="A110" t="s">
        <v>311</v>
      </c>
      <c r="B110">
        <v>1</v>
      </c>
      <c r="C110" t="str">
        <f t="shared" si="1"/>
        <v>317353</v>
      </c>
      <c r="D110">
        <v>317352</v>
      </c>
      <c r="E110">
        <v>317353034</v>
      </c>
      <c r="F110" t="s">
        <v>796</v>
      </c>
      <c r="G110" t="s">
        <v>314</v>
      </c>
      <c r="H110" t="s">
        <v>315</v>
      </c>
      <c r="I110" t="s">
        <v>100</v>
      </c>
      <c r="J110" t="s">
        <v>316</v>
      </c>
      <c r="K110" s="15" t="str">
        <f>VLOOKUP(I110,[2]LOOKUP!$A:$D,4,FALSE)</f>
        <v>CM</v>
      </c>
    </row>
    <row r="111" spans="1:11">
      <c r="A111" t="s">
        <v>311</v>
      </c>
      <c r="B111">
        <v>1</v>
      </c>
      <c r="C111" t="str">
        <f t="shared" si="1"/>
        <v>317353</v>
      </c>
      <c r="D111">
        <v>317352</v>
      </c>
      <c r="E111">
        <v>317353039</v>
      </c>
      <c r="F111" t="s">
        <v>797</v>
      </c>
      <c r="G111" t="s">
        <v>314</v>
      </c>
      <c r="H111" t="s">
        <v>315</v>
      </c>
      <c r="I111" t="s">
        <v>55</v>
      </c>
      <c r="J111" t="s">
        <v>316</v>
      </c>
      <c r="K111" s="15" t="str">
        <f>VLOOKUP(I111,[2]LOOKUP!$A:$D,4,FALSE)</f>
        <v>RM</v>
      </c>
    </row>
    <row r="112" spans="1:11">
      <c r="A112" t="s">
        <v>311</v>
      </c>
      <c r="B112">
        <v>1</v>
      </c>
      <c r="C112" t="str">
        <f t="shared" si="1"/>
        <v>317353</v>
      </c>
      <c r="D112">
        <v>317352</v>
      </c>
      <c r="E112">
        <v>317353045</v>
      </c>
      <c r="F112" t="s">
        <v>798</v>
      </c>
      <c r="G112" t="s">
        <v>314</v>
      </c>
      <c r="H112" t="s">
        <v>315</v>
      </c>
      <c r="I112" t="s">
        <v>100</v>
      </c>
      <c r="J112" t="s">
        <v>316</v>
      </c>
      <c r="K112" s="15" t="str">
        <f>VLOOKUP(I112,[2]LOOKUP!$A:$D,4,FALSE)</f>
        <v>CM</v>
      </c>
    </row>
    <row r="113" spans="1:11">
      <c r="A113" t="s">
        <v>311</v>
      </c>
      <c r="B113">
        <v>1</v>
      </c>
      <c r="C113" t="str">
        <f t="shared" si="1"/>
        <v>317353</v>
      </c>
      <c r="D113">
        <v>317352</v>
      </c>
      <c r="E113">
        <v>317353046</v>
      </c>
      <c r="F113" t="s">
        <v>799</v>
      </c>
      <c r="G113" t="s">
        <v>314</v>
      </c>
      <c r="H113" t="s">
        <v>315</v>
      </c>
      <c r="I113" t="s">
        <v>100</v>
      </c>
      <c r="J113" t="s">
        <v>316</v>
      </c>
      <c r="K113" s="15" t="str">
        <f>VLOOKUP(I113,[2]LOOKUP!$A:$D,4,FALSE)</f>
        <v>CM</v>
      </c>
    </row>
    <row r="114" spans="1:11">
      <c r="A114" t="s">
        <v>311</v>
      </c>
      <c r="B114">
        <v>1</v>
      </c>
      <c r="C114" t="str">
        <f t="shared" si="1"/>
        <v>317353</v>
      </c>
      <c r="D114">
        <v>317352</v>
      </c>
      <c r="E114">
        <v>317353047</v>
      </c>
      <c r="F114" t="s">
        <v>800</v>
      </c>
      <c r="G114" t="s">
        <v>314</v>
      </c>
      <c r="H114" t="s">
        <v>315</v>
      </c>
      <c r="I114" t="s">
        <v>100</v>
      </c>
      <c r="J114" t="s">
        <v>316</v>
      </c>
      <c r="K114" s="15" t="str">
        <f>VLOOKUP(I114,[2]LOOKUP!$A:$D,4,FALSE)</f>
        <v>CM</v>
      </c>
    </row>
    <row r="115" spans="1:11">
      <c r="A115" t="s">
        <v>311</v>
      </c>
      <c r="B115">
        <v>1</v>
      </c>
      <c r="C115" t="str">
        <f t="shared" si="1"/>
        <v>317353</v>
      </c>
      <c r="D115">
        <v>317352</v>
      </c>
      <c r="E115">
        <v>317353049</v>
      </c>
      <c r="F115" t="s">
        <v>801</v>
      </c>
      <c r="G115" t="s">
        <v>314</v>
      </c>
      <c r="H115" t="s">
        <v>315</v>
      </c>
      <c r="I115" t="s">
        <v>100</v>
      </c>
      <c r="J115" t="s">
        <v>316</v>
      </c>
      <c r="K115" s="15" t="str">
        <f>VLOOKUP(I115,[2]LOOKUP!$A:$D,4,FALSE)</f>
        <v>CM</v>
      </c>
    </row>
    <row r="116" spans="1:11">
      <c r="A116" t="s">
        <v>311</v>
      </c>
      <c r="B116">
        <v>1</v>
      </c>
      <c r="C116" t="str">
        <f t="shared" si="1"/>
        <v>317353</v>
      </c>
      <c r="D116">
        <v>317352</v>
      </c>
      <c r="E116">
        <v>317353050</v>
      </c>
      <c r="F116" t="s">
        <v>802</v>
      </c>
      <c r="G116" t="s">
        <v>314</v>
      </c>
      <c r="H116" t="s">
        <v>315</v>
      </c>
      <c r="I116" t="s">
        <v>100</v>
      </c>
      <c r="J116" t="s">
        <v>316</v>
      </c>
      <c r="K116" s="15" t="str">
        <f>VLOOKUP(I116,[2]LOOKUP!$A:$D,4,FALSE)</f>
        <v>CM</v>
      </c>
    </row>
    <row r="117" spans="1:11">
      <c r="A117" t="s">
        <v>311</v>
      </c>
      <c r="B117">
        <v>1</v>
      </c>
      <c r="C117" t="str">
        <f t="shared" si="1"/>
        <v>317353</v>
      </c>
      <c r="D117">
        <v>317352</v>
      </c>
      <c r="E117">
        <v>317353052</v>
      </c>
      <c r="F117" t="s">
        <v>803</v>
      </c>
      <c r="G117" t="s">
        <v>314</v>
      </c>
      <c r="H117" t="s">
        <v>315</v>
      </c>
      <c r="I117" t="s">
        <v>44</v>
      </c>
      <c r="J117" t="s">
        <v>316</v>
      </c>
      <c r="K117" s="15" t="str">
        <f>VLOOKUP(I117,[2]LOOKUP!$A:$D,4,FALSE)</f>
        <v>RM</v>
      </c>
    </row>
    <row r="118" spans="1:11">
      <c r="A118" t="s">
        <v>311</v>
      </c>
      <c r="B118">
        <v>1</v>
      </c>
      <c r="C118" t="str">
        <f t="shared" si="1"/>
        <v>317353</v>
      </c>
      <c r="D118">
        <v>317352</v>
      </c>
      <c r="E118">
        <v>317353055</v>
      </c>
      <c r="F118" t="s">
        <v>804</v>
      </c>
      <c r="G118" t="s">
        <v>314</v>
      </c>
      <c r="H118" t="s">
        <v>315</v>
      </c>
      <c r="I118" t="s">
        <v>44</v>
      </c>
      <c r="J118" t="s">
        <v>316</v>
      </c>
      <c r="K118" s="15" t="str">
        <f>VLOOKUP(I118,[2]LOOKUP!$A:$D,4,FALSE)</f>
        <v>RM</v>
      </c>
    </row>
    <row r="119" spans="1:11">
      <c r="A119" t="s">
        <v>311</v>
      </c>
      <c r="B119">
        <v>1</v>
      </c>
      <c r="C119" t="str">
        <f t="shared" si="1"/>
        <v>317353</v>
      </c>
      <c r="D119">
        <v>317352</v>
      </c>
      <c r="E119">
        <v>317353058</v>
      </c>
      <c r="F119" t="s">
        <v>805</v>
      </c>
      <c r="G119" t="s">
        <v>314</v>
      </c>
      <c r="H119" t="s">
        <v>315</v>
      </c>
      <c r="I119" t="s">
        <v>58</v>
      </c>
      <c r="J119" t="s">
        <v>316</v>
      </c>
      <c r="K119" s="15" t="str">
        <f>VLOOKUP(I119,[2]LOOKUP!$A:$D,4,FALSE)</f>
        <v>CM</v>
      </c>
    </row>
    <row r="120" spans="1:11">
      <c r="A120" t="s">
        <v>311</v>
      </c>
      <c r="B120">
        <v>1</v>
      </c>
      <c r="C120" t="str">
        <f t="shared" si="1"/>
        <v>317353</v>
      </c>
      <c r="D120">
        <v>317352</v>
      </c>
      <c r="E120">
        <v>317353060</v>
      </c>
      <c r="F120" t="s">
        <v>806</v>
      </c>
      <c r="G120" t="s">
        <v>314</v>
      </c>
      <c r="H120" t="s">
        <v>315</v>
      </c>
      <c r="I120" t="s">
        <v>100</v>
      </c>
      <c r="J120" t="s">
        <v>316</v>
      </c>
      <c r="K120" s="15" t="str">
        <f>VLOOKUP(I120,[2]LOOKUP!$A:$D,4,FALSE)</f>
        <v>CM</v>
      </c>
    </row>
    <row r="121" spans="1:11">
      <c r="A121" t="s">
        <v>311</v>
      </c>
      <c r="B121">
        <v>1</v>
      </c>
      <c r="C121" t="str">
        <f t="shared" si="1"/>
        <v>317353</v>
      </c>
      <c r="D121">
        <v>317352</v>
      </c>
      <c r="E121">
        <v>317353063</v>
      </c>
      <c r="F121" t="s">
        <v>807</v>
      </c>
      <c r="G121" t="s">
        <v>314</v>
      </c>
      <c r="H121" t="s">
        <v>315</v>
      </c>
      <c r="I121" t="s">
        <v>100</v>
      </c>
      <c r="J121" t="s">
        <v>316</v>
      </c>
      <c r="K121" s="15" t="str">
        <f>VLOOKUP(I121,[2]LOOKUP!$A:$D,4,FALSE)</f>
        <v>CM</v>
      </c>
    </row>
    <row r="122" spans="1:11">
      <c r="A122" t="s">
        <v>311</v>
      </c>
      <c r="B122">
        <v>1</v>
      </c>
      <c r="C122" t="str">
        <f t="shared" si="1"/>
        <v>317353</v>
      </c>
      <c r="D122">
        <v>317352</v>
      </c>
      <c r="E122">
        <v>317353066</v>
      </c>
      <c r="F122" t="s">
        <v>808</v>
      </c>
      <c r="G122" t="s">
        <v>314</v>
      </c>
      <c r="H122" t="s">
        <v>315</v>
      </c>
      <c r="I122" t="s">
        <v>44</v>
      </c>
      <c r="J122" t="s">
        <v>316</v>
      </c>
      <c r="K122" s="15" t="str">
        <f>VLOOKUP(I122,[2]LOOKUP!$A:$D,4,FALSE)</f>
        <v>RM</v>
      </c>
    </row>
    <row r="123" spans="1:11">
      <c r="A123" t="s">
        <v>311</v>
      </c>
      <c r="B123">
        <v>1</v>
      </c>
      <c r="C123" t="str">
        <f t="shared" si="1"/>
        <v>317353</v>
      </c>
      <c r="D123">
        <v>317352</v>
      </c>
      <c r="E123">
        <v>317353067</v>
      </c>
      <c r="F123" t="s">
        <v>809</v>
      </c>
      <c r="G123" t="s">
        <v>314</v>
      </c>
      <c r="H123" t="s">
        <v>315</v>
      </c>
      <c r="I123" t="s">
        <v>58</v>
      </c>
      <c r="J123" t="s">
        <v>316</v>
      </c>
      <c r="K123" s="15" t="str">
        <f>VLOOKUP(I123,[2]LOOKUP!$A:$D,4,FALSE)</f>
        <v>CM</v>
      </c>
    </row>
    <row r="124" spans="1:11">
      <c r="A124" t="s">
        <v>311</v>
      </c>
      <c r="B124">
        <v>1</v>
      </c>
      <c r="C124" t="str">
        <f t="shared" si="1"/>
        <v>317353</v>
      </c>
      <c r="D124">
        <v>317352</v>
      </c>
      <c r="E124">
        <v>317353068</v>
      </c>
      <c r="F124" t="s">
        <v>810</v>
      </c>
      <c r="G124" t="s">
        <v>314</v>
      </c>
      <c r="H124" t="s">
        <v>315</v>
      </c>
      <c r="I124" t="s">
        <v>100</v>
      </c>
      <c r="J124" t="s">
        <v>316</v>
      </c>
      <c r="K124" s="15" t="str">
        <f>VLOOKUP(I124,[2]LOOKUP!$A:$D,4,FALSE)</f>
        <v>CM</v>
      </c>
    </row>
    <row r="125" spans="1:11">
      <c r="A125" t="s">
        <v>311</v>
      </c>
      <c r="B125">
        <v>1</v>
      </c>
      <c r="C125" t="str">
        <f t="shared" si="1"/>
        <v>317353</v>
      </c>
      <c r="D125">
        <v>317352</v>
      </c>
      <c r="E125">
        <v>317353070</v>
      </c>
      <c r="F125" t="s">
        <v>811</v>
      </c>
      <c r="G125" t="s">
        <v>314</v>
      </c>
      <c r="H125" t="s">
        <v>315</v>
      </c>
      <c r="I125" t="s">
        <v>44</v>
      </c>
      <c r="J125" t="s">
        <v>316</v>
      </c>
      <c r="K125" s="15" t="str">
        <f>VLOOKUP(I125,[2]LOOKUP!$A:$D,4,FALSE)</f>
        <v>RM</v>
      </c>
    </row>
    <row r="126" spans="1:11">
      <c r="A126" t="s">
        <v>311</v>
      </c>
      <c r="B126">
        <v>1</v>
      </c>
      <c r="C126" t="str">
        <f t="shared" si="1"/>
        <v>317353</v>
      </c>
      <c r="D126">
        <v>317352</v>
      </c>
      <c r="E126">
        <v>317353074</v>
      </c>
      <c r="F126" t="s">
        <v>812</v>
      </c>
      <c r="G126" t="s">
        <v>314</v>
      </c>
      <c r="H126" t="s">
        <v>315</v>
      </c>
      <c r="I126" t="s">
        <v>100</v>
      </c>
      <c r="J126" t="s">
        <v>316</v>
      </c>
      <c r="K126" s="15" t="str">
        <f>VLOOKUP(I126,[2]LOOKUP!$A:$D,4,FALSE)</f>
        <v>CM</v>
      </c>
    </row>
    <row r="127" spans="1:11">
      <c r="A127" t="s">
        <v>311</v>
      </c>
      <c r="B127">
        <v>1</v>
      </c>
      <c r="C127" t="str">
        <f t="shared" si="1"/>
        <v>317353</v>
      </c>
      <c r="D127">
        <v>317352</v>
      </c>
      <c r="E127">
        <v>317353076</v>
      </c>
      <c r="F127" t="s">
        <v>813</v>
      </c>
      <c r="G127" t="s">
        <v>314</v>
      </c>
      <c r="H127" t="s">
        <v>315</v>
      </c>
      <c r="I127" t="s">
        <v>44</v>
      </c>
      <c r="J127" t="s">
        <v>316</v>
      </c>
      <c r="K127" s="15" t="str">
        <f>VLOOKUP(I127,[2]LOOKUP!$A:$D,4,FALSE)</f>
        <v>RM</v>
      </c>
    </row>
    <row r="128" spans="1:11">
      <c r="A128" t="s">
        <v>447</v>
      </c>
      <c r="B128">
        <v>1</v>
      </c>
      <c r="C128" t="str">
        <f t="shared" si="1"/>
        <v>317353</v>
      </c>
      <c r="D128">
        <v>318293</v>
      </c>
      <c r="E128">
        <v>317353077</v>
      </c>
      <c r="F128" t="s">
        <v>814</v>
      </c>
      <c r="G128" t="s">
        <v>314</v>
      </c>
      <c r="H128" t="s">
        <v>315</v>
      </c>
      <c r="I128" t="s">
        <v>125</v>
      </c>
      <c r="J128" t="s">
        <v>414</v>
      </c>
      <c r="K128" s="15" t="str">
        <f>VLOOKUP(I128,[2]LOOKUP!$A:$D,4,FALSE)</f>
        <v>RM</v>
      </c>
    </row>
    <row r="129" spans="1:11">
      <c r="A129" t="s">
        <v>376</v>
      </c>
      <c r="B129">
        <v>2</v>
      </c>
      <c r="C129" t="str">
        <f t="shared" si="1"/>
        <v>317356</v>
      </c>
      <c r="D129">
        <v>317356</v>
      </c>
      <c r="E129">
        <v>317356001</v>
      </c>
      <c r="F129" t="s">
        <v>815</v>
      </c>
      <c r="G129" t="s">
        <v>314</v>
      </c>
      <c r="H129" t="s">
        <v>378</v>
      </c>
      <c r="I129" t="s">
        <v>115</v>
      </c>
      <c r="J129" t="s">
        <v>420</v>
      </c>
      <c r="K129" s="15" t="str">
        <f>VLOOKUP(I129,[2]LOOKUP!$A:$D,4,FALSE)</f>
        <v>RM</v>
      </c>
    </row>
    <row r="130" spans="1:11">
      <c r="A130" t="s">
        <v>376</v>
      </c>
      <c r="B130">
        <v>2</v>
      </c>
      <c r="C130" t="str">
        <f t="shared" si="1"/>
        <v>317356</v>
      </c>
      <c r="D130">
        <v>317356</v>
      </c>
      <c r="E130">
        <v>317356002</v>
      </c>
      <c r="F130" t="s">
        <v>816</v>
      </c>
      <c r="G130" t="s">
        <v>314</v>
      </c>
      <c r="H130" t="s">
        <v>378</v>
      </c>
      <c r="I130" t="s">
        <v>35</v>
      </c>
      <c r="J130" t="s">
        <v>316</v>
      </c>
      <c r="K130" s="15" t="str">
        <f>VLOOKUP(I130,[2]LOOKUP!$A:$D,4,FALSE)</f>
        <v>RM</v>
      </c>
    </row>
    <row r="131" spans="1:11">
      <c r="A131" t="s">
        <v>376</v>
      </c>
      <c r="B131">
        <v>2</v>
      </c>
      <c r="C131" t="str">
        <f t="shared" ref="C131:C194" si="2">LEFT(E131,6)</f>
        <v>317356</v>
      </c>
      <c r="D131">
        <v>317356</v>
      </c>
      <c r="E131">
        <v>317356003</v>
      </c>
      <c r="F131" t="s">
        <v>817</v>
      </c>
      <c r="G131" t="s">
        <v>314</v>
      </c>
      <c r="H131" t="s">
        <v>378</v>
      </c>
      <c r="I131" t="s">
        <v>35</v>
      </c>
      <c r="J131" t="s">
        <v>316</v>
      </c>
      <c r="K131" s="15" t="str">
        <f>VLOOKUP(I131,[2]LOOKUP!$A:$D,4,FALSE)</f>
        <v>RM</v>
      </c>
    </row>
    <row r="132" spans="1:11">
      <c r="A132" t="s">
        <v>376</v>
      </c>
      <c r="B132">
        <v>2</v>
      </c>
      <c r="C132" t="str">
        <f t="shared" si="2"/>
        <v>317356</v>
      </c>
      <c r="D132">
        <v>317356</v>
      </c>
      <c r="E132">
        <v>317356004</v>
      </c>
      <c r="F132" t="s">
        <v>818</v>
      </c>
      <c r="G132" t="s">
        <v>314</v>
      </c>
      <c r="H132" t="s">
        <v>378</v>
      </c>
      <c r="I132" t="s">
        <v>35</v>
      </c>
      <c r="J132" t="s">
        <v>316</v>
      </c>
      <c r="K132" s="15" t="str">
        <f>VLOOKUP(I132,[2]LOOKUP!$A:$D,4,FALSE)</f>
        <v>RM</v>
      </c>
    </row>
    <row r="133" spans="1:11">
      <c r="A133" t="s">
        <v>376</v>
      </c>
      <c r="B133">
        <v>2</v>
      </c>
      <c r="C133" t="str">
        <f t="shared" si="2"/>
        <v>317356</v>
      </c>
      <c r="D133">
        <v>317356</v>
      </c>
      <c r="E133">
        <v>317356005</v>
      </c>
      <c r="F133" t="s">
        <v>819</v>
      </c>
      <c r="G133" t="s">
        <v>314</v>
      </c>
      <c r="H133" t="s">
        <v>378</v>
      </c>
      <c r="I133" t="s">
        <v>35</v>
      </c>
      <c r="J133" t="s">
        <v>316</v>
      </c>
      <c r="K133" s="15" t="str">
        <f>VLOOKUP(I133,[2]LOOKUP!$A:$D,4,FALSE)</f>
        <v>RM</v>
      </c>
    </row>
    <row r="134" spans="1:11">
      <c r="A134" t="s">
        <v>376</v>
      </c>
      <c r="B134">
        <v>2</v>
      </c>
      <c r="C134" t="str">
        <f t="shared" si="2"/>
        <v>317356</v>
      </c>
      <c r="D134">
        <v>317356</v>
      </c>
      <c r="E134">
        <v>317356006</v>
      </c>
      <c r="F134" t="s">
        <v>820</v>
      </c>
      <c r="G134" t="s">
        <v>314</v>
      </c>
      <c r="H134" t="s">
        <v>378</v>
      </c>
      <c r="I134" t="s">
        <v>35</v>
      </c>
      <c r="J134" t="s">
        <v>316</v>
      </c>
      <c r="K134" s="15" t="str">
        <f>VLOOKUP(I134,[2]LOOKUP!$A:$D,4,FALSE)</f>
        <v>RM</v>
      </c>
    </row>
    <row r="135" spans="1:11">
      <c r="A135" t="s">
        <v>376</v>
      </c>
      <c r="B135">
        <v>2</v>
      </c>
      <c r="C135" t="str">
        <f t="shared" si="2"/>
        <v>317356</v>
      </c>
      <c r="D135">
        <v>317356</v>
      </c>
      <c r="E135">
        <v>317356007</v>
      </c>
      <c r="F135" t="s">
        <v>821</v>
      </c>
      <c r="G135" t="s">
        <v>314</v>
      </c>
      <c r="H135" t="s">
        <v>378</v>
      </c>
      <c r="I135" t="s">
        <v>35</v>
      </c>
      <c r="J135" t="s">
        <v>316</v>
      </c>
      <c r="K135" s="15" t="str">
        <f>VLOOKUP(I135,[2]LOOKUP!$A:$D,4,FALSE)</f>
        <v>RM</v>
      </c>
    </row>
    <row r="136" spans="1:11">
      <c r="A136" t="s">
        <v>376</v>
      </c>
      <c r="B136">
        <v>2</v>
      </c>
      <c r="C136" t="str">
        <f t="shared" si="2"/>
        <v>317356</v>
      </c>
      <c r="D136">
        <v>317356</v>
      </c>
      <c r="E136">
        <v>317356008</v>
      </c>
      <c r="F136" t="s">
        <v>822</v>
      </c>
      <c r="G136" t="s">
        <v>314</v>
      </c>
      <c r="H136" t="s">
        <v>378</v>
      </c>
      <c r="I136" t="s">
        <v>35</v>
      </c>
      <c r="J136" t="s">
        <v>316</v>
      </c>
      <c r="K136" s="15" t="str">
        <f>VLOOKUP(I136,[2]LOOKUP!$A:$D,4,FALSE)</f>
        <v>RM</v>
      </c>
    </row>
    <row r="137" spans="1:11">
      <c r="A137" t="s">
        <v>376</v>
      </c>
      <c r="B137">
        <v>2</v>
      </c>
      <c r="C137" t="str">
        <f t="shared" si="2"/>
        <v>317356</v>
      </c>
      <c r="D137">
        <v>317356</v>
      </c>
      <c r="E137">
        <v>317356009</v>
      </c>
      <c r="F137" t="s">
        <v>823</v>
      </c>
      <c r="G137" t="s">
        <v>314</v>
      </c>
      <c r="H137" t="s">
        <v>378</v>
      </c>
      <c r="I137" t="s">
        <v>35</v>
      </c>
      <c r="J137" t="s">
        <v>316</v>
      </c>
      <c r="K137" s="15" t="str">
        <f>VLOOKUP(I137,[2]LOOKUP!$A:$D,4,FALSE)</f>
        <v>RM</v>
      </c>
    </row>
    <row r="138" spans="1:11">
      <c r="A138" t="s">
        <v>376</v>
      </c>
      <c r="B138">
        <v>2</v>
      </c>
      <c r="C138" t="str">
        <f t="shared" si="2"/>
        <v>317356</v>
      </c>
      <c r="D138">
        <v>317356</v>
      </c>
      <c r="E138">
        <v>317356010</v>
      </c>
      <c r="F138" t="s">
        <v>824</v>
      </c>
      <c r="G138" t="s">
        <v>314</v>
      </c>
      <c r="H138" t="s">
        <v>378</v>
      </c>
      <c r="I138" t="s">
        <v>35</v>
      </c>
      <c r="J138" t="s">
        <v>316</v>
      </c>
      <c r="K138" s="15" t="str">
        <f>VLOOKUP(I138,[2]LOOKUP!$A:$D,4,FALSE)</f>
        <v>RM</v>
      </c>
    </row>
    <row r="139" spans="1:11">
      <c r="A139" t="s">
        <v>376</v>
      </c>
      <c r="B139">
        <v>2</v>
      </c>
      <c r="C139" t="str">
        <f t="shared" si="2"/>
        <v>317356</v>
      </c>
      <c r="D139">
        <v>317356</v>
      </c>
      <c r="E139">
        <v>317356011</v>
      </c>
      <c r="F139" t="s">
        <v>825</v>
      </c>
      <c r="G139" t="s">
        <v>314</v>
      </c>
      <c r="H139" t="s">
        <v>378</v>
      </c>
      <c r="I139" t="s">
        <v>35</v>
      </c>
      <c r="J139" t="s">
        <v>316</v>
      </c>
      <c r="K139" s="15" t="str">
        <f>VLOOKUP(I139,[2]LOOKUP!$A:$D,4,FALSE)</f>
        <v>RM</v>
      </c>
    </row>
    <row r="140" spans="1:11">
      <c r="A140" t="s">
        <v>376</v>
      </c>
      <c r="B140">
        <v>2</v>
      </c>
      <c r="C140" t="str">
        <f t="shared" si="2"/>
        <v>317356</v>
      </c>
      <c r="D140">
        <v>317356</v>
      </c>
      <c r="E140">
        <v>317356012</v>
      </c>
      <c r="F140" t="s">
        <v>826</v>
      </c>
      <c r="G140" t="s">
        <v>314</v>
      </c>
      <c r="H140" t="s">
        <v>378</v>
      </c>
      <c r="I140" t="s">
        <v>35</v>
      </c>
      <c r="J140" t="s">
        <v>316</v>
      </c>
      <c r="K140" s="15" t="str">
        <f>VLOOKUP(I140,[2]LOOKUP!$A:$D,4,FALSE)</f>
        <v>RM</v>
      </c>
    </row>
    <row r="141" spans="1:11">
      <c r="A141" t="s">
        <v>376</v>
      </c>
      <c r="B141">
        <v>2</v>
      </c>
      <c r="C141" t="str">
        <f t="shared" si="2"/>
        <v>317356</v>
      </c>
      <c r="D141">
        <v>317356</v>
      </c>
      <c r="E141">
        <v>317356013</v>
      </c>
      <c r="F141" t="s">
        <v>827</v>
      </c>
      <c r="G141" t="s">
        <v>314</v>
      </c>
      <c r="H141" t="s">
        <v>378</v>
      </c>
      <c r="I141" t="s">
        <v>35</v>
      </c>
      <c r="J141" t="s">
        <v>316</v>
      </c>
      <c r="K141" s="15" t="str">
        <f>VLOOKUP(I141,[2]LOOKUP!$A:$D,4,FALSE)</f>
        <v>RM</v>
      </c>
    </row>
    <row r="142" spans="1:11">
      <c r="A142" t="s">
        <v>376</v>
      </c>
      <c r="B142">
        <v>2</v>
      </c>
      <c r="C142" t="str">
        <f t="shared" si="2"/>
        <v>317356</v>
      </c>
      <c r="D142">
        <v>317356</v>
      </c>
      <c r="E142">
        <v>317356014</v>
      </c>
      <c r="F142" t="s">
        <v>828</v>
      </c>
      <c r="G142" t="s">
        <v>314</v>
      </c>
      <c r="H142" t="s">
        <v>378</v>
      </c>
      <c r="I142" t="s">
        <v>35</v>
      </c>
      <c r="J142" t="s">
        <v>316</v>
      </c>
      <c r="K142" s="15" t="str">
        <f>VLOOKUP(I142,[2]LOOKUP!$A:$D,4,FALSE)</f>
        <v>RM</v>
      </c>
    </row>
    <row r="143" spans="1:11">
      <c r="A143" t="s">
        <v>376</v>
      </c>
      <c r="B143">
        <v>2</v>
      </c>
      <c r="C143" t="str">
        <f t="shared" si="2"/>
        <v>317356</v>
      </c>
      <c r="D143">
        <v>317356</v>
      </c>
      <c r="E143">
        <v>317356015</v>
      </c>
      <c r="F143" t="s">
        <v>829</v>
      </c>
      <c r="G143" t="s">
        <v>314</v>
      </c>
      <c r="H143" t="s">
        <v>378</v>
      </c>
      <c r="I143" t="s">
        <v>35</v>
      </c>
      <c r="J143" t="s">
        <v>316</v>
      </c>
      <c r="K143" s="15" t="str">
        <f>VLOOKUP(I143,[2]LOOKUP!$A:$D,4,FALSE)</f>
        <v>RM</v>
      </c>
    </row>
    <row r="144" spans="1:11">
      <c r="A144" t="s">
        <v>376</v>
      </c>
      <c r="B144">
        <v>2</v>
      </c>
      <c r="C144" t="str">
        <f t="shared" si="2"/>
        <v>317356</v>
      </c>
      <c r="D144">
        <v>317356</v>
      </c>
      <c r="E144">
        <v>317356016</v>
      </c>
      <c r="F144" t="s">
        <v>830</v>
      </c>
      <c r="G144" t="s">
        <v>314</v>
      </c>
      <c r="H144" t="s">
        <v>378</v>
      </c>
      <c r="I144" t="s">
        <v>35</v>
      </c>
      <c r="J144" t="s">
        <v>316</v>
      </c>
      <c r="K144" s="15" t="str">
        <f>VLOOKUP(I144,[2]LOOKUP!$A:$D,4,FALSE)</f>
        <v>RM</v>
      </c>
    </row>
    <row r="145" spans="1:11">
      <c r="A145" t="s">
        <v>376</v>
      </c>
      <c r="B145">
        <v>2</v>
      </c>
      <c r="C145" t="str">
        <f t="shared" si="2"/>
        <v>317356</v>
      </c>
      <c r="D145">
        <v>317356</v>
      </c>
      <c r="E145">
        <v>317356017</v>
      </c>
      <c r="F145" t="s">
        <v>831</v>
      </c>
      <c r="G145" t="s">
        <v>314</v>
      </c>
      <c r="H145" t="s">
        <v>378</v>
      </c>
      <c r="I145" t="s">
        <v>35</v>
      </c>
      <c r="J145" t="s">
        <v>316</v>
      </c>
      <c r="K145" s="15" t="str">
        <f>VLOOKUP(I145,[2]LOOKUP!$A:$D,4,FALSE)</f>
        <v>RM</v>
      </c>
    </row>
    <row r="146" spans="1:11">
      <c r="A146" t="s">
        <v>376</v>
      </c>
      <c r="B146">
        <v>2</v>
      </c>
      <c r="C146" t="str">
        <f t="shared" si="2"/>
        <v>317356</v>
      </c>
      <c r="D146">
        <v>317356</v>
      </c>
      <c r="E146">
        <v>317356018</v>
      </c>
      <c r="F146" t="s">
        <v>832</v>
      </c>
      <c r="G146" t="s">
        <v>314</v>
      </c>
      <c r="H146" t="s">
        <v>378</v>
      </c>
      <c r="I146" t="s">
        <v>35</v>
      </c>
      <c r="J146" t="s">
        <v>316</v>
      </c>
      <c r="K146" s="15" t="str">
        <f>VLOOKUP(I146,[2]LOOKUP!$A:$D,4,FALSE)</f>
        <v>RM</v>
      </c>
    </row>
    <row r="147" spans="1:11">
      <c r="A147" t="s">
        <v>376</v>
      </c>
      <c r="B147">
        <v>2</v>
      </c>
      <c r="C147" t="str">
        <f t="shared" si="2"/>
        <v>317356</v>
      </c>
      <c r="D147">
        <v>317356</v>
      </c>
      <c r="E147">
        <v>317356019</v>
      </c>
      <c r="F147" t="s">
        <v>833</v>
      </c>
      <c r="G147" t="s">
        <v>314</v>
      </c>
      <c r="H147" t="s">
        <v>378</v>
      </c>
      <c r="I147" t="s">
        <v>35</v>
      </c>
      <c r="J147" t="s">
        <v>316</v>
      </c>
      <c r="K147" s="15" t="str">
        <f>VLOOKUP(I147,[2]LOOKUP!$A:$D,4,FALSE)</f>
        <v>RM</v>
      </c>
    </row>
    <row r="148" spans="1:11">
      <c r="A148" t="s">
        <v>376</v>
      </c>
      <c r="B148">
        <v>2</v>
      </c>
      <c r="C148" t="str">
        <f t="shared" si="2"/>
        <v>317356</v>
      </c>
      <c r="D148">
        <v>317356</v>
      </c>
      <c r="E148">
        <v>317356020</v>
      </c>
      <c r="F148" t="s">
        <v>834</v>
      </c>
      <c r="G148" t="s">
        <v>314</v>
      </c>
      <c r="H148" t="s">
        <v>378</v>
      </c>
      <c r="I148" t="s">
        <v>35</v>
      </c>
      <c r="J148" t="s">
        <v>316</v>
      </c>
      <c r="K148" s="15" t="str">
        <f>VLOOKUP(I148,[2]LOOKUP!$A:$D,4,FALSE)</f>
        <v>RM</v>
      </c>
    </row>
    <row r="149" spans="1:11">
      <c r="A149" t="s">
        <v>376</v>
      </c>
      <c r="B149">
        <v>2</v>
      </c>
      <c r="C149" t="str">
        <f t="shared" si="2"/>
        <v>317356</v>
      </c>
      <c r="D149">
        <v>317356</v>
      </c>
      <c r="E149">
        <v>317356021</v>
      </c>
      <c r="F149" t="s">
        <v>835</v>
      </c>
      <c r="G149" t="s">
        <v>314</v>
      </c>
      <c r="H149" t="s">
        <v>378</v>
      </c>
      <c r="I149" t="s">
        <v>35</v>
      </c>
      <c r="J149" t="s">
        <v>316</v>
      </c>
      <c r="K149" s="15" t="str">
        <f>VLOOKUP(I149,[2]LOOKUP!$A:$D,4,FALSE)</f>
        <v>RM</v>
      </c>
    </row>
    <row r="150" spans="1:11">
      <c r="A150" t="s">
        <v>376</v>
      </c>
      <c r="B150">
        <v>2</v>
      </c>
      <c r="C150" t="str">
        <f t="shared" si="2"/>
        <v>317356</v>
      </c>
      <c r="D150">
        <v>317356</v>
      </c>
      <c r="E150">
        <v>317356022</v>
      </c>
      <c r="F150" t="s">
        <v>836</v>
      </c>
      <c r="G150" t="s">
        <v>314</v>
      </c>
      <c r="H150" t="s">
        <v>378</v>
      </c>
      <c r="I150" t="s">
        <v>115</v>
      </c>
      <c r="J150" t="s">
        <v>420</v>
      </c>
      <c r="K150" s="15" t="str">
        <f>VLOOKUP(I150,[2]LOOKUP!$A:$D,4,FALSE)</f>
        <v>RM</v>
      </c>
    </row>
    <row r="151" spans="1:11">
      <c r="A151" t="s">
        <v>376</v>
      </c>
      <c r="B151">
        <v>2</v>
      </c>
      <c r="C151" t="str">
        <f t="shared" si="2"/>
        <v>317356</v>
      </c>
      <c r="D151">
        <v>317356</v>
      </c>
      <c r="E151">
        <v>317356023</v>
      </c>
      <c r="F151" t="s">
        <v>837</v>
      </c>
      <c r="G151" t="s">
        <v>314</v>
      </c>
      <c r="H151" t="s">
        <v>378</v>
      </c>
      <c r="I151" t="s">
        <v>115</v>
      </c>
      <c r="J151" t="s">
        <v>420</v>
      </c>
      <c r="K151" s="15" t="str">
        <f>VLOOKUP(I151,[2]LOOKUP!$A:$D,4,FALSE)</f>
        <v>RM</v>
      </c>
    </row>
    <row r="152" spans="1:11">
      <c r="A152" t="s">
        <v>376</v>
      </c>
      <c r="B152">
        <v>2</v>
      </c>
      <c r="C152" t="str">
        <f t="shared" si="2"/>
        <v>317356</v>
      </c>
      <c r="D152">
        <v>317356</v>
      </c>
      <c r="E152">
        <v>317356024</v>
      </c>
      <c r="F152" t="s">
        <v>838</v>
      </c>
      <c r="G152" t="s">
        <v>314</v>
      </c>
      <c r="H152" t="s">
        <v>378</v>
      </c>
      <c r="I152" t="s">
        <v>35</v>
      </c>
      <c r="J152" t="s">
        <v>316</v>
      </c>
      <c r="K152" s="15" t="str">
        <f>VLOOKUP(I152,[2]LOOKUP!$A:$D,4,FALSE)</f>
        <v>RM</v>
      </c>
    </row>
    <row r="153" spans="1:11">
      <c r="A153" t="s">
        <v>376</v>
      </c>
      <c r="B153">
        <v>2</v>
      </c>
      <c r="C153" t="str">
        <f t="shared" si="2"/>
        <v>317356</v>
      </c>
      <c r="D153">
        <v>317356</v>
      </c>
      <c r="E153">
        <v>317356025</v>
      </c>
      <c r="F153" t="s">
        <v>839</v>
      </c>
      <c r="G153" t="s">
        <v>314</v>
      </c>
      <c r="H153" t="s">
        <v>378</v>
      </c>
      <c r="I153" t="s">
        <v>35</v>
      </c>
      <c r="J153" t="s">
        <v>316</v>
      </c>
      <c r="K153" s="15" t="str">
        <f>VLOOKUP(I153,[2]LOOKUP!$A:$D,4,FALSE)</f>
        <v>RM</v>
      </c>
    </row>
    <row r="154" spans="1:11">
      <c r="A154" t="s">
        <v>376</v>
      </c>
      <c r="B154">
        <v>2</v>
      </c>
      <c r="C154" t="str">
        <f t="shared" si="2"/>
        <v>317356</v>
      </c>
      <c r="D154">
        <v>317356</v>
      </c>
      <c r="E154">
        <v>317356026</v>
      </c>
      <c r="F154" t="s">
        <v>840</v>
      </c>
      <c r="G154" t="s">
        <v>314</v>
      </c>
      <c r="H154" t="s">
        <v>378</v>
      </c>
      <c r="I154" t="s">
        <v>115</v>
      </c>
      <c r="J154" t="s">
        <v>420</v>
      </c>
      <c r="K154" s="15" t="str">
        <f>VLOOKUP(I154,[2]LOOKUP!$A:$D,4,FALSE)</f>
        <v>RM</v>
      </c>
    </row>
    <row r="155" spans="1:11">
      <c r="A155" t="s">
        <v>376</v>
      </c>
      <c r="B155">
        <v>2</v>
      </c>
      <c r="C155" t="str">
        <f t="shared" si="2"/>
        <v>317356</v>
      </c>
      <c r="D155">
        <v>317356</v>
      </c>
      <c r="E155">
        <v>317356027</v>
      </c>
      <c r="F155" t="s">
        <v>841</v>
      </c>
      <c r="G155" t="s">
        <v>314</v>
      </c>
      <c r="H155" t="s">
        <v>378</v>
      </c>
      <c r="I155" t="s">
        <v>35</v>
      </c>
      <c r="J155" t="s">
        <v>316</v>
      </c>
      <c r="K155" s="15" t="str">
        <f>VLOOKUP(I155,[2]LOOKUP!$A:$D,4,FALSE)</f>
        <v>RM</v>
      </c>
    </row>
    <row r="156" spans="1:11">
      <c r="A156" t="s">
        <v>376</v>
      </c>
      <c r="B156">
        <v>2</v>
      </c>
      <c r="C156" t="str">
        <f t="shared" si="2"/>
        <v>317356</v>
      </c>
      <c r="D156">
        <v>317356</v>
      </c>
      <c r="E156">
        <v>317356028</v>
      </c>
      <c r="F156" t="s">
        <v>842</v>
      </c>
      <c r="G156" t="s">
        <v>314</v>
      </c>
      <c r="H156" t="s">
        <v>378</v>
      </c>
      <c r="I156" t="s">
        <v>35</v>
      </c>
      <c r="J156" t="s">
        <v>316</v>
      </c>
      <c r="K156" s="15" t="str">
        <f>VLOOKUP(I156,[2]LOOKUP!$A:$D,4,FALSE)</f>
        <v>RM</v>
      </c>
    </row>
    <row r="157" spans="1:11">
      <c r="A157" t="s">
        <v>376</v>
      </c>
      <c r="B157">
        <v>2</v>
      </c>
      <c r="C157" t="str">
        <f t="shared" si="2"/>
        <v>317356</v>
      </c>
      <c r="D157">
        <v>317356</v>
      </c>
      <c r="E157">
        <v>317356029</v>
      </c>
      <c r="F157" t="s">
        <v>843</v>
      </c>
      <c r="G157" t="s">
        <v>314</v>
      </c>
      <c r="H157" t="s">
        <v>378</v>
      </c>
      <c r="I157" t="s">
        <v>35</v>
      </c>
      <c r="J157" t="s">
        <v>316</v>
      </c>
      <c r="K157" s="15" t="str">
        <f>VLOOKUP(I157,[2]LOOKUP!$A:$D,4,FALSE)</f>
        <v>RM</v>
      </c>
    </row>
    <row r="158" spans="1:11">
      <c r="A158" t="s">
        <v>376</v>
      </c>
      <c r="B158">
        <v>2</v>
      </c>
      <c r="C158" t="str">
        <f t="shared" si="2"/>
        <v>317356</v>
      </c>
      <c r="D158">
        <v>317356</v>
      </c>
      <c r="E158">
        <v>317356030</v>
      </c>
      <c r="F158" t="s">
        <v>844</v>
      </c>
      <c r="G158" t="s">
        <v>314</v>
      </c>
      <c r="H158" t="s">
        <v>378</v>
      </c>
      <c r="I158" t="s">
        <v>35</v>
      </c>
      <c r="J158" t="s">
        <v>316</v>
      </c>
      <c r="K158" s="15" t="str">
        <f>VLOOKUP(I158,[2]LOOKUP!$A:$D,4,FALSE)</f>
        <v>RM</v>
      </c>
    </row>
    <row r="159" spans="1:11">
      <c r="A159" t="s">
        <v>376</v>
      </c>
      <c r="B159">
        <v>2</v>
      </c>
      <c r="C159" t="str">
        <f t="shared" si="2"/>
        <v>317356</v>
      </c>
      <c r="D159">
        <v>317356</v>
      </c>
      <c r="E159">
        <v>317356031</v>
      </c>
      <c r="F159" t="s">
        <v>845</v>
      </c>
      <c r="G159" t="s">
        <v>314</v>
      </c>
      <c r="H159" t="s">
        <v>378</v>
      </c>
      <c r="I159" t="s">
        <v>35</v>
      </c>
      <c r="J159" t="s">
        <v>316</v>
      </c>
      <c r="K159" s="15" t="str">
        <f>VLOOKUP(I159,[2]LOOKUP!$A:$D,4,FALSE)</f>
        <v>RM</v>
      </c>
    </row>
    <row r="160" spans="1:11">
      <c r="A160" t="s">
        <v>376</v>
      </c>
      <c r="B160">
        <v>2</v>
      </c>
      <c r="C160" t="str">
        <f t="shared" si="2"/>
        <v>317356</v>
      </c>
      <c r="D160">
        <v>317356</v>
      </c>
      <c r="E160">
        <v>317356032</v>
      </c>
      <c r="F160" t="s">
        <v>846</v>
      </c>
      <c r="G160" t="s">
        <v>314</v>
      </c>
      <c r="H160" t="s">
        <v>378</v>
      </c>
      <c r="I160" t="s">
        <v>35</v>
      </c>
      <c r="J160" t="s">
        <v>316</v>
      </c>
      <c r="K160" s="15" t="str">
        <f>VLOOKUP(I160,[2]LOOKUP!$A:$D,4,FALSE)</f>
        <v>RM</v>
      </c>
    </row>
    <row r="161" spans="1:11">
      <c r="A161" t="s">
        <v>376</v>
      </c>
      <c r="B161">
        <v>2</v>
      </c>
      <c r="C161" t="str">
        <f t="shared" si="2"/>
        <v>317356</v>
      </c>
      <c r="D161">
        <v>317356</v>
      </c>
      <c r="E161">
        <v>317356033</v>
      </c>
      <c r="F161" t="s">
        <v>847</v>
      </c>
      <c r="G161" t="s">
        <v>314</v>
      </c>
      <c r="H161" t="s">
        <v>378</v>
      </c>
      <c r="I161" t="s">
        <v>35</v>
      </c>
      <c r="J161" t="s">
        <v>316</v>
      </c>
      <c r="K161" s="15" t="str">
        <f>VLOOKUP(I161,[2]LOOKUP!$A:$D,4,FALSE)</f>
        <v>RM</v>
      </c>
    </row>
    <row r="162" spans="1:11">
      <c r="A162" t="s">
        <v>376</v>
      </c>
      <c r="B162">
        <v>2</v>
      </c>
      <c r="C162" t="str">
        <f t="shared" si="2"/>
        <v>317356</v>
      </c>
      <c r="D162">
        <v>317356</v>
      </c>
      <c r="E162">
        <v>317356034</v>
      </c>
      <c r="F162" t="s">
        <v>848</v>
      </c>
      <c r="G162" t="s">
        <v>314</v>
      </c>
      <c r="H162" t="s">
        <v>378</v>
      </c>
      <c r="I162" t="s">
        <v>115</v>
      </c>
      <c r="J162" t="s">
        <v>420</v>
      </c>
      <c r="K162" s="15" t="str">
        <f>VLOOKUP(I162,[2]LOOKUP!$A:$D,4,FALSE)</f>
        <v>RM</v>
      </c>
    </row>
    <row r="163" spans="1:11">
      <c r="A163" t="s">
        <v>376</v>
      </c>
      <c r="B163">
        <v>2</v>
      </c>
      <c r="C163" t="str">
        <f t="shared" si="2"/>
        <v>317356</v>
      </c>
      <c r="D163">
        <v>317356</v>
      </c>
      <c r="E163">
        <v>317356035</v>
      </c>
      <c r="F163" t="s">
        <v>849</v>
      </c>
      <c r="G163" t="s">
        <v>314</v>
      </c>
      <c r="H163" t="s">
        <v>378</v>
      </c>
      <c r="I163" t="s">
        <v>35</v>
      </c>
      <c r="J163" t="s">
        <v>316</v>
      </c>
      <c r="K163" s="15" t="str">
        <f>VLOOKUP(I163,[2]LOOKUP!$A:$D,4,FALSE)</f>
        <v>RM</v>
      </c>
    </row>
    <row r="164" spans="1:11">
      <c r="A164" t="s">
        <v>376</v>
      </c>
      <c r="B164">
        <v>2</v>
      </c>
      <c r="C164" t="str">
        <f t="shared" si="2"/>
        <v>317356</v>
      </c>
      <c r="D164">
        <v>317356</v>
      </c>
      <c r="E164">
        <v>317356036</v>
      </c>
      <c r="F164" t="s">
        <v>850</v>
      </c>
      <c r="G164" t="s">
        <v>314</v>
      </c>
      <c r="H164" t="s">
        <v>378</v>
      </c>
      <c r="I164" t="s">
        <v>35</v>
      </c>
      <c r="J164" t="s">
        <v>316</v>
      </c>
      <c r="K164" s="15" t="str">
        <f>VLOOKUP(I164,[2]LOOKUP!$A:$D,4,FALSE)</f>
        <v>RM</v>
      </c>
    </row>
    <row r="165" spans="1:11">
      <c r="A165" t="s">
        <v>376</v>
      </c>
      <c r="B165">
        <v>2</v>
      </c>
      <c r="C165" t="str">
        <f t="shared" si="2"/>
        <v>317356</v>
      </c>
      <c r="D165">
        <v>317356</v>
      </c>
      <c r="E165">
        <v>317356037</v>
      </c>
      <c r="F165" t="s">
        <v>851</v>
      </c>
      <c r="G165" t="s">
        <v>314</v>
      </c>
      <c r="H165" t="s">
        <v>378</v>
      </c>
      <c r="I165" t="s">
        <v>115</v>
      </c>
      <c r="J165" t="s">
        <v>420</v>
      </c>
      <c r="K165" s="15" t="str">
        <f>VLOOKUP(I165,[2]LOOKUP!$A:$D,4,FALSE)</f>
        <v>RM</v>
      </c>
    </row>
    <row r="166" spans="1:11">
      <c r="A166" t="s">
        <v>376</v>
      </c>
      <c r="B166">
        <v>2</v>
      </c>
      <c r="C166" t="str">
        <f t="shared" si="2"/>
        <v>317356</v>
      </c>
      <c r="D166">
        <v>317356</v>
      </c>
      <c r="E166">
        <v>317356038</v>
      </c>
      <c r="F166" t="s">
        <v>852</v>
      </c>
      <c r="G166" t="s">
        <v>314</v>
      </c>
      <c r="H166" t="s">
        <v>378</v>
      </c>
      <c r="I166" t="s">
        <v>35</v>
      </c>
      <c r="J166" t="s">
        <v>316</v>
      </c>
      <c r="K166" s="15" t="str">
        <f>VLOOKUP(I166,[2]LOOKUP!$A:$D,4,FALSE)</f>
        <v>RM</v>
      </c>
    </row>
    <row r="167" spans="1:11">
      <c r="A167" t="s">
        <v>376</v>
      </c>
      <c r="B167">
        <v>2</v>
      </c>
      <c r="C167" t="str">
        <f t="shared" si="2"/>
        <v>317356</v>
      </c>
      <c r="D167">
        <v>317356</v>
      </c>
      <c r="E167">
        <v>317356039</v>
      </c>
      <c r="F167" t="s">
        <v>853</v>
      </c>
      <c r="G167" t="s">
        <v>314</v>
      </c>
      <c r="H167" t="s">
        <v>378</v>
      </c>
      <c r="I167" t="s">
        <v>35</v>
      </c>
      <c r="J167" t="s">
        <v>316</v>
      </c>
      <c r="K167" s="15" t="str">
        <f>VLOOKUP(I167,[2]LOOKUP!$A:$D,4,FALSE)</f>
        <v>RM</v>
      </c>
    </row>
    <row r="168" spans="1:11">
      <c r="A168" t="s">
        <v>376</v>
      </c>
      <c r="B168">
        <v>2</v>
      </c>
      <c r="C168" t="str">
        <f t="shared" si="2"/>
        <v>317356</v>
      </c>
      <c r="D168">
        <v>317356</v>
      </c>
      <c r="E168">
        <v>317356040</v>
      </c>
      <c r="F168" t="s">
        <v>854</v>
      </c>
      <c r="G168" t="s">
        <v>314</v>
      </c>
      <c r="H168" t="s">
        <v>378</v>
      </c>
      <c r="I168" t="s">
        <v>35</v>
      </c>
      <c r="J168" t="s">
        <v>316</v>
      </c>
      <c r="K168" s="15" t="str">
        <f>VLOOKUP(I168,[2]LOOKUP!$A:$D,4,FALSE)</f>
        <v>RM</v>
      </c>
    </row>
    <row r="169" spans="1:11">
      <c r="A169" t="s">
        <v>376</v>
      </c>
      <c r="B169">
        <v>2</v>
      </c>
      <c r="C169" t="str">
        <f t="shared" si="2"/>
        <v>317356</v>
      </c>
      <c r="D169">
        <v>317356</v>
      </c>
      <c r="E169">
        <v>317356041</v>
      </c>
      <c r="F169" t="s">
        <v>855</v>
      </c>
      <c r="G169" t="s">
        <v>314</v>
      </c>
      <c r="H169" t="s">
        <v>378</v>
      </c>
      <c r="I169" t="s">
        <v>35</v>
      </c>
      <c r="J169" t="s">
        <v>316</v>
      </c>
      <c r="K169" s="15" t="str">
        <f>VLOOKUP(I169,[2]LOOKUP!$A:$D,4,FALSE)</f>
        <v>RM</v>
      </c>
    </row>
    <row r="170" spans="1:11">
      <c r="A170" t="s">
        <v>376</v>
      </c>
      <c r="B170">
        <v>2</v>
      </c>
      <c r="C170" t="str">
        <f t="shared" si="2"/>
        <v>317356</v>
      </c>
      <c r="D170">
        <v>317356</v>
      </c>
      <c r="E170">
        <v>317356042</v>
      </c>
      <c r="F170" t="s">
        <v>856</v>
      </c>
      <c r="G170" t="s">
        <v>314</v>
      </c>
      <c r="H170" t="s">
        <v>378</v>
      </c>
      <c r="I170" t="s">
        <v>35</v>
      </c>
      <c r="J170" t="s">
        <v>316</v>
      </c>
      <c r="K170" s="15" t="str">
        <f>VLOOKUP(I170,[2]LOOKUP!$A:$D,4,FALSE)</f>
        <v>RM</v>
      </c>
    </row>
    <row r="171" spans="1:11">
      <c r="A171" t="s">
        <v>376</v>
      </c>
      <c r="B171">
        <v>2</v>
      </c>
      <c r="C171" t="str">
        <f t="shared" si="2"/>
        <v>317356</v>
      </c>
      <c r="D171">
        <v>317356</v>
      </c>
      <c r="E171">
        <v>317356043</v>
      </c>
      <c r="F171" t="s">
        <v>857</v>
      </c>
      <c r="G171" t="s">
        <v>314</v>
      </c>
      <c r="H171" t="s">
        <v>378</v>
      </c>
      <c r="I171" t="s">
        <v>35</v>
      </c>
      <c r="J171" t="s">
        <v>316</v>
      </c>
      <c r="K171" s="15" t="str">
        <f>VLOOKUP(I171,[2]LOOKUP!$A:$D,4,FALSE)</f>
        <v>RM</v>
      </c>
    </row>
    <row r="172" spans="1:11">
      <c r="A172" t="s">
        <v>376</v>
      </c>
      <c r="B172">
        <v>2</v>
      </c>
      <c r="C172" t="str">
        <f t="shared" si="2"/>
        <v>317356</v>
      </c>
      <c r="D172">
        <v>317356</v>
      </c>
      <c r="E172">
        <v>317356044</v>
      </c>
      <c r="F172" t="s">
        <v>858</v>
      </c>
      <c r="G172" t="s">
        <v>314</v>
      </c>
      <c r="H172" t="s">
        <v>378</v>
      </c>
      <c r="I172" t="s">
        <v>35</v>
      </c>
      <c r="J172" t="s">
        <v>316</v>
      </c>
      <c r="K172" s="15" t="str">
        <f>VLOOKUP(I172,[2]LOOKUP!$A:$D,4,FALSE)</f>
        <v>RM</v>
      </c>
    </row>
    <row r="173" spans="1:11">
      <c r="A173" t="s">
        <v>376</v>
      </c>
      <c r="B173">
        <v>2</v>
      </c>
      <c r="C173" t="str">
        <f t="shared" si="2"/>
        <v>317356</v>
      </c>
      <c r="D173">
        <v>317356</v>
      </c>
      <c r="E173">
        <v>317356045</v>
      </c>
      <c r="F173" t="s">
        <v>859</v>
      </c>
      <c r="G173" t="s">
        <v>314</v>
      </c>
      <c r="H173" t="s">
        <v>378</v>
      </c>
      <c r="I173" t="s">
        <v>35</v>
      </c>
      <c r="J173" t="s">
        <v>316</v>
      </c>
      <c r="K173" s="15" t="str">
        <f>VLOOKUP(I173,[2]LOOKUP!$A:$D,4,FALSE)</f>
        <v>RM</v>
      </c>
    </row>
    <row r="174" spans="1:11">
      <c r="A174" t="s">
        <v>376</v>
      </c>
      <c r="B174">
        <v>2</v>
      </c>
      <c r="C174" t="str">
        <f t="shared" si="2"/>
        <v>317356</v>
      </c>
      <c r="D174">
        <v>317356</v>
      </c>
      <c r="E174">
        <v>317356046</v>
      </c>
      <c r="F174" t="s">
        <v>860</v>
      </c>
      <c r="G174" t="s">
        <v>314</v>
      </c>
      <c r="H174" t="s">
        <v>378</v>
      </c>
      <c r="I174" t="s">
        <v>35</v>
      </c>
      <c r="J174" t="s">
        <v>316</v>
      </c>
      <c r="K174" s="15" t="str">
        <f>VLOOKUP(I174,[2]LOOKUP!$A:$D,4,FALSE)</f>
        <v>RM</v>
      </c>
    </row>
    <row r="175" spans="1:11">
      <c r="A175" t="s">
        <v>376</v>
      </c>
      <c r="B175">
        <v>2</v>
      </c>
      <c r="C175" t="str">
        <f t="shared" si="2"/>
        <v>317356</v>
      </c>
      <c r="D175">
        <v>317356</v>
      </c>
      <c r="E175">
        <v>317356047</v>
      </c>
      <c r="F175" t="s">
        <v>861</v>
      </c>
      <c r="G175" t="s">
        <v>314</v>
      </c>
      <c r="H175" t="s">
        <v>378</v>
      </c>
      <c r="I175" t="s">
        <v>35</v>
      </c>
      <c r="J175" t="s">
        <v>316</v>
      </c>
      <c r="K175" s="15" t="str">
        <f>VLOOKUP(I175,[2]LOOKUP!$A:$D,4,FALSE)</f>
        <v>RM</v>
      </c>
    </row>
    <row r="176" spans="1:11">
      <c r="A176" t="s">
        <v>376</v>
      </c>
      <c r="B176">
        <v>2</v>
      </c>
      <c r="C176" t="str">
        <f t="shared" si="2"/>
        <v>317356</v>
      </c>
      <c r="D176">
        <v>317356</v>
      </c>
      <c r="E176">
        <v>317356048</v>
      </c>
      <c r="F176" t="s">
        <v>862</v>
      </c>
      <c r="G176" t="s">
        <v>314</v>
      </c>
      <c r="H176" t="s">
        <v>378</v>
      </c>
      <c r="I176" t="s">
        <v>35</v>
      </c>
      <c r="J176" t="s">
        <v>316</v>
      </c>
      <c r="K176" s="15" t="str">
        <f>VLOOKUP(I176,[2]LOOKUP!$A:$D,4,FALSE)</f>
        <v>RM</v>
      </c>
    </row>
    <row r="177" spans="1:11">
      <c r="A177" t="s">
        <v>376</v>
      </c>
      <c r="B177">
        <v>2</v>
      </c>
      <c r="C177" t="str">
        <f t="shared" si="2"/>
        <v>317356</v>
      </c>
      <c r="D177">
        <v>317356</v>
      </c>
      <c r="E177">
        <v>317356049</v>
      </c>
      <c r="F177" t="s">
        <v>863</v>
      </c>
      <c r="G177" t="s">
        <v>314</v>
      </c>
      <c r="H177" t="s">
        <v>378</v>
      </c>
      <c r="I177" t="s">
        <v>35</v>
      </c>
      <c r="J177" t="s">
        <v>316</v>
      </c>
      <c r="K177" s="15" t="str">
        <f>VLOOKUP(I177,[2]LOOKUP!$A:$D,4,FALSE)</f>
        <v>RM</v>
      </c>
    </row>
    <row r="178" spans="1:11">
      <c r="A178" t="s">
        <v>376</v>
      </c>
      <c r="B178">
        <v>2</v>
      </c>
      <c r="C178" t="str">
        <f t="shared" si="2"/>
        <v>317356</v>
      </c>
      <c r="D178">
        <v>317356</v>
      </c>
      <c r="E178">
        <v>317356050</v>
      </c>
      <c r="F178" t="s">
        <v>864</v>
      </c>
      <c r="G178" t="s">
        <v>314</v>
      </c>
      <c r="H178" t="s">
        <v>378</v>
      </c>
      <c r="I178" t="s">
        <v>35</v>
      </c>
      <c r="J178" t="s">
        <v>316</v>
      </c>
      <c r="K178" s="15" t="str">
        <f>VLOOKUP(I178,[2]LOOKUP!$A:$D,4,FALSE)</f>
        <v>RM</v>
      </c>
    </row>
    <row r="179" spans="1:11">
      <c r="A179" t="s">
        <v>376</v>
      </c>
      <c r="B179">
        <v>2</v>
      </c>
      <c r="C179" t="str">
        <f t="shared" si="2"/>
        <v>317356</v>
      </c>
      <c r="D179">
        <v>317356</v>
      </c>
      <c r="E179">
        <v>317356051</v>
      </c>
      <c r="F179" t="s">
        <v>865</v>
      </c>
      <c r="G179" t="s">
        <v>314</v>
      </c>
      <c r="H179" t="s">
        <v>378</v>
      </c>
      <c r="I179" t="s">
        <v>35</v>
      </c>
      <c r="J179" t="s">
        <v>316</v>
      </c>
      <c r="K179" s="15" t="str">
        <f>VLOOKUP(I179,[2]LOOKUP!$A:$D,4,FALSE)</f>
        <v>RM</v>
      </c>
    </row>
    <row r="180" spans="1:11">
      <c r="A180" t="s">
        <v>376</v>
      </c>
      <c r="B180">
        <v>2</v>
      </c>
      <c r="C180" t="str">
        <f t="shared" si="2"/>
        <v>317356</v>
      </c>
      <c r="D180">
        <v>317356</v>
      </c>
      <c r="E180">
        <v>317356052</v>
      </c>
      <c r="F180" t="s">
        <v>866</v>
      </c>
      <c r="G180" t="s">
        <v>314</v>
      </c>
      <c r="H180" t="s">
        <v>378</v>
      </c>
      <c r="I180" t="s">
        <v>115</v>
      </c>
      <c r="J180" t="s">
        <v>420</v>
      </c>
      <c r="K180" s="15" t="str">
        <f>VLOOKUP(I180,[2]LOOKUP!$A:$D,4,FALSE)</f>
        <v>RM</v>
      </c>
    </row>
    <row r="181" spans="1:11">
      <c r="A181" t="s">
        <v>376</v>
      </c>
      <c r="B181">
        <v>2</v>
      </c>
      <c r="C181" t="str">
        <f t="shared" si="2"/>
        <v>317356</v>
      </c>
      <c r="D181">
        <v>317356</v>
      </c>
      <c r="E181">
        <v>317356053</v>
      </c>
      <c r="F181" t="s">
        <v>867</v>
      </c>
      <c r="G181" t="s">
        <v>314</v>
      </c>
      <c r="H181" t="s">
        <v>378</v>
      </c>
      <c r="I181" t="s">
        <v>35</v>
      </c>
      <c r="J181" t="s">
        <v>316</v>
      </c>
      <c r="K181" s="15" t="str">
        <f>VLOOKUP(I181,[2]LOOKUP!$A:$D,4,FALSE)</f>
        <v>RM</v>
      </c>
    </row>
    <row r="182" spans="1:11">
      <c r="A182" t="s">
        <v>376</v>
      </c>
      <c r="B182">
        <v>2</v>
      </c>
      <c r="C182" t="str">
        <f t="shared" si="2"/>
        <v>317356</v>
      </c>
      <c r="D182">
        <v>317356</v>
      </c>
      <c r="E182">
        <v>317356054</v>
      </c>
      <c r="F182" t="s">
        <v>868</v>
      </c>
      <c r="G182" t="s">
        <v>314</v>
      </c>
      <c r="H182" t="s">
        <v>378</v>
      </c>
      <c r="I182" t="s">
        <v>35</v>
      </c>
      <c r="J182" t="s">
        <v>316</v>
      </c>
      <c r="K182" s="15" t="str">
        <f>VLOOKUP(I182,[2]LOOKUP!$A:$D,4,FALSE)</f>
        <v>RM</v>
      </c>
    </row>
    <row r="183" spans="1:11">
      <c r="A183" t="s">
        <v>376</v>
      </c>
      <c r="B183">
        <v>2</v>
      </c>
      <c r="C183" t="str">
        <f t="shared" si="2"/>
        <v>317356</v>
      </c>
      <c r="D183">
        <v>317356</v>
      </c>
      <c r="E183">
        <v>317356055</v>
      </c>
      <c r="F183" t="s">
        <v>869</v>
      </c>
      <c r="G183" t="s">
        <v>314</v>
      </c>
      <c r="H183" t="s">
        <v>378</v>
      </c>
      <c r="I183" t="s">
        <v>35</v>
      </c>
      <c r="J183" t="s">
        <v>316</v>
      </c>
      <c r="K183" s="15" t="str">
        <f>VLOOKUP(I183,[2]LOOKUP!$A:$D,4,FALSE)</f>
        <v>RM</v>
      </c>
    </row>
    <row r="184" spans="1:11">
      <c r="A184" t="s">
        <v>376</v>
      </c>
      <c r="B184">
        <v>2</v>
      </c>
      <c r="C184" t="str">
        <f t="shared" si="2"/>
        <v>317356</v>
      </c>
      <c r="D184">
        <v>317356</v>
      </c>
      <c r="E184">
        <v>317356056</v>
      </c>
      <c r="F184" t="s">
        <v>870</v>
      </c>
      <c r="G184" t="s">
        <v>314</v>
      </c>
      <c r="H184" t="s">
        <v>378</v>
      </c>
      <c r="I184" t="s">
        <v>35</v>
      </c>
      <c r="J184" t="s">
        <v>316</v>
      </c>
      <c r="K184" s="15" t="str">
        <f>VLOOKUP(I184,[2]LOOKUP!$A:$D,4,FALSE)</f>
        <v>RM</v>
      </c>
    </row>
    <row r="185" spans="1:11">
      <c r="A185" t="s">
        <v>376</v>
      </c>
      <c r="B185">
        <v>2</v>
      </c>
      <c r="C185" t="str">
        <f t="shared" si="2"/>
        <v>317356</v>
      </c>
      <c r="D185">
        <v>317356</v>
      </c>
      <c r="E185">
        <v>317356057</v>
      </c>
      <c r="F185" t="s">
        <v>871</v>
      </c>
      <c r="G185" t="s">
        <v>314</v>
      </c>
      <c r="H185" t="s">
        <v>378</v>
      </c>
      <c r="I185" t="s">
        <v>35</v>
      </c>
      <c r="J185" t="s">
        <v>316</v>
      </c>
      <c r="K185" s="15" t="str">
        <f>VLOOKUP(I185,[2]LOOKUP!$A:$D,4,FALSE)</f>
        <v>RM</v>
      </c>
    </row>
    <row r="186" spans="1:11">
      <c r="A186" t="s">
        <v>376</v>
      </c>
      <c r="B186">
        <v>2</v>
      </c>
      <c r="C186" t="str">
        <f t="shared" si="2"/>
        <v>317356</v>
      </c>
      <c r="D186">
        <v>317356</v>
      </c>
      <c r="E186">
        <v>317356058</v>
      </c>
      <c r="F186" t="s">
        <v>872</v>
      </c>
      <c r="G186" t="s">
        <v>314</v>
      </c>
      <c r="H186" t="s">
        <v>378</v>
      </c>
      <c r="I186" t="s">
        <v>35</v>
      </c>
      <c r="J186" t="s">
        <v>316</v>
      </c>
      <c r="K186" s="15" t="str">
        <f>VLOOKUP(I186,[2]LOOKUP!$A:$D,4,FALSE)</f>
        <v>RM</v>
      </c>
    </row>
    <row r="187" spans="1:11">
      <c r="A187" t="s">
        <v>376</v>
      </c>
      <c r="B187">
        <v>2</v>
      </c>
      <c r="C187" t="str">
        <f t="shared" si="2"/>
        <v>317356</v>
      </c>
      <c r="D187">
        <v>317356</v>
      </c>
      <c r="E187">
        <v>317356059</v>
      </c>
      <c r="F187" t="s">
        <v>873</v>
      </c>
      <c r="G187" t="s">
        <v>314</v>
      </c>
      <c r="H187" t="s">
        <v>378</v>
      </c>
      <c r="I187" t="s">
        <v>35</v>
      </c>
      <c r="J187" t="s">
        <v>316</v>
      </c>
      <c r="K187" s="15" t="str">
        <f>VLOOKUP(I187,[2]LOOKUP!$A:$D,4,FALSE)</f>
        <v>RM</v>
      </c>
    </row>
    <row r="188" spans="1:11">
      <c r="A188" t="s">
        <v>376</v>
      </c>
      <c r="B188">
        <v>2</v>
      </c>
      <c r="C188" t="str">
        <f t="shared" si="2"/>
        <v>317356</v>
      </c>
      <c r="D188">
        <v>317356</v>
      </c>
      <c r="E188">
        <v>317356060</v>
      </c>
      <c r="F188" t="s">
        <v>874</v>
      </c>
      <c r="G188" t="s">
        <v>314</v>
      </c>
      <c r="H188" t="s">
        <v>378</v>
      </c>
      <c r="I188" t="s">
        <v>35</v>
      </c>
      <c r="J188" t="s">
        <v>316</v>
      </c>
      <c r="K188" s="15" t="str">
        <f>VLOOKUP(I188,[2]LOOKUP!$A:$D,4,FALSE)</f>
        <v>RM</v>
      </c>
    </row>
    <row r="189" spans="1:11">
      <c r="A189" t="s">
        <v>376</v>
      </c>
      <c r="B189">
        <v>2</v>
      </c>
      <c r="C189" t="str">
        <f t="shared" si="2"/>
        <v>317356</v>
      </c>
      <c r="D189">
        <v>317356</v>
      </c>
      <c r="E189">
        <v>317356061</v>
      </c>
      <c r="F189" t="s">
        <v>875</v>
      </c>
      <c r="G189" t="s">
        <v>314</v>
      </c>
      <c r="H189" t="s">
        <v>378</v>
      </c>
      <c r="I189" t="s">
        <v>35</v>
      </c>
      <c r="J189" t="s">
        <v>316</v>
      </c>
      <c r="K189" s="15" t="str">
        <f>VLOOKUP(I189,[2]LOOKUP!$A:$D,4,FALSE)</f>
        <v>RM</v>
      </c>
    </row>
    <row r="190" spans="1:11">
      <c r="A190" t="s">
        <v>376</v>
      </c>
      <c r="B190">
        <v>2</v>
      </c>
      <c r="C190" t="str">
        <f t="shared" si="2"/>
        <v>317356</v>
      </c>
      <c r="D190">
        <v>317356</v>
      </c>
      <c r="E190">
        <v>317356062</v>
      </c>
      <c r="F190" t="s">
        <v>876</v>
      </c>
      <c r="G190" t="s">
        <v>314</v>
      </c>
      <c r="H190" t="s">
        <v>378</v>
      </c>
      <c r="I190" t="s">
        <v>35</v>
      </c>
      <c r="J190" t="s">
        <v>316</v>
      </c>
      <c r="K190" s="15" t="str">
        <f>VLOOKUP(I190,[2]LOOKUP!$A:$D,4,FALSE)</f>
        <v>RM</v>
      </c>
    </row>
    <row r="191" spans="1:11">
      <c r="A191" t="s">
        <v>376</v>
      </c>
      <c r="B191">
        <v>2</v>
      </c>
      <c r="C191" t="str">
        <f t="shared" si="2"/>
        <v>317356</v>
      </c>
      <c r="D191">
        <v>317356</v>
      </c>
      <c r="E191">
        <v>317356063</v>
      </c>
      <c r="F191" t="s">
        <v>877</v>
      </c>
      <c r="G191" t="s">
        <v>314</v>
      </c>
      <c r="H191" t="s">
        <v>378</v>
      </c>
      <c r="I191" t="s">
        <v>35</v>
      </c>
      <c r="J191" t="s">
        <v>316</v>
      </c>
      <c r="K191" s="15" t="str">
        <f>VLOOKUP(I191,[2]LOOKUP!$A:$D,4,FALSE)</f>
        <v>RM</v>
      </c>
    </row>
    <row r="192" spans="1:11">
      <c r="A192" t="s">
        <v>376</v>
      </c>
      <c r="B192">
        <v>2</v>
      </c>
      <c r="C192" t="str">
        <f t="shared" si="2"/>
        <v>317356</v>
      </c>
      <c r="D192">
        <v>317356</v>
      </c>
      <c r="E192">
        <v>317356064</v>
      </c>
      <c r="F192" t="s">
        <v>878</v>
      </c>
      <c r="G192" t="s">
        <v>314</v>
      </c>
      <c r="H192" t="s">
        <v>378</v>
      </c>
      <c r="I192" t="s">
        <v>35</v>
      </c>
      <c r="J192" t="s">
        <v>316</v>
      </c>
      <c r="K192" s="15" t="str">
        <f>VLOOKUP(I192,[2]LOOKUP!$A:$D,4,FALSE)</f>
        <v>RM</v>
      </c>
    </row>
    <row r="193" spans="1:11">
      <c r="A193" t="s">
        <v>376</v>
      </c>
      <c r="B193">
        <v>2</v>
      </c>
      <c r="C193" t="str">
        <f t="shared" si="2"/>
        <v>317356</v>
      </c>
      <c r="D193">
        <v>317356</v>
      </c>
      <c r="E193">
        <v>317356065</v>
      </c>
      <c r="F193" t="s">
        <v>879</v>
      </c>
      <c r="G193" t="s">
        <v>314</v>
      </c>
      <c r="H193" t="s">
        <v>378</v>
      </c>
      <c r="I193" t="s">
        <v>115</v>
      </c>
      <c r="J193" t="s">
        <v>420</v>
      </c>
      <c r="K193" s="15" t="str">
        <f>VLOOKUP(I193,[2]LOOKUP!$A:$D,4,FALSE)</f>
        <v>RM</v>
      </c>
    </row>
    <row r="194" spans="1:11">
      <c r="A194" t="s">
        <v>376</v>
      </c>
      <c r="B194">
        <v>2</v>
      </c>
      <c r="C194" t="str">
        <f t="shared" si="2"/>
        <v>317356</v>
      </c>
      <c r="D194">
        <v>317356</v>
      </c>
      <c r="E194">
        <v>317356066</v>
      </c>
      <c r="F194" t="s">
        <v>880</v>
      </c>
      <c r="G194" t="s">
        <v>314</v>
      </c>
      <c r="H194" t="s">
        <v>378</v>
      </c>
      <c r="I194" t="s">
        <v>35</v>
      </c>
      <c r="J194" t="s">
        <v>316</v>
      </c>
      <c r="K194" s="15" t="str">
        <f>VLOOKUP(I194,[2]LOOKUP!$A:$D,4,FALSE)</f>
        <v>RM</v>
      </c>
    </row>
    <row r="195" spans="1:11">
      <c r="A195" t="s">
        <v>376</v>
      </c>
      <c r="B195">
        <v>2</v>
      </c>
      <c r="C195" t="str">
        <f t="shared" ref="C195:C258" si="3">LEFT(E195,6)</f>
        <v>317356</v>
      </c>
      <c r="D195">
        <v>317356</v>
      </c>
      <c r="E195">
        <v>317356067</v>
      </c>
      <c r="F195" t="s">
        <v>881</v>
      </c>
      <c r="G195" t="s">
        <v>314</v>
      </c>
      <c r="H195" t="s">
        <v>378</v>
      </c>
      <c r="I195" t="s">
        <v>35</v>
      </c>
      <c r="J195" t="s">
        <v>316</v>
      </c>
      <c r="K195" s="15" t="str">
        <f>VLOOKUP(I195,[2]LOOKUP!$A:$D,4,FALSE)</f>
        <v>RM</v>
      </c>
    </row>
    <row r="196" spans="1:11">
      <c r="A196" t="s">
        <v>376</v>
      </c>
      <c r="B196">
        <v>2</v>
      </c>
      <c r="C196" t="str">
        <f t="shared" si="3"/>
        <v>317356</v>
      </c>
      <c r="D196">
        <v>317356</v>
      </c>
      <c r="E196">
        <v>317356068</v>
      </c>
      <c r="F196" t="s">
        <v>882</v>
      </c>
      <c r="G196" t="s">
        <v>314</v>
      </c>
      <c r="H196" t="s">
        <v>378</v>
      </c>
      <c r="I196" t="s">
        <v>35</v>
      </c>
      <c r="J196" t="s">
        <v>316</v>
      </c>
      <c r="K196" s="15" t="str">
        <f>VLOOKUP(I196,[2]LOOKUP!$A:$D,4,FALSE)</f>
        <v>RM</v>
      </c>
    </row>
    <row r="197" spans="1:11">
      <c r="A197" t="s">
        <v>376</v>
      </c>
      <c r="B197">
        <v>2</v>
      </c>
      <c r="C197" t="str">
        <f t="shared" si="3"/>
        <v>317356</v>
      </c>
      <c r="D197">
        <v>317356</v>
      </c>
      <c r="E197">
        <v>317356069</v>
      </c>
      <c r="F197" t="s">
        <v>883</v>
      </c>
      <c r="G197" t="s">
        <v>314</v>
      </c>
      <c r="H197" t="s">
        <v>378</v>
      </c>
      <c r="I197" t="s">
        <v>35</v>
      </c>
      <c r="J197" t="s">
        <v>316</v>
      </c>
      <c r="K197" s="15" t="str">
        <f>VLOOKUP(I197,[2]LOOKUP!$A:$D,4,FALSE)</f>
        <v>RM</v>
      </c>
    </row>
    <row r="198" spans="1:11">
      <c r="A198" t="s">
        <v>376</v>
      </c>
      <c r="B198">
        <v>2</v>
      </c>
      <c r="C198" t="str">
        <f t="shared" si="3"/>
        <v>317356</v>
      </c>
      <c r="D198">
        <v>317356</v>
      </c>
      <c r="E198">
        <v>317356070</v>
      </c>
      <c r="F198" t="s">
        <v>884</v>
      </c>
      <c r="G198" t="s">
        <v>314</v>
      </c>
      <c r="H198" t="s">
        <v>378</v>
      </c>
      <c r="I198" t="s">
        <v>35</v>
      </c>
      <c r="J198" t="s">
        <v>316</v>
      </c>
      <c r="K198" s="15" t="str">
        <f>VLOOKUP(I198,[2]LOOKUP!$A:$D,4,FALSE)</f>
        <v>RM</v>
      </c>
    </row>
    <row r="199" spans="1:11">
      <c r="A199" t="s">
        <v>376</v>
      </c>
      <c r="B199">
        <v>2</v>
      </c>
      <c r="C199" t="str">
        <f t="shared" si="3"/>
        <v>317356</v>
      </c>
      <c r="D199">
        <v>317356</v>
      </c>
      <c r="E199">
        <v>317356071</v>
      </c>
      <c r="F199" t="s">
        <v>885</v>
      </c>
      <c r="G199" t="s">
        <v>314</v>
      </c>
      <c r="H199" t="s">
        <v>378</v>
      </c>
      <c r="I199" t="s">
        <v>115</v>
      </c>
      <c r="J199" t="s">
        <v>420</v>
      </c>
      <c r="K199" s="15" t="str">
        <f>VLOOKUP(I199,[2]LOOKUP!$A:$D,4,FALSE)</f>
        <v>RM</v>
      </c>
    </row>
    <row r="200" spans="1:11">
      <c r="A200" t="s">
        <v>376</v>
      </c>
      <c r="B200">
        <v>2</v>
      </c>
      <c r="C200" t="str">
        <f t="shared" si="3"/>
        <v>317356</v>
      </c>
      <c r="D200">
        <v>317356</v>
      </c>
      <c r="E200">
        <v>317356072</v>
      </c>
      <c r="F200" t="s">
        <v>886</v>
      </c>
      <c r="G200" t="s">
        <v>314</v>
      </c>
      <c r="H200" t="s">
        <v>378</v>
      </c>
      <c r="I200" t="s">
        <v>115</v>
      </c>
      <c r="J200" t="s">
        <v>420</v>
      </c>
      <c r="K200" s="15" t="str">
        <f>VLOOKUP(I200,[2]LOOKUP!$A:$D,4,FALSE)</f>
        <v>RM</v>
      </c>
    </row>
    <row r="201" spans="1:11">
      <c r="A201" t="s">
        <v>376</v>
      </c>
      <c r="B201">
        <v>2</v>
      </c>
      <c r="C201" t="str">
        <f t="shared" si="3"/>
        <v>317356</v>
      </c>
      <c r="D201">
        <v>317356</v>
      </c>
      <c r="E201">
        <v>317356073</v>
      </c>
      <c r="F201" t="s">
        <v>887</v>
      </c>
      <c r="G201" t="s">
        <v>314</v>
      </c>
      <c r="H201" t="s">
        <v>378</v>
      </c>
      <c r="I201" t="s">
        <v>115</v>
      </c>
      <c r="J201" t="s">
        <v>420</v>
      </c>
      <c r="K201" s="15" t="str">
        <f>VLOOKUP(I201,[2]LOOKUP!$A:$D,4,FALSE)</f>
        <v>RM</v>
      </c>
    </row>
    <row r="202" spans="1:11">
      <c r="A202" t="s">
        <v>376</v>
      </c>
      <c r="B202">
        <v>2</v>
      </c>
      <c r="C202" t="str">
        <f t="shared" si="3"/>
        <v>317356</v>
      </c>
      <c r="D202">
        <v>317356</v>
      </c>
      <c r="E202">
        <v>317356074</v>
      </c>
      <c r="F202" t="s">
        <v>888</v>
      </c>
      <c r="G202" t="s">
        <v>314</v>
      </c>
      <c r="H202" t="s">
        <v>378</v>
      </c>
      <c r="I202" t="s">
        <v>35</v>
      </c>
      <c r="J202" t="s">
        <v>316</v>
      </c>
      <c r="K202" s="15" t="str">
        <f>VLOOKUP(I202,[2]LOOKUP!$A:$D,4,FALSE)</f>
        <v>RM</v>
      </c>
    </row>
    <row r="203" spans="1:11">
      <c r="A203" t="s">
        <v>376</v>
      </c>
      <c r="B203">
        <v>2</v>
      </c>
      <c r="C203" t="str">
        <f t="shared" si="3"/>
        <v>317356</v>
      </c>
      <c r="D203">
        <v>317356</v>
      </c>
      <c r="E203">
        <v>317356075</v>
      </c>
      <c r="F203" t="s">
        <v>889</v>
      </c>
      <c r="G203" t="s">
        <v>314</v>
      </c>
      <c r="H203" t="s">
        <v>378</v>
      </c>
      <c r="I203" t="s">
        <v>35</v>
      </c>
      <c r="J203" t="s">
        <v>316</v>
      </c>
      <c r="K203" s="15" t="str">
        <f>VLOOKUP(I203,[2]LOOKUP!$A:$D,4,FALSE)</f>
        <v>RM</v>
      </c>
    </row>
    <row r="204" spans="1:11">
      <c r="A204" t="s">
        <v>376</v>
      </c>
      <c r="B204">
        <v>2</v>
      </c>
      <c r="C204" t="str">
        <f t="shared" si="3"/>
        <v>317356</v>
      </c>
      <c r="D204">
        <v>317356</v>
      </c>
      <c r="E204">
        <v>317356076</v>
      </c>
      <c r="F204" t="s">
        <v>890</v>
      </c>
      <c r="G204" t="s">
        <v>314</v>
      </c>
      <c r="H204" t="s">
        <v>378</v>
      </c>
      <c r="I204" t="s">
        <v>35</v>
      </c>
      <c r="J204" t="s">
        <v>316</v>
      </c>
      <c r="K204" s="15" t="str">
        <f>VLOOKUP(I204,[2]LOOKUP!$A:$D,4,FALSE)</f>
        <v>RM</v>
      </c>
    </row>
    <row r="205" spans="1:11">
      <c r="A205" t="s">
        <v>376</v>
      </c>
      <c r="B205">
        <v>2</v>
      </c>
      <c r="C205" t="str">
        <f t="shared" si="3"/>
        <v>317356</v>
      </c>
      <c r="D205">
        <v>317356</v>
      </c>
      <c r="E205">
        <v>317356077</v>
      </c>
      <c r="F205" t="s">
        <v>891</v>
      </c>
      <c r="G205" t="s">
        <v>314</v>
      </c>
      <c r="H205" t="s">
        <v>378</v>
      </c>
      <c r="I205" t="s">
        <v>115</v>
      </c>
      <c r="J205" t="s">
        <v>420</v>
      </c>
      <c r="K205" s="15" t="str">
        <f>VLOOKUP(I205,[2]LOOKUP!$A:$D,4,FALSE)</f>
        <v>RM</v>
      </c>
    </row>
    <row r="206" spans="1:11">
      <c r="A206" t="s">
        <v>376</v>
      </c>
      <c r="B206">
        <v>2</v>
      </c>
      <c r="C206" t="str">
        <f t="shared" si="3"/>
        <v>317356</v>
      </c>
      <c r="D206">
        <v>317356</v>
      </c>
      <c r="E206">
        <v>317356078</v>
      </c>
      <c r="F206" t="s">
        <v>892</v>
      </c>
      <c r="G206" t="s">
        <v>314</v>
      </c>
      <c r="H206" t="s">
        <v>378</v>
      </c>
      <c r="I206" t="s">
        <v>115</v>
      </c>
      <c r="J206" t="s">
        <v>420</v>
      </c>
      <c r="K206" s="15" t="str">
        <f>VLOOKUP(I206,[2]LOOKUP!$A:$D,4,FALSE)</f>
        <v>RM</v>
      </c>
    </row>
    <row r="207" spans="1:11">
      <c r="A207" t="s">
        <v>376</v>
      </c>
      <c r="B207">
        <v>2</v>
      </c>
      <c r="C207" t="str">
        <f t="shared" si="3"/>
        <v>317356</v>
      </c>
      <c r="D207">
        <v>317356</v>
      </c>
      <c r="E207">
        <v>317356079</v>
      </c>
      <c r="F207" t="s">
        <v>893</v>
      </c>
      <c r="G207" t="s">
        <v>314</v>
      </c>
      <c r="H207" t="s">
        <v>378</v>
      </c>
      <c r="I207" t="s">
        <v>35</v>
      </c>
      <c r="J207" t="s">
        <v>316</v>
      </c>
      <c r="K207" s="15" t="str">
        <f>VLOOKUP(I207,[2]LOOKUP!$A:$D,4,FALSE)</f>
        <v>RM</v>
      </c>
    </row>
    <row r="208" spans="1:11">
      <c r="A208" t="s">
        <v>376</v>
      </c>
      <c r="B208">
        <v>2</v>
      </c>
      <c r="C208" t="str">
        <f t="shared" si="3"/>
        <v>317356</v>
      </c>
      <c r="D208">
        <v>317356</v>
      </c>
      <c r="E208">
        <v>317356080</v>
      </c>
      <c r="F208" t="s">
        <v>894</v>
      </c>
      <c r="G208" t="s">
        <v>314</v>
      </c>
      <c r="H208" t="s">
        <v>378</v>
      </c>
      <c r="I208" t="s">
        <v>35</v>
      </c>
      <c r="J208" t="s">
        <v>316</v>
      </c>
      <c r="K208" s="15" t="str">
        <f>VLOOKUP(I208,[2]LOOKUP!$A:$D,4,FALSE)</f>
        <v>RM</v>
      </c>
    </row>
    <row r="209" spans="1:11">
      <c r="A209" t="s">
        <v>376</v>
      </c>
      <c r="B209">
        <v>2</v>
      </c>
      <c r="C209" t="str">
        <f t="shared" si="3"/>
        <v>317356</v>
      </c>
      <c r="D209">
        <v>317356</v>
      </c>
      <c r="E209">
        <v>317356081</v>
      </c>
      <c r="F209" t="s">
        <v>895</v>
      </c>
      <c r="G209" t="s">
        <v>314</v>
      </c>
      <c r="H209" t="s">
        <v>378</v>
      </c>
      <c r="I209" t="s">
        <v>35</v>
      </c>
      <c r="J209" t="s">
        <v>316</v>
      </c>
      <c r="K209" s="15" t="str">
        <f>VLOOKUP(I209,[2]LOOKUP!$A:$D,4,FALSE)</f>
        <v>RM</v>
      </c>
    </row>
    <row r="210" spans="1:11">
      <c r="A210" t="s">
        <v>376</v>
      </c>
      <c r="B210">
        <v>2</v>
      </c>
      <c r="C210" t="str">
        <f t="shared" si="3"/>
        <v>317356</v>
      </c>
      <c r="D210">
        <v>317356</v>
      </c>
      <c r="E210">
        <v>317356082</v>
      </c>
      <c r="F210" t="s">
        <v>896</v>
      </c>
      <c r="G210" t="s">
        <v>314</v>
      </c>
      <c r="H210" t="s">
        <v>378</v>
      </c>
      <c r="I210" t="s">
        <v>35</v>
      </c>
      <c r="J210" t="s">
        <v>316</v>
      </c>
      <c r="K210" s="15" t="str">
        <f>VLOOKUP(I210,[2]LOOKUP!$A:$D,4,FALSE)</f>
        <v>RM</v>
      </c>
    </row>
    <row r="211" spans="1:11">
      <c r="A211" t="s">
        <v>376</v>
      </c>
      <c r="B211">
        <v>2</v>
      </c>
      <c r="C211" t="str">
        <f t="shared" si="3"/>
        <v>317356</v>
      </c>
      <c r="D211">
        <v>317356</v>
      </c>
      <c r="E211">
        <v>317356083</v>
      </c>
      <c r="F211" t="s">
        <v>897</v>
      </c>
      <c r="G211" t="s">
        <v>314</v>
      </c>
      <c r="H211" t="s">
        <v>378</v>
      </c>
      <c r="I211" t="s">
        <v>35</v>
      </c>
      <c r="J211" t="s">
        <v>316</v>
      </c>
      <c r="K211" s="15" t="str">
        <f>VLOOKUP(I211,[2]LOOKUP!$A:$D,4,FALSE)</f>
        <v>RM</v>
      </c>
    </row>
    <row r="212" spans="1:11">
      <c r="A212" t="s">
        <v>376</v>
      </c>
      <c r="B212">
        <v>2</v>
      </c>
      <c r="C212" t="str">
        <f t="shared" si="3"/>
        <v>317356</v>
      </c>
      <c r="D212">
        <v>317356</v>
      </c>
      <c r="E212">
        <v>317356084</v>
      </c>
      <c r="F212" t="s">
        <v>898</v>
      </c>
      <c r="G212" t="s">
        <v>314</v>
      </c>
      <c r="H212" t="s">
        <v>378</v>
      </c>
      <c r="I212" t="s">
        <v>35</v>
      </c>
      <c r="J212" t="s">
        <v>316</v>
      </c>
      <c r="K212" s="15" t="str">
        <f>VLOOKUP(I212,[2]LOOKUP!$A:$D,4,FALSE)</f>
        <v>RM</v>
      </c>
    </row>
    <row r="213" spans="1:11">
      <c r="A213" t="s">
        <v>376</v>
      </c>
      <c r="B213">
        <v>2</v>
      </c>
      <c r="C213" t="str">
        <f t="shared" si="3"/>
        <v>317356</v>
      </c>
      <c r="D213">
        <v>317356</v>
      </c>
      <c r="E213">
        <v>317356085</v>
      </c>
      <c r="F213" t="s">
        <v>899</v>
      </c>
      <c r="G213" t="s">
        <v>314</v>
      </c>
      <c r="H213" t="s">
        <v>378</v>
      </c>
      <c r="I213" t="s">
        <v>35</v>
      </c>
      <c r="J213" t="s">
        <v>316</v>
      </c>
      <c r="K213" s="15" t="str">
        <f>VLOOKUP(I213,[2]LOOKUP!$A:$D,4,FALSE)</f>
        <v>RM</v>
      </c>
    </row>
    <row r="214" spans="1:11">
      <c r="A214" t="s">
        <v>376</v>
      </c>
      <c r="B214">
        <v>2</v>
      </c>
      <c r="C214" t="str">
        <f t="shared" si="3"/>
        <v>317356</v>
      </c>
      <c r="D214">
        <v>317356</v>
      </c>
      <c r="E214">
        <v>317356086</v>
      </c>
      <c r="F214" t="s">
        <v>900</v>
      </c>
      <c r="G214" t="s">
        <v>314</v>
      </c>
      <c r="H214" t="s">
        <v>378</v>
      </c>
      <c r="I214" t="s">
        <v>115</v>
      </c>
      <c r="J214" t="s">
        <v>420</v>
      </c>
      <c r="K214" s="15" t="str">
        <f>VLOOKUP(I214,[2]LOOKUP!$A:$D,4,FALSE)</f>
        <v>RM</v>
      </c>
    </row>
    <row r="215" spans="1:11">
      <c r="A215" t="s">
        <v>376</v>
      </c>
      <c r="B215">
        <v>2</v>
      </c>
      <c r="C215" t="str">
        <f t="shared" si="3"/>
        <v>317356</v>
      </c>
      <c r="D215">
        <v>317356</v>
      </c>
      <c r="E215">
        <v>317356087</v>
      </c>
      <c r="F215" t="s">
        <v>901</v>
      </c>
      <c r="G215" t="s">
        <v>314</v>
      </c>
      <c r="H215" t="s">
        <v>378</v>
      </c>
      <c r="I215" t="s">
        <v>35</v>
      </c>
      <c r="J215" t="s">
        <v>316</v>
      </c>
      <c r="K215" s="15" t="str">
        <f>VLOOKUP(I215,[2]LOOKUP!$A:$D,4,FALSE)</f>
        <v>RM</v>
      </c>
    </row>
    <row r="216" spans="1:11">
      <c r="A216" t="s">
        <v>376</v>
      </c>
      <c r="B216">
        <v>2</v>
      </c>
      <c r="C216" t="str">
        <f t="shared" si="3"/>
        <v>317356</v>
      </c>
      <c r="D216">
        <v>317356</v>
      </c>
      <c r="E216">
        <v>317356088</v>
      </c>
      <c r="F216" t="s">
        <v>902</v>
      </c>
      <c r="G216" t="s">
        <v>314</v>
      </c>
      <c r="H216" t="s">
        <v>378</v>
      </c>
      <c r="I216" t="s">
        <v>35</v>
      </c>
      <c r="J216" t="s">
        <v>316</v>
      </c>
      <c r="K216" s="15" t="str">
        <f>VLOOKUP(I216,[2]LOOKUP!$A:$D,4,FALSE)</f>
        <v>RM</v>
      </c>
    </row>
    <row r="217" spans="1:11">
      <c r="A217" t="s">
        <v>376</v>
      </c>
      <c r="B217">
        <v>2</v>
      </c>
      <c r="C217" t="str">
        <f t="shared" si="3"/>
        <v>317356</v>
      </c>
      <c r="D217">
        <v>317356</v>
      </c>
      <c r="E217">
        <v>317356089</v>
      </c>
      <c r="F217" t="s">
        <v>903</v>
      </c>
      <c r="G217" t="s">
        <v>314</v>
      </c>
      <c r="H217" t="s">
        <v>378</v>
      </c>
      <c r="I217" t="s">
        <v>115</v>
      </c>
      <c r="J217" t="s">
        <v>420</v>
      </c>
      <c r="K217" s="15" t="str">
        <f>VLOOKUP(I217,[2]LOOKUP!$A:$D,4,FALSE)</f>
        <v>RM</v>
      </c>
    </row>
    <row r="218" spans="1:11">
      <c r="A218" t="s">
        <v>376</v>
      </c>
      <c r="B218">
        <v>2</v>
      </c>
      <c r="C218" t="str">
        <f t="shared" si="3"/>
        <v>317356</v>
      </c>
      <c r="D218">
        <v>317356</v>
      </c>
      <c r="E218">
        <v>317356090</v>
      </c>
      <c r="F218" t="s">
        <v>904</v>
      </c>
      <c r="G218" t="s">
        <v>314</v>
      </c>
      <c r="H218" t="s">
        <v>378</v>
      </c>
      <c r="I218" t="s">
        <v>35</v>
      </c>
      <c r="J218" t="s">
        <v>316</v>
      </c>
      <c r="K218" s="15" t="str">
        <f>VLOOKUP(I218,[2]LOOKUP!$A:$D,4,FALSE)</f>
        <v>RM</v>
      </c>
    </row>
    <row r="219" spans="1:11">
      <c r="A219" t="s">
        <v>376</v>
      </c>
      <c r="B219">
        <v>2</v>
      </c>
      <c r="C219" t="str">
        <f t="shared" si="3"/>
        <v>317356</v>
      </c>
      <c r="D219">
        <v>317356</v>
      </c>
      <c r="E219">
        <v>317356091</v>
      </c>
      <c r="F219" t="s">
        <v>905</v>
      </c>
      <c r="G219" t="s">
        <v>314</v>
      </c>
      <c r="H219" t="s">
        <v>378</v>
      </c>
      <c r="I219" t="s">
        <v>35</v>
      </c>
      <c r="J219" t="s">
        <v>316</v>
      </c>
      <c r="K219" s="15" t="str">
        <f>VLOOKUP(I219,[2]LOOKUP!$A:$D,4,FALSE)</f>
        <v>RM</v>
      </c>
    </row>
    <row r="220" spans="1:11">
      <c r="A220" t="s">
        <v>376</v>
      </c>
      <c r="B220">
        <v>2</v>
      </c>
      <c r="C220" t="str">
        <f t="shared" si="3"/>
        <v>317356</v>
      </c>
      <c r="D220">
        <v>317356</v>
      </c>
      <c r="E220">
        <v>317356092</v>
      </c>
      <c r="F220" t="s">
        <v>906</v>
      </c>
      <c r="G220" t="s">
        <v>314</v>
      </c>
      <c r="H220" t="s">
        <v>378</v>
      </c>
      <c r="I220" t="s">
        <v>35</v>
      </c>
      <c r="J220" t="s">
        <v>316</v>
      </c>
      <c r="K220" s="15" t="str">
        <f>VLOOKUP(I220,[2]LOOKUP!$A:$D,4,FALSE)</f>
        <v>RM</v>
      </c>
    </row>
    <row r="221" spans="1:11">
      <c r="A221" t="s">
        <v>376</v>
      </c>
      <c r="B221">
        <v>2</v>
      </c>
      <c r="C221" t="str">
        <f t="shared" si="3"/>
        <v>317356</v>
      </c>
      <c r="D221">
        <v>317356</v>
      </c>
      <c r="E221">
        <v>317356093</v>
      </c>
      <c r="F221" t="s">
        <v>907</v>
      </c>
      <c r="G221" t="s">
        <v>314</v>
      </c>
      <c r="H221" t="s">
        <v>378</v>
      </c>
      <c r="I221" t="s">
        <v>115</v>
      </c>
      <c r="J221" t="s">
        <v>420</v>
      </c>
      <c r="K221" s="15" t="str">
        <f>VLOOKUP(I221,[2]LOOKUP!$A:$D,4,FALSE)</f>
        <v>RM</v>
      </c>
    </row>
    <row r="222" spans="1:11">
      <c r="A222" t="s">
        <v>376</v>
      </c>
      <c r="B222">
        <v>2</v>
      </c>
      <c r="C222" t="str">
        <f t="shared" si="3"/>
        <v>317356</v>
      </c>
      <c r="D222">
        <v>317356</v>
      </c>
      <c r="E222">
        <v>317356094</v>
      </c>
      <c r="F222" t="s">
        <v>908</v>
      </c>
      <c r="G222" t="s">
        <v>314</v>
      </c>
      <c r="H222" t="s">
        <v>378</v>
      </c>
      <c r="I222" t="s">
        <v>35</v>
      </c>
      <c r="J222" t="s">
        <v>316</v>
      </c>
      <c r="K222" s="15" t="str">
        <f>VLOOKUP(I222,[2]LOOKUP!$A:$D,4,FALSE)</f>
        <v>RM</v>
      </c>
    </row>
    <row r="223" spans="1:11">
      <c r="A223" t="s">
        <v>376</v>
      </c>
      <c r="B223">
        <v>2</v>
      </c>
      <c r="C223" t="str">
        <f t="shared" si="3"/>
        <v>317356</v>
      </c>
      <c r="D223">
        <v>317356</v>
      </c>
      <c r="E223">
        <v>317356095</v>
      </c>
      <c r="F223" t="s">
        <v>909</v>
      </c>
      <c r="G223" t="s">
        <v>314</v>
      </c>
      <c r="H223" t="s">
        <v>378</v>
      </c>
      <c r="I223" t="s">
        <v>35</v>
      </c>
      <c r="J223" t="s">
        <v>316</v>
      </c>
      <c r="K223" s="15" t="str">
        <f>VLOOKUP(I223,[2]LOOKUP!$A:$D,4,FALSE)</f>
        <v>RM</v>
      </c>
    </row>
    <row r="224" spans="1:11">
      <c r="A224" t="s">
        <v>376</v>
      </c>
      <c r="B224">
        <v>2</v>
      </c>
      <c r="C224" t="str">
        <f t="shared" si="3"/>
        <v>317356</v>
      </c>
      <c r="D224">
        <v>317356</v>
      </c>
      <c r="E224">
        <v>317356096</v>
      </c>
      <c r="F224" t="s">
        <v>910</v>
      </c>
      <c r="G224" t="s">
        <v>314</v>
      </c>
      <c r="H224" t="s">
        <v>378</v>
      </c>
      <c r="I224" t="s">
        <v>35</v>
      </c>
      <c r="J224" t="s">
        <v>316</v>
      </c>
      <c r="K224" s="15" t="str">
        <f>VLOOKUP(I224,[2]LOOKUP!$A:$D,4,FALSE)</f>
        <v>RM</v>
      </c>
    </row>
    <row r="225" spans="1:11">
      <c r="A225" t="s">
        <v>376</v>
      </c>
      <c r="B225">
        <v>2</v>
      </c>
      <c r="C225" t="str">
        <f t="shared" si="3"/>
        <v>317356</v>
      </c>
      <c r="D225">
        <v>317356</v>
      </c>
      <c r="E225">
        <v>317356097</v>
      </c>
      <c r="F225" t="s">
        <v>911</v>
      </c>
      <c r="G225" t="s">
        <v>314</v>
      </c>
      <c r="H225" t="s">
        <v>378</v>
      </c>
      <c r="I225" t="s">
        <v>115</v>
      </c>
      <c r="J225" t="s">
        <v>420</v>
      </c>
      <c r="K225" s="15" t="str">
        <f>VLOOKUP(I225,[2]LOOKUP!$A:$D,4,FALSE)</f>
        <v>RM</v>
      </c>
    </row>
    <row r="226" spans="1:11">
      <c r="A226" t="s">
        <v>376</v>
      </c>
      <c r="B226">
        <v>2</v>
      </c>
      <c r="C226" t="str">
        <f t="shared" si="3"/>
        <v>317356</v>
      </c>
      <c r="D226">
        <v>317356</v>
      </c>
      <c r="E226">
        <v>317356098</v>
      </c>
      <c r="F226" t="s">
        <v>912</v>
      </c>
      <c r="G226" t="s">
        <v>314</v>
      </c>
      <c r="H226" t="s">
        <v>378</v>
      </c>
      <c r="I226" t="s">
        <v>115</v>
      </c>
      <c r="J226" t="s">
        <v>420</v>
      </c>
      <c r="K226" s="15" t="str">
        <f>VLOOKUP(I226,[2]LOOKUP!$A:$D,4,FALSE)</f>
        <v>RM</v>
      </c>
    </row>
    <row r="227" spans="1:11">
      <c r="A227" t="s">
        <v>376</v>
      </c>
      <c r="B227">
        <v>2</v>
      </c>
      <c r="C227" t="str">
        <f t="shared" si="3"/>
        <v>317356</v>
      </c>
      <c r="D227">
        <v>317356</v>
      </c>
      <c r="E227">
        <v>317356099</v>
      </c>
      <c r="F227" t="s">
        <v>913</v>
      </c>
      <c r="G227" t="s">
        <v>314</v>
      </c>
      <c r="H227" t="s">
        <v>378</v>
      </c>
      <c r="I227" t="s">
        <v>115</v>
      </c>
      <c r="J227" t="s">
        <v>420</v>
      </c>
      <c r="K227" s="15" t="str">
        <f>VLOOKUP(I227,[2]LOOKUP!$A:$D,4,FALSE)</f>
        <v>RM</v>
      </c>
    </row>
    <row r="228" spans="1:11">
      <c r="A228" t="s">
        <v>376</v>
      </c>
      <c r="B228">
        <v>2</v>
      </c>
      <c r="C228" t="str">
        <f t="shared" si="3"/>
        <v>317356</v>
      </c>
      <c r="D228">
        <v>317356</v>
      </c>
      <c r="E228">
        <v>317356100</v>
      </c>
      <c r="F228" t="s">
        <v>914</v>
      </c>
      <c r="G228" t="s">
        <v>314</v>
      </c>
      <c r="H228" t="s">
        <v>378</v>
      </c>
      <c r="I228" t="s">
        <v>35</v>
      </c>
      <c r="J228" t="s">
        <v>316</v>
      </c>
      <c r="K228" s="15" t="str">
        <f>VLOOKUP(I228,[2]LOOKUP!$A:$D,4,FALSE)</f>
        <v>RM</v>
      </c>
    </row>
    <row r="229" spans="1:11">
      <c r="A229" t="s">
        <v>376</v>
      </c>
      <c r="B229">
        <v>2</v>
      </c>
      <c r="C229" t="str">
        <f t="shared" si="3"/>
        <v>317356</v>
      </c>
      <c r="D229">
        <v>317356</v>
      </c>
      <c r="E229">
        <v>317356101</v>
      </c>
      <c r="F229" t="s">
        <v>915</v>
      </c>
      <c r="G229" t="s">
        <v>314</v>
      </c>
      <c r="H229" t="s">
        <v>378</v>
      </c>
      <c r="I229" t="s">
        <v>35</v>
      </c>
      <c r="J229" t="s">
        <v>316</v>
      </c>
      <c r="K229" s="15" t="str">
        <f>VLOOKUP(I229,[2]LOOKUP!$A:$D,4,FALSE)</f>
        <v>RM</v>
      </c>
    </row>
    <row r="230" spans="1:11">
      <c r="A230" t="s">
        <v>376</v>
      </c>
      <c r="B230">
        <v>2</v>
      </c>
      <c r="C230" t="str">
        <f t="shared" si="3"/>
        <v>317356</v>
      </c>
      <c r="D230">
        <v>317356</v>
      </c>
      <c r="E230">
        <v>317356102</v>
      </c>
      <c r="F230" t="s">
        <v>916</v>
      </c>
      <c r="G230" t="s">
        <v>314</v>
      </c>
      <c r="H230" t="s">
        <v>378</v>
      </c>
      <c r="I230" t="s">
        <v>35</v>
      </c>
      <c r="J230" t="s">
        <v>316</v>
      </c>
      <c r="K230" s="15" t="str">
        <f>VLOOKUP(I230,[2]LOOKUP!$A:$D,4,FALSE)</f>
        <v>RM</v>
      </c>
    </row>
    <row r="231" spans="1:11">
      <c r="A231" t="s">
        <v>376</v>
      </c>
      <c r="B231">
        <v>2</v>
      </c>
      <c r="C231" t="str">
        <f t="shared" si="3"/>
        <v>317356</v>
      </c>
      <c r="D231">
        <v>317356</v>
      </c>
      <c r="E231">
        <v>317356103</v>
      </c>
      <c r="F231" t="s">
        <v>917</v>
      </c>
      <c r="G231" t="s">
        <v>314</v>
      </c>
      <c r="H231" t="s">
        <v>378</v>
      </c>
      <c r="I231" t="s">
        <v>115</v>
      </c>
      <c r="J231" t="s">
        <v>420</v>
      </c>
      <c r="K231" s="15" t="str">
        <f>VLOOKUP(I231,[2]LOOKUP!$A:$D,4,FALSE)</f>
        <v>RM</v>
      </c>
    </row>
    <row r="232" spans="1:11">
      <c r="A232" t="s">
        <v>376</v>
      </c>
      <c r="B232">
        <v>2</v>
      </c>
      <c r="C232" t="str">
        <f t="shared" si="3"/>
        <v>317356</v>
      </c>
      <c r="D232">
        <v>317356</v>
      </c>
      <c r="E232">
        <v>317356104</v>
      </c>
      <c r="F232" t="s">
        <v>918</v>
      </c>
      <c r="G232" t="s">
        <v>314</v>
      </c>
      <c r="H232" t="s">
        <v>378</v>
      </c>
      <c r="I232" t="s">
        <v>35</v>
      </c>
      <c r="J232" t="s">
        <v>316</v>
      </c>
      <c r="K232" s="15" t="str">
        <f>VLOOKUP(I232,[2]LOOKUP!$A:$D,4,FALSE)</f>
        <v>RM</v>
      </c>
    </row>
    <row r="233" spans="1:11">
      <c r="A233" t="s">
        <v>376</v>
      </c>
      <c r="B233">
        <v>2</v>
      </c>
      <c r="C233" t="str">
        <f t="shared" si="3"/>
        <v>317356</v>
      </c>
      <c r="D233">
        <v>317356</v>
      </c>
      <c r="E233">
        <v>317356105</v>
      </c>
      <c r="F233" t="s">
        <v>919</v>
      </c>
      <c r="G233" t="s">
        <v>314</v>
      </c>
      <c r="H233" t="s">
        <v>378</v>
      </c>
      <c r="I233" t="s">
        <v>35</v>
      </c>
      <c r="J233" t="s">
        <v>316</v>
      </c>
      <c r="K233" s="15" t="str">
        <f>VLOOKUP(I233,[2]LOOKUP!$A:$D,4,FALSE)</f>
        <v>RM</v>
      </c>
    </row>
    <row r="234" spans="1:11">
      <c r="A234" t="s">
        <v>376</v>
      </c>
      <c r="B234">
        <v>2</v>
      </c>
      <c r="C234" t="str">
        <f t="shared" si="3"/>
        <v>317356</v>
      </c>
      <c r="D234">
        <v>317356</v>
      </c>
      <c r="E234">
        <v>317356106</v>
      </c>
      <c r="F234" t="s">
        <v>920</v>
      </c>
      <c r="G234" t="s">
        <v>314</v>
      </c>
      <c r="H234" t="s">
        <v>378</v>
      </c>
      <c r="I234" t="s">
        <v>35</v>
      </c>
      <c r="J234" t="s">
        <v>316</v>
      </c>
      <c r="K234" s="15" t="str">
        <f>VLOOKUP(I234,[2]LOOKUP!$A:$D,4,FALSE)</f>
        <v>RM</v>
      </c>
    </row>
    <row r="235" spans="1:11">
      <c r="A235" t="s">
        <v>585</v>
      </c>
      <c r="C235" t="str">
        <f t="shared" si="3"/>
        <v>317356</v>
      </c>
      <c r="E235">
        <v>317356107</v>
      </c>
      <c r="F235" t="s">
        <v>921</v>
      </c>
      <c r="H235" t="s">
        <v>81</v>
      </c>
      <c r="I235" t="s">
        <v>81</v>
      </c>
      <c r="J235" t="s">
        <v>81</v>
      </c>
      <c r="K235" s="15" t="str">
        <f>VLOOKUP(I235,[2]LOOKUP!$A:$D,4,FALSE)</f>
        <v>RM</v>
      </c>
    </row>
    <row r="236" spans="1:11">
      <c r="A236" t="s">
        <v>585</v>
      </c>
      <c r="C236" t="str">
        <f t="shared" si="3"/>
        <v>317356</v>
      </c>
      <c r="E236">
        <v>317356108</v>
      </c>
      <c r="F236" t="s">
        <v>922</v>
      </c>
      <c r="H236" t="s">
        <v>81</v>
      </c>
      <c r="I236" t="s">
        <v>81</v>
      </c>
      <c r="J236" t="s">
        <v>81</v>
      </c>
      <c r="K236" s="15" t="str">
        <f>VLOOKUP(I236,[2]LOOKUP!$A:$D,4,FALSE)</f>
        <v>RM</v>
      </c>
    </row>
    <row r="237" spans="1:11">
      <c r="A237" t="s">
        <v>376</v>
      </c>
      <c r="B237">
        <v>2</v>
      </c>
      <c r="C237" t="str">
        <f t="shared" si="3"/>
        <v>317356</v>
      </c>
      <c r="D237">
        <v>317356</v>
      </c>
      <c r="E237">
        <v>317356109</v>
      </c>
      <c r="F237" t="s">
        <v>923</v>
      </c>
      <c r="G237" t="s">
        <v>314</v>
      </c>
      <c r="H237" t="s">
        <v>924</v>
      </c>
      <c r="I237" t="s">
        <v>115</v>
      </c>
      <c r="J237" t="s">
        <v>420</v>
      </c>
      <c r="K237" s="15" t="str">
        <f>VLOOKUP(I237,[2]LOOKUP!$A:$D,4,FALSE)</f>
        <v>RM</v>
      </c>
    </row>
    <row r="238" spans="1:11">
      <c r="A238" t="s">
        <v>376</v>
      </c>
      <c r="B238">
        <v>2</v>
      </c>
      <c r="C238" t="str">
        <f t="shared" si="3"/>
        <v>317356</v>
      </c>
      <c r="D238">
        <v>317356</v>
      </c>
      <c r="E238">
        <v>317356110</v>
      </c>
      <c r="F238" t="s">
        <v>925</v>
      </c>
      <c r="G238" t="s">
        <v>314</v>
      </c>
      <c r="H238" t="s">
        <v>924</v>
      </c>
      <c r="I238" t="s">
        <v>35</v>
      </c>
      <c r="J238" t="s">
        <v>316</v>
      </c>
      <c r="K238" s="15" t="str">
        <f>VLOOKUP(I238,[2]LOOKUP!$A:$D,4,FALSE)</f>
        <v>RM</v>
      </c>
    </row>
    <row r="239" spans="1:11">
      <c r="A239" t="s">
        <v>376</v>
      </c>
      <c r="B239">
        <v>2</v>
      </c>
      <c r="C239" t="str">
        <f t="shared" si="3"/>
        <v>317356</v>
      </c>
      <c r="D239">
        <v>317356</v>
      </c>
      <c r="E239">
        <v>317356111</v>
      </c>
      <c r="F239" t="s">
        <v>926</v>
      </c>
      <c r="G239" t="s">
        <v>314</v>
      </c>
      <c r="H239" t="s">
        <v>924</v>
      </c>
      <c r="I239" t="s">
        <v>35</v>
      </c>
      <c r="J239" t="s">
        <v>316</v>
      </c>
      <c r="K239" s="15" t="str">
        <f>VLOOKUP(I239,[2]LOOKUP!$A:$D,4,FALSE)</f>
        <v>RM</v>
      </c>
    </row>
    <row r="240" spans="1:11">
      <c r="A240" t="s">
        <v>376</v>
      </c>
      <c r="B240">
        <v>2</v>
      </c>
      <c r="C240" t="str">
        <f t="shared" si="3"/>
        <v>317356</v>
      </c>
      <c r="D240">
        <v>317356</v>
      </c>
      <c r="E240">
        <v>317356112</v>
      </c>
      <c r="F240" t="s">
        <v>927</v>
      </c>
      <c r="G240" t="s">
        <v>314</v>
      </c>
      <c r="H240" t="s">
        <v>924</v>
      </c>
      <c r="I240" t="s">
        <v>35</v>
      </c>
      <c r="J240" t="s">
        <v>316</v>
      </c>
      <c r="K240" s="15" t="str">
        <f>VLOOKUP(I240,[2]LOOKUP!$A:$D,4,FALSE)</f>
        <v>RM</v>
      </c>
    </row>
    <row r="241" spans="1:11">
      <c r="A241" t="s">
        <v>376</v>
      </c>
      <c r="B241">
        <v>2</v>
      </c>
      <c r="C241" t="str">
        <f t="shared" si="3"/>
        <v>317356</v>
      </c>
      <c r="D241">
        <v>317356</v>
      </c>
      <c r="E241">
        <v>317356113</v>
      </c>
      <c r="F241" t="s">
        <v>928</v>
      </c>
      <c r="G241" t="s">
        <v>314</v>
      </c>
      <c r="H241" t="s">
        <v>924</v>
      </c>
      <c r="I241" t="s">
        <v>35</v>
      </c>
      <c r="J241" t="s">
        <v>316</v>
      </c>
      <c r="K241" s="15" t="str">
        <f>VLOOKUP(I241,[2]LOOKUP!$A:$D,4,FALSE)</f>
        <v>RM</v>
      </c>
    </row>
    <row r="242" spans="1:11">
      <c r="A242" t="s">
        <v>376</v>
      </c>
      <c r="B242">
        <v>2</v>
      </c>
      <c r="C242" t="str">
        <f t="shared" si="3"/>
        <v>317356</v>
      </c>
      <c r="D242">
        <v>317356</v>
      </c>
      <c r="E242">
        <v>317356114</v>
      </c>
      <c r="F242" t="s">
        <v>929</v>
      </c>
      <c r="G242" t="s">
        <v>314</v>
      </c>
      <c r="H242" t="s">
        <v>378</v>
      </c>
      <c r="I242" t="s">
        <v>35</v>
      </c>
      <c r="J242" t="s">
        <v>316</v>
      </c>
      <c r="K242" s="15" t="str">
        <f>VLOOKUP(I242,[2]LOOKUP!$A:$D,4,FALSE)</f>
        <v>RM</v>
      </c>
    </row>
    <row r="243" spans="1:11">
      <c r="A243" t="s">
        <v>447</v>
      </c>
      <c r="B243">
        <v>1</v>
      </c>
      <c r="C243" t="str">
        <f t="shared" si="3"/>
        <v>317357</v>
      </c>
      <c r="D243">
        <v>318293</v>
      </c>
      <c r="E243">
        <v>317357001</v>
      </c>
      <c r="F243" t="s">
        <v>930</v>
      </c>
      <c r="G243" t="s">
        <v>314</v>
      </c>
      <c r="H243" t="s">
        <v>411</v>
      </c>
      <c r="I243" t="s">
        <v>118</v>
      </c>
      <c r="J243" t="s">
        <v>931</v>
      </c>
      <c r="K243" s="15" t="str">
        <f>VLOOKUP(I243,[2]LOOKUP!$A:$D,4,FALSE)</f>
        <v>RM</v>
      </c>
    </row>
    <row r="244" spans="1:11">
      <c r="A244" t="s">
        <v>585</v>
      </c>
      <c r="C244" t="str">
        <f t="shared" si="3"/>
        <v>318293</v>
      </c>
      <c r="E244">
        <v>318293</v>
      </c>
      <c r="F244" t="s">
        <v>932</v>
      </c>
      <c r="H244" t="s">
        <v>81</v>
      </c>
      <c r="I244" t="s">
        <v>81</v>
      </c>
      <c r="J244" t="s">
        <v>81</v>
      </c>
      <c r="K244" s="15" t="str">
        <f>VLOOKUP(I244,[2]LOOKUP!$A:$D,4,FALSE)</f>
        <v>RM</v>
      </c>
    </row>
    <row r="245" spans="1:11">
      <c r="A245" t="s">
        <v>447</v>
      </c>
      <c r="B245">
        <v>1</v>
      </c>
      <c r="C245" t="str">
        <f t="shared" si="3"/>
        <v>317352</v>
      </c>
      <c r="D245">
        <v>318293</v>
      </c>
      <c r="E245">
        <v>317352001</v>
      </c>
      <c r="F245" t="s">
        <v>933</v>
      </c>
      <c r="G245" t="s">
        <v>314</v>
      </c>
      <c r="H245" t="s">
        <v>315</v>
      </c>
      <c r="I245" t="s">
        <v>88</v>
      </c>
      <c r="J245" t="s">
        <v>316</v>
      </c>
      <c r="K245" s="15" t="str">
        <f>VLOOKUP(I245,[2]LOOKUP!$A:$D,4,FALSE)</f>
        <v>CM</v>
      </c>
    </row>
    <row r="246" spans="1:11">
      <c r="A246" t="s">
        <v>447</v>
      </c>
      <c r="B246" t="s">
        <v>448</v>
      </c>
      <c r="C246" t="str">
        <f t="shared" si="3"/>
        <v>318293</v>
      </c>
      <c r="D246">
        <v>318293</v>
      </c>
      <c r="E246">
        <v>318293002</v>
      </c>
      <c r="F246" t="s">
        <v>687</v>
      </c>
      <c r="G246" t="s">
        <v>314</v>
      </c>
      <c r="H246" t="s">
        <v>315</v>
      </c>
      <c r="I246" t="s">
        <v>82</v>
      </c>
      <c r="J246" t="s">
        <v>316</v>
      </c>
      <c r="K246" s="15" t="str">
        <f>VLOOKUP(I246,[2]LOOKUP!$A:$D,4,FALSE)</f>
        <v>CM</v>
      </c>
    </row>
    <row r="247" spans="1:11">
      <c r="A247" t="s">
        <v>447</v>
      </c>
      <c r="B247" t="s">
        <v>448</v>
      </c>
      <c r="C247" t="str">
        <f t="shared" si="3"/>
        <v>318293</v>
      </c>
      <c r="D247">
        <v>318293</v>
      </c>
      <c r="E247">
        <v>318293003</v>
      </c>
      <c r="F247" t="s">
        <v>688</v>
      </c>
      <c r="G247" t="s">
        <v>314</v>
      </c>
      <c r="H247" t="s">
        <v>315</v>
      </c>
      <c r="I247" t="s">
        <v>82</v>
      </c>
      <c r="J247" t="s">
        <v>316</v>
      </c>
      <c r="K247" s="15" t="str">
        <f>VLOOKUP(I247,[2]LOOKUP!$A:$D,4,FALSE)</f>
        <v>CM</v>
      </c>
    </row>
    <row r="248" spans="1:11">
      <c r="A248" t="s">
        <v>447</v>
      </c>
      <c r="B248" t="s">
        <v>448</v>
      </c>
      <c r="C248" t="str">
        <f t="shared" si="3"/>
        <v>318293</v>
      </c>
      <c r="D248">
        <v>318293</v>
      </c>
      <c r="E248">
        <v>318293004</v>
      </c>
      <c r="F248" t="s">
        <v>689</v>
      </c>
      <c r="G248" t="s">
        <v>314</v>
      </c>
      <c r="H248" t="s">
        <v>315</v>
      </c>
      <c r="I248" t="s">
        <v>82</v>
      </c>
      <c r="J248" t="s">
        <v>316</v>
      </c>
      <c r="K248" s="15" t="str">
        <f>VLOOKUP(I248,[2]LOOKUP!$A:$D,4,FALSE)</f>
        <v>CM</v>
      </c>
    </row>
    <row r="249" spans="1:11">
      <c r="A249" t="s">
        <v>447</v>
      </c>
      <c r="B249" t="s">
        <v>448</v>
      </c>
      <c r="C249" t="str">
        <f t="shared" si="3"/>
        <v>318293</v>
      </c>
      <c r="D249">
        <v>318293</v>
      </c>
      <c r="E249">
        <v>318293005</v>
      </c>
      <c r="F249" t="s">
        <v>690</v>
      </c>
      <c r="G249" t="s">
        <v>314</v>
      </c>
      <c r="H249" t="s">
        <v>315</v>
      </c>
      <c r="I249" t="s">
        <v>82</v>
      </c>
      <c r="J249" t="s">
        <v>316</v>
      </c>
      <c r="K249" s="15" t="str">
        <f>VLOOKUP(I249,[2]LOOKUP!$A:$D,4,FALSE)</f>
        <v>CM</v>
      </c>
    </row>
    <row r="250" spans="1:11">
      <c r="A250" t="s">
        <v>447</v>
      </c>
      <c r="B250" t="s">
        <v>448</v>
      </c>
      <c r="C250" t="str">
        <f t="shared" si="3"/>
        <v>318293</v>
      </c>
      <c r="D250">
        <v>318293</v>
      </c>
      <c r="E250">
        <v>318293006</v>
      </c>
      <c r="F250" t="s">
        <v>691</v>
      </c>
      <c r="G250" t="s">
        <v>314</v>
      </c>
      <c r="H250" t="s">
        <v>315</v>
      </c>
      <c r="I250" t="s">
        <v>82</v>
      </c>
      <c r="J250" t="s">
        <v>316</v>
      </c>
      <c r="K250" s="15" t="str">
        <f>VLOOKUP(I250,[2]LOOKUP!$A:$D,4,FALSE)</f>
        <v>CM</v>
      </c>
    </row>
    <row r="251" spans="1:11">
      <c r="A251" t="s">
        <v>447</v>
      </c>
      <c r="B251" t="s">
        <v>448</v>
      </c>
      <c r="C251" t="str">
        <f t="shared" si="3"/>
        <v>318293</v>
      </c>
      <c r="D251">
        <v>318293</v>
      </c>
      <c r="E251">
        <v>318293007</v>
      </c>
      <c r="F251" t="s">
        <v>692</v>
      </c>
      <c r="G251" t="s">
        <v>314</v>
      </c>
      <c r="H251" t="s">
        <v>315</v>
      </c>
      <c r="I251" t="s">
        <v>82</v>
      </c>
      <c r="J251" t="s">
        <v>316</v>
      </c>
      <c r="K251" s="15" t="str">
        <f>VLOOKUP(I251,[2]LOOKUP!$A:$D,4,FALSE)</f>
        <v>CM</v>
      </c>
    </row>
    <row r="252" spans="1:11">
      <c r="A252" t="s">
        <v>447</v>
      </c>
      <c r="B252" t="s">
        <v>448</v>
      </c>
      <c r="C252" t="str">
        <f t="shared" si="3"/>
        <v>318293</v>
      </c>
      <c r="D252">
        <v>318293</v>
      </c>
      <c r="E252">
        <v>318293008</v>
      </c>
      <c r="F252" t="s">
        <v>693</v>
      </c>
      <c r="G252" t="s">
        <v>314</v>
      </c>
      <c r="H252" t="s">
        <v>315</v>
      </c>
      <c r="I252" t="s">
        <v>82</v>
      </c>
      <c r="J252" t="s">
        <v>316</v>
      </c>
      <c r="K252" s="15" t="str">
        <f>VLOOKUP(I252,[2]LOOKUP!$A:$D,4,FALSE)</f>
        <v>CM</v>
      </c>
    </row>
    <row r="253" spans="1:11">
      <c r="A253" t="s">
        <v>447</v>
      </c>
      <c r="B253" t="s">
        <v>448</v>
      </c>
      <c r="C253" t="str">
        <f t="shared" si="3"/>
        <v>318293</v>
      </c>
      <c r="D253">
        <v>318293</v>
      </c>
      <c r="E253">
        <v>318293009</v>
      </c>
      <c r="F253" t="s">
        <v>694</v>
      </c>
      <c r="G253" t="s">
        <v>314</v>
      </c>
      <c r="H253" t="s">
        <v>315</v>
      </c>
      <c r="I253" t="s">
        <v>82</v>
      </c>
      <c r="J253" t="s">
        <v>316</v>
      </c>
      <c r="K253" s="15" t="str">
        <f>VLOOKUP(I253,[2]LOOKUP!$A:$D,4,FALSE)</f>
        <v>CM</v>
      </c>
    </row>
    <row r="254" spans="1:11">
      <c r="A254" t="s">
        <v>447</v>
      </c>
      <c r="B254">
        <v>1</v>
      </c>
      <c r="C254" t="str">
        <f t="shared" si="3"/>
        <v>317352</v>
      </c>
      <c r="D254">
        <v>318293</v>
      </c>
      <c r="E254">
        <v>317352010</v>
      </c>
      <c r="F254" t="s">
        <v>934</v>
      </c>
      <c r="G254" t="s">
        <v>314</v>
      </c>
      <c r="H254" t="s">
        <v>315</v>
      </c>
      <c r="I254" t="s">
        <v>88</v>
      </c>
      <c r="J254" t="s">
        <v>316</v>
      </c>
      <c r="K254" s="15" t="str">
        <f>VLOOKUP(I254,[2]LOOKUP!$A:$D,4,FALSE)</f>
        <v>CM</v>
      </c>
    </row>
    <row r="255" spans="1:11">
      <c r="A255" t="s">
        <v>447</v>
      </c>
      <c r="B255">
        <v>1</v>
      </c>
      <c r="C255" t="str">
        <f t="shared" si="3"/>
        <v>317352</v>
      </c>
      <c r="D255">
        <v>318293</v>
      </c>
      <c r="E255">
        <v>317352011</v>
      </c>
      <c r="F255" t="s">
        <v>935</v>
      </c>
      <c r="G255" t="s">
        <v>314</v>
      </c>
      <c r="H255" t="s">
        <v>315</v>
      </c>
      <c r="I255" t="s">
        <v>88</v>
      </c>
      <c r="J255" t="s">
        <v>316</v>
      </c>
      <c r="K255" s="15" t="str">
        <f>VLOOKUP(I255,[2]LOOKUP!$A:$D,4,FALSE)</f>
        <v>CM</v>
      </c>
    </row>
    <row r="256" spans="1:11">
      <c r="A256" t="s">
        <v>447</v>
      </c>
      <c r="B256">
        <v>1</v>
      </c>
      <c r="C256" t="str">
        <f t="shared" si="3"/>
        <v>317352</v>
      </c>
      <c r="D256">
        <v>318293</v>
      </c>
      <c r="E256">
        <v>317352012</v>
      </c>
      <c r="F256" t="s">
        <v>936</v>
      </c>
      <c r="G256" t="s">
        <v>314</v>
      </c>
      <c r="H256" t="s">
        <v>315</v>
      </c>
      <c r="I256" t="s">
        <v>88</v>
      </c>
      <c r="J256" t="s">
        <v>316</v>
      </c>
      <c r="K256" s="15" t="str">
        <f>VLOOKUP(I256,[2]LOOKUP!$A:$D,4,FALSE)</f>
        <v>CM</v>
      </c>
    </row>
    <row r="257" spans="1:11">
      <c r="A257" t="s">
        <v>447</v>
      </c>
      <c r="B257" t="s">
        <v>448</v>
      </c>
      <c r="C257" t="str">
        <f t="shared" si="3"/>
        <v>318293</v>
      </c>
      <c r="D257">
        <v>318293</v>
      </c>
      <c r="E257">
        <v>318293013</v>
      </c>
      <c r="F257" t="s">
        <v>695</v>
      </c>
      <c r="G257" t="s">
        <v>314</v>
      </c>
      <c r="H257" t="s">
        <v>315</v>
      </c>
      <c r="I257" t="s">
        <v>82</v>
      </c>
      <c r="J257" t="s">
        <v>316</v>
      </c>
      <c r="K257" s="15" t="str">
        <f>VLOOKUP(I257,[2]LOOKUP!$A:$D,4,FALSE)</f>
        <v>CM</v>
      </c>
    </row>
    <row r="258" spans="1:11">
      <c r="A258" t="s">
        <v>447</v>
      </c>
      <c r="B258">
        <v>1</v>
      </c>
      <c r="C258" t="str">
        <f t="shared" si="3"/>
        <v>317352</v>
      </c>
      <c r="D258">
        <v>318293</v>
      </c>
      <c r="E258">
        <v>317352014</v>
      </c>
      <c r="F258" t="s">
        <v>937</v>
      </c>
      <c r="G258" t="s">
        <v>314</v>
      </c>
      <c r="H258" t="s">
        <v>315</v>
      </c>
      <c r="I258" t="s">
        <v>88</v>
      </c>
      <c r="J258" t="s">
        <v>316</v>
      </c>
      <c r="K258" s="15" t="str">
        <f>VLOOKUP(I258,[2]LOOKUP!$A:$D,4,FALSE)</f>
        <v>CM</v>
      </c>
    </row>
    <row r="259" spans="1:11">
      <c r="A259" t="s">
        <v>447</v>
      </c>
      <c r="B259" t="s">
        <v>448</v>
      </c>
      <c r="C259" t="str">
        <f t="shared" ref="C259:C322" si="4">LEFT(E259,6)</f>
        <v>318293</v>
      </c>
      <c r="D259">
        <v>318293</v>
      </c>
      <c r="E259">
        <v>318293015</v>
      </c>
      <c r="F259" t="s">
        <v>696</v>
      </c>
      <c r="G259" t="s">
        <v>314</v>
      </c>
      <c r="H259" t="s">
        <v>315</v>
      </c>
      <c r="I259" t="s">
        <v>82</v>
      </c>
      <c r="J259" t="s">
        <v>316</v>
      </c>
      <c r="K259" s="15" t="str">
        <f>VLOOKUP(I259,[2]LOOKUP!$A:$D,4,FALSE)</f>
        <v>CM</v>
      </c>
    </row>
    <row r="260" spans="1:11">
      <c r="A260" t="s">
        <v>447</v>
      </c>
      <c r="B260" t="s">
        <v>448</v>
      </c>
      <c r="C260" t="str">
        <f t="shared" si="4"/>
        <v>318293</v>
      </c>
      <c r="D260">
        <v>318293</v>
      </c>
      <c r="E260">
        <v>318293016</v>
      </c>
      <c r="F260" t="s">
        <v>697</v>
      </c>
      <c r="G260" t="s">
        <v>314</v>
      </c>
      <c r="H260" t="s">
        <v>315</v>
      </c>
      <c r="I260" t="s">
        <v>82</v>
      </c>
      <c r="J260" t="s">
        <v>316</v>
      </c>
      <c r="K260" s="15" t="str">
        <f>VLOOKUP(I260,[2]LOOKUP!$A:$D,4,FALSE)</f>
        <v>CM</v>
      </c>
    </row>
    <row r="261" spans="1:11">
      <c r="A261" t="s">
        <v>447</v>
      </c>
      <c r="B261">
        <v>1</v>
      </c>
      <c r="C261" t="str">
        <f t="shared" si="4"/>
        <v>317352</v>
      </c>
      <c r="D261">
        <v>318293</v>
      </c>
      <c r="E261">
        <v>317352017</v>
      </c>
      <c r="F261" t="s">
        <v>938</v>
      </c>
      <c r="G261" t="s">
        <v>314</v>
      </c>
      <c r="H261" t="s">
        <v>315</v>
      </c>
      <c r="I261" t="s">
        <v>88</v>
      </c>
      <c r="J261" t="s">
        <v>316</v>
      </c>
      <c r="K261" s="15" t="str">
        <f>VLOOKUP(I261,[2]LOOKUP!$A:$D,4,FALSE)</f>
        <v>CM</v>
      </c>
    </row>
    <row r="262" spans="1:11">
      <c r="A262" t="s">
        <v>447</v>
      </c>
      <c r="B262">
        <v>1</v>
      </c>
      <c r="C262" t="str">
        <f t="shared" si="4"/>
        <v>317352</v>
      </c>
      <c r="D262">
        <v>318293</v>
      </c>
      <c r="E262">
        <v>317352018</v>
      </c>
      <c r="F262" t="s">
        <v>939</v>
      </c>
      <c r="G262" t="s">
        <v>314</v>
      </c>
      <c r="H262" t="s">
        <v>315</v>
      </c>
      <c r="I262" t="s">
        <v>88</v>
      </c>
      <c r="J262" t="s">
        <v>316</v>
      </c>
      <c r="K262" s="15" t="str">
        <f>VLOOKUP(I262,[2]LOOKUP!$A:$D,4,FALSE)</f>
        <v>CM</v>
      </c>
    </row>
    <row r="263" spans="1:11">
      <c r="A263" t="s">
        <v>447</v>
      </c>
      <c r="B263">
        <v>1</v>
      </c>
      <c r="C263" t="str">
        <f t="shared" si="4"/>
        <v>317352</v>
      </c>
      <c r="D263">
        <v>318293</v>
      </c>
      <c r="E263">
        <v>317352019</v>
      </c>
      <c r="F263" t="s">
        <v>940</v>
      </c>
      <c r="G263" t="s">
        <v>314</v>
      </c>
      <c r="H263" t="s">
        <v>315</v>
      </c>
      <c r="I263" t="s">
        <v>88</v>
      </c>
      <c r="J263" t="s">
        <v>316</v>
      </c>
      <c r="K263" s="15" t="str">
        <f>VLOOKUP(I263,[2]LOOKUP!$A:$D,4,FALSE)</f>
        <v>CM</v>
      </c>
    </row>
    <row r="264" spans="1:11">
      <c r="A264" t="s">
        <v>447</v>
      </c>
      <c r="B264" t="s">
        <v>448</v>
      </c>
      <c r="C264" t="str">
        <f t="shared" si="4"/>
        <v>318293</v>
      </c>
      <c r="D264">
        <v>318293</v>
      </c>
      <c r="E264">
        <v>318293020</v>
      </c>
      <c r="F264" t="s">
        <v>698</v>
      </c>
      <c r="G264" t="s">
        <v>314</v>
      </c>
      <c r="H264" t="s">
        <v>315</v>
      </c>
      <c r="I264" t="s">
        <v>82</v>
      </c>
      <c r="J264" t="s">
        <v>316</v>
      </c>
      <c r="K264" s="15" t="str">
        <f>VLOOKUP(I264,[2]LOOKUP!$A:$D,4,FALSE)</f>
        <v>CM</v>
      </c>
    </row>
    <row r="265" spans="1:11">
      <c r="A265" t="s">
        <v>447</v>
      </c>
      <c r="B265" t="s">
        <v>448</v>
      </c>
      <c r="C265" t="str">
        <f t="shared" si="4"/>
        <v>318293</v>
      </c>
      <c r="D265">
        <v>318293</v>
      </c>
      <c r="E265">
        <v>318293021</v>
      </c>
      <c r="F265" t="s">
        <v>699</v>
      </c>
      <c r="G265" t="s">
        <v>314</v>
      </c>
      <c r="H265" t="s">
        <v>315</v>
      </c>
      <c r="I265" t="s">
        <v>82</v>
      </c>
      <c r="J265" t="s">
        <v>316</v>
      </c>
      <c r="K265" s="15" t="str">
        <f>VLOOKUP(I265,[2]LOOKUP!$A:$D,4,FALSE)</f>
        <v>CM</v>
      </c>
    </row>
    <row r="266" spans="1:11">
      <c r="A266" t="s">
        <v>447</v>
      </c>
      <c r="B266">
        <v>1</v>
      </c>
      <c r="C266" t="str">
        <f t="shared" si="4"/>
        <v>317352</v>
      </c>
      <c r="D266">
        <v>318293</v>
      </c>
      <c r="E266">
        <v>317352022</v>
      </c>
      <c r="F266" t="s">
        <v>941</v>
      </c>
      <c r="G266" t="s">
        <v>314</v>
      </c>
      <c r="H266" t="s">
        <v>315</v>
      </c>
      <c r="I266" t="s">
        <v>88</v>
      </c>
      <c r="J266" t="s">
        <v>316</v>
      </c>
      <c r="K266" s="15" t="str">
        <f>VLOOKUP(I266,[2]LOOKUP!$A:$D,4,FALSE)</f>
        <v>CM</v>
      </c>
    </row>
    <row r="267" spans="1:11">
      <c r="A267" t="s">
        <v>447</v>
      </c>
      <c r="B267" t="s">
        <v>448</v>
      </c>
      <c r="C267" t="str">
        <f t="shared" si="4"/>
        <v>318293</v>
      </c>
      <c r="D267">
        <v>318293</v>
      </c>
      <c r="E267">
        <v>318293023</v>
      </c>
      <c r="F267" t="s">
        <v>700</v>
      </c>
      <c r="G267" t="s">
        <v>314</v>
      </c>
      <c r="H267" t="s">
        <v>315</v>
      </c>
      <c r="I267" t="s">
        <v>82</v>
      </c>
      <c r="J267" t="s">
        <v>316</v>
      </c>
      <c r="K267" s="15" t="str">
        <f>VLOOKUP(I267,[2]LOOKUP!$A:$D,4,FALSE)</f>
        <v>CM</v>
      </c>
    </row>
    <row r="268" spans="1:11">
      <c r="A268" t="s">
        <v>447</v>
      </c>
      <c r="B268" t="s">
        <v>448</v>
      </c>
      <c r="C268" t="str">
        <f t="shared" si="4"/>
        <v>318293</v>
      </c>
      <c r="D268">
        <v>318293</v>
      </c>
      <c r="E268">
        <v>318293024</v>
      </c>
      <c r="F268" t="s">
        <v>701</v>
      </c>
      <c r="G268" t="s">
        <v>314</v>
      </c>
      <c r="H268" t="s">
        <v>315</v>
      </c>
      <c r="I268" t="s">
        <v>82</v>
      </c>
      <c r="J268" t="s">
        <v>316</v>
      </c>
      <c r="K268" s="15" t="str">
        <f>VLOOKUP(I268,[2]LOOKUP!$A:$D,4,FALSE)</f>
        <v>CM</v>
      </c>
    </row>
    <row r="269" spans="1:11">
      <c r="A269" t="s">
        <v>447</v>
      </c>
      <c r="B269">
        <v>1</v>
      </c>
      <c r="C269" t="str">
        <f t="shared" si="4"/>
        <v>317352</v>
      </c>
      <c r="D269">
        <v>318293</v>
      </c>
      <c r="E269">
        <v>317352025</v>
      </c>
      <c r="F269" t="s">
        <v>942</v>
      </c>
      <c r="G269" t="s">
        <v>314</v>
      </c>
      <c r="H269" t="s">
        <v>315</v>
      </c>
      <c r="I269" t="s">
        <v>88</v>
      </c>
      <c r="J269" t="s">
        <v>316</v>
      </c>
      <c r="K269" s="15" t="str">
        <f>VLOOKUP(I269,[2]LOOKUP!$A:$D,4,FALSE)</f>
        <v>CM</v>
      </c>
    </row>
    <row r="270" spans="1:11">
      <c r="A270" t="s">
        <v>447</v>
      </c>
      <c r="B270">
        <v>1</v>
      </c>
      <c r="C270" t="str">
        <f t="shared" si="4"/>
        <v>317352</v>
      </c>
      <c r="D270">
        <v>318293</v>
      </c>
      <c r="E270">
        <v>317352026</v>
      </c>
      <c r="F270" t="s">
        <v>943</v>
      </c>
      <c r="G270" t="s">
        <v>314</v>
      </c>
      <c r="H270" t="s">
        <v>315</v>
      </c>
      <c r="I270" t="s">
        <v>88</v>
      </c>
      <c r="J270" t="s">
        <v>316</v>
      </c>
      <c r="K270" s="15" t="str">
        <f>VLOOKUP(I270,[2]LOOKUP!$A:$D,4,FALSE)</f>
        <v>CM</v>
      </c>
    </row>
    <row r="271" spans="1:11">
      <c r="A271" t="s">
        <v>447</v>
      </c>
      <c r="B271">
        <v>1</v>
      </c>
      <c r="C271" t="str">
        <f t="shared" si="4"/>
        <v>317352</v>
      </c>
      <c r="D271">
        <v>318293</v>
      </c>
      <c r="E271">
        <v>317352027</v>
      </c>
      <c r="F271" t="s">
        <v>944</v>
      </c>
      <c r="G271" t="s">
        <v>314</v>
      </c>
      <c r="H271" t="s">
        <v>315</v>
      </c>
      <c r="I271" t="s">
        <v>88</v>
      </c>
      <c r="J271" t="s">
        <v>316</v>
      </c>
      <c r="K271" s="15" t="str">
        <f>VLOOKUP(I271,[2]LOOKUP!$A:$D,4,FALSE)</f>
        <v>CM</v>
      </c>
    </row>
    <row r="272" spans="1:11">
      <c r="A272" t="s">
        <v>447</v>
      </c>
      <c r="B272" t="s">
        <v>448</v>
      </c>
      <c r="C272" t="str">
        <f t="shared" si="4"/>
        <v>318293</v>
      </c>
      <c r="D272">
        <v>318293</v>
      </c>
      <c r="E272">
        <v>318293028</v>
      </c>
      <c r="F272" t="s">
        <v>702</v>
      </c>
      <c r="G272" t="s">
        <v>314</v>
      </c>
      <c r="H272" t="s">
        <v>315</v>
      </c>
      <c r="I272" t="s">
        <v>82</v>
      </c>
      <c r="J272" t="s">
        <v>316</v>
      </c>
      <c r="K272" s="15" t="str">
        <f>VLOOKUP(I272,[2]LOOKUP!$A:$D,4,FALSE)</f>
        <v>CM</v>
      </c>
    </row>
    <row r="273" spans="1:11">
      <c r="A273" t="s">
        <v>447</v>
      </c>
      <c r="B273">
        <v>1</v>
      </c>
      <c r="C273" t="str">
        <f t="shared" si="4"/>
        <v>317352</v>
      </c>
      <c r="D273">
        <v>318293</v>
      </c>
      <c r="E273">
        <v>317352029</v>
      </c>
      <c r="F273" t="s">
        <v>945</v>
      </c>
      <c r="G273" t="s">
        <v>314</v>
      </c>
      <c r="H273" t="s">
        <v>315</v>
      </c>
      <c r="I273" t="s">
        <v>88</v>
      </c>
      <c r="J273" t="s">
        <v>316</v>
      </c>
      <c r="K273" s="15" t="str">
        <f>VLOOKUP(I273,[2]LOOKUP!$A:$D,4,FALSE)</f>
        <v>CM</v>
      </c>
    </row>
    <row r="274" spans="1:11">
      <c r="A274" t="s">
        <v>447</v>
      </c>
      <c r="B274" t="s">
        <v>448</v>
      </c>
      <c r="C274" t="str">
        <f t="shared" si="4"/>
        <v>318293</v>
      </c>
      <c r="D274">
        <v>318293</v>
      </c>
      <c r="E274">
        <v>318293030</v>
      </c>
      <c r="F274" t="s">
        <v>703</v>
      </c>
      <c r="G274" t="s">
        <v>314</v>
      </c>
      <c r="H274" t="s">
        <v>315</v>
      </c>
      <c r="I274" t="s">
        <v>82</v>
      </c>
      <c r="J274" t="s">
        <v>316</v>
      </c>
      <c r="K274" s="15" t="str">
        <f>VLOOKUP(I274,[2]LOOKUP!$A:$D,4,FALSE)</f>
        <v>CM</v>
      </c>
    </row>
    <row r="275" spans="1:11">
      <c r="A275" t="s">
        <v>447</v>
      </c>
      <c r="B275" t="s">
        <v>448</v>
      </c>
      <c r="C275" t="str">
        <f t="shared" si="4"/>
        <v>318293</v>
      </c>
      <c r="D275">
        <v>318293</v>
      </c>
      <c r="E275">
        <v>318293031</v>
      </c>
      <c r="F275" t="s">
        <v>704</v>
      </c>
      <c r="G275" t="s">
        <v>314</v>
      </c>
      <c r="H275" t="s">
        <v>315</v>
      </c>
      <c r="I275" t="s">
        <v>82</v>
      </c>
      <c r="J275" t="s">
        <v>316</v>
      </c>
      <c r="K275" s="15" t="str">
        <f>VLOOKUP(I275,[2]LOOKUP!$A:$D,4,FALSE)</f>
        <v>CM</v>
      </c>
    </row>
    <row r="276" spans="1:11">
      <c r="A276" t="s">
        <v>447</v>
      </c>
      <c r="B276">
        <v>1</v>
      </c>
      <c r="C276" t="str">
        <f t="shared" si="4"/>
        <v>317352</v>
      </c>
      <c r="D276">
        <v>318293</v>
      </c>
      <c r="E276">
        <v>317352032</v>
      </c>
      <c r="F276" t="s">
        <v>946</v>
      </c>
      <c r="G276" t="s">
        <v>314</v>
      </c>
      <c r="H276" t="s">
        <v>315</v>
      </c>
      <c r="I276" t="s">
        <v>88</v>
      </c>
      <c r="J276" t="s">
        <v>316</v>
      </c>
      <c r="K276" s="15" t="str">
        <f>VLOOKUP(I276,[2]LOOKUP!$A:$D,4,FALSE)</f>
        <v>CM</v>
      </c>
    </row>
    <row r="277" spans="1:11">
      <c r="A277" t="s">
        <v>447</v>
      </c>
      <c r="B277" t="s">
        <v>448</v>
      </c>
      <c r="C277" t="str">
        <f t="shared" si="4"/>
        <v>318293</v>
      </c>
      <c r="D277">
        <v>318293</v>
      </c>
      <c r="E277">
        <v>318293033</v>
      </c>
      <c r="F277" t="s">
        <v>705</v>
      </c>
      <c r="G277" t="s">
        <v>314</v>
      </c>
      <c r="H277" t="s">
        <v>315</v>
      </c>
      <c r="I277" t="s">
        <v>82</v>
      </c>
      <c r="J277" t="s">
        <v>316</v>
      </c>
      <c r="K277" s="15" t="str">
        <f>VLOOKUP(I277,[2]LOOKUP!$A:$D,4,FALSE)</f>
        <v>CM</v>
      </c>
    </row>
    <row r="278" spans="1:11">
      <c r="A278" t="s">
        <v>447</v>
      </c>
      <c r="B278" t="s">
        <v>448</v>
      </c>
      <c r="C278" t="str">
        <f t="shared" si="4"/>
        <v>318293</v>
      </c>
      <c r="D278">
        <v>318293</v>
      </c>
      <c r="E278">
        <v>318293034</v>
      </c>
      <c r="F278" t="s">
        <v>706</v>
      </c>
      <c r="G278" t="s">
        <v>314</v>
      </c>
      <c r="H278" t="s">
        <v>315</v>
      </c>
      <c r="I278" t="s">
        <v>82</v>
      </c>
      <c r="J278" t="s">
        <v>316</v>
      </c>
      <c r="K278" s="15" t="str">
        <f>VLOOKUP(I278,[2]LOOKUP!$A:$D,4,FALSE)</f>
        <v>CM</v>
      </c>
    </row>
    <row r="279" spans="1:11">
      <c r="A279" t="s">
        <v>447</v>
      </c>
      <c r="B279">
        <v>1</v>
      </c>
      <c r="C279" t="str">
        <f t="shared" si="4"/>
        <v>317352</v>
      </c>
      <c r="D279">
        <v>318293</v>
      </c>
      <c r="E279">
        <v>317352035</v>
      </c>
      <c r="F279" t="s">
        <v>947</v>
      </c>
      <c r="G279" t="s">
        <v>314</v>
      </c>
      <c r="H279" t="s">
        <v>315</v>
      </c>
      <c r="I279" t="s">
        <v>88</v>
      </c>
      <c r="J279" t="s">
        <v>316</v>
      </c>
      <c r="K279" s="15" t="str">
        <f>VLOOKUP(I279,[2]LOOKUP!$A:$D,4,FALSE)</f>
        <v>CM</v>
      </c>
    </row>
    <row r="280" spans="1:11">
      <c r="A280" t="s">
        <v>447</v>
      </c>
      <c r="B280">
        <v>1</v>
      </c>
      <c r="C280" t="str">
        <f t="shared" si="4"/>
        <v>317352</v>
      </c>
      <c r="D280">
        <v>318293</v>
      </c>
      <c r="E280">
        <v>317352036</v>
      </c>
      <c r="F280" t="s">
        <v>948</v>
      </c>
      <c r="G280" t="s">
        <v>314</v>
      </c>
      <c r="H280" t="s">
        <v>315</v>
      </c>
      <c r="I280" t="s">
        <v>88</v>
      </c>
      <c r="J280" t="s">
        <v>316</v>
      </c>
      <c r="K280" s="15" t="str">
        <f>VLOOKUP(I280,[2]LOOKUP!$A:$D,4,FALSE)</f>
        <v>CM</v>
      </c>
    </row>
    <row r="281" spans="1:11">
      <c r="A281" t="s">
        <v>447</v>
      </c>
      <c r="B281" t="s">
        <v>448</v>
      </c>
      <c r="C281" t="str">
        <f t="shared" si="4"/>
        <v>318293</v>
      </c>
      <c r="D281">
        <v>318293</v>
      </c>
      <c r="E281">
        <v>318293037</v>
      </c>
      <c r="F281" t="s">
        <v>707</v>
      </c>
      <c r="G281" t="s">
        <v>314</v>
      </c>
      <c r="H281" t="s">
        <v>315</v>
      </c>
      <c r="I281" t="s">
        <v>82</v>
      </c>
      <c r="J281" t="s">
        <v>316</v>
      </c>
      <c r="K281" s="15" t="str">
        <f>VLOOKUP(I281,[2]LOOKUP!$A:$D,4,FALSE)</f>
        <v>CM</v>
      </c>
    </row>
    <row r="282" spans="1:11">
      <c r="A282" t="s">
        <v>447</v>
      </c>
      <c r="B282" t="s">
        <v>448</v>
      </c>
      <c r="C282" t="str">
        <f t="shared" si="4"/>
        <v>318293</v>
      </c>
      <c r="D282">
        <v>318293</v>
      </c>
      <c r="E282">
        <v>318293038</v>
      </c>
      <c r="F282" t="s">
        <v>708</v>
      </c>
      <c r="G282" t="s">
        <v>314</v>
      </c>
      <c r="H282" t="s">
        <v>315</v>
      </c>
      <c r="I282" t="s">
        <v>82</v>
      </c>
      <c r="J282" t="s">
        <v>316</v>
      </c>
      <c r="K282" s="15" t="str">
        <f>VLOOKUP(I282,[2]LOOKUP!$A:$D,4,FALSE)</f>
        <v>CM</v>
      </c>
    </row>
    <row r="283" spans="1:11">
      <c r="A283" t="s">
        <v>447</v>
      </c>
      <c r="B283">
        <v>1</v>
      </c>
      <c r="C283" t="str">
        <f t="shared" si="4"/>
        <v>317352</v>
      </c>
      <c r="D283">
        <v>318293</v>
      </c>
      <c r="E283">
        <v>317352039</v>
      </c>
      <c r="F283" t="s">
        <v>949</v>
      </c>
      <c r="G283" t="s">
        <v>314</v>
      </c>
      <c r="H283" t="s">
        <v>315</v>
      </c>
      <c r="I283" t="s">
        <v>88</v>
      </c>
      <c r="J283" t="s">
        <v>316</v>
      </c>
      <c r="K283" s="15" t="str">
        <f>VLOOKUP(I283,[2]LOOKUP!$A:$D,4,FALSE)</f>
        <v>CM</v>
      </c>
    </row>
    <row r="284" spans="1:11">
      <c r="A284" t="s">
        <v>447</v>
      </c>
      <c r="B284">
        <v>1</v>
      </c>
      <c r="C284" t="str">
        <f t="shared" si="4"/>
        <v>317352</v>
      </c>
      <c r="D284">
        <v>318293</v>
      </c>
      <c r="E284">
        <v>317352040</v>
      </c>
      <c r="F284" t="s">
        <v>950</v>
      </c>
      <c r="G284" t="s">
        <v>314</v>
      </c>
      <c r="H284" t="s">
        <v>315</v>
      </c>
      <c r="I284" t="s">
        <v>88</v>
      </c>
      <c r="J284" t="s">
        <v>316</v>
      </c>
      <c r="K284" s="15" t="str">
        <f>VLOOKUP(I284,[2]LOOKUP!$A:$D,4,FALSE)</f>
        <v>CM</v>
      </c>
    </row>
    <row r="285" spans="1:11">
      <c r="A285" t="s">
        <v>447</v>
      </c>
      <c r="B285">
        <v>1</v>
      </c>
      <c r="C285" t="str">
        <f t="shared" si="4"/>
        <v>317352</v>
      </c>
      <c r="D285">
        <v>318293</v>
      </c>
      <c r="E285">
        <v>317352041</v>
      </c>
      <c r="F285" t="s">
        <v>951</v>
      </c>
      <c r="G285" t="s">
        <v>314</v>
      </c>
      <c r="H285" t="s">
        <v>315</v>
      </c>
      <c r="I285" t="s">
        <v>88</v>
      </c>
      <c r="J285" t="s">
        <v>316</v>
      </c>
      <c r="K285" s="15" t="str">
        <f>VLOOKUP(I285,[2]LOOKUP!$A:$D,4,FALSE)</f>
        <v>CM</v>
      </c>
    </row>
    <row r="286" spans="1:11">
      <c r="A286" t="s">
        <v>447</v>
      </c>
      <c r="B286" t="s">
        <v>448</v>
      </c>
      <c r="C286" t="str">
        <f t="shared" si="4"/>
        <v>318293</v>
      </c>
      <c r="D286">
        <v>318293</v>
      </c>
      <c r="E286">
        <v>318293042</v>
      </c>
      <c r="F286" t="s">
        <v>709</v>
      </c>
      <c r="G286" t="s">
        <v>314</v>
      </c>
      <c r="H286" t="s">
        <v>315</v>
      </c>
      <c r="I286" t="s">
        <v>82</v>
      </c>
      <c r="J286" t="s">
        <v>316</v>
      </c>
      <c r="K286" s="15" t="str">
        <f>VLOOKUP(I286,[2]LOOKUP!$A:$D,4,FALSE)</f>
        <v>CM</v>
      </c>
    </row>
    <row r="287" spans="1:11">
      <c r="A287" t="s">
        <v>447</v>
      </c>
      <c r="B287">
        <v>1</v>
      </c>
      <c r="C287" t="str">
        <f t="shared" si="4"/>
        <v>317352</v>
      </c>
      <c r="D287">
        <v>318293</v>
      </c>
      <c r="E287">
        <v>317352043</v>
      </c>
      <c r="F287" t="s">
        <v>952</v>
      </c>
      <c r="G287" t="s">
        <v>314</v>
      </c>
      <c r="H287" t="s">
        <v>315</v>
      </c>
      <c r="I287" t="s">
        <v>88</v>
      </c>
      <c r="J287" t="s">
        <v>316</v>
      </c>
      <c r="K287" s="15" t="str">
        <f>VLOOKUP(I287,[2]LOOKUP!$A:$D,4,FALSE)</f>
        <v>CM</v>
      </c>
    </row>
    <row r="288" spans="1:11">
      <c r="A288" t="s">
        <v>447</v>
      </c>
      <c r="B288" t="s">
        <v>448</v>
      </c>
      <c r="C288" t="str">
        <f t="shared" si="4"/>
        <v>318293</v>
      </c>
      <c r="D288">
        <v>318293</v>
      </c>
      <c r="E288">
        <v>318293044</v>
      </c>
      <c r="F288" t="s">
        <v>710</v>
      </c>
      <c r="G288" t="s">
        <v>314</v>
      </c>
      <c r="H288" t="s">
        <v>315</v>
      </c>
      <c r="I288" t="s">
        <v>82</v>
      </c>
      <c r="J288" t="s">
        <v>316</v>
      </c>
      <c r="K288" s="15" t="str">
        <f>VLOOKUP(I288,[2]LOOKUP!$A:$D,4,FALSE)</f>
        <v>CM</v>
      </c>
    </row>
    <row r="289" spans="1:11">
      <c r="A289" t="s">
        <v>447</v>
      </c>
      <c r="B289">
        <v>1</v>
      </c>
      <c r="C289" t="str">
        <f t="shared" si="4"/>
        <v>317352</v>
      </c>
      <c r="D289">
        <v>318293</v>
      </c>
      <c r="E289">
        <v>317352045</v>
      </c>
      <c r="F289" t="s">
        <v>953</v>
      </c>
      <c r="G289" t="s">
        <v>314</v>
      </c>
      <c r="H289" t="s">
        <v>315</v>
      </c>
      <c r="I289" t="s">
        <v>88</v>
      </c>
      <c r="J289" t="s">
        <v>316</v>
      </c>
      <c r="K289" s="15" t="str">
        <f>VLOOKUP(I289,[2]LOOKUP!$A:$D,4,FALSE)</f>
        <v>CM</v>
      </c>
    </row>
    <row r="290" spans="1:11">
      <c r="A290" t="s">
        <v>447</v>
      </c>
      <c r="B290" t="s">
        <v>448</v>
      </c>
      <c r="C290" t="str">
        <f t="shared" si="4"/>
        <v>318293</v>
      </c>
      <c r="D290">
        <v>318293</v>
      </c>
      <c r="E290">
        <v>318293046</v>
      </c>
      <c r="F290" t="s">
        <v>711</v>
      </c>
      <c r="G290" t="s">
        <v>314</v>
      </c>
      <c r="H290" t="s">
        <v>315</v>
      </c>
      <c r="I290" t="s">
        <v>82</v>
      </c>
      <c r="J290" t="s">
        <v>316</v>
      </c>
      <c r="K290" s="15" t="str">
        <f>VLOOKUP(I290,[2]LOOKUP!$A:$D,4,FALSE)</f>
        <v>CM</v>
      </c>
    </row>
    <row r="291" spans="1:11">
      <c r="A291" t="s">
        <v>447</v>
      </c>
      <c r="B291">
        <v>1</v>
      </c>
      <c r="C291" t="str">
        <f t="shared" si="4"/>
        <v>317352</v>
      </c>
      <c r="D291">
        <v>318293</v>
      </c>
      <c r="E291">
        <v>317352047</v>
      </c>
      <c r="F291" t="s">
        <v>954</v>
      </c>
      <c r="G291" t="s">
        <v>314</v>
      </c>
      <c r="H291" t="s">
        <v>315</v>
      </c>
      <c r="I291" t="s">
        <v>88</v>
      </c>
      <c r="J291" t="s">
        <v>316</v>
      </c>
      <c r="K291" s="15" t="str">
        <f>VLOOKUP(I291,[2]LOOKUP!$A:$D,4,FALSE)</f>
        <v>CM</v>
      </c>
    </row>
    <row r="292" spans="1:11">
      <c r="A292" t="s">
        <v>447</v>
      </c>
      <c r="B292" t="s">
        <v>448</v>
      </c>
      <c r="C292" t="str">
        <f t="shared" si="4"/>
        <v>318293</v>
      </c>
      <c r="D292">
        <v>318293</v>
      </c>
      <c r="E292">
        <v>318293048</v>
      </c>
      <c r="F292" t="s">
        <v>712</v>
      </c>
      <c r="G292" t="s">
        <v>314</v>
      </c>
      <c r="H292" t="s">
        <v>315</v>
      </c>
      <c r="I292" t="s">
        <v>82</v>
      </c>
      <c r="J292" t="s">
        <v>316</v>
      </c>
      <c r="K292" s="15" t="str">
        <f>VLOOKUP(I292,[2]LOOKUP!$A:$D,4,FALSE)</f>
        <v>CM</v>
      </c>
    </row>
    <row r="293" spans="1:11">
      <c r="A293" t="s">
        <v>447</v>
      </c>
      <c r="B293">
        <v>1</v>
      </c>
      <c r="C293" t="str">
        <f t="shared" si="4"/>
        <v>317352</v>
      </c>
      <c r="D293">
        <v>318293</v>
      </c>
      <c r="E293">
        <v>317352049</v>
      </c>
      <c r="F293" t="s">
        <v>955</v>
      </c>
      <c r="G293" t="s">
        <v>314</v>
      </c>
      <c r="H293" t="s">
        <v>315</v>
      </c>
      <c r="I293" t="s">
        <v>88</v>
      </c>
      <c r="J293" t="s">
        <v>316</v>
      </c>
      <c r="K293" s="15" t="str">
        <f>VLOOKUP(I293,[2]LOOKUP!$A:$D,4,FALSE)</f>
        <v>CM</v>
      </c>
    </row>
    <row r="294" spans="1:11">
      <c r="A294" t="s">
        <v>447</v>
      </c>
      <c r="B294">
        <v>1</v>
      </c>
      <c r="C294" t="str">
        <f t="shared" si="4"/>
        <v>317352</v>
      </c>
      <c r="D294">
        <v>318293</v>
      </c>
      <c r="E294">
        <v>317352050</v>
      </c>
      <c r="F294" t="s">
        <v>956</v>
      </c>
      <c r="G294" t="s">
        <v>314</v>
      </c>
      <c r="H294" t="s">
        <v>315</v>
      </c>
      <c r="I294" t="s">
        <v>88</v>
      </c>
      <c r="J294" t="s">
        <v>316</v>
      </c>
      <c r="K294" s="15" t="str">
        <f>VLOOKUP(I294,[2]LOOKUP!$A:$D,4,FALSE)</f>
        <v>CM</v>
      </c>
    </row>
    <row r="295" spans="1:11">
      <c r="A295" t="s">
        <v>447</v>
      </c>
      <c r="B295">
        <v>1</v>
      </c>
      <c r="C295" t="str">
        <f t="shared" si="4"/>
        <v>317352</v>
      </c>
      <c r="D295">
        <v>318293</v>
      </c>
      <c r="E295">
        <v>317352051</v>
      </c>
      <c r="F295" t="s">
        <v>957</v>
      </c>
      <c r="G295" t="s">
        <v>314</v>
      </c>
      <c r="H295" t="s">
        <v>315</v>
      </c>
      <c r="I295" t="s">
        <v>88</v>
      </c>
      <c r="J295" t="s">
        <v>316</v>
      </c>
      <c r="K295" s="15" t="str">
        <f>VLOOKUP(I295,[2]LOOKUP!$A:$D,4,FALSE)</f>
        <v>CM</v>
      </c>
    </row>
    <row r="296" spans="1:11">
      <c r="A296" t="s">
        <v>447</v>
      </c>
      <c r="B296">
        <v>1</v>
      </c>
      <c r="C296" t="str">
        <f t="shared" si="4"/>
        <v>317352</v>
      </c>
      <c r="D296">
        <v>318293</v>
      </c>
      <c r="E296">
        <v>317352052</v>
      </c>
      <c r="F296" t="s">
        <v>958</v>
      </c>
      <c r="G296" t="s">
        <v>314</v>
      </c>
      <c r="H296" t="s">
        <v>315</v>
      </c>
      <c r="I296" t="s">
        <v>88</v>
      </c>
      <c r="J296" t="s">
        <v>316</v>
      </c>
      <c r="K296" s="15" t="str">
        <f>VLOOKUP(I296,[2]LOOKUP!$A:$D,4,FALSE)</f>
        <v>CM</v>
      </c>
    </row>
    <row r="297" spans="1:11">
      <c r="A297" t="s">
        <v>447</v>
      </c>
      <c r="B297" t="s">
        <v>448</v>
      </c>
      <c r="C297" t="str">
        <f t="shared" si="4"/>
        <v>318293</v>
      </c>
      <c r="D297">
        <v>318293</v>
      </c>
      <c r="E297">
        <v>318293053</v>
      </c>
      <c r="F297" t="s">
        <v>713</v>
      </c>
      <c r="G297" t="s">
        <v>314</v>
      </c>
      <c r="H297" t="s">
        <v>315</v>
      </c>
      <c r="I297" t="s">
        <v>82</v>
      </c>
      <c r="J297" t="s">
        <v>316</v>
      </c>
      <c r="K297" s="15" t="str">
        <f>VLOOKUP(I297,[2]LOOKUP!$A:$D,4,FALSE)</f>
        <v>CM</v>
      </c>
    </row>
    <row r="298" spans="1:11">
      <c r="A298" t="s">
        <v>447</v>
      </c>
      <c r="B298" t="s">
        <v>448</v>
      </c>
      <c r="C298" t="str">
        <f t="shared" si="4"/>
        <v>318293</v>
      </c>
      <c r="D298">
        <v>318293</v>
      </c>
      <c r="E298">
        <v>318293054</v>
      </c>
      <c r="F298" t="s">
        <v>714</v>
      </c>
      <c r="G298" t="s">
        <v>314</v>
      </c>
      <c r="H298" t="s">
        <v>315</v>
      </c>
      <c r="I298" t="s">
        <v>82</v>
      </c>
      <c r="J298" t="s">
        <v>316</v>
      </c>
      <c r="K298" s="15" t="str">
        <f>VLOOKUP(I298,[2]LOOKUP!$A:$D,4,FALSE)</f>
        <v>CM</v>
      </c>
    </row>
    <row r="299" spans="1:11">
      <c r="A299" t="s">
        <v>447</v>
      </c>
      <c r="B299">
        <v>1</v>
      </c>
      <c r="C299" t="str">
        <f t="shared" si="4"/>
        <v>317352</v>
      </c>
      <c r="D299">
        <v>318293</v>
      </c>
      <c r="E299">
        <v>317352055</v>
      </c>
      <c r="F299" t="s">
        <v>959</v>
      </c>
      <c r="G299" t="s">
        <v>314</v>
      </c>
      <c r="H299" t="s">
        <v>315</v>
      </c>
      <c r="I299" t="s">
        <v>88</v>
      </c>
      <c r="J299" t="s">
        <v>316</v>
      </c>
      <c r="K299" s="15" t="str">
        <f>VLOOKUP(I299,[2]LOOKUP!$A:$D,4,FALSE)</f>
        <v>CM</v>
      </c>
    </row>
    <row r="300" spans="1:11">
      <c r="A300" t="s">
        <v>447</v>
      </c>
      <c r="B300">
        <v>1</v>
      </c>
      <c r="C300" t="str">
        <f t="shared" si="4"/>
        <v>317352</v>
      </c>
      <c r="D300">
        <v>318293</v>
      </c>
      <c r="E300">
        <v>317352056</v>
      </c>
      <c r="F300" t="s">
        <v>960</v>
      </c>
      <c r="G300" t="s">
        <v>314</v>
      </c>
      <c r="H300" t="s">
        <v>315</v>
      </c>
      <c r="I300" t="s">
        <v>88</v>
      </c>
      <c r="J300" t="s">
        <v>316</v>
      </c>
      <c r="K300" s="15" t="str">
        <f>VLOOKUP(I300,[2]LOOKUP!$A:$D,4,FALSE)</f>
        <v>CM</v>
      </c>
    </row>
    <row r="301" spans="1:11">
      <c r="A301" t="s">
        <v>447</v>
      </c>
      <c r="B301" t="s">
        <v>448</v>
      </c>
      <c r="C301" t="str">
        <f t="shared" si="4"/>
        <v>318293</v>
      </c>
      <c r="D301">
        <v>318293</v>
      </c>
      <c r="E301">
        <v>318293057</v>
      </c>
      <c r="F301" t="s">
        <v>715</v>
      </c>
      <c r="G301" t="s">
        <v>314</v>
      </c>
      <c r="H301" t="s">
        <v>315</v>
      </c>
      <c r="I301" t="s">
        <v>82</v>
      </c>
      <c r="J301" t="s">
        <v>316</v>
      </c>
      <c r="K301" s="15" t="str">
        <f>VLOOKUP(I301,[2]LOOKUP!$A:$D,4,FALSE)</f>
        <v>CM</v>
      </c>
    </row>
    <row r="302" spans="1:11">
      <c r="A302" t="s">
        <v>447</v>
      </c>
      <c r="B302" t="s">
        <v>448</v>
      </c>
      <c r="C302" t="str">
        <f t="shared" si="4"/>
        <v>318293</v>
      </c>
      <c r="D302">
        <v>318293</v>
      </c>
      <c r="E302">
        <v>318293058</v>
      </c>
      <c r="F302" t="s">
        <v>716</v>
      </c>
      <c r="G302" t="s">
        <v>314</v>
      </c>
      <c r="H302" t="s">
        <v>315</v>
      </c>
      <c r="I302" t="s">
        <v>82</v>
      </c>
      <c r="J302" t="s">
        <v>316</v>
      </c>
      <c r="K302" s="15" t="str">
        <f>VLOOKUP(I302,[2]LOOKUP!$A:$D,4,FALSE)</f>
        <v>CM</v>
      </c>
    </row>
    <row r="303" spans="1:11">
      <c r="A303" t="s">
        <v>447</v>
      </c>
      <c r="B303" t="s">
        <v>448</v>
      </c>
      <c r="C303" t="str">
        <f t="shared" si="4"/>
        <v>318293</v>
      </c>
      <c r="D303">
        <v>318293</v>
      </c>
      <c r="E303">
        <v>318293059</v>
      </c>
      <c r="F303" t="s">
        <v>717</v>
      </c>
      <c r="G303" t="s">
        <v>314</v>
      </c>
      <c r="H303" t="s">
        <v>315</v>
      </c>
      <c r="I303" t="s">
        <v>82</v>
      </c>
      <c r="J303" t="s">
        <v>316</v>
      </c>
      <c r="K303" s="15" t="str">
        <f>VLOOKUP(I303,[2]LOOKUP!$A:$D,4,FALSE)</f>
        <v>CM</v>
      </c>
    </row>
    <row r="304" spans="1:11">
      <c r="A304" t="s">
        <v>447</v>
      </c>
      <c r="B304">
        <v>1</v>
      </c>
      <c r="C304" t="str">
        <f t="shared" si="4"/>
        <v>317352</v>
      </c>
      <c r="D304">
        <v>318293</v>
      </c>
      <c r="E304">
        <v>317352060</v>
      </c>
      <c r="F304" t="s">
        <v>961</v>
      </c>
      <c r="G304" t="s">
        <v>314</v>
      </c>
      <c r="H304" t="s">
        <v>315</v>
      </c>
      <c r="I304" t="s">
        <v>88</v>
      </c>
      <c r="J304" t="s">
        <v>316</v>
      </c>
      <c r="K304" s="15" t="str">
        <f>VLOOKUP(I304,[2]LOOKUP!$A:$D,4,FALSE)</f>
        <v>CM</v>
      </c>
    </row>
    <row r="305" spans="1:11">
      <c r="A305" t="s">
        <v>447</v>
      </c>
      <c r="B305">
        <v>1</v>
      </c>
      <c r="C305" t="str">
        <f t="shared" si="4"/>
        <v>317352</v>
      </c>
      <c r="D305">
        <v>318293</v>
      </c>
      <c r="E305">
        <v>317352061</v>
      </c>
      <c r="F305" t="s">
        <v>962</v>
      </c>
      <c r="G305" t="s">
        <v>314</v>
      </c>
      <c r="H305" t="s">
        <v>315</v>
      </c>
      <c r="I305" t="s">
        <v>88</v>
      </c>
      <c r="J305" t="s">
        <v>316</v>
      </c>
      <c r="K305" s="15" t="str">
        <f>VLOOKUP(I305,[2]LOOKUP!$A:$D,4,FALSE)</f>
        <v>CM</v>
      </c>
    </row>
    <row r="306" spans="1:11">
      <c r="A306" t="s">
        <v>447</v>
      </c>
      <c r="B306" t="s">
        <v>448</v>
      </c>
      <c r="C306" t="str">
        <f t="shared" si="4"/>
        <v>318293</v>
      </c>
      <c r="D306">
        <v>318293</v>
      </c>
      <c r="E306">
        <v>318293062</v>
      </c>
      <c r="F306" t="s">
        <v>718</v>
      </c>
      <c r="G306" t="s">
        <v>314</v>
      </c>
      <c r="H306" t="s">
        <v>315</v>
      </c>
      <c r="I306" t="s">
        <v>82</v>
      </c>
      <c r="J306" t="s">
        <v>316</v>
      </c>
      <c r="K306" s="15" t="str">
        <f>VLOOKUP(I306,[2]LOOKUP!$A:$D,4,FALSE)</f>
        <v>CM</v>
      </c>
    </row>
    <row r="307" spans="1:11">
      <c r="A307" t="s">
        <v>447</v>
      </c>
      <c r="B307" t="s">
        <v>448</v>
      </c>
      <c r="C307" t="str">
        <f t="shared" si="4"/>
        <v>318293</v>
      </c>
      <c r="D307">
        <v>318293</v>
      </c>
      <c r="E307">
        <v>318293063</v>
      </c>
      <c r="F307" t="s">
        <v>719</v>
      </c>
      <c r="G307" t="s">
        <v>314</v>
      </c>
      <c r="H307" t="s">
        <v>315</v>
      </c>
      <c r="I307" t="s">
        <v>82</v>
      </c>
      <c r="J307" t="s">
        <v>316</v>
      </c>
      <c r="K307" s="15" t="str">
        <f>VLOOKUP(I307,[2]LOOKUP!$A:$D,4,FALSE)</f>
        <v>CM</v>
      </c>
    </row>
    <row r="308" spans="1:11">
      <c r="A308" t="s">
        <v>447</v>
      </c>
      <c r="B308" t="s">
        <v>448</v>
      </c>
      <c r="C308" t="str">
        <f t="shared" si="4"/>
        <v>318293</v>
      </c>
      <c r="D308">
        <v>318293</v>
      </c>
      <c r="E308">
        <v>318293064</v>
      </c>
      <c r="F308" t="s">
        <v>720</v>
      </c>
      <c r="G308" t="s">
        <v>314</v>
      </c>
      <c r="H308" t="s">
        <v>315</v>
      </c>
      <c r="I308" t="s">
        <v>82</v>
      </c>
      <c r="J308" t="s">
        <v>316</v>
      </c>
      <c r="K308" s="15" t="str">
        <f>VLOOKUP(I308,[2]LOOKUP!$A:$D,4,FALSE)</f>
        <v>CM</v>
      </c>
    </row>
    <row r="309" spans="1:11">
      <c r="A309" t="s">
        <v>447</v>
      </c>
      <c r="B309" t="s">
        <v>448</v>
      </c>
      <c r="C309" t="str">
        <f t="shared" si="4"/>
        <v>318293</v>
      </c>
      <c r="D309">
        <v>318293</v>
      </c>
      <c r="E309">
        <v>318293065</v>
      </c>
      <c r="F309" t="s">
        <v>721</v>
      </c>
      <c r="G309" t="s">
        <v>314</v>
      </c>
      <c r="H309" t="s">
        <v>315</v>
      </c>
      <c r="I309" t="s">
        <v>82</v>
      </c>
      <c r="J309" t="s">
        <v>316</v>
      </c>
      <c r="K309" s="15" t="str">
        <f>VLOOKUP(I309,[2]LOOKUP!$A:$D,4,FALSE)</f>
        <v>CM</v>
      </c>
    </row>
    <row r="310" spans="1:11">
      <c r="A310" t="s">
        <v>447</v>
      </c>
      <c r="B310" t="s">
        <v>448</v>
      </c>
      <c r="C310" t="str">
        <f t="shared" si="4"/>
        <v>318293</v>
      </c>
      <c r="D310">
        <v>318293</v>
      </c>
      <c r="E310">
        <v>318293066</v>
      </c>
      <c r="F310" t="s">
        <v>722</v>
      </c>
      <c r="G310" t="s">
        <v>314</v>
      </c>
      <c r="H310" t="s">
        <v>315</v>
      </c>
      <c r="I310" t="s">
        <v>82</v>
      </c>
      <c r="J310" t="s">
        <v>316</v>
      </c>
      <c r="K310" s="15" t="str">
        <f>VLOOKUP(I310,[2]LOOKUP!$A:$D,4,FALSE)</f>
        <v>CM</v>
      </c>
    </row>
    <row r="311" spans="1:11">
      <c r="A311" t="s">
        <v>447</v>
      </c>
      <c r="B311" t="s">
        <v>448</v>
      </c>
      <c r="C311" t="str">
        <f t="shared" si="4"/>
        <v>318293</v>
      </c>
      <c r="D311">
        <v>318293</v>
      </c>
      <c r="E311">
        <v>318293067</v>
      </c>
      <c r="F311" t="s">
        <v>723</v>
      </c>
      <c r="G311" t="s">
        <v>314</v>
      </c>
      <c r="H311" t="s">
        <v>315</v>
      </c>
      <c r="I311" t="s">
        <v>82</v>
      </c>
      <c r="J311" t="s">
        <v>316</v>
      </c>
      <c r="K311" s="15" t="str">
        <f>VLOOKUP(I311,[2]LOOKUP!$A:$D,4,FALSE)</f>
        <v>CM</v>
      </c>
    </row>
    <row r="312" spans="1:11">
      <c r="A312" t="s">
        <v>447</v>
      </c>
      <c r="B312" t="s">
        <v>448</v>
      </c>
      <c r="C312" t="str">
        <f t="shared" si="4"/>
        <v>318293</v>
      </c>
      <c r="D312">
        <v>318293</v>
      </c>
      <c r="E312">
        <v>318293068</v>
      </c>
      <c r="F312" t="s">
        <v>724</v>
      </c>
      <c r="G312" t="s">
        <v>314</v>
      </c>
      <c r="H312" t="s">
        <v>315</v>
      </c>
      <c r="I312" t="s">
        <v>82</v>
      </c>
      <c r="J312" t="s">
        <v>316</v>
      </c>
      <c r="K312" s="15" t="str">
        <f>VLOOKUP(I312,[2]LOOKUP!$A:$D,4,FALSE)</f>
        <v>CM</v>
      </c>
    </row>
    <row r="313" spans="1:11">
      <c r="A313" t="s">
        <v>447</v>
      </c>
      <c r="B313">
        <v>1</v>
      </c>
      <c r="C313" t="str">
        <f t="shared" si="4"/>
        <v>317352</v>
      </c>
      <c r="D313">
        <v>318293</v>
      </c>
      <c r="E313">
        <v>317352069</v>
      </c>
      <c r="F313" t="s">
        <v>963</v>
      </c>
      <c r="G313" t="s">
        <v>314</v>
      </c>
      <c r="H313" t="s">
        <v>315</v>
      </c>
      <c r="I313" t="s">
        <v>88</v>
      </c>
      <c r="J313" t="s">
        <v>316</v>
      </c>
      <c r="K313" s="15" t="str">
        <f>VLOOKUP(I313,[2]LOOKUP!$A:$D,4,FALSE)</f>
        <v>CM</v>
      </c>
    </row>
    <row r="314" spans="1:11">
      <c r="A314" t="s">
        <v>447</v>
      </c>
      <c r="B314" t="s">
        <v>448</v>
      </c>
      <c r="C314" t="str">
        <f t="shared" si="4"/>
        <v>318293</v>
      </c>
      <c r="D314">
        <v>318293</v>
      </c>
      <c r="E314">
        <v>318293070</v>
      </c>
      <c r="F314" t="s">
        <v>725</v>
      </c>
      <c r="G314" t="s">
        <v>314</v>
      </c>
      <c r="H314" t="s">
        <v>315</v>
      </c>
      <c r="I314" t="s">
        <v>82</v>
      </c>
      <c r="J314" t="s">
        <v>316</v>
      </c>
      <c r="K314" s="15" t="str">
        <f>VLOOKUP(I314,[2]LOOKUP!$A:$D,4,FALSE)</f>
        <v>CM</v>
      </c>
    </row>
    <row r="315" spans="1:11">
      <c r="A315" t="s">
        <v>447</v>
      </c>
      <c r="B315">
        <v>1</v>
      </c>
      <c r="C315" t="str">
        <f t="shared" si="4"/>
        <v>317352</v>
      </c>
      <c r="D315">
        <v>318293</v>
      </c>
      <c r="E315">
        <v>317352071</v>
      </c>
      <c r="F315" t="s">
        <v>964</v>
      </c>
      <c r="G315" t="s">
        <v>314</v>
      </c>
      <c r="H315" t="s">
        <v>315</v>
      </c>
      <c r="I315" t="s">
        <v>88</v>
      </c>
      <c r="J315" t="s">
        <v>316</v>
      </c>
      <c r="K315" s="15" t="str">
        <f>VLOOKUP(I315,[2]LOOKUP!$A:$D,4,FALSE)</f>
        <v>CM</v>
      </c>
    </row>
    <row r="316" spans="1:11">
      <c r="A316" t="s">
        <v>447</v>
      </c>
      <c r="B316" t="s">
        <v>448</v>
      </c>
      <c r="C316" t="str">
        <f t="shared" si="4"/>
        <v>318293</v>
      </c>
      <c r="D316">
        <v>318293</v>
      </c>
      <c r="E316">
        <v>318293072</v>
      </c>
      <c r="F316" t="s">
        <v>726</v>
      </c>
      <c r="G316" t="s">
        <v>314</v>
      </c>
      <c r="H316" t="s">
        <v>315</v>
      </c>
      <c r="I316" t="s">
        <v>82</v>
      </c>
      <c r="J316" t="s">
        <v>316</v>
      </c>
      <c r="K316" s="15" t="str">
        <f>VLOOKUP(I316,[2]LOOKUP!$A:$D,4,FALSE)</f>
        <v>CM</v>
      </c>
    </row>
    <row r="317" spans="1:11">
      <c r="A317" t="s">
        <v>447</v>
      </c>
      <c r="B317" t="s">
        <v>448</v>
      </c>
      <c r="C317" t="str">
        <f t="shared" si="4"/>
        <v>318293</v>
      </c>
      <c r="D317">
        <v>318293</v>
      </c>
      <c r="E317">
        <v>318293073</v>
      </c>
      <c r="F317" t="s">
        <v>727</v>
      </c>
      <c r="G317" t="s">
        <v>314</v>
      </c>
      <c r="H317" t="s">
        <v>315</v>
      </c>
      <c r="I317" t="s">
        <v>82</v>
      </c>
      <c r="J317" t="s">
        <v>316</v>
      </c>
      <c r="K317" s="15" t="str">
        <f>VLOOKUP(I317,[2]LOOKUP!$A:$D,4,FALSE)</f>
        <v>CM</v>
      </c>
    </row>
    <row r="318" spans="1:11">
      <c r="A318" t="s">
        <v>447</v>
      </c>
      <c r="B318" t="s">
        <v>448</v>
      </c>
      <c r="C318" t="str">
        <f t="shared" si="4"/>
        <v>318293</v>
      </c>
      <c r="D318">
        <v>318293</v>
      </c>
      <c r="E318">
        <v>318293074</v>
      </c>
      <c r="F318" t="s">
        <v>728</v>
      </c>
      <c r="G318" t="s">
        <v>314</v>
      </c>
      <c r="H318" t="s">
        <v>315</v>
      </c>
      <c r="I318" t="s">
        <v>82</v>
      </c>
      <c r="J318" t="s">
        <v>316</v>
      </c>
      <c r="K318" s="15" t="str">
        <f>VLOOKUP(I318,[2]LOOKUP!$A:$D,4,FALSE)</f>
        <v>CM</v>
      </c>
    </row>
    <row r="319" spans="1:11">
      <c r="A319" t="s">
        <v>447</v>
      </c>
      <c r="B319" t="s">
        <v>448</v>
      </c>
      <c r="C319" t="str">
        <f t="shared" si="4"/>
        <v>318293</v>
      </c>
      <c r="D319">
        <v>318293</v>
      </c>
      <c r="E319">
        <v>318293075</v>
      </c>
      <c r="F319" t="s">
        <v>729</v>
      </c>
      <c r="G319" t="s">
        <v>314</v>
      </c>
      <c r="H319" t="s">
        <v>315</v>
      </c>
      <c r="I319" t="s">
        <v>82</v>
      </c>
      <c r="J319" t="s">
        <v>316</v>
      </c>
      <c r="K319" s="15" t="str">
        <f>VLOOKUP(I319,[2]LOOKUP!$A:$D,4,FALSE)</f>
        <v>CM</v>
      </c>
    </row>
    <row r="320" spans="1:11">
      <c r="A320" t="s">
        <v>447</v>
      </c>
      <c r="B320" t="s">
        <v>448</v>
      </c>
      <c r="C320" t="str">
        <f t="shared" si="4"/>
        <v>318293</v>
      </c>
      <c r="D320">
        <v>318293</v>
      </c>
      <c r="E320">
        <v>318293076</v>
      </c>
      <c r="F320" t="s">
        <v>730</v>
      </c>
      <c r="G320" t="s">
        <v>314</v>
      </c>
      <c r="H320" t="s">
        <v>315</v>
      </c>
      <c r="I320" t="s">
        <v>82</v>
      </c>
      <c r="J320" t="s">
        <v>316</v>
      </c>
      <c r="K320" s="15" t="str">
        <f>VLOOKUP(I320,[2]LOOKUP!$A:$D,4,FALSE)</f>
        <v>CM</v>
      </c>
    </row>
    <row r="321" spans="1:11">
      <c r="A321" t="s">
        <v>447</v>
      </c>
      <c r="B321">
        <v>1</v>
      </c>
      <c r="C321" t="str">
        <f t="shared" si="4"/>
        <v>317352</v>
      </c>
      <c r="D321">
        <v>318293</v>
      </c>
      <c r="E321">
        <v>317352077</v>
      </c>
      <c r="F321" t="s">
        <v>965</v>
      </c>
      <c r="G321" t="s">
        <v>314</v>
      </c>
      <c r="H321" t="s">
        <v>315</v>
      </c>
      <c r="I321" t="s">
        <v>88</v>
      </c>
      <c r="J321" t="s">
        <v>316</v>
      </c>
      <c r="K321" s="15" t="str">
        <f>VLOOKUP(I321,[2]LOOKUP!$A:$D,4,FALSE)</f>
        <v>CM</v>
      </c>
    </row>
    <row r="322" spans="1:11">
      <c r="A322" t="s">
        <v>447</v>
      </c>
      <c r="B322" t="s">
        <v>448</v>
      </c>
      <c r="C322" t="str">
        <f t="shared" si="4"/>
        <v>318293</v>
      </c>
      <c r="D322">
        <v>318293</v>
      </c>
      <c r="E322">
        <v>318293078</v>
      </c>
      <c r="F322" t="s">
        <v>731</v>
      </c>
      <c r="G322" t="s">
        <v>314</v>
      </c>
      <c r="H322" t="s">
        <v>315</v>
      </c>
      <c r="I322" t="s">
        <v>82</v>
      </c>
      <c r="J322" t="s">
        <v>316</v>
      </c>
      <c r="K322" s="15" t="str">
        <f>VLOOKUP(I322,[2]LOOKUP!$A:$D,4,FALSE)</f>
        <v>CM</v>
      </c>
    </row>
    <row r="323" spans="1:11">
      <c r="A323" t="s">
        <v>447</v>
      </c>
      <c r="B323" t="s">
        <v>448</v>
      </c>
      <c r="C323" t="str">
        <f t="shared" ref="C323:C386" si="5">LEFT(E323,6)</f>
        <v>318293</v>
      </c>
      <c r="D323">
        <v>318293</v>
      </c>
      <c r="E323">
        <v>318293079</v>
      </c>
      <c r="F323" t="s">
        <v>732</v>
      </c>
      <c r="G323" t="s">
        <v>314</v>
      </c>
      <c r="H323" t="s">
        <v>315</v>
      </c>
      <c r="I323" t="s">
        <v>82</v>
      </c>
      <c r="J323" t="s">
        <v>316</v>
      </c>
      <c r="K323" s="15" t="str">
        <f>VLOOKUP(I323,[2]LOOKUP!$A:$D,4,FALSE)</f>
        <v>CM</v>
      </c>
    </row>
    <row r="324" spans="1:11">
      <c r="A324" t="s">
        <v>447</v>
      </c>
      <c r="B324" t="s">
        <v>448</v>
      </c>
      <c r="C324" t="str">
        <f t="shared" si="5"/>
        <v>318293</v>
      </c>
      <c r="D324">
        <v>318293</v>
      </c>
      <c r="E324">
        <v>318293080</v>
      </c>
      <c r="F324" t="s">
        <v>733</v>
      </c>
      <c r="G324" t="s">
        <v>314</v>
      </c>
      <c r="H324" t="s">
        <v>315</v>
      </c>
      <c r="I324" t="s">
        <v>82</v>
      </c>
      <c r="J324" t="s">
        <v>316</v>
      </c>
      <c r="K324" s="15" t="str">
        <f>VLOOKUP(I324,[2]LOOKUP!$A:$D,4,FALSE)</f>
        <v>CM</v>
      </c>
    </row>
    <row r="325" spans="1:11">
      <c r="A325" t="s">
        <v>447</v>
      </c>
      <c r="B325" t="s">
        <v>448</v>
      </c>
      <c r="C325" t="str">
        <f t="shared" si="5"/>
        <v>318293</v>
      </c>
      <c r="D325">
        <v>318293</v>
      </c>
      <c r="E325">
        <v>318293081</v>
      </c>
      <c r="F325" t="s">
        <v>734</v>
      </c>
      <c r="G325" t="s">
        <v>314</v>
      </c>
      <c r="H325" t="s">
        <v>315</v>
      </c>
      <c r="I325" t="s">
        <v>82</v>
      </c>
      <c r="J325" t="s">
        <v>316</v>
      </c>
      <c r="K325" s="15" t="str">
        <f>VLOOKUP(I325,[2]LOOKUP!$A:$D,4,FALSE)</f>
        <v>CM</v>
      </c>
    </row>
    <row r="326" spans="1:11">
      <c r="A326" t="s">
        <v>447</v>
      </c>
      <c r="B326">
        <v>1</v>
      </c>
      <c r="C326" t="str">
        <f t="shared" si="5"/>
        <v>317352</v>
      </c>
      <c r="D326">
        <v>318293</v>
      </c>
      <c r="E326">
        <v>317352082</v>
      </c>
      <c r="F326" t="s">
        <v>966</v>
      </c>
      <c r="G326" t="s">
        <v>314</v>
      </c>
      <c r="H326" t="s">
        <v>315</v>
      </c>
      <c r="I326" t="s">
        <v>88</v>
      </c>
      <c r="J326" t="s">
        <v>316</v>
      </c>
      <c r="K326" s="15" t="str">
        <f>VLOOKUP(I326,[2]LOOKUP!$A:$D,4,FALSE)</f>
        <v>CM</v>
      </c>
    </row>
    <row r="327" spans="1:11">
      <c r="A327" t="s">
        <v>447</v>
      </c>
      <c r="B327">
        <v>1</v>
      </c>
      <c r="C327" t="str">
        <f t="shared" si="5"/>
        <v>317352</v>
      </c>
      <c r="D327">
        <v>318293</v>
      </c>
      <c r="E327">
        <v>317352083</v>
      </c>
      <c r="F327" t="s">
        <v>967</v>
      </c>
      <c r="G327" t="s">
        <v>314</v>
      </c>
      <c r="H327" t="s">
        <v>315</v>
      </c>
      <c r="I327" t="s">
        <v>88</v>
      </c>
      <c r="J327" t="s">
        <v>316</v>
      </c>
      <c r="K327" s="15" t="str">
        <f>VLOOKUP(I327,[2]LOOKUP!$A:$D,4,FALSE)</f>
        <v>CM</v>
      </c>
    </row>
    <row r="328" spans="1:11">
      <c r="A328" t="s">
        <v>447</v>
      </c>
      <c r="B328">
        <v>1</v>
      </c>
      <c r="C328" t="str">
        <f t="shared" si="5"/>
        <v>317352</v>
      </c>
      <c r="D328">
        <v>318293</v>
      </c>
      <c r="E328">
        <v>317352084</v>
      </c>
      <c r="F328" t="s">
        <v>968</v>
      </c>
      <c r="G328" t="s">
        <v>314</v>
      </c>
      <c r="H328" t="s">
        <v>315</v>
      </c>
      <c r="I328" t="s">
        <v>88</v>
      </c>
      <c r="J328" t="s">
        <v>316</v>
      </c>
      <c r="K328" s="15" t="str">
        <f>VLOOKUP(I328,[2]LOOKUP!$A:$D,4,FALSE)</f>
        <v>CM</v>
      </c>
    </row>
    <row r="329" spans="1:11">
      <c r="A329" t="s">
        <v>447</v>
      </c>
      <c r="B329" t="s">
        <v>448</v>
      </c>
      <c r="C329" t="str">
        <f t="shared" si="5"/>
        <v>318293</v>
      </c>
      <c r="D329">
        <v>318293</v>
      </c>
      <c r="E329">
        <v>318293085</v>
      </c>
      <c r="F329" t="s">
        <v>735</v>
      </c>
      <c r="G329" t="s">
        <v>314</v>
      </c>
      <c r="H329" t="s">
        <v>315</v>
      </c>
      <c r="I329" t="s">
        <v>82</v>
      </c>
      <c r="J329" t="s">
        <v>316</v>
      </c>
      <c r="K329" s="15" t="str">
        <f>VLOOKUP(I329,[2]LOOKUP!$A:$D,4,FALSE)</f>
        <v>CM</v>
      </c>
    </row>
    <row r="330" spans="1:11">
      <c r="A330" t="s">
        <v>447</v>
      </c>
      <c r="B330" t="s">
        <v>448</v>
      </c>
      <c r="C330" t="str">
        <f t="shared" si="5"/>
        <v>318293</v>
      </c>
      <c r="D330">
        <v>318293</v>
      </c>
      <c r="E330">
        <v>318293086</v>
      </c>
      <c r="F330" t="s">
        <v>736</v>
      </c>
      <c r="G330" t="s">
        <v>314</v>
      </c>
      <c r="H330" t="s">
        <v>315</v>
      </c>
      <c r="I330" t="s">
        <v>82</v>
      </c>
      <c r="J330" t="s">
        <v>316</v>
      </c>
      <c r="K330" s="15" t="str">
        <f>VLOOKUP(I330,[2]LOOKUP!$A:$D,4,FALSE)</f>
        <v>CM</v>
      </c>
    </row>
    <row r="331" spans="1:11">
      <c r="A331" t="s">
        <v>447</v>
      </c>
      <c r="B331">
        <v>1</v>
      </c>
      <c r="C331" t="str">
        <f t="shared" si="5"/>
        <v>317352</v>
      </c>
      <c r="D331">
        <v>318293</v>
      </c>
      <c r="E331">
        <v>317352087</v>
      </c>
      <c r="F331" t="s">
        <v>969</v>
      </c>
      <c r="G331" t="s">
        <v>314</v>
      </c>
      <c r="H331" t="s">
        <v>315</v>
      </c>
      <c r="I331" t="s">
        <v>88</v>
      </c>
      <c r="J331" t="s">
        <v>316</v>
      </c>
      <c r="K331" s="15" t="str">
        <f>VLOOKUP(I331,[2]LOOKUP!$A:$D,4,FALSE)</f>
        <v>CM</v>
      </c>
    </row>
    <row r="332" spans="1:11">
      <c r="A332" t="s">
        <v>447</v>
      </c>
      <c r="B332">
        <v>1</v>
      </c>
      <c r="C332" t="str">
        <f t="shared" si="5"/>
        <v>317352</v>
      </c>
      <c r="D332">
        <v>318293</v>
      </c>
      <c r="E332">
        <v>317352088</v>
      </c>
      <c r="F332" t="s">
        <v>970</v>
      </c>
      <c r="G332" t="s">
        <v>314</v>
      </c>
      <c r="H332" t="s">
        <v>315</v>
      </c>
      <c r="I332" t="s">
        <v>88</v>
      </c>
      <c r="J332" t="s">
        <v>316</v>
      </c>
      <c r="K332" s="15" t="str">
        <f>VLOOKUP(I332,[2]LOOKUP!$A:$D,4,FALSE)</f>
        <v>CM</v>
      </c>
    </row>
    <row r="333" spans="1:11">
      <c r="A333" t="s">
        <v>447</v>
      </c>
      <c r="B333">
        <v>1</v>
      </c>
      <c r="C333" t="str">
        <f t="shared" si="5"/>
        <v>317352</v>
      </c>
      <c r="D333">
        <v>318293</v>
      </c>
      <c r="E333">
        <v>317352089</v>
      </c>
      <c r="F333" t="s">
        <v>971</v>
      </c>
      <c r="G333" t="s">
        <v>314</v>
      </c>
      <c r="H333" t="s">
        <v>315</v>
      </c>
      <c r="I333" t="s">
        <v>88</v>
      </c>
      <c r="J333" t="s">
        <v>316</v>
      </c>
      <c r="K333" s="15" t="str">
        <f>VLOOKUP(I333,[2]LOOKUP!$A:$D,4,FALSE)</f>
        <v>CM</v>
      </c>
    </row>
    <row r="334" spans="1:11">
      <c r="A334" t="s">
        <v>447</v>
      </c>
      <c r="B334" t="s">
        <v>448</v>
      </c>
      <c r="C334" t="str">
        <f t="shared" si="5"/>
        <v>318293</v>
      </c>
      <c r="D334">
        <v>318293</v>
      </c>
      <c r="E334">
        <v>318293090</v>
      </c>
      <c r="F334" t="s">
        <v>737</v>
      </c>
      <c r="G334" t="s">
        <v>314</v>
      </c>
      <c r="H334" t="s">
        <v>315</v>
      </c>
      <c r="I334" t="s">
        <v>82</v>
      </c>
      <c r="J334" t="s">
        <v>316</v>
      </c>
      <c r="K334" s="15" t="str">
        <f>VLOOKUP(I334,[2]LOOKUP!$A:$D,4,FALSE)</f>
        <v>CM</v>
      </c>
    </row>
    <row r="335" spans="1:11">
      <c r="A335" t="s">
        <v>447</v>
      </c>
      <c r="B335" t="s">
        <v>448</v>
      </c>
      <c r="C335" t="str">
        <f t="shared" si="5"/>
        <v>318293</v>
      </c>
      <c r="D335">
        <v>318293</v>
      </c>
      <c r="E335">
        <v>318293091</v>
      </c>
      <c r="F335" t="s">
        <v>738</v>
      </c>
      <c r="G335" t="s">
        <v>314</v>
      </c>
      <c r="H335" t="s">
        <v>315</v>
      </c>
      <c r="I335" t="s">
        <v>82</v>
      </c>
      <c r="J335" t="s">
        <v>316</v>
      </c>
      <c r="K335" s="15" t="str">
        <f>VLOOKUP(I335,[2]LOOKUP!$A:$D,4,FALSE)</f>
        <v>CM</v>
      </c>
    </row>
    <row r="336" spans="1:11">
      <c r="A336" t="s">
        <v>447</v>
      </c>
      <c r="B336" t="s">
        <v>448</v>
      </c>
      <c r="C336" t="str">
        <f t="shared" si="5"/>
        <v>318293</v>
      </c>
      <c r="D336">
        <v>318293</v>
      </c>
      <c r="E336">
        <v>318293092</v>
      </c>
      <c r="F336" t="s">
        <v>739</v>
      </c>
      <c r="G336" t="s">
        <v>314</v>
      </c>
      <c r="H336" t="s">
        <v>315</v>
      </c>
      <c r="I336" t="s">
        <v>82</v>
      </c>
      <c r="J336" t="s">
        <v>316</v>
      </c>
      <c r="K336" s="15" t="str">
        <f>VLOOKUP(I336,[2]LOOKUP!$A:$D,4,FALSE)</f>
        <v>CM</v>
      </c>
    </row>
    <row r="337" spans="1:11">
      <c r="A337" t="s">
        <v>447</v>
      </c>
      <c r="B337">
        <v>1</v>
      </c>
      <c r="C337" t="str">
        <f t="shared" si="5"/>
        <v>317352</v>
      </c>
      <c r="D337">
        <v>318293</v>
      </c>
      <c r="E337">
        <v>317352093</v>
      </c>
      <c r="F337" t="s">
        <v>972</v>
      </c>
      <c r="G337" t="s">
        <v>314</v>
      </c>
      <c r="H337" t="s">
        <v>315</v>
      </c>
      <c r="I337" t="s">
        <v>88</v>
      </c>
      <c r="J337" t="s">
        <v>316</v>
      </c>
      <c r="K337" s="15" t="str">
        <f>VLOOKUP(I337,[2]LOOKUP!$A:$D,4,FALSE)</f>
        <v>CM</v>
      </c>
    </row>
    <row r="338" spans="1:11">
      <c r="A338" t="s">
        <v>447</v>
      </c>
      <c r="B338" t="s">
        <v>448</v>
      </c>
      <c r="C338" t="str">
        <f t="shared" si="5"/>
        <v>318293</v>
      </c>
      <c r="D338">
        <v>318293</v>
      </c>
      <c r="E338">
        <v>318293094</v>
      </c>
      <c r="F338" t="s">
        <v>740</v>
      </c>
      <c r="G338" t="s">
        <v>314</v>
      </c>
      <c r="H338" t="s">
        <v>315</v>
      </c>
      <c r="I338" t="s">
        <v>82</v>
      </c>
      <c r="J338" t="s">
        <v>316</v>
      </c>
      <c r="K338" s="15" t="str">
        <f>VLOOKUP(I338,[2]LOOKUP!$A:$D,4,FALSE)</f>
        <v>CM</v>
      </c>
    </row>
    <row r="339" spans="1:11">
      <c r="A339" t="s">
        <v>447</v>
      </c>
      <c r="B339">
        <v>1</v>
      </c>
      <c r="C339" t="str">
        <f t="shared" si="5"/>
        <v>317352</v>
      </c>
      <c r="D339">
        <v>318293</v>
      </c>
      <c r="E339">
        <v>317352095</v>
      </c>
      <c r="F339" t="s">
        <v>973</v>
      </c>
      <c r="G339" t="s">
        <v>314</v>
      </c>
      <c r="H339" t="s">
        <v>315</v>
      </c>
      <c r="I339" t="s">
        <v>88</v>
      </c>
      <c r="J339" t="s">
        <v>316</v>
      </c>
      <c r="K339" s="15" t="str">
        <f>VLOOKUP(I339,[2]LOOKUP!$A:$D,4,FALSE)</f>
        <v>CM</v>
      </c>
    </row>
    <row r="340" spans="1:11">
      <c r="A340" t="s">
        <v>447</v>
      </c>
      <c r="B340" t="s">
        <v>448</v>
      </c>
      <c r="C340" t="str">
        <f t="shared" si="5"/>
        <v>318293</v>
      </c>
      <c r="D340">
        <v>318293</v>
      </c>
      <c r="E340">
        <v>318293096</v>
      </c>
      <c r="F340" t="s">
        <v>741</v>
      </c>
      <c r="G340" t="s">
        <v>314</v>
      </c>
      <c r="H340" t="s">
        <v>315</v>
      </c>
      <c r="I340" t="s">
        <v>82</v>
      </c>
      <c r="J340" t="s">
        <v>316</v>
      </c>
      <c r="K340" s="15" t="str">
        <f>VLOOKUP(I340,[2]LOOKUP!$A:$D,4,FALSE)</f>
        <v>CM</v>
      </c>
    </row>
    <row r="341" spans="1:11">
      <c r="A341" t="s">
        <v>447</v>
      </c>
      <c r="B341" t="s">
        <v>448</v>
      </c>
      <c r="C341" t="str">
        <f t="shared" si="5"/>
        <v>318293</v>
      </c>
      <c r="D341">
        <v>318293</v>
      </c>
      <c r="E341">
        <v>318293097</v>
      </c>
      <c r="F341" t="s">
        <v>742</v>
      </c>
      <c r="G341" t="s">
        <v>314</v>
      </c>
      <c r="H341" t="s">
        <v>315</v>
      </c>
      <c r="I341" t="s">
        <v>82</v>
      </c>
      <c r="J341" t="s">
        <v>316</v>
      </c>
      <c r="K341" s="15" t="str">
        <f>VLOOKUP(I341,[2]LOOKUP!$A:$D,4,FALSE)</f>
        <v>CM</v>
      </c>
    </row>
    <row r="342" spans="1:11">
      <c r="A342" t="s">
        <v>447</v>
      </c>
      <c r="B342" t="s">
        <v>448</v>
      </c>
      <c r="C342" t="str">
        <f t="shared" si="5"/>
        <v>318293</v>
      </c>
      <c r="D342">
        <v>318293</v>
      </c>
      <c r="E342">
        <v>318293098</v>
      </c>
      <c r="F342" t="s">
        <v>743</v>
      </c>
      <c r="G342" t="s">
        <v>314</v>
      </c>
      <c r="H342" t="s">
        <v>315</v>
      </c>
      <c r="I342" t="s">
        <v>82</v>
      </c>
      <c r="J342" t="s">
        <v>316</v>
      </c>
      <c r="K342" s="15" t="str">
        <f>VLOOKUP(I342,[2]LOOKUP!$A:$D,4,FALSE)</f>
        <v>CM</v>
      </c>
    </row>
    <row r="343" spans="1:11">
      <c r="A343" t="s">
        <v>447</v>
      </c>
      <c r="B343" t="s">
        <v>448</v>
      </c>
      <c r="C343" t="str">
        <f t="shared" si="5"/>
        <v>318293</v>
      </c>
      <c r="D343">
        <v>318293</v>
      </c>
      <c r="E343">
        <v>318293099</v>
      </c>
      <c r="F343" t="s">
        <v>744</v>
      </c>
      <c r="G343" t="s">
        <v>314</v>
      </c>
      <c r="H343" t="s">
        <v>315</v>
      </c>
      <c r="I343" t="s">
        <v>82</v>
      </c>
      <c r="J343" t="s">
        <v>316</v>
      </c>
      <c r="K343" s="15" t="str">
        <f>VLOOKUP(I343,[2]LOOKUP!$A:$D,4,FALSE)</f>
        <v>CM</v>
      </c>
    </row>
    <row r="344" spans="1:11">
      <c r="A344" t="s">
        <v>447</v>
      </c>
      <c r="B344">
        <v>1</v>
      </c>
      <c r="C344" t="str">
        <f t="shared" si="5"/>
        <v>317352</v>
      </c>
      <c r="D344">
        <v>318293</v>
      </c>
      <c r="E344">
        <v>317352100</v>
      </c>
      <c r="F344" t="s">
        <v>974</v>
      </c>
      <c r="G344" t="s">
        <v>314</v>
      </c>
      <c r="H344" t="s">
        <v>315</v>
      </c>
      <c r="I344" t="s">
        <v>88</v>
      </c>
      <c r="J344" t="s">
        <v>316</v>
      </c>
      <c r="K344" s="15" t="str">
        <f>VLOOKUP(I344,[2]LOOKUP!$A:$D,4,FALSE)</f>
        <v>CM</v>
      </c>
    </row>
    <row r="345" spans="1:11">
      <c r="A345" t="s">
        <v>447</v>
      </c>
      <c r="B345" t="s">
        <v>448</v>
      </c>
      <c r="C345" t="str">
        <f t="shared" si="5"/>
        <v>318293</v>
      </c>
      <c r="D345">
        <v>318293</v>
      </c>
      <c r="E345">
        <v>318293101</v>
      </c>
      <c r="F345" t="s">
        <v>745</v>
      </c>
      <c r="G345" t="s">
        <v>314</v>
      </c>
      <c r="H345" t="s">
        <v>315</v>
      </c>
      <c r="I345" t="s">
        <v>82</v>
      </c>
      <c r="J345" t="s">
        <v>316</v>
      </c>
      <c r="K345" s="15" t="str">
        <f>VLOOKUP(I345,[2]LOOKUP!$A:$D,4,FALSE)</f>
        <v>CM</v>
      </c>
    </row>
    <row r="346" spans="1:11">
      <c r="A346" t="s">
        <v>447</v>
      </c>
      <c r="B346">
        <v>1</v>
      </c>
      <c r="C346" t="str">
        <f t="shared" si="5"/>
        <v>317352</v>
      </c>
      <c r="D346">
        <v>318293</v>
      </c>
      <c r="E346">
        <v>317352102</v>
      </c>
      <c r="F346" t="s">
        <v>975</v>
      </c>
      <c r="G346" t="s">
        <v>314</v>
      </c>
      <c r="H346" t="s">
        <v>315</v>
      </c>
      <c r="I346" t="s">
        <v>88</v>
      </c>
      <c r="J346" t="s">
        <v>316</v>
      </c>
      <c r="K346" s="15" t="str">
        <f>VLOOKUP(I346,[2]LOOKUP!$A:$D,4,FALSE)</f>
        <v>CM</v>
      </c>
    </row>
    <row r="347" spans="1:11">
      <c r="A347" t="s">
        <v>447</v>
      </c>
      <c r="B347">
        <v>1</v>
      </c>
      <c r="C347" t="str">
        <f t="shared" si="5"/>
        <v>317352</v>
      </c>
      <c r="D347">
        <v>318293</v>
      </c>
      <c r="E347">
        <v>317352103</v>
      </c>
      <c r="F347" t="s">
        <v>976</v>
      </c>
      <c r="G347" t="s">
        <v>314</v>
      </c>
      <c r="H347" t="s">
        <v>315</v>
      </c>
      <c r="I347" t="s">
        <v>88</v>
      </c>
      <c r="J347" t="s">
        <v>316</v>
      </c>
      <c r="K347" s="15" t="str">
        <f>VLOOKUP(I347,[2]LOOKUP!$A:$D,4,FALSE)</f>
        <v>CM</v>
      </c>
    </row>
    <row r="348" spans="1:11">
      <c r="A348" t="s">
        <v>447</v>
      </c>
      <c r="B348" t="s">
        <v>448</v>
      </c>
      <c r="C348" t="str">
        <f t="shared" si="5"/>
        <v>318293</v>
      </c>
      <c r="D348">
        <v>318293</v>
      </c>
      <c r="E348">
        <v>318293104</v>
      </c>
      <c r="F348" t="s">
        <v>746</v>
      </c>
      <c r="G348" t="s">
        <v>314</v>
      </c>
      <c r="H348" t="s">
        <v>315</v>
      </c>
      <c r="I348" t="s">
        <v>82</v>
      </c>
      <c r="J348" t="s">
        <v>316</v>
      </c>
      <c r="K348" s="15" t="str">
        <f>VLOOKUP(I348,[2]LOOKUP!$A:$D,4,FALSE)</f>
        <v>CM</v>
      </c>
    </row>
    <row r="349" spans="1:11">
      <c r="A349" t="s">
        <v>447</v>
      </c>
      <c r="B349" t="s">
        <v>448</v>
      </c>
      <c r="C349" t="str">
        <f t="shared" si="5"/>
        <v>318293</v>
      </c>
      <c r="D349">
        <v>318293</v>
      </c>
      <c r="E349">
        <v>318293105</v>
      </c>
      <c r="F349" t="s">
        <v>747</v>
      </c>
      <c r="G349" t="s">
        <v>314</v>
      </c>
      <c r="H349" t="s">
        <v>315</v>
      </c>
      <c r="I349" t="s">
        <v>82</v>
      </c>
      <c r="J349" t="s">
        <v>316</v>
      </c>
      <c r="K349" s="15" t="str">
        <f>VLOOKUP(I349,[2]LOOKUP!$A:$D,4,FALSE)</f>
        <v>CM</v>
      </c>
    </row>
    <row r="350" spans="1:11">
      <c r="A350" t="s">
        <v>447</v>
      </c>
      <c r="B350" t="s">
        <v>448</v>
      </c>
      <c r="C350" t="str">
        <f t="shared" si="5"/>
        <v>318293</v>
      </c>
      <c r="D350">
        <v>318293</v>
      </c>
      <c r="E350">
        <v>318293106</v>
      </c>
      <c r="F350" t="s">
        <v>748</v>
      </c>
      <c r="G350" t="s">
        <v>314</v>
      </c>
      <c r="H350" t="s">
        <v>315</v>
      </c>
      <c r="I350" t="s">
        <v>82</v>
      </c>
      <c r="J350" t="s">
        <v>316</v>
      </c>
      <c r="K350" s="15" t="str">
        <f>VLOOKUP(I350,[2]LOOKUP!$A:$D,4,FALSE)</f>
        <v>CM</v>
      </c>
    </row>
    <row r="351" spans="1:11">
      <c r="A351" t="s">
        <v>447</v>
      </c>
      <c r="B351" t="s">
        <v>448</v>
      </c>
      <c r="C351" t="str">
        <f t="shared" si="5"/>
        <v>318293</v>
      </c>
      <c r="D351">
        <v>318293</v>
      </c>
      <c r="E351">
        <v>318293107</v>
      </c>
      <c r="F351" t="s">
        <v>749</v>
      </c>
      <c r="G351" t="s">
        <v>314</v>
      </c>
      <c r="H351" t="s">
        <v>315</v>
      </c>
      <c r="I351" t="s">
        <v>82</v>
      </c>
      <c r="J351" t="s">
        <v>316</v>
      </c>
      <c r="K351" s="15" t="str">
        <f>VLOOKUP(I351,[2]LOOKUP!$A:$D,4,FALSE)</f>
        <v>CM</v>
      </c>
    </row>
    <row r="352" spans="1:11">
      <c r="A352" t="s">
        <v>447</v>
      </c>
      <c r="B352" t="s">
        <v>448</v>
      </c>
      <c r="C352" t="str">
        <f t="shared" si="5"/>
        <v>318293</v>
      </c>
      <c r="D352">
        <v>318293</v>
      </c>
      <c r="E352">
        <v>318293108</v>
      </c>
      <c r="F352" t="s">
        <v>750</v>
      </c>
      <c r="G352" t="s">
        <v>314</v>
      </c>
      <c r="H352" t="s">
        <v>315</v>
      </c>
      <c r="I352" t="s">
        <v>82</v>
      </c>
      <c r="J352" t="s">
        <v>316</v>
      </c>
      <c r="K352" s="15" t="str">
        <f>VLOOKUP(I352,[2]LOOKUP!$A:$D,4,FALSE)</f>
        <v>CM</v>
      </c>
    </row>
    <row r="353" spans="1:11">
      <c r="A353" t="s">
        <v>447</v>
      </c>
      <c r="B353">
        <v>1</v>
      </c>
      <c r="C353" t="str">
        <f t="shared" si="5"/>
        <v>317352</v>
      </c>
      <c r="D353">
        <v>318293</v>
      </c>
      <c r="E353">
        <v>317352109</v>
      </c>
      <c r="F353" t="s">
        <v>977</v>
      </c>
      <c r="G353" t="s">
        <v>314</v>
      </c>
      <c r="H353" t="s">
        <v>315</v>
      </c>
      <c r="I353" t="s">
        <v>88</v>
      </c>
      <c r="J353" t="s">
        <v>316</v>
      </c>
      <c r="K353" s="15" t="str">
        <f>VLOOKUP(I353,[2]LOOKUP!$A:$D,4,FALSE)</f>
        <v>CM</v>
      </c>
    </row>
    <row r="354" spans="1:11">
      <c r="A354" t="s">
        <v>447</v>
      </c>
      <c r="B354" t="s">
        <v>448</v>
      </c>
      <c r="C354" t="str">
        <f t="shared" si="5"/>
        <v>318293</v>
      </c>
      <c r="D354">
        <v>318293</v>
      </c>
      <c r="E354">
        <v>318293110</v>
      </c>
      <c r="F354" t="s">
        <v>751</v>
      </c>
      <c r="G354" t="s">
        <v>314</v>
      </c>
      <c r="H354" t="s">
        <v>315</v>
      </c>
      <c r="I354" t="s">
        <v>82</v>
      </c>
      <c r="J354" t="s">
        <v>316</v>
      </c>
      <c r="K354" s="15" t="str">
        <f>VLOOKUP(I354,[2]LOOKUP!$A:$D,4,FALSE)</f>
        <v>CM</v>
      </c>
    </row>
    <row r="355" spans="1:11">
      <c r="A355" t="s">
        <v>447</v>
      </c>
      <c r="B355">
        <v>1</v>
      </c>
      <c r="C355" t="str">
        <f t="shared" si="5"/>
        <v>317352</v>
      </c>
      <c r="D355">
        <v>318293</v>
      </c>
      <c r="E355">
        <v>317352111</v>
      </c>
      <c r="F355" t="s">
        <v>978</v>
      </c>
      <c r="G355" t="s">
        <v>314</v>
      </c>
      <c r="H355" t="s">
        <v>315</v>
      </c>
      <c r="I355" t="s">
        <v>88</v>
      </c>
      <c r="J355" t="s">
        <v>316</v>
      </c>
      <c r="K355" s="15" t="str">
        <f>VLOOKUP(I355,[2]LOOKUP!$A:$D,4,FALSE)</f>
        <v>CM</v>
      </c>
    </row>
    <row r="356" spans="1:11">
      <c r="A356" t="s">
        <v>447</v>
      </c>
      <c r="B356" t="s">
        <v>448</v>
      </c>
      <c r="C356" t="str">
        <f t="shared" si="5"/>
        <v>318293</v>
      </c>
      <c r="D356">
        <v>318293</v>
      </c>
      <c r="E356">
        <v>318293112</v>
      </c>
      <c r="F356" t="s">
        <v>752</v>
      </c>
      <c r="G356" t="s">
        <v>314</v>
      </c>
      <c r="H356" t="s">
        <v>315</v>
      </c>
      <c r="I356" t="s">
        <v>82</v>
      </c>
      <c r="J356" t="s">
        <v>316</v>
      </c>
      <c r="K356" s="15" t="str">
        <f>VLOOKUP(I356,[2]LOOKUP!$A:$D,4,FALSE)</f>
        <v>CM</v>
      </c>
    </row>
    <row r="357" spans="1:11">
      <c r="A357" t="s">
        <v>447</v>
      </c>
      <c r="B357" t="s">
        <v>448</v>
      </c>
      <c r="C357" t="str">
        <f t="shared" si="5"/>
        <v>318293</v>
      </c>
      <c r="D357">
        <v>318293</v>
      </c>
      <c r="E357">
        <v>318293113</v>
      </c>
      <c r="F357" t="s">
        <v>753</v>
      </c>
      <c r="G357" t="s">
        <v>314</v>
      </c>
      <c r="H357" t="s">
        <v>315</v>
      </c>
      <c r="I357" t="s">
        <v>82</v>
      </c>
      <c r="J357" t="s">
        <v>316</v>
      </c>
      <c r="K357" s="15" t="str">
        <f>VLOOKUP(I357,[2]LOOKUP!$A:$D,4,FALSE)</f>
        <v>CM</v>
      </c>
    </row>
    <row r="358" spans="1:11">
      <c r="A358" t="s">
        <v>447</v>
      </c>
      <c r="B358" t="s">
        <v>448</v>
      </c>
      <c r="C358" t="str">
        <f t="shared" si="5"/>
        <v>318293</v>
      </c>
      <c r="D358">
        <v>318293</v>
      </c>
      <c r="E358">
        <v>318293114</v>
      </c>
      <c r="F358" t="s">
        <v>754</v>
      </c>
      <c r="G358" t="s">
        <v>314</v>
      </c>
      <c r="H358" t="s">
        <v>315</v>
      </c>
      <c r="I358" t="s">
        <v>82</v>
      </c>
      <c r="J358" t="s">
        <v>316</v>
      </c>
      <c r="K358" s="15" t="str">
        <f>VLOOKUP(I358,[2]LOOKUP!$A:$D,4,FALSE)</f>
        <v>CM</v>
      </c>
    </row>
    <row r="359" spans="1:11">
      <c r="A359" t="s">
        <v>447</v>
      </c>
      <c r="B359" t="s">
        <v>448</v>
      </c>
      <c r="C359" t="str">
        <f t="shared" si="5"/>
        <v>318293</v>
      </c>
      <c r="D359">
        <v>318293</v>
      </c>
      <c r="E359">
        <v>318293115</v>
      </c>
      <c r="F359" t="s">
        <v>755</v>
      </c>
      <c r="G359" t="s">
        <v>314</v>
      </c>
      <c r="H359" t="s">
        <v>315</v>
      </c>
      <c r="I359" t="s">
        <v>82</v>
      </c>
      <c r="J359" t="s">
        <v>316</v>
      </c>
      <c r="K359" s="15" t="str">
        <f>VLOOKUP(I359,[2]LOOKUP!$A:$D,4,FALSE)</f>
        <v>CM</v>
      </c>
    </row>
    <row r="360" spans="1:11">
      <c r="A360" t="s">
        <v>447</v>
      </c>
      <c r="B360" t="s">
        <v>448</v>
      </c>
      <c r="C360" t="str">
        <f t="shared" si="5"/>
        <v>318293</v>
      </c>
      <c r="D360">
        <v>318293</v>
      </c>
      <c r="E360">
        <v>318293116</v>
      </c>
      <c r="F360" t="s">
        <v>756</v>
      </c>
      <c r="G360" t="s">
        <v>314</v>
      </c>
      <c r="H360" t="s">
        <v>315</v>
      </c>
      <c r="I360" t="s">
        <v>82</v>
      </c>
      <c r="J360" t="s">
        <v>316</v>
      </c>
      <c r="K360" s="15" t="str">
        <f>VLOOKUP(I360,[2]LOOKUP!$A:$D,4,FALSE)</f>
        <v>CM</v>
      </c>
    </row>
    <row r="361" spans="1:11">
      <c r="A361" t="s">
        <v>447</v>
      </c>
      <c r="B361">
        <v>1</v>
      </c>
      <c r="C361" t="str">
        <f t="shared" si="5"/>
        <v>317352</v>
      </c>
      <c r="D361">
        <v>318293</v>
      </c>
      <c r="E361">
        <v>317352117</v>
      </c>
      <c r="F361" t="s">
        <v>979</v>
      </c>
      <c r="G361" t="s">
        <v>314</v>
      </c>
      <c r="H361" t="s">
        <v>315</v>
      </c>
      <c r="I361" t="s">
        <v>88</v>
      </c>
      <c r="J361" t="s">
        <v>316</v>
      </c>
      <c r="K361" s="15" t="str">
        <f>VLOOKUP(I361,[2]LOOKUP!$A:$D,4,FALSE)</f>
        <v>CM</v>
      </c>
    </row>
    <row r="362" spans="1:11">
      <c r="A362" t="s">
        <v>447</v>
      </c>
      <c r="B362" t="s">
        <v>448</v>
      </c>
      <c r="C362" t="str">
        <f t="shared" si="5"/>
        <v>318293</v>
      </c>
      <c r="D362">
        <v>318293</v>
      </c>
      <c r="E362">
        <v>318293118</v>
      </c>
      <c r="F362" t="s">
        <v>758</v>
      </c>
      <c r="G362" t="s">
        <v>314</v>
      </c>
      <c r="H362" t="s">
        <v>315</v>
      </c>
      <c r="I362" t="s">
        <v>82</v>
      </c>
      <c r="J362" t="s">
        <v>316</v>
      </c>
      <c r="K362" s="15" t="str">
        <f>VLOOKUP(I362,[2]LOOKUP!$A:$D,4,FALSE)</f>
        <v>CM</v>
      </c>
    </row>
    <row r="363" spans="1:11">
      <c r="A363" t="s">
        <v>447</v>
      </c>
      <c r="B363" t="s">
        <v>448</v>
      </c>
      <c r="C363" t="str">
        <f t="shared" si="5"/>
        <v>318293</v>
      </c>
      <c r="D363">
        <v>318293</v>
      </c>
      <c r="E363">
        <v>318293119</v>
      </c>
      <c r="F363" t="s">
        <v>759</v>
      </c>
      <c r="G363" t="s">
        <v>314</v>
      </c>
      <c r="H363" t="s">
        <v>315</v>
      </c>
      <c r="I363" t="s">
        <v>82</v>
      </c>
      <c r="J363" t="s">
        <v>316</v>
      </c>
      <c r="K363" s="15" t="str">
        <f>VLOOKUP(I363,[2]LOOKUP!$A:$D,4,FALSE)</f>
        <v>CM</v>
      </c>
    </row>
    <row r="364" spans="1:11">
      <c r="A364" t="s">
        <v>447</v>
      </c>
      <c r="B364" t="s">
        <v>448</v>
      </c>
      <c r="C364" t="str">
        <f t="shared" si="5"/>
        <v>318293</v>
      </c>
      <c r="D364">
        <v>318293</v>
      </c>
      <c r="E364">
        <v>318293120</v>
      </c>
      <c r="F364" t="s">
        <v>760</v>
      </c>
      <c r="G364" t="s">
        <v>314</v>
      </c>
      <c r="H364" t="s">
        <v>315</v>
      </c>
      <c r="I364" t="s">
        <v>82</v>
      </c>
      <c r="J364" t="s">
        <v>316</v>
      </c>
      <c r="K364" s="15" t="str">
        <f>VLOOKUP(I364,[2]LOOKUP!$A:$D,4,FALSE)</f>
        <v>CM</v>
      </c>
    </row>
    <row r="365" spans="1:11">
      <c r="A365" t="s">
        <v>447</v>
      </c>
      <c r="B365" t="s">
        <v>448</v>
      </c>
      <c r="C365" t="str">
        <f t="shared" si="5"/>
        <v>318293</v>
      </c>
      <c r="D365">
        <v>318293</v>
      </c>
      <c r="E365">
        <v>318293121</v>
      </c>
      <c r="F365" t="s">
        <v>761</v>
      </c>
      <c r="G365" t="s">
        <v>314</v>
      </c>
      <c r="H365" t="s">
        <v>315</v>
      </c>
      <c r="I365" t="s">
        <v>82</v>
      </c>
      <c r="J365" t="s">
        <v>316</v>
      </c>
      <c r="K365" s="15" t="str">
        <f>VLOOKUP(I365,[2]LOOKUP!$A:$D,4,FALSE)</f>
        <v>CM</v>
      </c>
    </row>
    <row r="366" spans="1:11">
      <c r="A366" t="s">
        <v>447</v>
      </c>
      <c r="B366" t="s">
        <v>448</v>
      </c>
      <c r="C366" t="str">
        <f t="shared" si="5"/>
        <v>318293</v>
      </c>
      <c r="D366">
        <v>318293</v>
      </c>
      <c r="E366">
        <v>318293122</v>
      </c>
      <c r="F366" t="s">
        <v>762</v>
      </c>
      <c r="G366" t="s">
        <v>314</v>
      </c>
      <c r="H366" t="s">
        <v>315</v>
      </c>
      <c r="I366" t="s">
        <v>82</v>
      </c>
      <c r="J366" t="s">
        <v>316</v>
      </c>
      <c r="K366" s="15" t="str">
        <f>VLOOKUP(I366,[2]LOOKUP!$A:$D,4,FALSE)</f>
        <v>CM</v>
      </c>
    </row>
    <row r="367" spans="1:11">
      <c r="A367" t="s">
        <v>447</v>
      </c>
      <c r="B367">
        <v>1</v>
      </c>
      <c r="C367" t="str">
        <f t="shared" si="5"/>
        <v>317352</v>
      </c>
      <c r="D367">
        <v>318293</v>
      </c>
      <c r="E367">
        <v>317352123</v>
      </c>
      <c r="F367" t="s">
        <v>980</v>
      </c>
      <c r="G367" t="s">
        <v>314</v>
      </c>
      <c r="H367" t="s">
        <v>315</v>
      </c>
      <c r="I367" t="s">
        <v>88</v>
      </c>
      <c r="J367" t="s">
        <v>316</v>
      </c>
      <c r="K367" s="15" t="str">
        <f>VLOOKUP(I367,[2]LOOKUP!$A:$D,4,FALSE)</f>
        <v>CM</v>
      </c>
    </row>
    <row r="368" spans="1:11">
      <c r="A368" t="s">
        <v>447</v>
      </c>
      <c r="B368">
        <v>1</v>
      </c>
      <c r="C368" t="str">
        <f t="shared" si="5"/>
        <v>317352</v>
      </c>
      <c r="D368">
        <v>318293</v>
      </c>
      <c r="E368">
        <v>317352124</v>
      </c>
      <c r="F368" t="s">
        <v>981</v>
      </c>
      <c r="G368" t="s">
        <v>314</v>
      </c>
      <c r="H368" t="s">
        <v>315</v>
      </c>
      <c r="I368" t="s">
        <v>88</v>
      </c>
      <c r="J368" t="s">
        <v>316</v>
      </c>
      <c r="K368" s="15" t="str">
        <f>VLOOKUP(I368,[2]LOOKUP!$A:$D,4,FALSE)</f>
        <v>CM</v>
      </c>
    </row>
    <row r="369" spans="1:11">
      <c r="A369" t="s">
        <v>447</v>
      </c>
      <c r="B369">
        <v>1</v>
      </c>
      <c r="C369" t="str">
        <f t="shared" si="5"/>
        <v>317352</v>
      </c>
      <c r="D369">
        <v>318293</v>
      </c>
      <c r="E369">
        <v>317352125</v>
      </c>
      <c r="F369" t="s">
        <v>982</v>
      </c>
      <c r="G369" t="s">
        <v>314</v>
      </c>
      <c r="H369" t="s">
        <v>315</v>
      </c>
      <c r="I369" t="s">
        <v>88</v>
      </c>
      <c r="J369" t="s">
        <v>316</v>
      </c>
      <c r="K369" s="15" t="str">
        <f>VLOOKUP(I369,[2]LOOKUP!$A:$D,4,FALSE)</f>
        <v>CM</v>
      </c>
    </row>
    <row r="370" spans="1:11">
      <c r="A370" t="s">
        <v>447</v>
      </c>
      <c r="B370">
        <v>1</v>
      </c>
      <c r="C370" t="str">
        <f t="shared" si="5"/>
        <v>317352</v>
      </c>
      <c r="D370">
        <v>318293</v>
      </c>
      <c r="E370">
        <v>317352126</v>
      </c>
      <c r="F370" t="s">
        <v>983</v>
      </c>
      <c r="G370" t="s">
        <v>314</v>
      </c>
      <c r="H370" t="s">
        <v>315</v>
      </c>
      <c r="I370" t="s">
        <v>88</v>
      </c>
      <c r="J370" t="s">
        <v>316</v>
      </c>
      <c r="K370" s="15" t="str">
        <f>VLOOKUP(I370,[2]LOOKUP!$A:$D,4,FALSE)</f>
        <v>CM</v>
      </c>
    </row>
    <row r="371" spans="1:11">
      <c r="A371" t="s">
        <v>447</v>
      </c>
      <c r="B371" t="s">
        <v>448</v>
      </c>
      <c r="C371" t="str">
        <f t="shared" si="5"/>
        <v>318293</v>
      </c>
      <c r="D371">
        <v>318293</v>
      </c>
      <c r="E371">
        <v>318293127</v>
      </c>
      <c r="F371" t="s">
        <v>763</v>
      </c>
      <c r="G371" t="s">
        <v>314</v>
      </c>
      <c r="H371" t="s">
        <v>315</v>
      </c>
      <c r="I371" t="s">
        <v>82</v>
      </c>
      <c r="J371" t="s">
        <v>316</v>
      </c>
      <c r="K371" s="15" t="str">
        <f>VLOOKUP(I371,[2]LOOKUP!$A:$D,4,FALSE)</f>
        <v>CM</v>
      </c>
    </row>
    <row r="372" spans="1:11">
      <c r="A372" t="s">
        <v>447</v>
      </c>
      <c r="B372">
        <v>1</v>
      </c>
      <c r="C372" t="str">
        <f t="shared" si="5"/>
        <v>317352</v>
      </c>
      <c r="D372">
        <v>318293</v>
      </c>
      <c r="E372">
        <v>317352128</v>
      </c>
      <c r="F372" t="s">
        <v>984</v>
      </c>
      <c r="G372" t="s">
        <v>314</v>
      </c>
      <c r="H372" t="s">
        <v>315</v>
      </c>
      <c r="I372" t="s">
        <v>88</v>
      </c>
      <c r="J372" t="s">
        <v>316</v>
      </c>
      <c r="K372" s="15" t="str">
        <f>VLOOKUP(I372,[2]LOOKUP!$A:$D,4,FALSE)</f>
        <v>CM</v>
      </c>
    </row>
    <row r="373" spans="1:11">
      <c r="A373" t="s">
        <v>447</v>
      </c>
      <c r="B373" t="s">
        <v>448</v>
      </c>
      <c r="C373" t="str">
        <f t="shared" si="5"/>
        <v>318293</v>
      </c>
      <c r="D373">
        <v>318293</v>
      </c>
      <c r="E373">
        <v>318293129</v>
      </c>
      <c r="F373" t="s">
        <v>764</v>
      </c>
      <c r="G373" t="s">
        <v>314</v>
      </c>
      <c r="H373" t="s">
        <v>315</v>
      </c>
      <c r="I373" t="s">
        <v>82</v>
      </c>
      <c r="J373" t="s">
        <v>316</v>
      </c>
      <c r="K373" s="15" t="str">
        <f>VLOOKUP(I373,[2]LOOKUP!$A:$D,4,FALSE)</f>
        <v>CM</v>
      </c>
    </row>
    <row r="374" spans="1:11">
      <c r="A374" t="s">
        <v>447</v>
      </c>
      <c r="B374" t="s">
        <v>448</v>
      </c>
      <c r="C374" t="str">
        <f t="shared" si="5"/>
        <v>318293</v>
      </c>
      <c r="D374">
        <v>318293</v>
      </c>
      <c r="E374">
        <v>318293130</v>
      </c>
      <c r="F374" t="s">
        <v>765</v>
      </c>
      <c r="G374" t="s">
        <v>314</v>
      </c>
      <c r="H374" t="s">
        <v>315</v>
      </c>
      <c r="I374" t="s">
        <v>82</v>
      </c>
      <c r="J374" t="s">
        <v>316</v>
      </c>
      <c r="K374" s="15" t="str">
        <f>VLOOKUP(I374,[2]LOOKUP!$A:$D,4,FALSE)</f>
        <v>CM</v>
      </c>
    </row>
    <row r="375" spans="1:11">
      <c r="A375" t="s">
        <v>447</v>
      </c>
      <c r="B375" t="s">
        <v>448</v>
      </c>
      <c r="C375" t="str">
        <f t="shared" si="5"/>
        <v>318293</v>
      </c>
      <c r="D375">
        <v>318293</v>
      </c>
      <c r="E375">
        <v>318293131</v>
      </c>
      <c r="F375" t="s">
        <v>766</v>
      </c>
      <c r="G375" t="s">
        <v>314</v>
      </c>
      <c r="H375" t="s">
        <v>315</v>
      </c>
      <c r="I375" t="s">
        <v>82</v>
      </c>
      <c r="J375" t="s">
        <v>316</v>
      </c>
      <c r="K375" s="15" t="str">
        <f>VLOOKUP(I375,[2]LOOKUP!$A:$D,4,FALSE)</f>
        <v>CM</v>
      </c>
    </row>
    <row r="376" spans="1:11">
      <c r="A376" t="s">
        <v>447</v>
      </c>
      <c r="B376" t="s">
        <v>448</v>
      </c>
      <c r="C376" t="str">
        <f t="shared" si="5"/>
        <v>318293</v>
      </c>
      <c r="D376">
        <v>318293</v>
      </c>
      <c r="E376">
        <v>318293132</v>
      </c>
      <c r="F376" t="s">
        <v>767</v>
      </c>
      <c r="G376" t="s">
        <v>314</v>
      </c>
      <c r="H376" t="s">
        <v>315</v>
      </c>
      <c r="I376" t="s">
        <v>82</v>
      </c>
      <c r="J376" t="s">
        <v>316</v>
      </c>
      <c r="K376" s="15" t="str">
        <f>VLOOKUP(I376,[2]LOOKUP!$A:$D,4,FALSE)</f>
        <v>CM</v>
      </c>
    </row>
    <row r="377" spans="1:11">
      <c r="A377" t="s">
        <v>447</v>
      </c>
      <c r="B377">
        <v>1</v>
      </c>
      <c r="C377" t="str">
        <f t="shared" si="5"/>
        <v>317352</v>
      </c>
      <c r="D377">
        <v>318293</v>
      </c>
      <c r="E377">
        <v>317352133</v>
      </c>
      <c r="F377" t="s">
        <v>985</v>
      </c>
      <c r="G377" t="s">
        <v>314</v>
      </c>
      <c r="H377" t="s">
        <v>315</v>
      </c>
      <c r="I377" t="s">
        <v>88</v>
      </c>
      <c r="J377" t="s">
        <v>316</v>
      </c>
      <c r="K377" s="15" t="str">
        <f>VLOOKUP(I377,[2]LOOKUP!$A:$D,4,FALSE)</f>
        <v>CM</v>
      </c>
    </row>
    <row r="378" spans="1:11">
      <c r="A378" t="s">
        <v>447</v>
      </c>
      <c r="B378" t="s">
        <v>448</v>
      </c>
      <c r="C378" t="str">
        <f t="shared" si="5"/>
        <v>318293</v>
      </c>
      <c r="D378">
        <v>318293</v>
      </c>
      <c r="E378">
        <v>318293134</v>
      </c>
      <c r="F378" t="s">
        <v>768</v>
      </c>
      <c r="G378" t="s">
        <v>314</v>
      </c>
      <c r="H378" t="s">
        <v>315</v>
      </c>
      <c r="I378" t="s">
        <v>82</v>
      </c>
      <c r="J378" t="s">
        <v>316</v>
      </c>
      <c r="K378" s="15" t="str">
        <f>VLOOKUP(I378,[2]LOOKUP!$A:$D,4,FALSE)</f>
        <v>CM</v>
      </c>
    </row>
    <row r="379" spans="1:11">
      <c r="A379" t="s">
        <v>447</v>
      </c>
      <c r="B379" t="s">
        <v>448</v>
      </c>
      <c r="C379" t="str">
        <f t="shared" si="5"/>
        <v>318293</v>
      </c>
      <c r="D379">
        <v>318293</v>
      </c>
      <c r="E379">
        <v>318293135</v>
      </c>
      <c r="F379" t="s">
        <v>769</v>
      </c>
      <c r="G379" t="s">
        <v>314</v>
      </c>
      <c r="H379" t="s">
        <v>315</v>
      </c>
      <c r="I379" t="s">
        <v>82</v>
      </c>
      <c r="J379" t="s">
        <v>316</v>
      </c>
      <c r="K379" s="15" t="str">
        <f>VLOOKUP(I379,[2]LOOKUP!$A:$D,4,FALSE)</f>
        <v>CM</v>
      </c>
    </row>
    <row r="380" spans="1:11">
      <c r="A380" t="s">
        <v>447</v>
      </c>
      <c r="B380">
        <v>1</v>
      </c>
      <c r="C380" t="str">
        <f t="shared" si="5"/>
        <v>317352</v>
      </c>
      <c r="D380">
        <v>318293</v>
      </c>
      <c r="E380">
        <v>317352136</v>
      </c>
      <c r="F380" t="s">
        <v>986</v>
      </c>
      <c r="G380" t="s">
        <v>314</v>
      </c>
      <c r="H380" t="s">
        <v>315</v>
      </c>
      <c r="I380" t="s">
        <v>88</v>
      </c>
      <c r="J380" t="s">
        <v>316</v>
      </c>
      <c r="K380" s="15" t="str">
        <f>VLOOKUP(I380,[2]LOOKUP!$A:$D,4,FALSE)</f>
        <v>CM</v>
      </c>
    </row>
    <row r="381" spans="1:11">
      <c r="A381" t="s">
        <v>447</v>
      </c>
      <c r="B381" t="s">
        <v>448</v>
      </c>
      <c r="C381" t="str">
        <f t="shared" si="5"/>
        <v>318293</v>
      </c>
      <c r="D381">
        <v>318293</v>
      </c>
      <c r="E381">
        <v>318293137</v>
      </c>
      <c r="F381" t="s">
        <v>770</v>
      </c>
      <c r="G381" t="s">
        <v>314</v>
      </c>
      <c r="H381" t="s">
        <v>315</v>
      </c>
      <c r="I381" t="s">
        <v>82</v>
      </c>
      <c r="J381" t="s">
        <v>316</v>
      </c>
      <c r="K381" s="15" t="str">
        <f>VLOOKUP(I381,[2]LOOKUP!$A:$D,4,FALSE)</f>
        <v>CM</v>
      </c>
    </row>
    <row r="382" spans="1:11">
      <c r="A382" t="s">
        <v>447</v>
      </c>
      <c r="B382" t="s">
        <v>448</v>
      </c>
      <c r="C382" t="str">
        <f t="shared" si="5"/>
        <v>318293</v>
      </c>
      <c r="D382">
        <v>318293</v>
      </c>
      <c r="E382">
        <v>318293138</v>
      </c>
      <c r="F382" t="s">
        <v>771</v>
      </c>
      <c r="G382" t="s">
        <v>314</v>
      </c>
      <c r="H382" t="s">
        <v>315</v>
      </c>
      <c r="I382" t="s">
        <v>82</v>
      </c>
      <c r="J382" t="s">
        <v>316</v>
      </c>
      <c r="K382" s="15" t="str">
        <f>VLOOKUP(I382,[2]LOOKUP!$A:$D,4,FALSE)</f>
        <v>CM</v>
      </c>
    </row>
    <row r="383" spans="1:11">
      <c r="A383" t="s">
        <v>447</v>
      </c>
      <c r="B383" t="s">
        <v>448</v>
      </c>
      <c r="C383" t="str">
        <f t="shared" si="5"/>
        <v>318293</v>
      </c>
      <c r="D383">
        <v>318293</v>
      </c>
      <c r="E383">
        <v>318293139</v>
      </c>
      <c r="F383" t="s">
        <v>772</v>
      </c>
      <c r="G383" t="s">
        <v>314</v>
      </c>
      <c r="H383" t="s">
        <v>315</v>
      </c>
      <c r="I383" t="s">
        <v>82</v>
      </c>
      <c r="J383" t="s">
        <v>316</v>
      </c>
      <c r="K383" s="15" t="str">
        <f>VLOOKUP(I383,[2]LOOKUP!$A:$D,4,FALSE)</f>
        <v>CM</v>
      </c>
    </row>
    <row r="384" spans="1:11">
      <c r="A384" t="s">
        <v>447</v>
      </c>
      <c r="B384" t="s">
        <v>448</v>
      </c>
      <c r="C384" t="str">
        <f t="shared" si="5"/>
        <v>318293</v>
      </c>
      <c r="D384">
        <v>318293</v>
      </c>
      <c r="E384">
        <v>318293140</v>
      </c>
      <c r="F384" t="s">
        <v>773</v>
      </c>
      <c r="G384" t="s">
        <v>314</v>
      </c>
      <c r="H384" t="s">
        <v>315</v>
      </c>
      <c r="I384" t="s">
        <v>82</v>
      </c>
      <c r="J384" t="s">
        <v>316</v>
      </c>
      <c r="K384" s="15" t="str">
        <f>VLOOKUP(I384,[2]LOOKUP!$A:$D,4,FALSE)</f>
        <v>CM</v>
      </c>
    </row>
    <row r="385" spans="1:11">
      <c r="A385" t="s">
        <v>447</v>
      </c>
      <c r="B385" t="s">
        <v>448</v>
      </c>
      <c r="C385" t="str">
        <f t="shared" si="5"/>
        <v>318293</v>
      </c>
      <c r="D385">
        <v>318293</v>
      </c>
      <c r="E385">
        <v>318293141</v>
      </c>
      <c r="F385" t="s">
        <v>774</v>
      </c>
      <c r="G385" t="s">
        <v>314</v>
      </c>
      <c r="H385" t="s">
        <v>315</v>
      </c>
      <c r="I385" t="s">
        <v>82</v>
      </c>
      <c r="J385" t="s">
        <v>316</v>
      </c>
      <c r="K385" s="15" t="str">
        <f>VLOOKUP(I385,[2]LOOKUP!$A:$D,4,FALSE)</f>
        <v>CM</v>
      </c>
    </row>
    <row r="386" spans="1:11">
      <c r="A386" t="s">
        <v>447</v>
      </c>
      <c r="B386" t="s">
        <v>448</v>
      </c>
      <c r="C386" t="str">
        <f t="shared" si="5"/>
        <v>318293</v>
      </c>
      <c r="D386">
        <v>318293</v>
      </c>
      <c r="E386">
        <v>318293142</v>
      </c>
      <c r="F386" t="s">
        <v>775</v>
      </c>
      <c r="G386" t="s">
        <v>314</v>
      </c>
      <c r="H386" t="s">
        <v>315</v>
      </c>
      <c r="I386" t="s">
        <v>82</v>
      </c>
      <c r="J386" t="s">
        <v>316</v>
      </c>
      <c r="K386" s="15" t="str">
        <f>VLOOKUP(I386,[2]LOOKUP!$A:$D,4,FALSE)</f>
        <v>CM</v>
      </c>
    </row>
    <row r="387" spans="1:11">
      <c r="A387" t="s">
        <v>447</v>
      </c>
      <c r="B387">
        <v>1</v>
      </c>
      <c r="C387" t="str">
        <f t="shared" ref="C387:C450" si="6">LEFT(E387,6)</f>
        <v>317352</v>
      </c>
      <c r="D387">
        <v>318293</v>
      </c>
      <c r="E387">
        <v>317352143</v>
      </c>
      <c r="F387" t="s">
        <v>987</v>
      </c>
      <c r="G387" t="s">
        <v>314</v>
      </c>
      <c r="H387" t="s">
        <v>315</v>
      </c>
      <c r="I387" t="s">
        <v>88</v>
      </c>
      <c r="J387" t="s">
        <v>316</v>
      </c>
      <c r="K387" s="15" t="str">
        <f>VLOOKUP(I387,[2]LOOKUP!$A:$D,4,FALSE)</f>
        <v>CM</v>
      </c>
    </row>
    <row r="388" spans="1:11">
      <c r="A388" t="s">
        <v>447</v>
      </c>
      <c r="B388" t="s">
        <v>448</v>
      </c>
      <c r="C388" t="str">
        <f t="shared" si="6"/>
        <v>318293</v>
      </c>
      <c r="D388">
        <v>318293</v>
      </c>
      <c r="E388">
        <v>318293144</v>
      </c>
      <c r="F388" t="s">
        <v>776</v>
      </c>
      <c r="G388" t="s">
        <v>314</v>
      </c>
      <c r="H388" t="s">
        <v>315</v>
      </c>
      <c r="I388" t="s">
        <v>82</v>
      </c>
      <c r="J388" t="s">
        <v>316</v>
      </c>
      <c r="K388" s="15" t="str">
        <f>VLOOKUP(I388,[2]LOOKUP!$A:$D,4,FALSE)</f>
        <v>CM</v>
      </c>
    </row>
    <row r="389" spans="1:11">
      <c r="A389" t="s">
        <v>447</v>
      </c>
      <c r="B389" t="s">
        <v>448</v>
      </c>
      <c r="C389" t="str">
        <f t="shared" si="6"/>
        <v>318293</v>
      </c>
      <c r="D389">
        <v>318293</v>
      </c>
      <c r="E389">
        <v>318293145</v>
      </c>
      <c r="F389" t="s">
        <v>777</v>
      </c>
      <c r="G389" t="s">
        <v>314</v>
      </c>
      <c r="H389" t="s">
        <v>315</v>
      </c>
      <c r="I389" t="s">
        <v>82</v>
      </c>
      <c r="J389" t="s">
        <v>316</v>
      </c>
      <c r="K389" s="15" t="str">
        <f>VLOOKUP(I389,[2]LOOKUP!$A:$D,4,FALSE)</f>
        <v>CM</v>
      </c>
    </row>
    <row r="390" spans="1:11">
      <c r="A390" t="s">
        <v>447</v>
      </c>
      <c r="B390" t="s">
        <v>448</v>
      </c>
      <c r="C390" t="str">
        <f t="shared" si="6"/>
        <v>318293</v>
      </c>
      <c r="D390">
        <v>318293</v>
      </c>
      <c r="E390">
        <v>318293146</v>
      </c>
      <c r="F390" t="s">
        <v>778</v>
      </c>
      <c r="G390" t="s">
        <v>314</v>
      </c>
      <c r="H390" t="s">
        <v>315</v>
      </c>
      <c r="I390" t="s">
        <v>82</v>
      </c>
      <c r="J390" t="s">
        <v>316</v>
      </c>
      <c r="K390" s="15" t="str">
        <f>VLOOKUP(I390,[2]LOOKUP!$A:$D,4,FALSE)</f>
        <v>CM</v>
      </c>
    </row>
    <row r="391" spans="1:11">
      <c r="A391" t="s">
        <v>447</v>
      </c>
      <c r="B391" t="s">
        <v>448</v>
      </c>
      <c r="C391" t="str">
        <f t="shared" si="6"/>
        <v>318293</v>
      </c>
      <c r="D391">
        <v>318293</v>
      </c>
      <c r="E391">
        <v>318293147</v>
      </c>
      <c r="F391" t="s">
        <v>779</v>
      </c>
      <c r="G391" t="s">
        <v>314</v>
      </c>
      <c r="H391" t="s">
        <v>315</v>
      </c>
      <c r="I391" t="s">
        <v>82</v>
      </c>
      <c r="J391" t="s">
        <v>316</v>
      </c>
      <c r="K391" s="15" t="str">
        <f>VLOOKUP(I391,[2]LOOKUP!$A:$D,4,FALSE)</f>
        <v>CM</v>
      </c>
    </row>
    <row r="392" spans="1:11">
      <c r="A392" t="s">
        <v>447</v>
      </c>
      <c r="B392">
        <v>1</v>
      </c>
      <c r="C392" t="str">
        <f t="shared" si="6"/>
        <v>317352</v>
      </c>
      <c r="D392">
        <v>318293</v>
      </c>
      <c r="E392">
        <v>317352148</v>
      </c>
      <c r="F392" t="s">
        <v>988</v>
      </c>
      <c r="G392" t="s">
        <v>314</v>
      </c>
      <c r="H392" t="s">
        <v>315</v>
      </c>
      <c r="I392" t="s">
        <v>88</v>
      </c>
      <c r="J392" t="s">
        <v>316</v>
      </c>
      <c r="K392" s="15" t="str">
        <f>VLOOKUP(I392,[2]LOOKUP!$A:$D,4,FALSE)</f>
        <v>CM</v>
      </c>
    </row>
    <row r="393" spans="1:11">
      <c r="A393" t="s">
        <v>447</v>
      </c>
      <c r="B393" t="s">
        <v>448</v>
      </c>
      <c r="C393" t="str">
        <f t="shared" si="6"/>
        <v>318293</v>
      </c>
      <c r="D393">
        <v>318293</v>
      </c>
      <c r="E393">
        <v>318293149</v>
      </c>
      <c r="F393" t="s">
        <v>780</v>
      </c>
      <c r="G393" t="s">
        <v>314</v>
      </c>
      <c r="H393" t="s">
        <v>315</v>
      </c>
      <c r="I393" t="s">
        <v>82</v>
      </c>
      <c r="J393" t="s">
        <v>316</v>
      </c>
      <c r="K393" s="15" t="str">
        <f>VLOOKUP(I393,[2]LOOKUP!$A:$D,4,FALSE)</f>
        <v>CM</v>
      </c>
    </row>
    <row r="394" spans="1:11">
      <c r="A394" t="s">
        <v>447</v>
      </c>
      <c r="B394">
        <v>1</v>
      </c>
      <c r="C394" t="str">
        <f t="shared" si="6"/>
        <v>317352</v>
      </c>
      <c r="D394">
        <v>318293</v>
      </c>
      <c r="E394">
        <v>317352150</v>
      </c>
      <c r="F394" t="s">
        <v>989</v>
      </c>
      <c r="G394" t="s">
        <v>314</v>
      </c>
      <c r="H394" t="s">
        <v>315</v>
      </c>
      <c r="I394" t="s">
        <v>88</v>
      </c>
      <c r="J394" t="s">
        <v>316</v>
      </c>
      <c r="K394" s="15" t="str">
        <f>VLOOKUP(I394,[2]LOOKUP!$A:$D,4,FALSE)</f>
        <v>CM</v>
      </c>
    </row>
    <row r="395" spans="1:11">
      <c r="A395" t="s">
        <v>447</v>
      </c>
      <c r="B395">
        <v>1</v>
      </c>
      <c r="C395" t="str">
        <f t="shared" si="6"/>
        <v>317352</v>
      </c>
      <c r="D395">
        <v>318293</v>
      </c>
      <c r="E395">
        <v>317352151</v>
      </c>
      <c r="F395" t="s">
        <v>990</v>
      </c>
      <c r="G395" t="s">
        <v>314</v>
      </c>
      <c r="H395" t="s">
        <v>315</v>
      </c>
      <c r="I395" t="s">
        <v>88</v>
      </c>
      <c r="J395" t="s">
        <v>316</v>
      </c>
      <c r="K395" s="15" t="str">
        <f>VLOOKUP(I395,[2]LOOKUP!$A:$D,4,FALSE)</f>
        <v>CM</v>
      </c>
    </row>
    <row r="396" spans="1:11">
      <c r="A396" t="s">
        <v>447</v>
      </c>
      <c r="B396" t="s">
        <v>448</v>
      </c>
      <c r="C396" t="str">
        <f t="shared" si="6"/>
        <v>318293</v>
      </c>
      <c r="D396">
        <v>318293</v>
      </c>
      <c r="E396">
        <v>318293152</v>
      </c>
      <c r="F396" t="s">
        <v>781</v>
      </c>
      <c r="G396" t="s">
        <v>314</v>
      </c>
      <c r="H396" t="s">
        <v>315</v>
      </c>
      <c r="I396" t="s">
        <v>82</v>
      </c>
      <c r="J396" t="s">
        <v>316</v>
      </c>
      <c r="K396" s="15" t="str">
        <f>VLOOKUP(I396,[2]LOOKUP!$A:$D,4,FALSE)</f>
        <v>CM</v>
      </c>
    </row>
    <row r="397" spans="1:11">
      <c r="A397" t="s">
        <v>447</v>
      </c>
      <c r="B397">
        <v>1</v>
      </c>
      <c r="C397" t="str">
        <f t="shared" si="6"/>
        <v>317352</v>
      </c>
      <c r="D397">
        <v>318293</v>
      </c>
      <c r="E397">
        <v>317352153</v>
      </c>
      <c r="F397" t="s">
        <v>991</v>
      </c>
      <c r="G397" t="s">
        <v>314</v>
      </c>
      <c r="H397" t="s">
        <v>315</v>
      </c>
      <c r="I397" t="s">
        <v>88</v>
      </c>
      <c r="J397" t="s">
        <v>316</v>
      </c>
      <c r="K397" s="15" t="str">
        <f>VLOOKUP(I397,[2]LOOKUP!$A:$D,4,FALSE)</f>
        <v>CM</v>
      </c>
    </row>
    <row r="398" spans="1:11">
      <c r="A398" t="s">
        <v>447</v>
      </c>
      <c r="B398">
        <v>1</v>
      </c>
      <c r="C398" t="str">
        <f t="shared" si="6"/>
        <v>317352</v>
      </c>
      <c r="D398">
        <v>318293</v>
      </c>
      <c r="E398">
        <v>317352154</v>
      </c>
      <c r="F398" t="s">
        <v>992</v>
      </c>
      <c r="G398" t="s">
        <v>314</v>
      </c>
      <c r="H398" t="s">
        <v>315</v>
      </c>
      <c r="I398" t="s">
        <v>88</v>
      </c>
      <c r="J398" t="s">
        <v>316</v>
      </c>
      <c r="K398" s="15" t="str">
        <f>VLOOKUP(I398,[2]LOOKUP!$A:$D,4,FALSE)</f>
        <v>CM</v>
      </c>
    </row>
    <row r="399" spans="1:11">
      <c r="A399" t="s">
        <v>447</v>
      </c>
      <c r="B399" t="s">
        <v>448</v>
      </c>
      <c r="C399" t="str">
        <f t="shared" si="6"/>
        <v>318293</v>
      </c>
      <c r="D399">
        <v>318293</v>
      </c>
      <c r="E399">
        <v>318293155</v>
      </c>
      <c r="F399" t="s">
        <v>782</v>
      </c>
      <c r="G399" t="s">
        <v>314</v>
      </c>
      <c r="H399" t="s">
        <v>315</v>
      </c>
      <c r="I399" t="s">
        <v>82</v>
      </c>
      <c r="J399" t="s">
        <v>316</v>
      </c>
      <c r="K399" s="15" t="str">
        <f>VLOOKUP(I399,[2]LOOKUP!$A:$D,4,FALSE)</f>
        <v>CM</v>
      </c>
    </row>
    <row r="400" spans="1:11">
      <c r="A400" t="s">
        <v>447</v>
      </c>
      <c r="B400">
        <v>1</v>
      </c>
      <c r="C400" t="str">
        <f t="shared" si="6"/>
        <v>317352</v>
      </c>
      <c r="D400">
        <v>318293</v>
      </c>
      <c r="E400">
        <v>317352156</v>
      </c>
      <c r="F400" t="s">
        <v>993</v>
      </c>
      <c r="G400" t="s">
        <v>314</v>
      </c>
      <c r="H400" t="s">
        <v>315</v>
      </c>
      <c r="I400" t="s">
        <v>88</v>
      </c>
      <c r="J400" t="s">
        <v>316</v>
      </c>
      <c r="K400" s="15" t="str">
        <f>VLOOKUP(I400,[2]LOOKUP!$A:$D,4,FALSE)</f>
        <v>CM</v>
      </c>
    </row>
    <row r="401" spans="1:11">
      <c r="A401" t="s">
        <v>447</v>
      </c>
      <c r="B401">
        <v>1</v>
      </c>
      <c r="C401" t="str">
        <f t="shared" si="6"/>
        <v>317352</v>
      </c>
      <c r="D401">
        <v>318293</v>
      </c>
      <c r="E401">
        <v>317352157</v>
      </c>
      <c r="F401" t="s">
        <v>994</v>
      </c>
      <c r="G401" t="s">
        <v>314</v>
      </c>
      <c r="H401" t="s">
        <v>315</v>
      </c>
      <c r="I401" t="s">
        <v>88</v>
      </c>
      <c r="J401" t="s">
        <v>316</v>
      </c>
      <c r="K401" s="15" t="str">
        <f>VLOOKUP(I401,[2]LOOKUP!$A:$D,4,FALSE)</f>
        <v>CM</v>
      </c>
    </row>
    <row r="402" spans="1:11">
      <c r="A402" t="s">
        <v>447</v>
      </c>
      <c r="B402">
        <v>1</v>
      </c>
      <c r="C402" t="str">
        <f t="shared" si="6"/>
        <v>317352</v>
      </c>
      <c r="D402">
        <v>318293</v>
      </c>
      <c r="E402">
        <v>317352158</v>
      </c>
      <c r="F402" t="s">
        <v>995</v>
      </c>
      <c r="G402" t="s">
        <v>314</v>
      </c>
      <c r="H402" t="s">
        <v>315</v>
      </c>
      <c r="I402" t="s">
        <v>88</v>
      </c>
      <c r="J402" t="s">
        <v>316</v>
      </c>
      <c r="K402" s="15" t="str">
        <f>VLOOKUP(I402,[2]LOOKUP!$A:$D,4,FALSE)</f>
        <v>CM</v>
      </c>
    </row>
    <row r="403" spans="1:11">
      <c r="A403" t="s">
        <v>447</v>
      </c>
      <c r="B403" t="s">
        <v>448</v>
      </c>
      <c r="C403" t="str">
        <f t="shared" si="6"/>
        <v>318293</v>
      </c>
      <c r="D403">
        <v>318293</v>
      </c>
      <c r="E403">
        <v>318293159</v>
      </c>
      <c r="F403" t="s">
        <v>783</v>
      </c>
      <c r="G403" t="s">
        <v>314</v>
      </c>
      <c r="H403" t="s">
        <v>315</v>
      </c>
      <c r="I403" t="s">
        <v>82</v>
      </c>
      <c r="J403" t="s">
        <v>316</v>
      </c>
      <c r="K403" s="15" t="str">
        <f>VLOOKUP(I403,[2]LOOKUP!$A:$D,4,FALSE)</f>
        <v>CM</v>
      </c>
    </row>
    <row r="404" spans="1:11">
      <c r="A404" t="s">
        <v>447</v>
      </c>
      <c r="B404">
        <v>1</v>
      </c>
      <c r="C404" t="str">
        <f t="shared" si="6"/>
        <v>317352</v>
      </c>
      <c r="D404">
        <v>318293</v>
      </c>
      <c r="E404">
        <v>317352160</v>
      </c>
      <c r="F404" t="s">
        <v>996</v>
      </c>
      <c r="G404" t="s">
        <v>314</v>
      </c>
      <c r="H404" t="s">
        <v>315</v>
      </c>
      <c r="I404" t="s">
        <v>88</v>
      </c>
      <c r="J404" t="s">
        <v>316</v>
      </c>
      <c r="K404" s="15" t="str">
        <f>VLOOKUP(I404,[2]LOOKUP!$A:$D,4,FALSE)</f>
        <v>CM</v>
      </c>
    </row>
    <row r="405" spans="1:11">
      <c r="A405" t="s">
        <v>447</v>
      </c>
      <c r="B405">
        <v>1</v>
      </c>
      <c r="C405" t="str">
        <f t="shared" si="6"/>
        <v>317353</v>
      </c>
      <c r="D405">
        <v>318293</v>
      </c>
      <c r="E405">
        <v>317353001</v>
      </c>
      <c r="F405" t="s">
        <v>997</v>
      </c>
      <c r="G405" t="s">
        <v>314</v>
      </c>
      <c r="H405" t="s">
        <v>315</v>
      </c>
      <c r="I405" t="s">
        <v>88</v>
      </c>
      <c r="J405" t="s">
        <v>316</v>
      </c>
      <c r="K405" s="15" t="str">
        <f>VLOOKUP(I405,[2]LOOKUP!$A:$D,4,FALSE)</f>
        <v>CM</v>
      </c>
    </row>
    <row r="406" spans="1:11">
      <c r="A406" t="s">
        <v>447</v>
      </c>
      <c r="B406" t="s">
        <v>448</v>
      </c>
      <c r="C406" t="str">
        <f t="shared" si="6"/>
        <v>318293</v>
      </c>
      <c r="D406">
        <v>318293</v>
      </c>
      <c r="E406">
        <v>318293162</v>
      </c>
      <c r="F406" t="s">
        <v>784</v>
      </c>
      <c r="G406" t="s">
        <v>314</v>
      </c>
      <c r="H406" t="s">
        <v>315</v>
      </c>
      <c r="I406" t="s">
        <v>82</v>
      </c>
      <c r="J406" t="s">
        <v>316</v>
      </c>
      <c r="K406" s="15" t="str">
        <f>VLOOKUP(I406,[2]LOOKUP!$A:$D,4,FALSE)</f>
        <v>CM</v>
      </c>
    </row>
    <row r="407" spans="1:11">
      <c r="A407" t="s">
        <v>447</v>
      </c>
      <c r="B407">
        <v>1</v>
      </c>
      <c r="C407" t="str">
        <f t="shared" si="6"/>
        <v>317353</v>
      </c>
      <c r="D407">
        <v>318293</v>
      </c>
      <c r="E407">
        <v>317353003</v>
      </c>
      <c r="F407" t="s">
        <v>998</v>
      </c>
      <c r="G407" t="s">
        <v>314</v>
      </c>
      <c r="H407" t="s">
        <v>315</v>
      </c>
      <c r="I407" t="s">
        <v>88</v>
      </c>
      <c r="J407" t="s">
        <v>316</v>
      </c>
      <c r="K407" s="15" t="str">
        <f>VLOOKUP(I407,[2]LOOKUP!$A:$D,4,FALSE)</f>
        <v>CM</v>
      </c>
    </row>
    <row r="408" spans="1:11">
      <c r="A408" t="s">
        <v>447</v>
      </c>
      <c r="B408" t="s">
        <v>448</v>
      </c>
      <c r="C408" t="str">
        <f t="shared" si="6"/>
        <v>318293</v>
      </c>
      <c r="D408">
        <v>318293</v>
      </c>
      <c r="E408">
        <v>318293164</v>
      </c>
      <c r="F408" t="s">
        <v>785</v>
      </c>
      <c r="G408" t="s">
        <v>314</v>
      </c>
      <c r="H408" t="s">
        <v>315</v>
      </c>
      <c r="I408" t="s">
        <v>82</v>
      </c>
      <c r="J408" t="s">
        <v>316</v>
      </c>
      <c r="K408" s="15" t="str">
        <f>VLOOKUP(I408,[2]LOOKUP!$A:$D,4,FALSE)</f>
        <v>CM</v>
      </c>
    </row>
    <row r="409" spans="1:11">
      <c r="A409" t="s">
        <v>447</v>
      </c>
      <c r="B409" t="s">
        <v>448</v>
      </c>
      <c r="C409" t="str">
        <f t="shared" si="6"/>
        <v>318293</v>
      </c>
      <c r="D409">
        <v>318293</v>
      </c>
      <c r="E409">
        <v>318293165</v>
      </c>
      <c r="F409" t="s">
        <v>786</v>
      </c>
      <c r="G409" t="s">
        <v>314</v>
      </c>
      <c r="H409" t="s">
        <v>315</v>
      </c>
      <c r="I409" t="s">
        <v>82</v>
      </c>
      <c r="J409" t="s">
        <v>316</v>
      </c>
      <c r="K409" s="15" t="str">
        <f>VLOOKUP(I409,[2]LOOKUP!$A:$D,4,FALSE)</f>
        <v>CM</v>
      </c>
    </row>
    <row r="410" spans="1:11">
      <c r="A410" t="s">
        <v>447</v>
      </c>
      <c r="B410">
        <v>1</v>
      </c>
      <c r="C410" t="str">
        <f t="shared" si="6"/>
        <v>317353</v>
      </c>
      <c r="D410">
        <v>318293</v>
      </c>
      <c r="E410">
        <v>317353006</v>
      </c>
      <c r="F410" t="s">
        <v>999</v>
      </c>
      <c r="G410" t="s">
        <v>314</v>
      </c>
      <c r="H410" t="s">
        <v>315</v>
      </c>
      <c r="I410" t="s">
        <v>88</v>
      </c>
      <c r="J410" t="s">
        <v>316</v>
      </c>
      <c r="K410" s="15" t="str">
        <f>VLOOKUP(I410,[2]LOOKUP!$A:$D,4,FALSE)</f>
        <v>CM</v>
      </c>
    </row>
    <row r="411" spans="1:11">
      <c r="A411" t="s">
        <v>447</v>
      </c>
      <c r="B411">
        <v>1</v>
      </c>
      <c r="C411" t="str">
        <f t="shared" si="6"/>
        <v>317353</v>
      </c>
      <c r="D411">
        <v>318293</v>
      </c>
      <c r="E411">
        <v>317353007</v>
      </c>
      <c r="F411" t="s">
        <v>1000</v>
      </c>
      <c r="G411" t="s">
        <v>314</v>
      </c>
      <c r="H411" t="s">
        <v>315</v>
      </c>
      <c r="I411" t="s">
        <v>88</v>
      </c>
      <c r="J411" t="s">
        <v>316</v>
      </c>
      <c r="K411" s="15" t="str">
        <f>VLOOKUP(I411,[2]LOOKUP!$A:$D,4,FALSE)</f>
        <v>CM</v>
      </c>
    </row>
    <row r="412" spans="1:11">
      <c r="A412" t="s">
        <v>447</v>
      </c>
      <c r="B412" t="s">
        <v>448</v>
      </c>
      <c r="C412" t="str">
        <f t="shared" si="6"/>
        <v>318293</v>
      </c>
      <c r="D412">
        <v>318293</v>
      </c>
      <c r="E412">
        <v>318293168</v>
      </c>
      <c r="F412" t="s">
        <v>787</v>
      </c>
      <c r="G412" t="s">
        <v>314</v>
      </c>
      <c r="H412" t="s">
        <v>315</v>
      </c>
      <c r="I412" t="s">
        <v>82</v>
      </c>
      <c r="J412" t="s">
        <v>316</v>
      </c>
      <c r="K412" s="15" t="str">
        <f>VLOOKUP(I412,[2]LOOKUP!$A:$D,4,FALSE)</f>
        <v>CM</v>
      </c>
    </row>
    <row r="413" spans="1:11">
      <c r="A413" t="s">
        <v>447</v>
      </c>
      <c r="B413" t="s">
        <v>448</v>
      </c>
      <c r="C413" t="str">
        <f t="shared" si="6"/>
        <v>318293</v>
      </c>
      <c r="D413">
        <v>318293</v>
      </c>
      <c r="E413">
        <v>318293169</v>
      </c>
      <c r="F413" t="s">
        <v>788</v>
      </c>
      <c r="G413" t="s">
        <v>314</v>
      </c>
      <c r="H413" t="s">
        <v>315</v>
      </c>
      <c r="I413" t="s">
        <v>82</v>
      </c>
      <c r="J413" t="s">
        <v>316</v>
      </c>
      <c r="K413" s="15" t="str">
        <f>VLOOKUP(I413,[2]LOOKUP!$A:$D,4,FALSE)</f>
        <v>CM</v>
      </c>
    </row>
    <row r="414" spans="1:11">
      <c r="A414" t="s">
        <v>447</v>
      </c>
      <c r="B414">
        <v>1</v>
      </c>
      <c r="C414" t="str">
        <f t="shared" si="6"/>
        <v>317353</v>
      </c>
      <c r="D414">
        <v>318293</v>
      </c>
      <c r="E414">
        <v>317353010</v>
      </c>
      <c r="F414" t="s">
        <v>1001</v>
      </c>
      <c r="G414" t="s">
        <v>314</v>
      </c>
      <c r="H414" t="s">
        <v>315</v>
      </c>
      <c r="I414" t="s">
        <v>88</v>
      </c>
      <c r="J414" t="s">
        <v>316</v>
      </c>
      <c r="K414" s="15" t="str">
        <f>VLOOKUP(I414,[2]LOOKUP!$A:$D,4,FALSE)</f>
        <v>CM</v>
      </c>
    </row>
    <row r="415" spans="1:11">
      <c r="A415" t="s">
        <v>447</v>
      </c>
      <c r="B415">
        <v>1</v>
      </c>
      <c r="C415" t="str">
        <f t="shared" si="6"/>
        <v>317353</v>
      </c>
      <c r="D415">
        <v>318293</v>
      </c>
      <c r="E415">
        <v>317353011</v>
      </c>
      <c r="F415" t="s">
        <v>1002</v>
      </c>
      <c r="G415" t="s">
        <v>314</v>
      </c>
      <c r="H415" t="s">
        <v>315</v>
      </c>
      <c r="I415" t="s">
        <v>88</v>
      </c>
      <c r="J415" t="s">
        <v>316</v>
      </c>
      <c r="K415" s="15" t="str">
        <f>VLOOKUP(I415,[2]LOOKUP!$A:$D,4,FALSE)</f>
        <v>CM</v>
      </c>
    </row>
    <row r="416" spans="1:11">
      <c r="A416" t="s">
        <v>447</v>
      </c>
      <c r="B416">
        <v>1</v>
      </c>
      <c r="C416" t="str">
        <f t="shared" si="6"/>
        <v>317353</v>
      </c>
      <c r="D416">
        <v>318293</v>
      </c>
      <c r="E416">
        <v>317353012</v>
      </c>
      <c r="F416" t="s">
        <v>1003</v>
      </c>
      <c r="G416" t="s">
        <v>314</v>
      </c>
      <c r="H416" t="s">
        <v>315</v>
      </c>
      <c r="I416" t="s">
        <v>88</v>
      </c>
      <c r="J416" t="s">
        <v>316</v>
      </c>
      <c r="K416" s="15" t="str">
        <f>VLOOKUP(I416,[2]LOOKUP!$A:$D,4,FALSE)</f>
        <v>CM</v>
      </c>
    </row>
    <row r="417" spans="1:11">
      <c r="A417" t="s">
        <v>447</v>
      </c>
      <c r="B417" t="s">
        <v>448</v>
      </c>
      <c r="C417" t="str">
        <f t="shared" si="6"/>
        <v>318293</v>
      </c>
      <c r="D417">
        <v>318293</v>
      </c>
      <c r="E417">
        <v>318293173</v>
      </c>
      <c r="F417" t="s">
        <v>789</v>
      </c>
      <c r="G417" t="s">
        <v>314</v>
      </c>
      <c r="H417" t="s">
        <v>315</v>
      </c>
      <c r="I417" t="s">
        <v>82</v>
      </c>
      <c r="J417" t="s">
        <v>316</v>
      </c>
      <c r="K417" s="15" t="str">
        <f>VLOOKUP(I417,[2]LOOKUP!$A:$D,4,FALSE)</f>
        <v>CM</v>
      </c>
    </row>
    <row r="418" spans="1:11">
      <c r="A418" t="s">
        <v>447</v>
      </c>
      <c r="B418">
        <v>1</v>
      </c>
      <c r="C418" t="str">
        <f t="shared" si="6"/>
        <v>317353</v>
      </c>
      <c r="D418">
        <v>318293</v>
      </c>
      <c r="E418">
        <v>317353014</v>
      </c>
      <c r="F418" t="s">
        <v>1004</v>
      </c>
      <c r="G418" t="s">
        <v>314</v>
      </c>
      <c r="H418" t="s">
        <v>315</v>
      </c>
      <c r="I418" t="s">
        <v>88</v>
      </c>
      <c r="J418" t="s">
        <v>316</v>
      </c>
      <c r="K418" s="15" t="str">
        <f>VLOOKUP(I418,[2]LOOKUP!$A:$D,4,FALSE)</f>
        <v>CM</v>
      </c>
    </row>
    <row r="419" spans="1:11">
      <c r="A419" t="s">
        <v>447</v>
      </c>
      <c r="B419" t="s">
        <v>448</v>
      </c>
      <c r="C419" t="str">
        <f t="shared" si="6"/>
        <v>318293</v>
      </c>
      <c r="D419">
        <v>318293</v>
      </c>
      <c r="E419">
        <v>318293175</v>
      </c>
      <c r="F419" t="s">
        <v>790</v>
      </c>
      <c r="G419" t="s">
        <v>314</v>
      </c>
      <c r="H419" t="s">
        <v>315</v>
      </c>
      <c r="I419" t="s">
        <v>82</v>
      </c>
      <c r="J419" t="s">
        <v>316</v>
      </c>
      <c r="K419" s="15" t="str">
        <f>VLOOKUP(I419,[2]LOOKUP!$A:$D,4,FALSE)</f>
        <v>CM</v>
      </c>
    </row>
    <row r="420" spans="1:11">
      <c r="A420" t="s">
        <v>447</v>
      </c>
      <c r="B420">
        <v>1</v>
      </c>
      <c r="C420" t="str">
        <f t="shared" si="6"/>
        <v>317353</v>
      </c>
      <c r="D420">
        <v>318293</v>
      </c>
      <c r="E420">
        <v>317353016</v>
      </c>
      <c r="F420" t="s">
        <v>1005</v>
      </c>
      <c r="G420" t="s">
        <v>314</v>
      </c>
      <c r="H420" t="s">
        <v>315</v>
      </c>
      <c r="I420" t="s">
        <v>88</v>
      </c>
      <c r="J420" t="s">
        <v>316</v>
      </c>
      <c r="K420" s="15" t="str">
        <f>VLOOKUP(I420,[2]LOOKUP!$A:$D,4,FALSE)</f>
        <v>CM</v>
      </c>
    </row>
    <row r="421" spans="1:11">
      <c r="A421" t="s">
        <v>447</v>
      </c>
      <c r="B421">
        <v>1</v>
      </c>
      <c r="C421" t="str">
        <f t="shared" si="6"/>
        <v>317353</v>
      </c>
      <c r="D421">
        <v>318293</v>
      </c>
      <c r="E421">
        <v>317353017</v>
      </c>
      <c r="F421" t="s">
        <v>1006</v>
      </c>
      <c r="G421" t="s">
        <v>314</v>
      </c>
      <c r="H421" t="s">
        <v>315</v>
      </c>
      <c r="I421" t="s">
        <v>88</v>
      </c>
      <c r="J421" t="s">
        <v>316</v>
      </c>
      <c r="K421" s="15" t="str">
        <f>VLOOKUP(I421,[2]LOOKUP!$A:$D,4,FALSE)</f>
        <v>CM</v>
      </c>
    </row>
    <row r="422" spans="1:11">
      <c r="A422" t="s">
        <v>447</v>
      </c>
      <c r="B422" t="s">
        <v>448</v>
      </c>
      <c r="C422" t="str">
        <f t="shared" si="6"/>
        <v>318293</v>
      </c>
      <c r="D422">
        <v>318293</v>
      </c>
      <c r="E422">
        <v>318293178</v>
      </c>
      <c r="F422" t="s">
        <v>791</v>
      </c>
      <c r="G422" t="s">
        <v>314</v>
      </c>
      <c r="H422" t="s">
        <v>315</v>
      </c>
      <c r="I422" t="s">
        <v>82</v>
      </c>
      <c r="J422" t="s">
        <v>316</v>
      </c>
      <c r="K422" s="15" t="str">
        <f>VLOOKUP(I422,[2]LOOKUP!$A:$D,4,FALSE)</f>
        <v>CM</v>
      </c>
    </row>
    <row r="423" spans="1:11">
      <c r="A423" t="s">
        <v>447</v>
      </c>
      <c r="B423">
        <v>1</v>
      </c>
      <c r="C423" t="str">
        <f t="shared" si="6"/>
        <v>317353</v>
      </c>
      <c r="D423">
        <v>318293</v>
      </c>
      <c r="E423">
        <v>317353019</v>
      </c>
      <c r="F423" t="s">
        <v>1007</v>
      </c>
      <c r="G423" t="s">
        <v>314</v>
      </c>
      <c r="H423" t="s">
        <v>315</v>
      </c>
      <c r="I423" t="s">
        <v>88</v>
      </c>
      <c r="J423" t="s">
        <v>316</v>
      </c>
      <c r="K423" s="15" t="str">
        <f>VLOOKUP(I423,[2]LOOKUP!$A:$D,4,FALSE)</f>
        <v>CM</v>
      </c>
    </row>
    <row r="424" spans="1:11">
      <c r="A424" t="s">
        <v>447</v>
      </c>
      <c r="B424">
        <v>1</v>
      </c>
      <c r="C424" t="str">
        <f t="shared" si="6"/>
        <v>317353</v>
      </c>
      <c r="D424">
        <v>318293</v>
      </c>
      <c r="E424">
        <v>317353020</v>
      </c>
      <c r="F424" t="s">
        <v>1008</v>
      </c>
      <c r="G424" t="s">
        <v>314</v>
      </c>
      <c r="H424" t="s">
        <v>315</v>
      </c>
      <c r="I424" t="s">
        <v>88</v>
      </c>
      <c r="J424" t="s">
        <v>316</v>
      </c>
      <c r="K424" s="15" t="str">
        <f>VLOOKUP(I424,[2]LOOKUP!$A:$D,4,FALSE)</f>
        <v>CM</v>
      </c>
    </row>
    <row r="425" spans="1:11">
      <c r="A425" t="s">
        <v>447</v>
      </c>
      <c r="B425">
        <v>1</v>
      </c>
      <c r="C425" t="str">
        <f t="shared" si="6"/>
        <v>317353</v>
      </c>
      <c r="D425">
        <v>318293</v>
      </c>
      <c r="E425">
        <v>317353021</v>
      </c>
      <c r="F425" t="s">
        <v>1009</v>
      </c>
      <c r="G425" t="s">
        <v>314</v>
      </c>
      <c r="H425" t="s">
        <v>315</v>
      </c>
      <c r="I425" t="s">
        <v>88</v>
      </c>
      <c r="J425" t="s">
        <v>316</v>
      </c>
      <c r="K425" s="15" t="str">
        <f>VLOOKUP(I425,[2]LOOKUP!$A:$D,4,FALSE)</f>
        <v>CM</v>
      </c>
    </row>
    <row r="426" spans="1:11">
      <c r="A426" t="s">
        <v>447</v>
      </c>
      <c r="B426">
        <v>1</v>
      </c>
      <c r="C426" t="str">
        <f t="shared" si="6"/>
        <v>317353</v>
      </c>
      <c r="D426">
        <v>318293</v>
      </c>
      <c r="E426">
        <v>317353022</v>
      </c>
      <c r="F426" t="s">
        <v>1010</v>
      </c>
      <c r="G426" t="s">
        <v>314</v>
      </c>
      <c r="H426" t="s">
        <v>315</v>
      </c>
      <c r="I426" t="s">
        <v>88</v>
      </c>
      <c r="J426" t="s">
        <v>316</v>
      </c>
      <c r="K426" s="15" t="str">
        <f>VLOOKUP(I426,[2]LOOKUP!$A:$D,4,FALSE)</f>
        <v>CM</v>
      </c>
    </row>
    <row r="427" spans="1:11">
      <c r="A427" t="s">
        <v>447</v>
      </c>
      <c r="B427">
        <v>1</v>
      </c>
      <c r="C427" t="str">
        <f t="shared" si="6"/>
        <v>317353</v>
      </c>
      <c r="D427">
        <v>318293</v>
      </c>
      <c r="E427">
        <v>317353023</v>
      </c>
      <c r="F427" t="s">
        <v>1011</v>
      </c>
      <c r="G427" t="s">
        <v>314</v>
      </c>
      <c r="H427" t="s">
        <v>315</v>
      </c>
      <c r="I427" t="s">
        <v>88</v>
      </c>
      <c r="J427" t="s">
        <v>316</v>
      </c>
      <c r="K427" s="15" t="str">
        <f>VLOOKUP(I427,[2]LOOKUP!$A:$D,4,FALSE)</f>
        <v>CM</v>
      </c>
    </row>
    <row r="428" spans="1:11">
      <c r="A428" t="s">
        <v>447</v>
      </c>
      <c r="B428">
        <v>1</v>
      </c>
      <c r="C428" t="str">
        <f t="shared" si="6"/>
        <v>317353</v>
      </c>
      <c r="D428">
        <v>318293</v>
      </c>
      <c r="E428">
        <v>317353024</v>
      </c>
      <c r="F428" t="s">
        <v>1012</v>
      </c>
      <c r="G428" t="s">
        <v>314</v>
      </c>
      <c r="H428" t="s">
        <v>315</v>
      </c>
      <c r="I428" t="s">
        <v>88</v>
      </c>
      <c r="J428" t="s">
        <v>316</v>
      </c>
      <c r="K428" s="15" t="str">
        <f>VLOOKUP(I428,[2]LOOKUP!$A:$D,4,FALSE)</f>
        <v>CM</v>
      </c>
    </row>
    <row r="429" spans="1:11">
      <c r="A429" t="s">
        <v>447</v>
      </c>
      <c r="B429">
        <v>1</v>
      </c>
      <c r="C429" t="str">
        <f t="shared" si="6"/>
        <v>317353</v>
      </c>
      <c r="D429">
        <v>318293</v>
      </c>
      <c r="E429">
        <v>317353025</v>
      </c>
      <c r="F429" t="s">
        <v>1013</v>
      </c>
      <c r="G429" t="s">
        <v>314</v>
      </c>
      <c r="H429" t="s">
        <v>315</v>
      </c>
      <c r="I429" t="s">
        <v>88</v>
      </c>
      <c r="J429" t="s">
        <v>316</v>
      </c>
      <c r="K429" s="15" t="str">
        <f>VLOOKUP(I429,[2]LOOKUP!$A:$D,4,FALSE)</f>
        <v>CM</v>
      </c>
    </row>
    <row r="430" spans="1:11">
      <c r="A430" t="s">
        <v>447</v>
      </c>
      <c r="B430">
        <v>1</v>
      </c>
      <c r="C430" t="str">
        <f t="shared" si="6"/>
        <v>317353</v>
      </c>
      <c r="D430">
        <v>318293</v>
      </c>
      <c r="E430">
        <v>317353026</v>
      </c>
      <c r="F430" t="s">
        <v>1014</v>
      </c>
      <c r="G430" t="s">
        <v>314</v>
      </c>
      <c r="H430" t="s">
        <v>315</v>
      </c>
      <c r="I430" t="s">
        <v>88</v>
      </c>
      <c r="J430" t="s">
        <v>316</v>
      </c>
      <c r="K430" s="15" t="str">
        <f>VLOOKUP(I430,[2]LOOKUP!$A:$D,4,FALSE)</f>
        <v>CM</v>
      </c>
    </row>
    <row r="431" spans="1:11">
      <c r="A431" t="s">
        <v>447</v>
      </c>
      <c r="B431">
        <v>1</v>
      </c>
      <c r="C431" t="str">
        <f t="shared" si="6"/>
        <v>317353</v>
      </c>
      <c r="D431">
        <v>318293</v>
      </c>
      <c r="E431">
        <v>317353027</v>
      </c>
      <c r="F431" t="s">
        <v>1015</v>
      </c>
      <c r="G431" t="s">
        <v>314</v>
      </c>
      <c r="H431" t="s">
        <v>315</v>
      </c>
      <c r="I431" t="s">
        <v>88</v>
      </c>
      <c r="J431" t="s">
        <v>316</v>
      </c>
      <c r="K431" s="15" t="str">
        <f>VLOOKUP(I431,[2]LOOKUP!$A:$D,4,FALSE)</f>
        <v>CM</v>
      </c>
    </row>
    <row r="432" spans="1:11">
      <c r="A432" t="s">
        <v>447</v>
      </c>
      <c r="B432">
        <v>1</v>
      </c>
      <c r="C432" t="str">
        <f t="shared" si="6"/>
        <v>317353</v>
      </c>
      <c r="D432">
        <v>318293</v>
      </c>
      <c r="E432">
        <v>317353028</v>
      </c>
      <c r="F432" t="s">
        <v>1016</v>
      </c>
      <c r="G432" t="s">
        <v>314</v>
      </c>
      <c r="H432" t="s">
        <v>315</v>
      </c>
      <c r="I432" t="s">
        <v>88</v>
      </c>
      <c r="J432" t="s">
        <v>316</v>
      </c>
      <c r="K432" s="15" t="str">
        <f>VLOOKUP(I432,[2]LOOKUP!$A:$D,4,FALSE)</f>
        <v>CM</v>
      </c>
    </row>
    <row r="433" spans="1:11">
      <c r="A433" t="s">
        <v>447</v>
      </c>
      <c r="B433" t="s">
        <v>448</v>
      </c>
      <c r="C433" t="str">
        <f t="shared" si="6"/>
        <v>318293</v>
      </c>
      <c r="D433">
        <v>318293</v>
      </c>
      <c r="E433">
        <v>318293189</v>
      </c>
      <c r="F433" t="s">
        <v>792</v>
      </c>
      <c r="G433" t="s">
        <v>314</v>
      </c>
      <c r="H433" t="s">
        <v>315</v>
      </c>
      <c r="I433" t="s">
        <v>82</v>
      </c>
      <c r="J433" t="s">
        <v>316</v>
      </c>
      <c r="K433" s="15" t="str">
        <f>VLOOKUP(I433,[2]LOOKUP!$A:$D,4,FALSE)</f>
        <v>CM</v>
      </c>
    </row>
    <row r="434" spans="1:11">
      <c r="A434" t="s">
        <v>447</v>
      </c>
      <c r="B434" t="s">
        <v>448</v>
      </c>
      <c r="C434" t="str">
        <f t="shared" si="6"/>
        <v>318293</v>
      </c>
      <c r="D434">
        <v>318293</v>
      </c>
      <c r="E434">
        <v>318293190</v>
      </c>
      <c r="F434" t="s">
        <v>793</v>
      </c>
      <c r="G434" t="s">
        <v>314</v>
      </c>
      <c r="H434" t="s">
        <v>315</v>
      </c>
      <c r="I434" t="s">
        <v>82</v>
      </c>
      <c r="J434" t="s">
        <v>316</v>
      </c>
      <c r="K434" s="15" t="str">
        <f>VLOOKUP(I434,[2]LOOKUP!$A:$D,4,FALSE)</f>
        <v>CM</v>
      </c>
    </row>
    <row r="435" spans="1:11">
      <c r="A435" t="s">
        <v>447</v>
      </c>
      <c r="B435">
        <v>1</v>
      </c>
      <c r="C435" t="str">
        <f t="shared" si="6"/>
        <v>317353</v>
      </c>
      <c r="D435">
        <v>318293</v>
      </c>
      <c r="E435">
        <v>317353031</v>
      </c>
      <c r="F435" t="s">
        <v>1017</v>
      </c>
      <c r="G435" t="s">
        <v>314</v>
      </c>
      <c r="H435" t="s">
        <v>315</v>
      </c>
      <c r="I435" t="s">
        <v>88</v>
      </c>
      <c r="J435" t="s">
        <v>316</v>
      </c>
      <c r="K435" s="15" t="str">
        <f>VLOOKUP(I435,[2]LOOKUP!$A:$D,4,FALSE)</f>
        <v>CM</v>
      </c>
    </row>
    <row r="436" spans="1:11">
      <c r="A436" t="s">
        <v>447</v>
      </c>
      <c r="B436" t="s">
        <v>448</v>
      </c>
      <c r="C436" t="str">
        <f t="shared" si="6"/>
        <v>318293</v>
      </c>
      <c r="D436">
        <v>318293</v>
      </c>
      <c r="E436">
        <v>318293192</v>
      </c>
      <c r="F436" t="s">
        <v>794</v>
      </c>
      <c r="G436" t="s">
        <v>314</v>
      </c>
      <c r="H436" t="s">
        <v>315</v>
      </c>
      <c r="I436" t="s">
        <v>82</v>
      </c>
      <c r="J436" t="s">
        <v>316</v>
      </c>
      <c r="K436" s="15" t="str">
        <f>VLOOKUP(I436,[2]LOOKUP!$A:$D,4,FALSE)</f>
        <v>CM</v>
      </c>
    </row>
    <row r="437" spans="1:11">
      <c r="A437" t="s">
        <v>447</v>
      </c>
      <c r="B437" t="s">
        <v>448</v>
      </c>
      <c r="C437" t="str">
        <f t="shared" si="6"/>
        <v>318293</v>
      </c>
      <c r="D437">
        <v>318293</v>
      </c>
      <c r="E437">
        <v>318293193</v>
      </c>
      <c r="F437" t="s">
        <v>795</v>
      </c>
      <c r="G437" t="s">
        <v>314</v>
      </c>
      <c r="H437" t="s">
        <v>315</v>
      </c>
      <c r="I437" t="s">
        <v>82</v>
      </c>
      <c r="J437" t="s">
        <v>316</v>
      </c>
      <c r="K437" s="15" t="str">
        <f>VLOOKUP(I437,[2]LOOKUP!$A:$D,4,FALSE)</f>
        <v>CM</v>
      </c>
    </row>
    <row r="438" spans="1:11">
      <c r="A438" t="s">
        <v>447</v>
      </c>
      <c r="B438" t="s">
        <v>448</v>
      </c>
      <c r="C438" t="str">
        <f t="shared" si="6"/>
        <v>318293</v>
      </c>
      <c r="D438">
        <v>318293</v>
      </c>
      <c r="E438">
        <v>318293194</v>
      </c>
      <c r="F438" t="s">
        <v>796</v>
      </c>
      <c r="G438" t="s">
        <v>314</v>
      </c>
      <c r="H438" t="s">
        <v>315</v>
      </c>
      <c r="I438" t="s">
        <v>82</v>
      </c>
      <c r="J438" t="s">
        <v>316</v>
      </c>
      <c r="K438" s="15" t="str">
        <f>VLOOKUP(I438,[2]LOOKUP!$A:$D,4,FALSE)</f>
        <v>CM</v>
      </c>
    </row>
    <row r="439" spans="1:11">
      <c r="A439" t="s">
        <v>447</v>
      </c>
      <c r="B439">
        <v>1</v>
      </c>
      <c r="C439" t="str">
        <f t="shared" si="6"/>
        <v>317353</v>
      </c>
      <c r="D439">
        <v>318293</v>
      </c>
      <c r="E439">
        <v>317353035</v>
      </c>
      <c r="F439" t="s">
        <v>1018</v>
      </c>
      <c r="G439" t="s">
        <v>314</v>
      </c>
      <c r="H439" t="s">
        <v>315</v>
      </c>
      <c r="I439" t="s">
        <v>88</v>
      </c>
      <c r="J439" t="s">
        <v>316</v>
      </c>
      <c r="K439" s="15" t="str">
        <f>VLOOKUP(I439,[2]LOOKUP!$A:$D,4,FALSE)</f>
        <v>CM</v>
      </c>
    </row>
    <row r="440" spans="1:11">
      <c r="A440" t="s">
        <v>447</v>
      </c>
      <c r="B440">
        <v>1</v>
      </c>
      <c r="C440" t="str">
        <f t="shared" si="6"/>
        <v>317353</v>
      </c>
      <c r="D440">
        <v>318293</v>
      </c>
      <c r="E440">
        <v>317353036</v>
      </c>
      <c r="F440" t="s">
        <v>1019</v>
      </c>
      <c r="G440" t="s">
        <v>314</v>
      </c>
      <c r="H440" t="s">
        <v>315</v>
      </c>
      <c r="I440" t="s">
        <v>88</v>
      </c>
      <c r="J440" t="s">
        <v>316</v>
      </c>
      <c r="K440" s="15" t="str">
        <f>VLOOKUP(I440,[2]LOOKUP!$A:$D,4,FALSE)</f>
        <v>CM</v>
      </c>
    </row>
    <row r="441" spans="1:11">
      <c r="A441" t="s">
        <v>447</v>
      </c>
      <c r="B441">
        <v>1</v>
      </c>
      <c r="C441" t="str">
        <f t="shared" si="6"/>
        <v>317353</v>
      </c>
      <c r="D441">
        <v>318293</v>
      </c>
      <c r="E441">
        <v>317353037</v>
      </c>
      <c r="F441" t="s">
        <v>1020</v>
      </c>
      <c r="G441" t="s">
        <v>314</v>
      </c>
      <c r="H441" t="s">
        <v>315</v>
      </c>
      <c r="I441" t="s">
        <v>88</v>
      </c>
      <c r="J441" t="s">
        <v>316</v>
      </c>
      <c r="K441" s="15" t="str">
        <f>VLOOKUP(I441,[2]LOOKUP!$A:$D,4,FALSE)</f>
        <v>CM</v>
      </c>
    </row>
    <row r="442" spans="1:11">
      <c r="A442" t="s">
        <v>447</v>
      </c>
      <c r="B442">
        <v>1</v>
      </c>
      <c r="C442" t="str">
        <f t="shared" si="6"/>
        <v>317353</v>
      </c>
      <c r="D442">
        <v>318293</v>
      </c>
      <c r="E442">
        <v>317353038</v>
      </c>
      <c r="F442" t="s">
        <v>1021</v>
      </c>
      <c r="G442" t="s">
        <v>314</v>
      </c>
      <c r="H442" t="s">
        <v>315</v>
      </c>
      <c r="I442" t="s">
        <v>88</v>
      </c>
      <c r="J442" t="s">
        <v>316</v>
      </c>
      <c r="K442" s="15" t="str">
        <f>VLOOKUP(I442,[2]LOOKUP!$A:$D,4,FALSE)</f>
        <v>CM</v>
      </c>
    </row>
    <row r="443" spans="1:11">
      <c r="A443" t="s">
        <v>447</v>
      </c>
      <c r="B443" t="s">
        <v>448</v>
      </c>
      <c r="C443" t="str">
        <f t="shared" si="6"/>
        <v>318293</v>
      </c>
      <c r="D443">
        <v>318293</v>
      </c>
      <c r="E443">
        <v>318293199</v>
      </c>
      <c r="F443" t="s">
        <v>797</v>
      </c>
      <c r="G443" t="s">
        <v>314</v>
      </c>
      <c r="H443" t="s">
        <v>315</v>
      </c>
      <c r="I443" t="s">
        <v>82</v>
      </c>
      <c r="J443" t="s">
        <v>316</v>
      </c>
      <c r="K443" s="15" t="str">
        <f>VLOOKUP(I443,[2]LOOKUP!$A:$D,4,FALSE)</f>
        <v>CM</v>
      </c>
    </row>
    <row r="444" spans="1:11">
      <c r="A444" t="s">
        <v>447</v>
      </c>
      <c r="B444">
        <v>1</v>
      </c>
      <c r="C444" t="str">
        <f t="shared" si="6"/>
        <v>317353</v>
      </c>
      <c r="D444">
        <v>318293</v>
      </c>
      <c r="E444">
        <v>317353040</v>
      </c>
      <c r="F444" t="s">
        <v>1022</v>
      </c>
      <c r="G444" t="s">
        <v>314</v>
      </c>
      <c r="H444" t="s">
        <v>315</v>
      </c>
      <c r="I444" t="s">
        <v>88</v>
      </c>
      <c r="J444" t="s">
        <v>316</v>
      </c>
      <c r="K444" s="15" t="str">
        <f>VLOOKUP(I444,[2]LOOKUP!$A:$D,4,FALSE)</f>
        <v>CM</v>
      </c>
    </row>
    <row r="445" spans="1:11">
      <c r="A445" t="s">
        <v>447</v>
      </c>
      <c r="B445">
        <v>1</v>
      </c>
      <c r="C445" t="str">
        <f t="shared" si="6"/>
        <v>317353</v>
      </c>
      <c r="D445">
        <v>318293</v>
      </c>
      <c r="E445">
        <v>317353041</v>
      </c>
      <c r="F445" t="s">
        <v>1023</v>
      </c>
      <c r="G445" t="s">
        <v>314</v>
      </c>
      <c r="H445" t="s">
        <v>315</v>
      </c>
      <c r="I445" t="s">
        <v>88</v>
      </c>
      <c r="J445" t="s">
        <v>316</v>
      </c>
      <c r="K445" s="15" t="str">
        <f>VLOOKUP(I445,[2]LOOKUP!$A:$D,4,FALSE)</f>
        <v>CM</v>
      </c>
    </row>
    <row r="446" spans="1:11">
      <c r="A446" t="s">
        <v>447</v>
      </c>
      <c r="B446">
        <v>1</v>
      </c>
      <c r="C446" t="str">
        <f t="shared" si="6"/>
        <v>317353</v>
      </c>
      <c r="D446">
        <v>318293</v>
      </c>
      <c r="E446">
        <v>317353042</v>
      </c>
      <c r="F446" t="s">
        <v>1024</v>
      </c>
      <c r="G446" t="s">
        <v>314</v>
      </c>
      <c r="H446" t="s">
        <v>315</v>
      </c>
      <c r="I446" t="s">
        <v>88</v>
      </c>
      <c r="J446" t="s">
        <v>316</v>
      </c>
      <c r="K446" s="15" t="str">
        <f>VLOOKUP(I446,[2]LOOKUP!$A:$D,4,FALSE)</f>
        <v>CM</v>
      </c>
    </row>
    <row r="447" spans="1:11">
      <c r="A447" t="s">
        <v>447</v>
      </c>
      <c r="B447">
        <v>1</v>
      </c>
      <c r="C447" t="str">
        <f t="shared" si="6"/>
        <v>317353</v>
      </c>
      <c r="D447">
        <v>318293</v>
      </c>
      <c r="E447">
        <v>317353043</v>
      </c>
      <c r="F447" t="s">
        <v>1025</v>
      </c>
      <c r="G447" t="s">
        <v>314</v>
      </c>
      <c r="H447" t="s">
        <v>315</v>
      </c>
      <c r="I447" t="s">
        <v>88</v>
      </c>
      <c r="J447" t="s">
        <v>316</v>
      </c>
      <c r="K447" s="15" t="str">
        <f>VLOOKUP(I447,[2]LOOKUP!$A:$D,4,FALSE)</f>
        <v>CM</v>
      </c>
    </row>
    <row r="448" spans="1:11">
      <c r="A448" t="s">
        <v>447</v>
      </c>
      <c r="B448">
        <v>1</v>
      </c>
      <c r="C448" t="str">
        <f t="shared" si="6"/>
        <v>317353</v>
      </c>
      <c r="D448">
        <v>318293</v>
      </c>
      <c r="E448">
        <v>317353044</v>
      </c>
      <c r="F448" t="s">
        <v>1026</v>
      </c>
      <c r="G448" t="s">
        <v>314</v>
      </c>
      <c r="H448" t="s">
        <v>315</v>
      </c>
      <c r="I448" t="s">
        <v>88</v>
      </c>
      <c r="J448" t="s">
        <v>316</v>
      </c>
      <c r="K448" s="15" t="str">
        <f>VLOOKUP(I448,[2]LOOKUP!$A:$D,4,FALSE)</f>
        <v>CM</v>
      </c>
    </row>
    <row r="449" spans="1:11">
      <c r="A449" t="s">
        <v>447</v>
      </c>
      <c r="B449" t="s">
        <v>448</v>
      </c>
      <c r="C449" t="str">
        <f t="shared" si="6"/>
        <v>318293</v>
      </c>
      <c r="D449">
        <v>318293</v>
      </c>
      <c r="E449">
        <v>318293205</v>
      </c>
      <c r="F449" t="s">
        <v>798</v>
      </c>
      <c r="G449" t="s">
        <v>314</v>
      </c>
      <c r="H449" t="s">
        <v>315</v>
      </c>
      <c r="I449" t="s">
        <v>82</v>
      </c>
      <c r="J449" t="s">
        <v>316</v>
      </c>
      <c r="K449" s="15" t="str">
        <f>VLOOKUP(I449,[2]LOOKUP!$A:$D,4,FALSE)</f>
        <v>CM</v>
      </c>
    </row>
    <row r="450" spans="1:11">
      <c r="A450" t="s">
        <v>447</v>
      </c>
      <c r="B450" t="s">
        <v>448</v>
      </c>
      <c r="C450" t="str">
        <f t="shared" si="6"/>
        <v>318293</v>
      </c>
      <c r="D450">
        <v>318293</v>
      </c>
      <c r="E450">
        <v>318293206</v>
      </c>
      <c r="F450" t="s">
        <v>799</v>
      </c>
      <c r="G450" t="s">
        <v>314</v>
      </c>
      <c r="H450" t="s">
        <v>315</v>
      </c>
      <c r="I450" t="s">
        <v>82</v>
      </c>
      <c r="J450" t="s">
        <v>316</v>
      </c>
      <c r="K450" s="15" t="str">
        <f>VLOOKUP(I450,[2]LOOKUP!$A:$D,4,FALSE)</f>
        <v>CM</v>
      </c>
    </row>
    <row r="451" spans="1:11">
      <c r="A451" t="s">
        <v>447</v>
      </c>
      <c r="B451" t="s">
        <v>448</v>
      </c>
      <c r="C451" t="str">
        <f t="shared" ref="C451:C491" si="7">LEFT(E451,6)</f>
        <v>318293</v>
      </c>
      <c r="D451">
        <v>318293</v>
      </c>
      <c r="E451">
        <v>318293207</v>
      </c>
      <c r="F451" t="s">
        <v>800</v>
      </c>
      <c r="G451" t="s">
        <v>314</v>
      </c>
      <c r="H451" t="s">
        <v>315</v>
      </c>
      <c r="I451" t="s">
        <v>82</v>
      </c>
      <c r="J451" t="s">
        <v>316</v>
      </c>
      <c r="K451" s="15" t="str">
        <f>VLOOKUP(I451,[2]LOOKUP!$A:$D,4,FALSE)</f>
        <v>CM</v>
      </c>
    </row>
    <row r="452" spans="1:11">
      <c r="A452" t="s">
        <v>447</v>
      </c>
      <c r="B452">
        <v>1</v>
      </c>
      <c r="C452" t="str">
        <f t="shared" si="7"/>
        <v>317353</v>
      </c>
      <c r="D452">
        <v>318293</v>
      </c>
      <c r="E452">
        <v>317353048</v>
      </c>
      <c r="F452" t="s">
        <v>1027</v>
      </c>
      <c r="G452" t="s">
        <v>314</v>
      </c>
      <c r="H452" t="s">
        <v>315</v>
      </c>
      <c r="I452" t="s">
        <v>88</v>
      </c>
      <c r="J452" t="s">
        <v>316</v>
      </c>
      <c r="K452" s="15" t="str">
        <f>VLOOKUP(I452,[2]LOOKUP!$A:$D,4,FALSE)</f>
        <v>CM</v>
      </c>
    </row>
    <row r="453" spans="1:11">
      <c r="A453" t="s">
        <v>447</v>
      </c>
      <c r="B453" t="s">
        <v>448</v>
      </c>
      <c r="C453" t="str">
        <f t="shared" si="7"/>
        <v>318293</v>
      </c>
      <c r="D453">
        <v>318293</v>
      </c>
      <c r="E453">
        <v>318293209</v>
      </c>
      <c r="F453" t="s">
        <v>801</v>
      </c>
      <c r="G453" t="s">
        <v>314</v>
      </c>
      <c r="H453" t="s">
        <v>315</v>
      </c>
      <c r="I453" t="s">
        <v>82</v>
      </c>
      <c r="J453" t="s">
        <v>316</v>
      </c>
      <c r="K453" s="15" t="str">
        <f>VLOOKUP(I453,[2]LOOKUP!$A:$D,4,FALSE)</f>
        <v>CM</v>
      </c>
    </row>
    <row r="454" spans="1:11">
      <c r="A454" t="s">
        <v>447</v>
      </c>
      <c r="B454" t="s">
        <v>448</v>
      </c>
      <c r="C454" t="str">
        <f t="shared" si="7"/>
        <v>318293</v>
      </c>
      <c r="D454">
        <v>318293</v>
      </c>
      <c r="E454">
        <v>318293210</v>
      </c>
      <c r="F454" t="s">
        <v>802</v>
      </c>
      <c r="G454" t="s">
        <v>314</v>
      </c>
      <c r="H454" t="s">
        <v>315</v>
      </c>
      <c r="I454" t="s">
        <v>82</v>
      </c>
      <c r="J454" t="s">
        <v>316</v>
      </c>
      <c r="K454" s="15" t="str">
        <f>VLOOKUP(I454,[2]LOOKUP!$A:$D,4,FALSE)</f>
        <v>CM</v>
      </c>
    </row>
    <row r="455" spans="1:11">
      <c r="A455" t="s">
        <v>447</v>
      </c>
      <c r="B455">
        <v>1</v>
      </c>
      <c r="C455" t="str">
        <f t="shared" si="7"/>
        <v>317353</v>
      </c>
      <c r="D455">
        <v>318293</v>
      </c>
      <c r="E455">
        <v>317353051</v>
      </c>
      <c r="F455" t="s">
        <v>1028</v>
      </c>
      <c r="G455" t="s">
        <v>314</v>
      </c>
      <c r="H455" t="s">
        <v>315</v>
      </c>
      <c r="I455" t="s">
        <v>88</v>
      </c>
      <c r="J455" t="s">
        <v>316</v>
      </c>
      <c r="K455" s="15" t="str">
        <f>VLOOKUP(I455,[2]LOOKUP!$A:$D,4,FALSE)</f>
        <v>CM</v>
      </c>
    </row>
    <row r="456" spans="1:11">
      <c r="A456" t="s">
        <v>447</v>
      </c>
      <c r="B456" t="s">
        <v>448</v>
      </c>
      <c r="C456" t="str">
        <f t="shared" si="7"/>
        <v>318293</v>
      </c>
      <c r="D456">
        <v>318293</v>
      </c>
      <c r="E456">
        <v>318293212</v>
      </c>
      <c r="F456" t="s">
        <v>803</v>
      </c>
      <c r="G456" t="s">
        <v>314</v>
      </c>
      <c r="H456" t="s">
        <v>315</v>
      </c>
      <c r="I456" t="s">
        <v>82</v>
      </c>
      <c r="J456" t="s">
        <v>316</v>
      </c>
      <c r="K456" s="15" t="str">
        <f>VLOOKUP(I456,[2]LOOKUP!$A:$D,4,FALSE)</f>
        <v>CM</v>
      </c>
    </row>
    <row r="457" spans="1:11">
      <c r="A457" t="s">
        <v>447</v>
      </c>
      <c r="B457">
        <v>1</v>
      </c>
      <c r="C457" t="str">
        <f t="shared" si="7"/>
        <v>317353</v>
      </c>
      <c r="D457">
        <v>318293</v>
      </c>
      <c r="E457">
        <v>317353053</v>
      </c>
      <c r="F457" t="s">
        <v>1029</v>
      </c>
      <c r="G457" t="s">
        <v>314</v>
      </c>
      <c r="H457" t="s">
        <v>315</v>
      </c>
      <c r="I457" t="s">
        <v>88</v>
      </c>
      <c r="J457" t="s">
        <v>316</v>
      </c>
      <c r="K457" s="15" t="str">
        <f>VLOOKUP(I457,[2]LOOKUP!$A:$D,4,FALSE)</f>
        <v>CM</v>
      </c>
    </row>
    <row r="458" spans="1:11">
      <c r="A458" t="s">
        <v>447</v>
      </c>
      <c r="B458">
        <v>1</v>
      </c>
      <c r="C458" t="str">
        <f t="shared" si="7"/>
        <v>317353</v>
      </c>
      <c r="D458">
        <v>318293</v>
      </c>
      <c r="E458">
        <v>317353054</v>
      </c>
      <c r="F458" t="s">
        <v>1030</v>
      </c>
      <c r="G458" t="s">
        <v>314</v>
      </c>
      <c r="H458" t="s">
        <v>315</v>
      </c>
      <c r="I458" t="s">
        <v>88</v>
      </c>
      <c r="J458" t="s">
        <v>316</v>
      </c>
      <c r="K458" s="15" t="str">
        <f>VLOOKUP(I458,[2]LOOKUP!$A:$D,4,FALSE)</f>
        <v>CM</v>
      </c>
    </row>
    <row r="459" spans="1:11">
      <c r="A459" t="s">
        <v>447</v>
      </c>
      <c r="B459" t="s">
        <v>448</v>
      </c>
      <c r="C459" t="str">
        <f t="shared" si="7"/>
        <v>318293</v>
      </c>
      <c r="D459">
        <v>318293</v>
      </c>
      <c r="E459">
        <v>318293215</v>
      </c>
      <c r="F459" t="s">
        <v>804</v>
      </c>
      <c r="G459" t="s">
        <v>314</v>
      </c>
      <c r="H459" t="s">
        <v>315</v>
      </c>
      <c r="I459" t="s">
        <v>82</v>
      </c>
      <c r="J459" t="s">
        <v>316</v>
      </c>
      <c r="K459" s="15" t="str">
        <f>VLOOKUP(I459,[2]LOOKUP!$A:$D,4,FALSE)</f>
        <v>CM</v>
      </c>
    </row>
    <row r="460" spans="1:11">
      <c r="A460" t="s">
        <v>447</v>
      </c>
      <c r="B460">
        <v>1</v>
      </c>
      <c r="C460" t="str">
        <f t="shared" si="7"/>
        <v>317353</v>
      </c>
      <c r="D460">
        <v>318293</v>
      </c>
      <c r="E460">
        <v>317353056</v>
      </c>
      <c r="F460" t="s">
        <v>1031</v>
      </c>
      <c r="G460" t="s">
        <v>314</v>
      </c>
      <c r="H460" t="s">
        <v>315</v>
      </c>
      <c r="I460" t="s">
        <v>88</v>
      </c>
      <c r="J460" t="s">
        <v>316</v>
      </c>
      <c r="K460" s="15" t="str">
        <f>VLOOKUP(I460,[2]LOOKUP!$A:$D,4,FALSE)</f>
        <v>CM</v>
      </c>
    </row>
    <row r="461" spans="1:11">
      <c r="A461" t="s">
        <v>447</v>
      </c>
      <c r="B461">
        <v>1</v>
      </c>
      <c r="C461" t="str">
        <f t="shared" si="7"/>
        <v>317353</v>
      </c>
      <c r="D461">
        <v>318293</v>
      </c>
      <c r="E461">
        <v>317353057</v>
      </c>
      <c r="F461" t="s">
        <v>1032</v>
      </c>
      <c r="G461" t="s">
        <v>314</v>
      </c>
      <c r="H461" t="s">
        <v>315</v>
      </c>
      <c r="I461" t="s">
        <v>88</v>
      </c>
      <c r="J461" t="s">
        <v>316</v>
      </c>
      <c r="K461" s="15" t="str">
        <f>VLOOKUP(I461,[2]LOOKUP!$A:$D,4,FALSE)</f>
        <v>CM</v>
      </c>
    </row>
    <row r="462" spans="1:11">
      <c r="A462" t="s">
        <v>447</v>
      </c>
      <c r="B462" t="s">
        <v>448</v>
      </c>
      <c r="C462" t="str">
        <f t="shared" si="7"/>
        <v>318293</v>
      </c>
      <c r="D462">
        <v>318293</v>
      </c>
      <c r="E462">
        <v>318293218</v>
      </c>
      <c r="F462" t="s">
        <v>805</v>
      </c>
      <c r="G462" t="s">
        <v>314</v>
      </c>
      <c r="H462" t="s">
        <v>315</v>
      </c>
      <c r="I462" t="s">
        <v>82</v>
      </c>
      <c r="J462" t="s">
        <v>316</v>
      </c>
      <c r="K462" s="15" t="str">
        <f>VLOOKUP(I462,[2]LOOKUP!$A:$D,4,FALSE)</f>
        <v>CM</v>
      </c>
    </row>
    <row r="463" spans="1:11">
      <c r="A463" t="s">
        <v>447</v>
      </c>
      <c r="B463">
        <v>1</v>
      </c>
      <c r="C463" t="str">
        <f t="shared" si="7"/>
        <v>317353</v>
      </c>
      <c r="D463">
        <v>318293</v>
      </c>
      <c r="E463">
        <v>317353059</v>
      </c>
      <c r="F463" t="s">
        <v>1033</v>
      </c>
      <c r="G463" t="s">
        <v>314</v>
      </c>
      <c r="H463" t="s">
        <v>315</v>
      </c>
      <c r="I463" t="s">
        <v>88</v>
      </c>
      <c r="J463" t="s">
        <v>316</v>
      </c>
      <c r="K463" s="15" t="str">
        <f>VLOOKUP(I463,[2]LOOKUP!$A:$D,4,FALSE)</f>
        <v>CM</v>
      </c>
    </row>
    <row r="464" spans="1:11">
      <c r="A464" t="s">
        <v>447</v>
      </c>
      <c r="B464" t="s">
        <v>448</v>
      </c>
      <c r="C464" t="str">
        <f t="shared" si="7"/>
        <v>318293</v>
      </c>
      <c r="D464">
        <v>318293</v>
      </c>
      <c r="E464">
        <v>318293220</v>
      </c>
      <c r="F464" t="s">
        <v>806</v>
      </c>
      <c r="G464" t="s">
        <v>314</v>
      </c>
      <c r="H464" t="s">
        <v>315</v>
      </c>
      <c r="I464" t="s">
        <v>82</v>
      </c>
      <c r="J464" t="s">
        <v>316</v>
      </c>
      <c r="K464" s="15" t="str">
        <f>VLOOKUP(I464,[2]LOOKUP!$A:$D,4,FALSE)</f>
        <v>CM</v>
      </c>
    </row>
    <row r="465" spans="1:11">
      <c r="A465" t="s">
        <v>447</v>
      </c>
      <c r="B465">
        <v>1</v>
      </c>
      <c r="C465" t="str">
        <f t="shared" si="7"/>
        <v>317353</v>
      </c>
      <c r="D465">
        <v>318293</v>
      </c>
      <c r="E465">
        <v>317353061</v>
      </c>
      <c r="F465" t="s">
        <v>1034</v>
      </c>
      <c r="G465" t="s">
        <v>314</v>
      </c>
      <c r="H465" t="s">
        <v>315</v>
      </c>
      <c r="I465" t="s">
        <v>88</v>
      </c>
      <c r="J465" t="s">
        <v>316</v>
      </c>
      <c r="K465" s="15" t="str">
        <f>VLOOKUP(I465,[2]LOOKUP!$A:$D,4,FALSE)</f>
        <v>CM</v>
      </c>
    </row>
    <row r="466" spans="1:11">
      <c r="A466" t="s">
        <v>447</v>
      </c>
      <c r="B466">
        <v>1</v>
      </c>
      <c r="C466" t="str">
        <f t="shared" si="7"/>
        <v>317353</v>
      </c>
      <c r="D466">
        <v>318293</v>
      </c>
      <c r="E466">
        <v>317353062</v>
      </c>
      <c r="F466" t="s">
        <v>1035</v>
      </c>
      <c r="G466" t="s">
        <v>314</v>
      </c>
      <c r="H466" t="s">
        <v>315</v>
      </c>
      <c r="I466" t="s">
        <v>88</v>
      </c>
      <c r="J466" t="s">
        <v>316</v>
      </c>
      <c r="K466" s="15" t="str">
        <f>VLOOKUP(I466,[2]LOOKUP!$A:$D,4,FALSE)</f>
        <v>CM</v>
      </c>
    </row>
    <row r="467" spans="1:11">
      <c r="A467" t="s">
        <v>447</v>
      </c>
      <c r="B467" t="s">
        <v>448</v>
      </c>
      <c r="C467" t="str">
        <f t="shared" si="7"/>
        <v>318293</v>
      </c>
      <c r="D467">
        <v>318293</v>
      </c>
      <c r="E467">
        <v>318293223</v>
      </c>
      <c r="F467" t="s">
        <v>807</v>
      </c>
      <c r="G467" t="s">
        <v>314</v>
      </c>
      <c r="H467" t="s">
        <v>315</v>
      </c>
      <c r="I467" t="s">
        <v>82</v>
      </c>
      <c r="J467" t="s">
        <v>316</v>
      </c>
      <c r="K467" s="15" t="str">
        <f>VLOOKUP(I467,[2]LOOKUP!$A:$D,4,FALSE)</f>
        <v>CM</v>
      </c>
    </row>
    <row r="468" spans="1:11">
      <c r="A468" t="s">
        <v>447</v>
      </c>
      <c r="B468">
        <v>1</v>
      </c>
      <c r="C468" t="str">
        <f t="shared" si="7"/>
        <v>317353</v>
      </c>
      <c r="D468">
        <v>318293</v>
      </c>
      <c r="E468">
        <v>317353064</v>
      </c>
      <c r="F468" t="s">
        <v>1036</v>
      </c>
      <c r="G468" t="s">
        <v>314</v>
      </c>
      <c r="H468" t="s">
        <v>315</v>
      </c>
      <c r="I468" t="s">
        <v>88</v>
      </c>
      <c r="J468" t="s">
        <v>316</v>
      </c>
      <c r="K468" s="15" t="str">
        <f>VLOOKUP(I468,[2]LOOKUP!$A:$D,4,FALSE)</f>
        <v>CM</v>
      </c>
    </row>
    <row r="469" spans="1:11">
      <c r="A469" t="s">
        <v>447</v>
      </c>
      <c r="B469">
        <v>1</v>
      </c>
      <c r="C469" t="str">
        <f t="shared" si="7"/>
        <v>317353</v>
      </c>
      <c r="D469">
        <v>318293</v>
      </c>
      <c r="E469">
        <v>317353065</v>
      </c>
      <c r="F469" t="s">
        <v>1037</v>
      </c>
      <c r="G469" t="s">
        <v>314</v>
      </c>
      <c r="H469" t="s">
        <v>315</v>
      </c>
      <c r="I469" t="s">
        <v>88</v>
      </c>
      <c r="J469" t="s">
        <v>316</v>
      </c>
      <c r="K469" s="15" t="str">
        <f>VLOOKUP(I469,[2]LOOKUP!$A:$D,4,FALSE)</f>
        <v>CM</v>
      </c>
    </row>
    <row r="470" spans="1:11">
      <c r="A470" t="s">
        <v>447</v>
      </c>
      <c r="B470" t="s">
        <v>448</v>
      </c>
      <c r="C470" t="str">
        <f t="shared" si="7"/>
        <v>318293</v>
      </c>
      <c r="D470">
        <v>318293</v>
      </c>
      <c r="E470">
        <v>318293226</v>
      </c>
      <c r="F470" t="s">
        <v>808</v>
      </c>
      <c r="G470" t="s">
        <v>314</v>
      </c>
      <c r="H470" t="s">
        <v>315</v>
      </c>
      <c r="I470" t="s">
        <v>82</v>
      </c>
      <c r="J470" t="s">
        <v>316</v>
      </c>
      <c r="K470" s="15" t="str">
        <f>VLOOKUP(I470,[2]LOOKUP!$A:$D,4,FALSE)</f>
        <v>CM</v>
      </c>
    </row>
    <row r="471" spans="1:11">
      <c r="A471" t="s">
        <v>447</v>
      </c>
      <c r="B471" t="s">
        <v>448</v>
      </c>
      <c r="C471" t="str">
        <f t="shared" si="7"/>
        <v>318293</v>
      </c>
      <c r="D471">
        <v>318293</v>
      </c>
      <c r="E471">
        <v>318293227</v>
      </c>
      <c r="F471" t="s">
        <v>809</v>
      </c>
      <c r="G471" t="s">
        <v>314</v>
      </c>
      <c r="H471" t="s">
        <v>315</v>
      </c>
      <c r="I471" t="s">
        <v>82</v>
      </c>
      <c r="J471" t="s">
        <v>316</v>
      </c>
      <c r="K471" s="15" t="str">
        <f>VLOOKUP(I471,[2]LOOKUP!$A:$D,4,FALSE)</f>
        <v>CM</v>
      </c>
    </row>
    <row r="472" spans="1:11">
      <c r="A472" t="s">
        <v>447</v>
      </c>
      <c r="B472" t="s">
        <v>448</v>
      </c>
      <c r="C472" t="str">
        <f t="shared" si="7"/>
        <v>318293</v>
      </c>
      <c r="D472">
        <v>318293</v>
      </c>
      <c r="E472">
        <v>318293228</v>
      </c>
      <c r="F472" t="s">
        <v>810</v>
      </c>
      <c r="G472" t="s">
        <v>314</v>
      </c>
      <c r="H472" t="s">
        <v>315</v>
      </c>
      <c r="I472" t="s">
        <v>82</v>
      </c>
      <c r="J472" t="s">
        <v>316</v>
      </c>
      <c r="K472" s="15" t="str">
        <f>VLOOKUP(I472,[2]LOOKUP!$A:$D,4,FALSE)</f>
        <v>CM</v>
      </c>
    </row>
    <row r="473" spans="1:11">
      <c r="A473" t="s">
        <v>447</v>
      </c>
      <c r="B473">
        <v>1</v>
      </c>
      <c r="C473" t="str">
        <f t="shared" si="7"/>
        <v>317353</v>
      </c>
      <c r="D473">
        <v>318293</v>
      </c>
      <c r="E473">
        <v>317353069</v>
      </c>
      <c r="F473" t="s">
        <v>1038</v>
      </c>
      <c r="G473" t="s">
        <v>314</v>
      </c>
      <c r="H473" t="s">
        <v>315</v>
      </c>
      <c r="I473" t="s">
        <v>88</v>
      </c>
      <c r="J473" t="s">
        <v>316</v>
      </c>
      <c r="K473" s="15" t="str">
        <f>VLOOKUP(I473,[2]LOOKUP!$A:$D,4,FALSE)</f>
        <v>CM</v>
      </c>
    </row>
    <row r="474" spans="1:11">
      <c r="A474" t="s">
        <v>447</v>
      </c>
      <c r="B474" t="s">
        <v>448</v>
      </c>
      <c r="C474" t="str">
        <f t="shared" si="7"/>
        <v>318293</v>
      </c>
      <c r="D474">
        <v>318293</v>
      </c>
      <c r="E474">
        <v>318293230</v>
      </c>
      <c r="F474" t="s">
        <v>811</v>
      </c>
      <c r="G474" t="s">
        <v>314</v>
      </c>
      <c r="H474" t="s">
        <v>315</v>
      </c>
      <c r="I474" t="s">
        <v>82</v>
      </c>
      <c r="J474" t="s">
        <v>316</v>
      </c>
      <c r="K474" s="15" t="str">
        <f>VLOOKUP(I474,[2]LOOKUP!$A:$D,4,FALSE)</f>
        <v>CM</v>
      </c>
    </row>
    <row r="475" spans="1:11">
      <c r="A475" t="s">
        <v>447</v>
      </c>
      <c r="B475">
        <v>1</v>
      </c>
      <c r="C475" t="str">
        <f t="shared" si="7"/>
        <v>317353</v>
      </c>
      <c r="D475">
        <v>318293</v>
      </c>
      <c r="E475">
        <v>317353071</v>
      </c>
      <c r="F475" t="s">
        <v>1039</v>
      </c>
      <c r="G475" t="s">
        <v>314</v>
      </c>
      <c r="H475" t="s">
        <v>315</v>
      </c>
      <c r="I475" t="s">
        <v>88</v>
      </c>
      <c r="J475" t="s">
        <v>316</v>
      </c>
      <c r="K475" s="15" t="str">
        <f>VLOOKUP(I475,[2]LOOKUP!$A:$D,4,FALSE)</f>
        <v>CM</v>
      </c>
    </row>
    <row r="476" spans="1:11">
      <c r="A476" t="s">
        <v>447</v>
      </c>
      <c r="B476">
        <v>1</v>
      </c>
      <c r="C476" t="str">
        <f t="shared" si="7"/>
        <v>317353</v>
      </c>
      <c r="D476">
        <v>318293</v>
      </c>
      <c r="E476">
        <v>317353072</v>
      </c>
      <c r="F476" t="s">
        <v>1040</v>
      </c>
      <c r="G476" t="s">
        <v>314</v>
      </c>
      <c r="H476" t="s">
        <v>315</v>
      </c>
      <c r="I476" t="s">
        <v>88</v>
      </c>
      <c r="J476" t="s">
        <v>316</v>
      </c>
      <c r="K476" s="15" t="str">
        <f>VLOOKUP(I476,[2]LOOKUP!$A:$D,4,FALSE)</f>
        <v>CM</v>
      </c>
    </row>
    <row r="477" spans="1:11">
      <c r="A477" t="s">
        <v>447</v>
      </c>
      <c r="B477">
        <v>1</v>
      </c>
      <c r="C477" t="str">
        <f t="shared" si="7"/>
        <v>317353</v>
      </c>
      <c r="D477">
        <v>318293</v>
      </c>
      <c r="E477">
        <v>317353073</v>
      </c>
      <c r="F477" t="s">
        <v>1041</v>
      </c>
      <c r="G477" t="s">
        <v>314</v>
      </c>
      <c r="H477" t="s">
        <v>315</v>
      </c>
      <c r="I477" t="s">
        <v>88</v>
      </c>
      <c r="J477" t="s">
        <v>316</v>
      </c>
      <c r="K477" s="15" t="str">
        <f>VLOOKUP(I477,[2]LOOKUP!$A:$D,4,FALSE)</f>
        <v>CM</v>
      </c>
    </row>
    <row r="478" spans="1:11">
      <c r="A478" t="s">
        <v>447</v>
      </c>
      <c r="B478" t="s">
        <v>448</v>
      </c>
      <c r="C478" t="str">
        <f t="shared" si="7"/>
        <v>318293</v>
      </c>
      <c r="D478">
        <v>318293</v>
      </c>
      <c r="E478">
        <v>318293234</v>
      </c>
      <c r="F478" t="s">
        <v>812</v>
      </c>
      <c r="G478" t="s">
        <v>314</v>
      </c>
      <c r="H478" t="s">
        <v>315</v>
      </c>
      <c r="I478" t="s">
        <v>82</v>
      </c>
      <c r="J478" t="s">
        <v>316</v>
      </c>
      <c r="K478" s="15" t="str">
        <f>VLOOKUP(I478,[2]LOOKUP!$A:$D,4,FALSE)</f>
        <v>CM</v>
      </c>
    </row>
    <row r="479" spans="1:11">
      <c r="A479" t="s">
        <v>447</v>
      </c>
      <c r="B479">
        <v>1</v>
      </c>
      <c r="C479" t="str">
        <f t="shared" si="7"/>
        <v>317353</v>
      </c>
      <c r="D479">
        <v>318293</v>
      </c>
      <c r="E479">
        <v>317353075</v>
      </c>
      <c r="F479" t="s">
        <v>1042</v>
      </c>
      <c r="G479" t="s">
        <v>314</v>
      </c>
      <c r="H479" t="s">
        <v>315</v>
      </c>
      <c r="I479" t="s">
        <v>88</v>
      </c>
      <c r="J479" t="s">
        <v>316</v>
      </c>
      <c r="K479" s="15" t="str">
        <f>VLOOKUP(I479,[2]LOOKUP!$A:$D,4,FALSE)</f>
        <v>CM</v>
      </c>
    </row>
    <row r="480" spans="1:11">
      <c r="A480" t="s">
        <v>447</v>
      </c>
      <c r="B480" t="s">
        <v>448</v>
      </c>
      <c r="C480" t="str">
        <f t="shared" si="7"/>
        <v>318293</v>
      </c>
      <c r="D480">
        <v>318293</v>
      </c>
      <c r="E480">
        <v>318293236</v>
      </c>
      <c r="F480" t="s">
        <v>813</v>
      </c>
      <c r="G480" t="s">
        <v>314</v>
      </c>
      <c r="H480" t="s">
        <v>315</v>
      </c>
      <c r="I480" t="s">
        <v>82</v>
      </c>
      <c r="J480" t="s">
        <v>316</v>
      </c>
      <c r="K480" s="15" t="str">
        <f>VLOOKUP(I480,[2]LOOKUP!$A:$D,4,FALSE)</f>
        <v>CM</v>
      </c>
    </row>
    <row r="481" spans="1:11">
      <c r="A481" t="s">
        <v>447</v>
      </c>
      <c r="B481">
        <v>1</v>
      </c>
      <c r="C481" t="str">
        <f t="shared" si="7"/>
        <v>317359</v>
      </c>
      <c r="D481">
        <v>318293</v>
      </c>
      <c r="E481">
        <v>317359001</v>
      </c>
      <c r="F481" t="s">
        <v>1043</v>
      </c>
      <c r="G481" t="s">
        <v>314</v>
      </c>
      <c r="H481" t="s">
        <v>78</v>
      </c>
      <c r="I481" t="s">
        <v>73</v>
      </c>
      <c r="J481" t="s">
        <v>316</v>
      </c>
      <c r="K481" s="15" t="str">
        <f>VLOOKUP(I481,[2]LOOKUP!$A:$D,4,FALSE)</f>
        <v>CM</v>
      </c>
    </row>
    <row r="482" spans="1:11">
      <c r="A482" t="s">
        <v>447</v>
      </c>
      <c r="B482">
        <v>1</v>
      </c>
      <c r="C482" t="str">
        <f t="shared" si="7"/>
        <v>317359</v>
      </c>
      <c r="D482">
        <v>318293</v>
      </c>
      <c r="E482">
        <v>317359002</v>
      </c>
      <c r="F482" t="s">
        <v>1044</v>
      </c>
      <c r="G482" t="s">
        <v>314</v>
      </c>
      <c r="H482" t="s">
        <v>78</v>
      </c>
      <c r="I482" t="s">
        <v>73</v>
      </c>
      <c r="J482" t="s">
        <v>316</v>
      </c>
      <c r="K482" s="15" t="str">
        <f>VLOOKUP(I482,[2]LOOKUP!$A:$D,4,FALSE)</f>
        <v>CM</v>
      </c>
    </row>
    <row r="483" spans="1:11">
      <c r="A483" t="s">
        <v>447</v>
      </c>
      <c r="B483">
        <v>1</v>
      </c>
      <c r="C483" t="str">
        <f t="shared" si="7"/>
        <v>317359</v>
      </c>
      <c r="D483">
        <v>318293</v>
      </c>
      <c r="E483">
        <v>317359003</v>
      </c>
      <c r="F483" t="s">
        <v>1045</v>
      </c>
      <c r="G483" t="s">
        <v>314</v>
      </c>
      <c r="H483" t="s">
        <v>78</v>
      </c>
      <c r="I483" t="s">
        <v>73</v>
      </c>
      <c r="J483" t="s">
        <v>316</v>
      </c>
      <c r="K483" s="15" t="str">
        <f>VLOOKUP(I483,[2]LOOKUP!$A:$D,4,FALSE)</f>
        <v>CM</v>
      </c>
    </row>
    <row r="484" spans="1:11">
      <c r="A484" t="s">
        <v>447</v>
      </c>
      <c r="B484">
        <v>1</v>
      </c>
      <c r="C484" t="str">
        <f t="shared" si="7"/>
        <v>317359</v>
      </c>
      <c r="D484">
        <v>318293</v>
      </c>
      <c r="E484">
        <v>317359004</v>
      </c>
      <c r="F484" t="s">
        <v>1046</v>
      </c>
      <c r="G484" t="s">
        <v>314</v>
      </c>
      <c r="H484" t="s">
        <v>78</v>
      </c>
      <c r="I484" t="s">
        <v>73</v>
      </c>
      <c r="J484" t="s">
        <v>316</v>
      </c>
      <c r="K484" s="15" t="str">
        <f>VLOOKUP(I484,[2]LOOKUP!$A:$D,4,FALSE)</f>
        <v>CM</v>
      </c>
    </row>
    <row r="485" spans="1:11">
      <c r="A485" t="s">
        <v>447</v>
      </c>
      <c r="B485">
        <v>1</v>
      </c>
      <c r="C485" t="str">
        <f t="shared" si="7"/>
        <v>317359</v>
      </c>
      <c r="D485">
        <v>318293</v>
      </c>
      <c r="E485">
        <v>317359005</v>
      </c>
      <c r="F485" t="s">
        <v>1047</v>
      </c>
      <c r="G485" t="s">
        <v>314</v>
      </c>
      <c r="H485" t="s">
        <v>78</v>
      </c>
      <c r="I485" t="s">
        <v>73</v>
      </c>
      <c r="J485" t="s">
        <v>316</v>
      </c>
      <c r="K485" s="15" t="str">
        <f>VLOOKUP(I485,[2]LOOKUP!$A:$D,4,FALSE)</f>
        <v>CM</v>
      </c>
    </row>
    <row r="486" spans="1:11">
      <c r="A486" t="s">
        <v>447</v>
      </c>
      <c r="B486">
        <v>1</v>
      </c>
      <c r="C486" t="str">
        <f t="shared" si="7"/>
        <v>317359</v>
      </c>
      <c r="D486">
        <v>318293</v>
      </c>
      <c r="E486">
        <v>317359006</v>
      </c>
      <c r="F486" t="s">
        <v>1048</v>
      </c>
      <c r="G486" t="s">
        <v>314</v>
      </c>
      <c r="H486" t="s">
        <v>78</v>
      </c>
      <c r="I486" t="s">
        <v>73</v>
      </c>
      <c r="J486" t="s">
        <v>316</v>
      </c>
      <c r="K486" s="15" t="str">
        <f>VLOOKUP(I486,[2]LOOKUP!$A:$D,4,FALSE)</f>
        <v>CM</v>
      </c>
    </row>
    <row r="487" spans="1:11">
      <c r="A487" t="s">
        <v>447</v>
      </c>
      <c r="B487">
        <v>1</v>
      </c>
      <c r="C487" t="str">
        <f t="shared" si="7"/>
        <v>317359</v>
      </c>
      <c r="D487">
        <v>318293</v>
      </c>
      <c r="E487">
        <v>317359007</v>
      </c>
      <c r="F487" t="s">
        <v>1049</v>
      </c>
      <c r="G487" t="s">
        <v>314</v>
      </c>
      <c r="H487" t="s">
        <v>78</v>
      </c>
      <c r="I487" t="s">
        <v>73</v>
      </c>
      <c r="J487" t="s">
        <v>316</v>
      </c>
      <c r="K487" s="15" t="str">
        <f>VLOOKUP(I487,[2]LOOKUP!$A:$D,4,FALSE)</f>
        <v>CM</v>
      </c>
    </row>
    <row r="488" spans="1:11">
      <c r="A488" t="s">
        <v>447</v>
      </c>
      <c r="B488">
        <v>1</v>
      </c>
      <c r="C488" t="str">
        <f t="shared" si="7"/>
        <v>317359</v>
      </c>
      <c r="D488">
        <v>318293</v>
      </c>
      <c r="E488">
        <v>317359008</v>
      </c>
      <c r="F488" t="s">
        <v>1050</v>
      </c>
      <c r="G488" t="s">
        <v>314</v>
      </c>
      <c r="H488" t="s">
        <v>78</v>
      </c>
      <c r="I488" t="s">
        <v>73</v>
      </c>
      <c r="J488" t="s">
        <v>316</v>
      </c>
      <c r="K488" s="15" t="str">
        <f>VLOOKUP(I488,[2]LOOKUP!$A:$D,4,FALSE)</f>
        <v>CM</v>
      </c>
    </row>
    <row r="489" spans="1:11">
      <c r="A489" t="s">
        <v>447</v>
      </c>
      <c r="B489">
        <v>1</v>
      </c>
      <c r="C489" t="str">
        <f t="shared" si="7"/>
        <v>317359</v>
      </c>
      <c r="D489">
        <v>318293</v>
      </c>
      <c r="E489">
        <v>317359009</v>
      </c>
      <c r="F489" t="s">
        <v>1051</v>
      </c>
      <c r="G489" t="s">
        <v>314</v>
      </c>
      <c r="H489" t="s">
        <v>78</v>
      </c>
      <c r="I489" t="s">
        <v>73</v>
      </c>
      <c r="J489" t="s">
        <v>316</v>
      </c>
      <c r="K489" s="15" t="str">
        <f>VLOOKUP(I489,[2]LOOKUP!$A:$D,4,FALSE)</f>
        <v>CM</v>
      </c>
    </row>
    <row r="490" spans="1:11">
      <c r="A490" t="s">
        <v>447</v>
      </c>
      <c r="B490">
        <v>1</v>
      </c>
      <c r="C490" t="str">
        <f t="shared" si="7"/>
        <v>317359</v>
      </c>
      <c r="D490">
        <v>318293</v>
      </c>
      <c r="E490">
        <v>317359010</v>
      </c>
      <c r="F490" t="s">
        <v>1052</v>
      </c>
      <c r="G490" t="s">
        <v>314</v>
      </c>
      <c r="H490" t="s">
        <v>78</v>
      </c>
      <c r="I490" t="s">
        <v>73</v>
      </c>
      <c r="J490" t="s">
        <v>316</v>
      </c>
      <c r="K490" s="15" t="str">
        <f>VLOOKUP(I490,[2]LOOKUP!$A:$D,4,FALSE)</f>
        <v>CM</v>
      </c>
    </row>
    <row r="491" spans="1:11">
      <c r="A491" t="s">
        <v>565</v>
      </c>
      <c r="B491">
        <v>3</v>
      </c>
      <c r="C491" t="str">
        <f t="shared" si="7"/>
        <v/>
      </c>
      <c r="D491">
        <v>999999</v>
      </c>
      <c r="F491" t="s">
        <v>566</v>
      </c>
      <c r="K491" s="15" t="e">
        <f>VLOOKUP(I491,[2]LOOKUP!$A:$D,4,FALSE)</f>
        <v>#N/A</v>
      </c>
    </row>
  </sheetData>
  <autoFilter ref="A1:J491" xr:uid="{8CCC312E-9B88-4CD7-AA86-53C966CE849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646DA-52B1-4B8C-8C54-C49DC927551C}">
  <sheetPr>
    <tabColor rgb="FF92D050"/>
  </sheetPr>
  <dimension ref="A1:K355"/>
  <sheetViews>
    <sheetView tabSelected="1" workbookViewId="0">
      <pane ySplit="1" topLeftCell="A344" activePane="bottomLeft" state="frozen"/>
      <selection pane="bottomLeft" activeCell="D357" sqref="D357"/>
      <selection activeCell="B1" sqref="B1:C2"/>
    </sheetView>
  </sheetViews>
  <sheetFormatPr defaultRowHeight="14.45"/>
  <cols>
    <col min="5" max="5" width="10" bestFit="1" customWidth="1"/>
    <col min="6" max="6" width="47.42578125" bestFit="1" customWidth="1"/>
    <col min="8" max="8" width="12.140625" bestFit="1" customWidth="1"/>
    <col min="9" max="9" width="10" bestFit="1" customWidth="1"/>
    <col min="10" max="10" width="12.85546875" bestFit="1" customWidth="1"/>
    <col min="11" max="11" width="13.85546875" bestFit="1" customWidth="1"/>
  </cols>
  <sheetData>
    <row r="1" spans="1:11" ht="81.599999999999994">
      <c r="A1" t="s">
        <v>300</v>
      </c>
      <c r="B1" t="s">
        <v>301</v>
      </c>
      <c r="C1" t="s">
        <v>302</v>
      </c>
      <c r="D1" t="s">
        <v>303</v>
      </c>
      <c r="E1" s="31" t="s">
        <v>304</v>
      </c>
      <c r="F1" s="32" t="s">
        <v>305</v>
      </c>
      <c r="G1" s="32" t="s">
        <v>306</v>
      </c>
      <c r="H1" s="32" t="s">
        <v>307</v>
      </c>
      <c r="I1" s="32" t="s">
        <v>308</v>
      </c>
      <c r="J1" s="32" t="s">
        <v>309</v>
      </c>
      <c r="K1" s="33" t="s">
        <v>310</v>
      </c>
    </row>
    <row r="2" spans="1:11">
      <c r="A2" t="s">
        <v>447</v>
      </c>
      <c r="B2" t="s">
        <v>448</v>
      </c>
      <c r="C2" t="str">
        <f>LEFT(E2,6)</f>
        <v>318307</v>
      </c>
      <c r="D2">
        <v>318307</v>
      </c>
      <c r="E2">
        <v>318307001</v>
      </c>
      <c r="F2" t="s">
        <v>1053</v>
      </c>
      <c r="G2" t="s">
        <v>314</v>
      </c>
      <c r="H2" t="s">
        <v>315</v>
      </c>
      <c r="I2" t="s">
        <v>82</v>
      </c>
      <c r="J2" t="s">
        <v>316</v>
      </c>
      <c r="K2" s="15" t="str">
        <f>VLOOKUP(I2,[2]LOOKUP!$A:$D,4,FALSE)</f>
        <v>CM</v>
      </c>
    </row>
    <row r="3" spans="1:11">
      <c r="A3" t="s">
        <v>447</v>
      </c>
      <c r="B3" t="s">
        <v>448</v>
      </c>
      <c r="C3" t="str">
        <f t="shared" ref="C3:C66" si="0">LEFT(E3,6)</f>
        <v>318307</v>
      </c>
      <c r="D3">
        <v>318307</v>
      </c>
      <c r="E3">
        <v>318307002</v>
      </c>
      <c r="F3" t="s">
        <v>1054</v>
      </c>
      <c r="G3" t="s">
        <v>314</v>
      </c>
      <c r="H3" t="s">
        <v>315</v>
      </c>
      <c r="I3" t="s">
        <v>82</v>
      </c>
      <c r="J3" t="s">
        <v>316</v>
      </c>
      <c r="K3" s="15" t="str">
        <f>VLOOKUP(I3,[2]LOOKUP!$A:$D,4,FALSE)</f>
        <v>CM</v>
      </c>
    </row>
    <row r="4" spans="1:11">
      <c r="A4" t="s">
        <v>447</v>
      </c>
      <c r="B4" t="s">
        <v>448</v>
      </c>
      <c r="C4" t="str">
        <f t="shared" si="0"/>
        <v>318307</v>
      </c>
      <c r="D4">
        <v>318307</v>
      </c>
      <c r="E4">
        <v>318307003</v>
      </c>
      <c r="F4" t="s">
        <v>1055</v>
      </c>
      <c r="G4" t="s">
        <v>314</v>
      </c>
      <c r="H4" t="s">
        <v>315</v>
      </c>
      <c r="I4" t="s">
        <v>82</v>
      </c>
      <c r="J4" t="s">
        <v>316</v>
      </c>
      <c r="K4" s="15" t="str">
        <f>VLOOKUP(I4,[2]LOOKUP!$A:$D,4,FALSE)</f>
        <v>CM</v>
      </c>
    </row>
    <row r="5" spans="1:11">
      <c r="A5" t="s">
        <v>447</v>
      </c>
      <c r="B5" t="s">
        <v>448</v>
      </c>
      <c r="C5" t="str">
        <f t="shared" si="0"/>
        <v>318307</v>
      </c>
      <c r="D5">
        <v>318307</v>
      </c>
      <c r="E5">
        <v>318307004</v>
      </c>
      <c r="F5" t="s">
        <v>1056</v>
      </c>
      <c r="G5" t="s">
        <v>314</v>
      </c>
      <c r="H5" t="s">
        <v>315</v>
      </c>
      <c r="I5" t="s">
        <v>82</v>
      </c>
      <c r="J5" t="s">
        <v>316</v>
      </c>
      <c r="K5" s="15" t="str">
        <f>VLOOKUP(I5,[2]LOOKUP!$A:$D,4,FALSE)</f>
        <v>CM</v>
      </c>
    </row>
    <row r="6" spans="1:11">
      <c r="A6" t="s">
        <v>447</v>
      </c>
      <c r="B6" t="s">
        <v>448</v>
      </c>
      <c r="C6" t="str">
        <f t="shared" si="0"/>
        <v>318307</v>
      </c>
      <c r="D6">
        <v>318307</v>
      </c>
      <c r="E6">
        <v>318307005</v>
      </c>
      <c r="F6" t="s">
        <v>1057</v>
      </c>
      <c r="G6" t="s">
        <v>314</v>
      </c>
      <c r="H6" t="s">
        <v>315</v>
      </c>
      <c r="I6" t="s">
        <v>82</v>
      </c>
      <c r="J6" t="s">
        <v>316</v>
      </c>
      <c r="K6" s="15" t="str">
        <f>VLOOKUP(I6,[2]LOOKUP!$A:$D,4,FALSE)</f>
        <v>CM</v>
      </c>
    </row>
    <row r="7" spans="1:11">
      <c r="A7" t="s">
        <v>447</v>
      </c>
      <c r="B7" t="s">
        <v>448</v>
      </c>
      <c r="C7" t="str">
        <f t="shared" si="0"/>
        <v>318307</v>
      </c>
      <c r="D7">
        <v>318307</v>
      </c>
      <c r="E7">
        <v>318307006</v>
      </c>
      <c r="F7" t="s">
        <v>1058</v>
      </c>
      <c r="G7" t="s">
        <v>314</v>
      </c>
      <c r="H7" t="s">
        <v>315</v>
      </c>
      <c r="I7" t="s">
        <v>82</v>
      </c>
      <c r="J7" t="s">
        <v>316</v>
      </c>
      <c r="K7" s="15" t="str">
        <f>VLOOKUP(I7,[2]LOOKUP!$A:$D,4,FALSE)</f>
        <v>CM</v>
      </c>
    </row>
    <row r="8" spans="1:11">
      <c r="A8" t="s">
        <v>447</v>
      </c>
      <c r="B8" t="s">
        <v>448</v>
      </c>
      <c r="C8" t="str">
        <f t="shared" si="0"/>
        <v>318307</v>
      </c>
      <c r="D8">
        <v>318307</v>
      </c>
      <c r="E8">
        <v>318307007</v>
      </c>
      <c r="F8" t="s">
        <v>1059</v>
      </c>
      <c r="G8" t="s">
        <v>314</v>
      </c>
      <c r="H8" t="s">
        <v>315</v>
      </c>
      <c r="I8" t="s">
        <v>82</v>
      </c>
      <c r="J8" t="s">
        <v>316</v>
      </c>
      <c r="K8" s="15" t="str">
        <f>VLOOKUP(I8,[2]LOOKUP!$A:$D,4,FALSE)</f>
        <v>CM</v>
      </c>
    </row>
    <row r="9" spans="1:11">
      <c r="A9" t="s">
        <v>447</v>
      </c>
      <c r="B9" t="s">
        <v>448</v>
      </c>
      <c r="C9" t="str">
        <f t="shared" si="0"/>
        <v>318307</v>
      </c>
      <c r="D9">
        <v>318307</v>
      </c>
      <c r="E9">
        <v>318307008</v>
      </c>
      <c r="F9" t="s">
        <v>1060</v>
      </c>
      <c r="G9" t="s">
        <v>314</v>
      </c>
      <c r="H9" t="s">
        <v>315</v>
      </c>
      <c r="I9" t="s">
        <v>82</v>
      </c>
      <c r="J9" t="s">
        <v>316</v>
      </c>
      <c r="K9" s="15" t="str">
        <f>VLOOKUP(I9,[2]LOOKUP!$A:$D,4,FALSE)</f>
        <v>CM</v>
      </c>
    </row>
    <row r="10" spans="1:11">
      <c r="A10" t="s">
        <v>447</v>
      </c>
      <c r="B10" t="s">
        <v>448</v>
      </c>
      <c r="C10" t="str">
        <f t="shared" si="0"/>
        <v>318307</v>
      </c>
      <c r="D10">
        <v>318307</v>
      </c>
      <c r="E10">
        <v>318307009</v>
      </c>
      <c r="F10" t="s">
        <v>1061</v>
      </c>
      <c r="G10" t="s">
        <v>314</v>
      </c>
      <c r="H10" t="s">
        <v>315</v>
      </c>
      <c r="I10" t="s">
        <v>82</v>
      </c>
      <c r="J10" t="s">
        <v>316</v>
      </c>
      <c r="K10" s="15" t="str">
        <f>VLOOKUP(I10,[2]LOOKUP!$A:$D,4,FALSE)</f>
        <v>CM</v>
      </c>
    </row>
    <row r="11" spans="1:11">
      <c r="A11" t="s">
        <v>447</v>
      </c>
      <c r="B11" t="s">
        <v>448</v>
      </c>
      <c r="C11" t="str">
        <f t="shared" si="0"/>
        <v>318307</v>
      </c>
      <c r="D11">
        <v>318307</v>
      </c>
      <c r="E11">
        <v>318307010</v>
      </c>
      <c r="F11" t="s">
        <v>1062</v>
      </c>
      <c r="G11" t="s">
        <v>314</v>
      </c>
      <c r="H11" t="s">
        <v>315</v>
      </c>
      <c r="I11" t="s">
        <v>82</v>
      </c>
      <c r="J11" t="s">
        <v>316</v>
      </c>
      <c r="K11" s="15" t="str">
        <f>VLOOKUP(I11,[2]LOOKUP!$A:$D,4,FALSE)</f>
        <v>CM</v>
      </c>
    </row>
    <row r="12" spans="1:11">
      <c r="A12" t="s">
        <v>447</v>
      </c>
      <c r="B12" t="s">
        <v>448</v>
      </c>
      <c r="C12" t="str">
        <f t="shared" si="0"/>
        <v>318307</v>
      </c>
      <c r="D12">
        <v>318307</v>
      </c>
      <c r="E12">
        <v>318307011</v>
      </c>
      <c r="F12" t="s">
        <v>1063</v>
      </c>
      <c r="G12" t="s">
        <v>314</v>
      </c>
      <c r="H12" t="s">
        <v>315</v>
      </c>
      <c r="I12" t="s">
        <v>82</v>
      </c>
      <c r="J12" t="s">
        <v>316</v>
      </c>
      <c r="K12" s="15" t="str">
        <f>VLOOKUP(I12,[2]LOOKUP!$A:$D,4,FALSE)</f>
        <v>CM</v>
      </c>
    </row>
    <row r="13" spans="1:11">
      <c r="A13" t="s">
        <v>447</v>
      </c>
      <c r="B13" t="s">
        <v>448</v>
      </c>
      <c r="C13" t="str">
        <f t="shared" si="0"/>
        <v>318307</v>
      </c>
      <c r="D13">
        <v>318307</v>
      </c>
      <c r="E13">
        <v>318307012</v>
      </c>
      <c r="F13" t="s">
        <v>1064</v>
      </c>
      <c r="G13" t="s">
        <v>314</v>
      </c>
      <c r="H13" t="s">
        <v>315</v>
      </c>
      <c r="I13" t="s">
        <v>82</v>
      </c>
      <c r="J13" t="s">
        <v>316</v>
      </c>
      <c r="K13" s="15" t="str">
        <f>VLOOKUP(I13,[2]LOOKUP!$A:$D,4,FALSE)</f>
        <v>CM</v>
      </c>
    </row>
    <row r="14" spans="1:11">
      <c r="A14" t="s">
        <v>447</v>
      </c>
      <c r="B14" t="s">
        <v>448</v>
      </c>
      <c r="C14" t="str">
        <f t="shared" si="0"/>
        <v>318307</v>
      </c>
      <c r="D14">
        <v>318307</v>
      </c>
      <c r="E14">
        <v>318307013</v>
      </c>
      <c r="F14" t="s">
        <v>1065</v>
      </c>
      <c r="G14" t="s">
        <v>314</v>
      </c>
      <c r="H14" t="s">
        <v>315</v>
      </c>
      <c r="I14" t="s">
        <v>82</v>
      </c>
      <c r="J14" t="s">
        <v>316</v>
      </c>
      <c r="K14" s="15" t="str">
        <f>VLOOKUP(I14,[2]LOOKUP!$A:$D,4,FALSE)</f>
        <v>CM</v>
      </c>
    </row>
    <row r="15" spans="1:11">
      <c r="A15" t="s">
        <v>447</v>
      </c>
      <c r="B15" t="s">
        <v>448</v>
      </c>
      <c r="C15" t="str">
        <f t="shared" si="0"/>
        <v>318307</v>
      </c>
      <c r="D15">
        <v>318307</v>
      </c>
      <c r="E15">
        <v>318307014</v>
      </c>
      <c r="F15" t="s">
        <v>1066</v>
      </c>
      <c r="G15" t="s">
        <v>314</v>
      </c>
      <c r="H15" t="s">
        <v>315</v>
      </c>
      <c r="I15" t="s">
        <v>82</v>
      </c>
      <c r="J15" t="s">
        <v>316</v>
      </c>
      <c r="K15" s="15" t="str">
        <f>VLOOKUP(I15,[2]LOOKUP!$A:$D,4,FALSE)</f>
        <v>CM</v>
      </c>
    </row>
    <row r="16" spans="1:11">
      <c r="A16" t="s">
        <v>447</v>
      </c>
      <c r="B16" t="s">
        <v>448</v>
      </c>
      <c r="C16" t="str">
        <f t="shared" si="0"/>
        <v>318307</v>
      </c>
      <c r="D16">
        <v>318307</v>
      </c>
      <c r="E16">
        <v>318307015</v>
      </c>
      <c r="F16" t="s">
        <v>1067</v>
      </c>
      <c r="G16" t="s">
        <v>314</v>
      </c>
      <c r="H16" t="s">
        <v>315</v>
      </c>
      <c r="I16" t="s">
        <v>82</v>
      </c>
      <c r="J16" t="s">
        <v>316</v>
      </c>
      <c r="K16" s="15" t="str">
        <f>VLOOKUP(I16,[2]LOOKUP!$A:$D,4,FALSE)</f>
        <v>CM</v>
      </c>
    </row>
    <row r="17" spans="1:11">
      <c r="A17" t="s">
        <v>447</v>
      </c>
      <c r="B17" t="s">
        <v>448</v>
      </c>
      <c r="C17" t="str">
        <f t="shared" si="0"/>
        <v>318307</v>
      </c>
      <c r="D17">
        <v>318307</v>
      </c>
      <c r="E17">
        <v>318307016</v>
      </c>
      <c r="F17" t="s">
        <v>1068</v>
      </c>
      <c r="G17" t="s">
        <v>314</v>
      </c>
      <c r="H17" t="s">
        <v>315</v>
      </c>
      <c r="I17" t="s">
        <v>82</v>
      </c>
      <c r="J17" t="s">
        <v>316</v>
      </c>
      <c r="K17" s="15" t="str">
        <f>VLOOKUP(I17,[2]LOOKUP!$A:$D,4,FALSE)</f>
        <v>CM</v>
      </c>
    </row>
    <row r="18" spans="1:11">
      <c r="A18" t="s">
        <v>311</v>
      </c>
      <c r="B18">
        <v>1</v>
      </c>
      <c r="C18" t="str">
        <f t="shared" si="0"/>
        <v>317628</v>
      </c>
      <c r="D18">
        <v>317628</v>
      </c>
      <c r="E18">
        <v>317628001</v>
      </c>
      <c r="F18" t="s">
        <v>1053</v>
      </c>
      <c r="G18" t="s">
        <v>314</v>
      </c>
      <c r="H18" t="s">
        <v>315</v>
      </c>
      <c r="I18" t="s">
        <v>58</v>
      </c>
      <c r="J18" t="s">
        <v>316</v>
      </c>
      <c r="K18" s="15" t="str">
        <f>VLOOKUP(I18,[2]LOOKUP!$A:$D,4,FALSE)</f>
        <v>CM</v>
      </c>
    </row>
    <row r="19" spans="1:11">
      <c r="A19" t="s">
        <v>311</v>
      </c>
      <c r="B19">
        <v>1</v>
      </c>
      <c r="C19" t="str">
        <f t="shared" si="0"/>
        <v>317628</v>
      </c>
      <c r="D19">
        <v>317628</v>
      </c>
      <c r="E19">
        <v>317628002</v>
      </c>
      <c r="F19" t="s">
        <v>1054</v>
      </c>
      <c r="G19" t="s">
        <v>314</v>
      </c>
      <c r="H19" t="s">
        <v>315</v>
      </c>
      <c r="I19" t="s">
        <v>58</v>
      </c>
      <c r="J19" t="s">
        <v>316</v>
      </c>
      <c r="K19" s="15" t="str">
        <f>VLOOKUP(I19,[2]LOOKUP!$A:$D,4,FALSE)</f>
        <v>CM</v>
      </c>
    </row>
    <row r="20" spans="1:11">
      <c r="A20" t="s">
        <v>311</v>
      </c>
      <c r="B20">
        <v>1</v>
      </c>
      <c r="C20" t="str">
        <f t="shared" si="0"/>
        <v>317628</v>
      </c>
      <c r="D20">
        <v>317628</v>
      </c>
      <c r="E20">
        <v>317628003</v>
      </c>
      <c r="F20" t="s">
        <v>1055</v>
      </c>
      <c r="G20" t="s">
        <v>314</v>
      </c>
      <c r="H20" t="s">
        <v>315</v>
      </c>
      <c r="I20" t="s">
        <v>100</v>
      </c>
      <c r="J20" t="s">
        <v>316</v>
      </c>
      <c r="K20" s="15" t="str">
        <f>VLOOKUP(I20,[2]LOOKUP!$A:$D,4,FALSE)</f>
        <v>CM</v>
      </c>
    </row>
    <row r="21" spans="1:11">
      <c r="A21" t="s">
        <v>311</v>
      </c>
      <c r="B21">
        <v>1</v>
      </c>
      <c r="C21" t="str">
        <f t="shared" si="0"/>
        <v>317628</v>
      </c>
      <c r="D21">
        <v>317628</v>
      </c>
      <c r="E21">
        <v>317628004</v>
      </c>
      <c r="F21" t="s">
        <v>1056</v>
      </c>
      <c r="G21" t="s">
        <v>314</v>
      </c>
      <c r="H21" t="s">
        <v>315</v>
      </c>
      <c r="I21" t="s">
        <v>58</v>
      </c>
      <c r="J21" t="s">
        <v>316</v>
      </c>
      <c r="K21" s="15" t="str">
        <f>VLOOKUP(I21,[2]LOOKUP!$A:$D,4,FALSE)</f>
        <v>CM</v>
      </c>
    </row>
    <row r="22" spans="1:11">
      <c r="A22" t="s">
        <v>311</v>
      </c>
      <c r="B22">
        <v>1</v>
      </c>
      <c r="C22" t="str">
        <f t="shared" si="0"/>
        <v>317628</v>
      </c>
      <c r="D22">
        <v>317628</v>
      </c>
      <c r="E22">
        <v>317628005</v>
      </c>
      <c r="F22" t="s">
        <v>1057</v>
      </c>
      <c r="G22" t="s">
        <v>314</v>
      </c>
      <c r="H22" t="s">
        <v>315</v>
      </c>
      <c r="I22" t="s">
        <v>58</v>
      </c>
      <c r="J22" t="s">
        <v>316</v>
      </c>
      <c r="K22" s="15" t="str">
        <f>VLOOKUP(I22,[2]LOOKUP!$A:$D,4,FALSE)</f>
        <v>CM</v>
      </c>
    </row>
    <row r="23" spans="1:11">
      <c r="A23" t="s">
        <v>329</v>
      </c>
      <c r="B23">
        <v>1</v>
      </c>
      <c r="C23" t="str">
        <f t="shared" si="0"/>
        <v>317628</v>
      </c>
      <c r="D23">
        <v>999996</v>
      </c>
      <c r="E23">
        <v>317628006</v>
      </c>
      <c r="F23" t="s">
        <v>1058</v>
      </c>
      <c r="G23" t="s">
        <v>314</v>
      </c>
      <c r="H23" t="s">
        <v>315</v>
      </c>
      <c r="I23" t="s">
        <v>19</v>
      </c>
      <c r="J23" t="s">
        <v>316</v>
      </c>
      <c r="K23" s="15" t="str">
        <f>VLOOKUP(I23,[2]LOOKUP!$A:$D,4,FALSE)</f>
        <v>RM</v>
      </c>
    </row>
    <row r="24" spans="1:11">
      <c r="A24" t="s">
        <v>311</v>
      </c>
      <c r="B24">
        <v>1</v>
      </c>
      <c r="C24" t="str">
        <f t="shared" si="0"/>
        <v>317628</v>
      </c>
      <c r="D24">
        <v>317628</v>
      </c>
      <c r="E24">
        <v>317628007</v>
      </c>
      <c r="F24" t="s">
        <v>1059</v>
      </c>
      <c r="G24" t="s">
        <v>314</v>
      </c>
      <c r="H24" t="s">
        <v>315</v>
      </c>
      <c r="I24" t="s">
        <v>100</v>
      </c>
      <c r="J24" t="s">
        <v>316</v>
      </c>
      <c r="K24" s="15" t="str">
        <f>VLOOKUP(I24,[2]LOOKUP!$A:$D,4,FALSE)</f>
        <v>CM</v>
      </c>
    </row>
    <row r="25" spans="1:11">
      <c r="A25" t="s">
        <v>311</v>
      </c>
      <c r="B25">
        <v>1</v>
      </c>
      <c r="C25" t="str">
        <f t="shared" si="0"/>
        <v>317628</v>
      </c>
      <c r="D25">
        <v>317628</v>
      </c>
      <c r="E25">
        <v>317628008</v>
      </c>
      <c r="F25" t="s">
        <v>1060</v>
      </c>
      <c r="G25" t="s">
        <v>314</v>
      </c>
      <c r="H25" t="s">
        <v>315</v>
      </c>
      <c r="I25" t="s">
        <v>58</v>
      </c>
      <c r="J25" t="s">
        <v>316</v>
      </c>
      <c r="K25" s="15" t="str">
        <f>VLOOKUP(I25,[2]LOOKUP!$A:$D,4,FALSE)</f>
        <v>CM</v>
      </c>
    </row>
    <row r="26" spans="1:11">
      <c r="A26" t="s">
        <v>329</v>
      </c>
      <c r="B26">
        <v>1</v>
      </c>
      <c r="C26" t="str">
        <f t="shared" si="0"/>
        <v>317628</v>
      </c>
      <c r="D26">
        <v>999996</v>
      </c>
      <c r="E26">
        <v>317628009</v>
      </c>
      <c r="F26" t="s">
        <v>1061</v>
      </c>
      <c r="G26" t="s">
        <v>314</v>
      </c>
      <c r="H26" t="s">
        <v>315</v>
      </c>
      <c r="I26" t="s">
        <v>19</v>
      </c>
      <c r="J26" t="s">
        <v>316</v>
      </c>
      <c r="K26" s="15" t="str">
        <f>VLOOKUP(I26,[2]LOOKUP!$A:$D,4,FALSE)</f>
        <v>RM</v>
      </c>
    </row>
    <row r="27" spans="1:11">
      <c r="A27" t="s">
        <v>311</v>
      </c>
      <c r="B27">
        <v>1</v>
      </c>
      <c r="C27" t="str">
        <f t="shared" si="0"/>
        <v>317628</v>
      </c>
      <c r="D27">
        <v>317628</v>
      </c>
      <c r="E27">
        <v>317628010</v>
      </c>
      <c r="F27" t="s">
        <v>1062</v>
      </c>
      <c r="G27" t="s">
        <v>314</v>
      </c>
      <c r="H27" t="s">
        <v>315</v>
      </c>
      <c r="I27" t="s">
        <v>100</v>
      </c>
      <c r="J27" t="s">
        <v>316</v>
      </c>
      <c r="K27" s="15" t="str">
        <f>VLOOKUP(I27,[2]LOOKUP!$A:$D,4,FALSE)</f>
        <v>CM</v>
      </c>
    </row>
    <row r="28" spans="1:11">
      <c r="A28" t="s">
        <v>329</v>
      </c>
      <c r="B28">
        <v>1</v>
      </c>
      <c r="C28" t="str">
        <f t="shared" si="0"/>
        <v>317628</v>
      </c>
      <c r="D28">
        <v>999996</v>
      </c>
      <c r="E28">
        <v>317628011</v>
      </c>
      <c r="F28" t="s">
        <v>1063</v>
      </c>
      <c r="G28" t="s">
        <v>314</v>
      </c>
      <c r="H28" t="s">
        <v>315</v>
      </c>
      <c r="I28" t="s">
        <v>19</v>
      </c>
      <c r="J28" t="s">
        <v>316</v>
      </c>
      <c r="K28" s="15" t="str">
        <f>VLOOKUP(I28,[2]LOOKUP!$A:$D,4,FALSE)</f>
        <v>RM</v>
      </c>
    </row>
    <row r="29" spans="1:11">
      <c r="A29" t="s">
        <v>311</v>
      </c>
      <c r="B29">
        <v>1</v>
      </c>
      <c r="C29" t="str">
        <f t="shared" si="0"/>
        <v>317628</v>
      </c>
      <c r="D29">
        <v>317628</v>
      </c>
      <c r="E29">
        <v>317628012</v>
      </c>
      <c r="F29" t="s">
        <v>1064</v>
      </c>
      <c r="G29" t="s">
        <v>314</v>
      </c>
      <c r="H29" t="s">
        <v>315</v>
      </c>
      <c r="I29" t="s">
        <v>100</v>
      </c>
      <c r="J29" t="s">
        <v>316</v>
      </c>
      <c r="K29" s="15" t="str">
        <f>VLOOKUP(I29,[2]LOOKUP!$A:$D,4,FALSE)</f>
        <v>CM</v>
      </c>
    </row>
    <row r="30" spans="1:11">
      <c r="A30" t="s">
        <v>311</v>
      </c>
      <c r="B30">
        <v>1</v>
      </c>
      <c r="C30" t="str">
        <f t="shared" si="0"/>
        <v>317628</v>
      </c>
      <c r="D30">
        <v>317628</v>
      </c>
      <c r="E30">
        <v>317628013</v>
      </c>
      <c r="F30" t="s">
        <v>1065</v>
      </c>
      <c r="G30" t="s">
        <v>314</v>
      </c>
      <c r="H30" t="s">
        <v>315</v>
      </c>
      <c r="I30" t="s">
        <v>100</v>
      </c>
      <c r="J30" t="s">
        <v>316</v>
      </c>
      <c r="K30" s="15" t="str">
        <f>VLOOKUP(I30,[2]LOOKUP!$A:$D,4,FALSE)</f>
        <v>CM</v>
      </c>
    </row>
    <row r="31" spans="1:11">
      <c r="A31" t="s">
        <v>311</v>
      </c>
      <c r="B31">
        <v>1</v>
      </c>
      <c r="C31" t="str">
        <f t="shared" si="0"/>
        <v>317628</v>
      </c>
      <c r="D31">
        <v>317628</v>
      </c>
      <c r="E31">
        <v>317628014</v>
      </c>
      <c r="F31" t="s">
        <v>1066</v>
      </c>
      <c r="G31" t="s">
        <v>314</v>
      </c>
      <c r="H31" t="s">
        <v>315</v>
      </c>
      <c r="I31" t="s">
        <v>100</v>
      </c>
      <c r="J31" t="s">
        <v>316</v>
      </c>
      <c r="K31" s="15" t="str">
        <f>VLOOKUP(I31,[2]LOOKUP!$A:$D,4,FALSE)</f>
        <v>CM</v>
      </c>
    </row>
    <row r="32" spans="1:11">
      <c r="A32" t="s">
        <v>329</v>
      </c>
      <c r="B32">
        <v>1</v>
      </c>
      <c r="C32" t="str">
        <f t="shared" si="0"/>
        <v>317628</v>
      </c>
      <c r="D32">
        <v>999996</v>
      </c>
      <c r="E32">
        <v>317628015</v>
      </c>
      <c r="F32" t="s">
        <v>1067</v>
      </c>
      <c r="G32" t="s">
        <v>314</v>
      </c>
      <c r="H32" t="s">
        <v>315</v>
      </c>
      <c r="I32" t="s">
        <v>19</v>
      </c>
      <c r="J32" t="s">
        <v>316</v>
      </c>
      <c r="K32" s="15" t="str">
        <f>VLOOKUP(I32,[2]LOOKUP!$A:$D,4,FALSE)</f>
        <v>RM</v>
      </c>
    </row>
    <row r="33" spans="1:11">
      <c r="A33" t="s">
        <v>311</v>
      </c>
      <c r="B33">
        <v>1</v>
      </c>
      <c r="C33" t="str">
        <f t="shared" si="0"/>
        <v>317628</v>
      </c>
      <c r="D33">
        <v>317628</v>
      </c>
      <c r="E33">
        <v>317628016</v>
      </c>
      <c r="F33" t="s">
        <v>1068</v>
      </c>
      <c r="G33" t="s">
        <v>314</v>
      </c>
      <c r="H33" t="s">
        <v>315</v>
      </c>
      <c r="I33" t="s">
        <v>44</v>
      </c>
      <c r="J33" t="s">
        <v>316</v>
      </c>
      <c r="K33" s="15" t="str">
        <f>VLOOKUP(I33,[2]LOOKUP!$A:$D,4,FALSE)</f>
        <v>RM</v>
      </c>
    </row>
    <row r="34" spans="1:11">
      <c r="A34" t="s">
        <v>376</v>
      </c>
      <c r="B34" t="s">
        <v>448</v>
      </c>
      <c r="C34" t="str">
        <f t="shared" si="0"/>
        <v>318302</v>
      </c>
      <c r="D34">
        <v>318302</v>
      </c>
      <c r="E34">
        <v>318302001</v>
      </c>
      <c r="F34" t="s">
        <v>1069</v>
      </c>
      <c r="G34" t="s">
        <v>314</v>
      </c>
      <c r="H34" t="s">
        <v>315</v>
      </c>
      <c r="I34" t="s">
        <v>82</v>
      </c>
      <c r="J34" t="s">
        <v>316</v>
      </c>
      <c r="K34" s="15" t="str">
        <f>VLOOKUP(I34,[2]LOOKUP!$A:$D,4,FALSE)</f>
        <v>CM</v>
      </c>
    </row>
    <row r="35" spans="1:11">
      <c r="A35" t="s">
        <v>376</v>
      </c>
      <c r="B35" t="s">
        <v>448</v>
      </c>
      <c r="C35" t="str">
        <f t="shared" si="0"/>
        <v>318302</v>
      </c>
      <c r="D35">
        <v>318302</v>
      </c>
      <c r="E35">
        <v>318302002</v>
      </c>
      <c r="F35" t="s">
        <v>1070</v>
      </c>
      <c r="G35" t="s">
        <v>314</v>
      </c>
      <c r="H35" t="s">
        <v>315</v>
      </c>
      <c r="I35" t="s">
        <v>82</v>
      </c>
      <c r="J35" t="s">
        <v>316</v>
      </c>
      <c r="K35" s="15" t="str">
        <f>VLOOKUP(I35,[2]LOOKUP!$A:$D,4,FALSE)</f>
        <v>CM</v>
      </c>
    </row>
    <row r="36" spans="1:11">
      <c r="A36" t="s">
        <v>376</v>
      </c>
      <c r="B36" t="s">
        <v>448</v>
      </c>
      <c r="C36" t="str">
        <f t="shared" si="0"/>
        <v>318302</v>
      </c>
      <c r="D36">
        <v>318302</v>
      </c>
      <c r="E36">
        <v>318302003</v>
      </c>
      <c r="F36" t="s">
        <v>1071</v>
      </c>
      <c r="G36" t="s">
        <v>314</v>
      </c>
      <c r="H36" t="s">
        <v>315</v>
      </c>
      <c r="I36" t="s">
        <v>82</v>
      </c>
      <c r="J36" t="s">
        <v>316</v>
      </c>
      <c r="K36" s="15" t="str">
        <f>VLOOKUP(I36,[2]LOOKUP!$A:$D,4,FALSE)</f>
        <v>CM</v>
      </c>
    </row>
    <row r="37" spans="1:11">
      <c r="A37" t="s">
        <v>376</v>
      </c>
      <c r="B37" t="s">
        <v>448</v>
      </c>
      <c r="C37" t="str">
        <f t="shared" si="0"/>
        <v>318302</v>
      </c>
      <c r="D37">
        <v>318302</v>
      </c>
      <c r="E37">
        <v>318302004</v>
      </c>
      <c r="F37" t="s">
        <v>1072</v>
      </c>
      <c r="G37" t="s">
        <v>314</v>
      </c>
      <c r="H37" t="s">
        <v>315</v>
      </c>
      <c r="I37" t="s">
        <v>82</v>
      </c>
      <c r="J37" t="s">
        <v>316</v>
      </c>
      <c r="K37" s="15" t="str">
        <f>VLOOKUP(I37,[2]LOOKUP!$A:$D,4,FALSE)</f>
        <v>CM</v>
      </c>
    </row>
    <row r="38" spans="1:11">
      <c r="A38" t="s">
        <v>376</v>
      </c>
      <c r="B38" t="s">
        <v>448</v>
      </c>
      <c r="C38" t="str">
        <f t="shared" si="0"/>
        <v>318302</v>
      </c>
      <c r="D38">
        <v>318302</v>
      </c>
      <c r="E38">
        <v>318302005</v>
      </c>
      <c r="F38" t="s">
        <v>1073</v>
      </c>
      <c r="G38" t="s">
        <v>314</v>
      </c>
      <c r="H38" t="s">
        <v>315</v>
      </c>
      <c r="I38" t="s">
        <v>82</v>
      </c>
      <c r="J38" t="s">
        <v>316</v>
      </c>
      <c r="K38" s="15" t="str">
        <f>VLOOKUP(I38,[2]LOOKUP!$A:$D,4,FALSE)</f>
        <v>CM</v>
      </c>
    </row>
    <row r="39" spans="1:11">
      <c r="A39" t="s">
        <v>376</v>
      </c>
      <c r="B39" t="s">
        <v>448</v>
      </c>
      <c r="C39" t="str">
        <f t="shared" si="0"/>
        <v>318302</v>
      </c>
      <c r="D39">
        <v>318302</v>
      </c>
      <c r="E39">
        <v>318302006</v>
      </c>
      <c r="F39" t="s">
        <v>1074</v>
      </c>
      <c r="G39" t="s">
        <v>314</v>
      </c>
      <c r="H39" t="s">
        <v>315</v>
      </c>
      <c r="I39" t="s">
        <v>82</v>
      </c>
      <c r="J39" t="s">
        <v>316</v>
      </c>
      <c r="K39" s="15" t="str">
        <f>VLOOKUP(I39,[2]LOOKUP!$A:$D,4,FALSE)</f>
        <v>CM</v>
      </c>
    </row>
    <row r="40" spans="1:11">
      <c r="A40" t="s">
        <v>376</v>
      </c>
      <c r="B40" t="s">
        <v>448</v>
      </c>
      <c r="C40" t="str">
        <f t="shared" si="0"/>
        <v>318302</v>
      </c>
      <c r="D40">
        <v>318302</v>
      </c>
      <c r="E40">
        <v>318302007</v>
      </c>
      <c r="F40" t="s">
        <v>1075</v>
      </c>
      <c r="G40" t="s">
        <v>314</v>
      </c>
      <c r="H40" t="s">
        <v>315</v>
      </c>
      <c r="I40" t="s">
        <v>82</v>
      </c>
      <c r="J40" t="s">
        <v>316</v>
      </c>
      <c r="K40" s="15" t="str">
        <f>VLOOKUP(I40,[2]LOOKUP!$A:$D,4,FALSE)</f>
        <v>CM</v>
      </c>
    </row>
    <row r="41" spans="1:11">
      <c r="A41" t="s">
        <v>376</v>
      </c>
      <c r="B41" t="s">
        <v>448</v>
      </c>
      <c r="C41" t="str">
        <f t="shared" si="0"/>
        <v>318302</v>
      </c>
      <c r="D41">
        <v>318302</v>
      </c>
      <c r="E41">
        <v>318302008</v>
      </c>
      <c r="F41" t="s">
        <v>1076</v>
      </c>
      <c r="G41" t="s">
        <v>314</v>
      </c>
      <c r="H41" t="s">
        <v>315</v>
      </c>
      <c r="I41" t="s">
        <v>82</v>
      </c>
      <c r="J41" t="s">
        <v>316</v>
      </c>
      <c r="K41" s="15" t="str">
        <f>VLOOKUP(I41,[2]LOOKUP!$A:$D,4,FALSE)</f>
        <v>CM</v>
      </c>
    </row>
    <row r="42" spans="1:11">
      <c r="A42" t="s">
        <v>376</v>
      </c>
      <c r="B42" t="s">
        <v>448</v>
      </c>
      <c r="C42" t="str">
        <f t="shared" si="0"/>
        <v>318302</v>
      </c>
      <c r="D42">
        <v>318302</v>
      </c>
      <c r="E42">
        <v>318302009</v>
      </c>
      <c r="F42" t="s">
        <v>1077</v>
      </c>
      <c r="G42" t="s">
        <v>314</v>
      </c>
      <c r="H42" t="s">
        <v>315</v>
      </c>
      <c r="I42" t="s">
        <v>82</v>
      </c>
      <c r="J42" t="s">
        <v>316</v>
      </c>
      <c r="K42" s="15" t="str">
        <f>VLOOKUP(I42,[2]LOOKUP!$A:$D,4,FALSE)</f>
        <v>CM</v>
      </c>
    </row>
    <row r="43" spans="1:11">
      <c r="A43" t="s">
        <v>376</v>
      </c>
      <c r="B43" t="s">
        <v>448</v>
      </c>
      <c r="C43" t="str">
        <f t="shared" si="0"/>
        <v>318302</v>
      </c>
      <c r="D43">
        <v>318302</v>
      </c>
      <c r="E43">
        <v>318302010</v>
      </c>
      <c r="F43" t="s">
        <v>1078</v>
      </c>
      <c r="G43" t="s">
        <v>314</v>
      </c>
      <c r="H43" t="s">
        <v>315</v>
      </c>
      <c r="I43" t="s">
        <v>82</v>
      </c>
      <c r="J43" t="s">
        <v>316</v>
      </c>
      <c r="K43" s="15" t="str">
        <f>VLOOKUP(I43,[2]LOOKUP!$A:$D,4,FALSE)</f>
        <v>CM</v>
      </c>
    </row>
    <row r="44" spans="1:11">
      <c r="A44" t="s">
        <v>376</v>
      </c>
      <c r="B44" t="s">
        <v>448</v>
      </c>
      <c r="C44" t="str">
        <f t="shared" si="0"/>
        <v>318302</v>
      </c>
      <c r="D44">
        <v>318302</v>
      </c>
      <c r="E44">
        <v>318302011</v>
      </c>
      <c r="F44" t="s">
        <v>1079</v>
      </c>
      <c r="G44" t="s">
        <v>314</v>
      </c>
      <c r="H44" t="s">
        <v>315</v>
      </c>
      <c r="I44" t="s">
        <v>82</v>
      </c>
      <c r="J44" t="s">
        <v>316</v>
      </c>
      <c r="K44" s="15" t="str">
        <f>VLOOKUP(I44,[2]LOOKUP!$A:$D,4,FALSE)</f>
        <v>CM</v>
      </c>
    </row>
    <row r="45" spans="1:11">
      <c r="A45" t="s">
        <v>376</v>
      </c>
      <c r="B45" t="s">
        <v>448</v>
      </c>
      <c r="C45" t="str">
        <f t="shared" si="0"/>
        <v>318302</v>
      </c>
      <c r="D45">
        <v>318302</v>
      </c>
      <c r="E45">
        <v>318302012</v>
      </c>
      <c r="F45" t="s">
        <v>1080</v>
      </c>
      <c r="G45" t="s">
        <v>314</v>
      </c>
      <c r="H45" t="s">
        <v>315</v>
      </c>
      <c r="I45" t="s">
        <v>82</v>
      </c>
      <c r="J45" t="s">
        <v>316</v>
      </c>
      <c r="K45" s="15" t="str">
        <f>VLOOKUP(I45,[2]LOOKUP!$A:$D,4,FALSE)</f>
        <v>CM</v>
      </c>
    </row>
    <row r="46" spans="1:11">
      <c r="A46" t="s">
        <v>376</v>
      </c>
      <c r="B46" t="s">
        <v>448</v>
      </c>
      <c r="C46" t="str">
        <f t="shared" si="0"/>
        <v>318302</v>
      </c>
      <c r="D46">
        <v>318302</v>
      </c>
      <c r="E46">
        <v>318302013</v>
      </c>
      <c r="F46" t="s">
        <v>1081</v>
      </c>
      <c r="G46" t="s">
        <v>314</v>
      </c>
      <c r="H46" t="s">
        <v>315</v>
      </c>
      <c r="I46" t="s">
        <v>82</v>
      </c>
      <c r="J46" t="s">
        <v>316</v>
      </c>
      <c r="K46" s="15" t="str">
        <f>VLOOKUP(I46,[2]LOOKUP!$A:$D,4,FALSE)</f>
        <v>CM</v>
      </c>
    </row>
    <row r="47" spans="1:11">
      <c r="A47" t="s">
        <v>376</v>
      </c>
      <c r="B47" t="s">
        <v>448</v>
      </c>
      <c r="C47" t="str">
        <f t="shared" si="0"/>
        <v>318302</v>
      </c>
      <c r="D47">
        <v>318302</v>
      </c>
      <c r="E47">
        <v>318302014</v>
      </c>
      <c r="F47" t="s">
        <v>1082</v>
      </c>
      <c r="G47" t="s">
        <v>314</v>
      </c>
      <c r="H47" t="s">
        <v>315</v>
      </c>
      <c r="I47" t="s">
        <v>82</v>
      </c>
      <c r="J47" t="s">
        <v>316</v>
      </c>
      <c r="K47" s="15" t="str">
        <f>VLOOKUP(I47,[2]LOOKUP!$A:$D,4,FALSE)</f>
        <v>CM</v>
      </c>
    </row>
    <row r="48" spans="1:11">
      <c r="A48" t="s">
        <v>376</v>
      </c>
      <c r="B48" t="s">
        <v>448</v>
      </c>
      <c r="C48" t="str">
        <f t="shared" si="0"/>
        <v>318302</v>
      </c>
      <c r="D48">
        <v>318302</v>
      </c>
      <c r="E48">
        <v>318302015</v>
      </c>
      <c r="F48" t="s">
        <v>1083</v>
      </c>
      <c r="G48" t="s">
        <v>314</v>
      </c>
      <c r="H48" t="s">
        <v>315</v>
      </c>
      <c r="I48" t="s">
        <v>82</v>
      </c>
      <c r="J48" t="s">
        <v>316</v>
      </c>
      <c r="K48" s="15" t="str">
        <f>VLOOKUP(I48,[2]LOOKUP!$A:$D,4,FALSE)</f>
        <v>CM</v>
      </c>
    </row>
    <row r="49" spans="1:11">
      <c r="A49" t="s">
        <v>376</v>
      </c>
      <c r="B49" t="s">
        <v>448</v>
      </c>
      <c r="C49" t="str">
        <f t="shared" si="0"/>
        <v>318302</v>
      </c>
      <c r="D49">
        <v>318302</v>
      </c>
      <c r="E49">
        <v>318302016</v>
      </c>
      <c r="F49" t="s">
        <v>1084</v>
      </c>
      <c r="G49" t="s">
        <v>314</v>
      </c>
      <c r="H49" t="s">
        <v>315</v>
      </c>
      <c r="I49" t="s">
        <v>82</v>
      </c>
      <c r="J49" t="s">
        <v>316</v>
      </c>
      <c r="K49" s="15" t="str">
        <f>VLOOKUP(I49,[2]LOOKUP!$A:$D,4,FALSE)</f>
        <v>CM</v>
      </c>
    </row>
    <row r="50" spans="1:11">
      <c r="A50" t="s">
        <v>376</v>
      </c>
      <c r="B50" t="s">
        <v>448</v>
      </c>
      <c r="C50" t="str">
        <f t="shared" si="0"/>
        <v>318302</v>
      </c>
      <c r="D50">
        <v>318302</v>
      </c>
      <c r="E50">
        <v>318302017</v>
      </c>
      <c r="F50" t="s">
        <v>1085</v>
      </c>
      <c r="G50" t="s">
        <v>314</v>
      </c>
      <c r="H50" t="s">
        <v>315</v>
      </c>
      <c r="I50" t="s">
        <v>82</v>
      </c>
      <c r="J50" t="s">
        <v>316</v>
      </c>
      <c r="K50" s="15" t="str">
        <f>VLOOKUP(I50,[2]LOOKUP!$A:$D,4,FALSE)</f>
        <v>CM</v>
      </c>
    </row>
    <row r="51" spans="1:11">
      <c r="A51" t="s">
        <v>376</v>
      </c>
      <c r="B51" t="s">
        <v>448</v>
      </c>
      <c r="C51" t="str">
        <f t="shared" si="0"/>
        <v>318302</v>
      </c>
      <c r="D51">
        <v>318302</v>
      </c>
      <c r="E51">
        <v>318302018</v>
      </c>
      <c r="F51" t="s">
        <v>1086</v>
      </c>
      <c r="G51" t="s">
        <v>314</v>
      </c>
      <c r="H51" t="s">
        <v>315</v>
      </c>
      <c r="I51" t="s">
        <v>82</v>
      </c>
      <c r="J51" t="s">
        <v>316</v>
      </c>
      <c r="K51" s="15" t="str">
        <f>VLOOKUP(I51,[2]LOOKUP!$A:$D,4,FALSE)</f>
        <v>CM</v>
      </c>
    </row>
    <row r="52" spans="1:11">
      <c r="A52" t="s">
        <v>376</v>
      </c>
      <c r="B52" t="s">
        <v>448</v>
      </c>
      <c r="C52" t="str">
        <f t="shared" si="0"/>
        <v>318302</v>
      </c>
      <c r="D52">
        <v>318302</v>
      </c>
      <c r="E52">
        <v>318302019</v>
      </c>
      <c r="F52" t="s">
        <v>1087</v>
      </c>
      <c r="G52" t="s">
        <v>314</v>
      </c>
      <c r="H52" t="s">
        <v>315</v>
      </c>
      <c r="I52" t="s">
        <v>82</v>
      </c>
      <c r="J52" t="s">
        <v>316</v>
      </c>
      <c r="K52" s="15" t="str">
        <f>VLOOKUP(I52,[2]LOOKUP!$A:$D,4,FALSE)</f>
        <v>CM</v>
      </c>
    </row>
    <row r="53" spans="1:11">
      <c r="A53" t="s">
        <v>376</v>
      </c>
      <c r="B53" t="s">
        <v>448</v>
      </c>
      <c r="C53" t="str">
        <f t="shared" si="0"/>
        <v>318302</v>
      </c>
      <c r="D53">
        <v>318302</v>
      </c>
      <c r="E53">
        <v>318302020</v>
      </c>
      <c r="F53" t="s">
        <v>1088</v>
      </c>
      <c r="G53" t="s">
        <v>314</v>
      </c>
      <c r="H53" t="s">
        <v>315</v>
      </c>
      <c r="I53" t="s">
        <v>82</v>
      </c>
      <c r="J53" t="s">
        <v>316</v>
      </c>
      <c r="K53" s="15" t="str">
        <f>VLOOKUP(I53,[2]LOOKUP!$A:$D,4,FALSE)</f>
        <v>CM</v>
      </c>
    </row>
    <row r="54" spans="1:11">
      <c r="A54" t="s">
        <v>376</v>
      </c>
      <c r="B54" t="s">
        <v>448</v>
      </c>
      <c r="C54" t="str">
        <f t="shared" si="0"/>
        <v>318302</v>
      </c>
      <c r="D54">
        <v>318302</v>
      </c>
      <c r="E54">
        <v>318302021</v>
      </c>
      <c r="F54" t="s">
        <v>1089</v>
      </c>
      <c r="G54" t="s">
        <v>314</v>
      </c>
      <c r="H54" t="s">
        <v>315</v>
      </c>
      <c r="I54" t="s">
        <v>82</v>
      </c>
      <c r="J54" t="s">
        <v>316</v>
      </c>
      <c r="K54" s="15" t="str">
        <f>VLOOKUP(I54,[2]LOOKUP!$A:$D,4,FALSE)</f>
        <v>CM</v>
      </c>
    </row>
    <row r="55" spans="1:11">
      <c r="A55" t="s">
        <v>376</v>
      </c>
      <c r="B55" t="s">
        <v>448</v>
      </c>
      <c r="C55" t="str">
        <f t="shared" si="0"/>
        <v>318302</v>
      </c>
      <c r="D55">
        <v>318302</v>
      </c>
      <c r="E55">
        <v>318302022</v>
      </c>
      <c r="F55" t="s">
        <v>1090</v>
      </c>
      <c r="G55" t="s">
        <v>314</v>
      </c>
      <c r="H55" t="s">
        <v>315</v>
      </c>
      <c r="I55" t="s">
        <v>82</v>
      </c>
      <c r="J55" t="s">
        <v>316</v>
      </c>
      <c r="K55" s="15" t="str">
        <f>VLOOKUP(I55,[2]LOOKUP!$A:$D,4,FALSE)</f>
        <v>CM</v>
      </c>
    </row>
    <row r="56" spans="1:11">
      <c r="A56" t="s">
        <v>376</v>
      </c>
      <c r="B56" t="s">
        <v>448</v>
      </c>
      <c r="C56" t="str">
        <f t="shared" si="0"/>
        <v>318302</v>
      </c>
      <c r="D56">
        <v>318302</v>
      </c>
      <c r="E56">
        <v>318302023</v>
      </c>
      <c r="F56" t="s">
        <v>1091</v>
      </c>
      <c r="G56" t="s">
        <v>314</v>
      </c>
      <c r="H56" t="s">
        <v>315</v>
      </c>
      <c r="I56" t="s">
        <v>82</v>
      </c>
      <c r="J56" t="s">
        <v>316</v>
      </c>
      <c r="K56" s="15" t="str">
        <f>VLOOKUP(I56,[2]LOOKUP!$A:$D,4,FALSE)</f>
        <v>CM</v>
      </c>
    </row>
    <row r="57" spans="1:11">
      <c r="A57" t="s">
        <v>376</v>
      </c>
      <c r="B57" t="s">
        <v>448</v>
      </c>
      <c r="C57" t="str">
        <f t="shared" si="0"/>
        <v>318302</v>
      </c>
      <c r="D57">
        <v>318302</v>
      </c>
      <c r="E57">
        <v>318302024</v>
      </c>
      <c r="F57" t="s">
        <v>1092</v>
      </c>
      <c r="G57" t="s">
        <v>314</v>
      </c>
      <c r="H57" t="s">
        <v>315</v>
      </c>
      <c r="I57" t="s">
        <v>82</v>
      </c>
      <c r="J57" t="s">
        <v>316</v>
      </c>
      <c r="K57" s="15" t="str">
        <f>VLOOKUP(I57,[2]LOOKUP!$A:$D,4,FALSE)</f>
        <v>CM</v>
      </c>
    </row>
    <row r="58" spans="1:11">
      <c r="A58" t="s">
        <v>376</v>
      </c>
      <c r="B58" t="s">
        <v>448</v>
      </c>
      <c r="C58" t="str">
        <f t="shared" si="0"/>
        <v>318302</v>
      </c>
      <c r="D58">
        <v>318302</v>
      </c>
      <c r="E58">
        <v>318302025</v>
      </c>
      <c r="F58" t="s">
        <v>1093</v>
      </c>
      <c r="G58" t="s">
        <v>314</v>
      </c>
      <c r="H58" t="s">
        <v>315</v>
      </c>
      <c r="I58" t="s">
        <v>82</v>
      </c>
      <c r="J58" t="s">
        <v>316</v>
      </c>
      <c r="K58" s="15" t="str">
        <f>VLOOKUP(I58,[2]LOOKUP!$A:$D,4,FALSE)</f>
        <v>CM</v>
      </c>
    </row>
    <row r="59" spans="1:11">
      <c r="A59" t="s">
        <v>376</v>
      </c>
      <c r="B59" t="s">
        <v>448</v>
      </c>
      <c r="C59" t="str">
        <f t="shared" si="0"/>
        <v>318302</v>
      </c>
      <c r="D59">
        <v>318302</v>
      </c>
      <c r="E59">
        <v>318302026</v>
      </c>
      <c r="F59" t="s">
        <v>1094</v>
      </c>
      <c r="G59" t="s">
        <v>314</v>
      </c>
      <c r="H59" t="s">
        <v>315</v>
      </c>
      <c r="I59" t="s">
        <v>82</v>
      </c>
      <c r="J59" t="s">
        <v>316</v>
      </c>
      <c r="K59" s="15" t="str">
        <f>VLOOKUP(I59,[2]LOOKUP!$A:$D,4,FALSE)</f>
        <v>CM</v>
      </c>
    </row>
    <row r="60" spans="1:11">
      <c r="A60" t="s">
        <v>376</v>
      </c>
      <c r="B60" t="s">
        <v>448</v>
      </c>
      <c r="C60" t="str">
        <f t="shared" si="0"/>
        <v>318302</v>
      </c>
      <c r="D60">
        <v>318302</v>
      </c>
      <c r="E60">
        <v>318302027</v>
      </c>
      <c r="F60" t="s">
        <v>1095</v>
      </c>
      <c r="G60" t="s">
        <v>314</v>
      </c>
      <c r="H60" t="s">
        <v>315</v>
      </c>
      <c r="I60" t="s">
        <v>82</v>
      </c>
      <c r="J60" t="s">
        <v>316</v>
      </c>
      <c r="K60" s="15" t="str">
        <f>VLOOKUP(I60,[2]LOOKUP!$A:$D,4,FALSE)</f>
        <v>CM</v>
      </c>
    </row>
    <row r="61" spans="1:11">
      <c r="A61" t="s">
        <v>376</v>
      </c>
      <c r="B61" t="s">
        <v>448</v>
      </c>
      <c r="C61" t="str">
        <f t="shared" si="0"/>
        <v>318302</v>
      </c>
      <c r="D61">
        <v>318302</v>
      </c>
      <c r="E61">
        <v>318302028</v>
      </c>
      <c r="F61" t="s">
        <v>1096</v>
      </c>
      <c r="G61" t="s">
        <v>314</v>
      </c>
      <c r="H61" t="s">
        <v>315</v>
      </c>
      <c r="I61" t="s">
        <v>82</v>
      </c>
      <c r="J61" t="s">
        <v>316</v>
      </c>
      <c r="K61" s="15" t="str">
        <f>VLOOKUP(I61,[2]LOOKUP!$A:$D,4,FALSE)</f>
        <v>CM</v>
      </c>
    </row>
    <row r="62" spans="1:11">
      <c r="A62" t="s">
        <v>376</v>
      </c>
      <c r="B62" t="s">
        <v>448</v>
      </c>
      <c r="C62" t="str">
        <f t="shared" si="0"/>
        <v>318302</v>
      </c>
      <c r="D62">
        <v>318302</v>
      </c>
      <c r="E62">
        <v>318302029</v>
      </c>
      <c r="F62" t="s">
        <v>1097</v>
      </c>
      <c r="G62" t="s">
        <v>314</v>
      </c>
      <c r="H62" t="s">
        <v>315</v>
      </c>
      <c r="I62" t="s">
        <v>82</v>
      </c>
      <c r="J62" t="s">
        <v>316</v>
      </c>
      <c r="K62" s="15" t="str">
        <f>VLOOKUP(I62,[2]LOOKUP!$A:$D,4,FALSE)</f>
        <v>CM</v>
      </c>
    </row>
    <row r="63" spans="1:11">
      <c r="A63" t="s">
        <v>376</v>
      </c>
      <c r="B63" t="s">
        <v>448</v>
      </c>
      <c r="C63" t="str">
        <f t="shared" si="0"/>
        <v>318302</v>
      </c>
      <c r="D63">
        <v>318302</v>
      </c>
      <c r="E63">
        <v>318302030</v>
      </c>
      <c r="F63" t="s">
        <v>1098</v>
      </c>
      <c r="G63" t="s">
        <v>314</v>
      </c>
      <c r="H63" t="s">
        <v>315</v>
      </c>
      <c r="I63" t="s">
        <v>82</v>
      </c>
      <c r="J63" t="s">
        <v>316</v>
      </c>
      <c r="K63" s="15" t="str">
        <f>VLOOKUP(I63,[2]LOOKUP!$A:$D,4,FALSE)</f>
        <v>CM</v>
      </c>
    </row>
    <row r="64" spans="1:11">
      <c r="A64" t="s">
        <v>376</v>
      </c>
      <c r="B64" t="s">
        <v>448</v>
      </c>
      <c r="C64" t="str">
        <f t="shared" si="0"/>
        <v>318302</v>
      </c>
      <c r="D64">
        <v>318302</v>
      </c>
      <c r="E64">
        <v>318302031</v>
      </c>
      <c r="F64" t="s">
        <v>1099</v>
      </c>
      <c r="G64" t="s">
        <v>314</v>
      </c>
      <c r="H64" t="s">
        <v>315</v>
      </c>
      <c r="I64" t="s">
        <v>82</v>
      </c>
      <c r="J64" t="s">
        <v>316</v>
      </c>
      <c r="K64" s="15" t="str">
        <f>VLOOKUP(I64,[2]LOOKUP!$A:$D,4,FALSE)</f>
        <v>CM</v>
      </c>
    </row>
    <row r="65" spans="1:11">
      <c r="A65" t="s">
        <v>376</v>
      </c>
      <c r="B65" t="s">
        <v>448</v>
      </c>
      <c r="C65" t="str">
        <f t="shared" si="0"/>
        <v>318302</v>
      </c>
      <c r="D65">
        <v>318302</v>
      </c>
      <c r="E65">
        <v>318302032</v>
      </c>
      <c r="F65" t="s">
        <v>1100</v>
      </c>
      <c r="G65" t="s">
        <v>314</v>
      </c>
      <c r="H65" t="s">
        <v>315</v>
      </c>
      <c r="I65" t="s">
        <v>82</v>
      </c>
      <c r="J65" t="s">
        <v>316</v>
      </c>
      <c r="K65" s="15" t="str">
        <f>VLOOKUP(I65,[2]LOOKUP!$A:$D,4,FALSE)</f>
        <v>CM</v>
      </c>
    </row>
    <row r="66" spans="1:11">
      <c r="A66" t="s">
        <v>376</v>
      </c>
      <c r="B66" t="s">
        <v>448</v>
      </c>
      <c r="C66" t="str">
        <f t="shared" si="0"/>
        <v>318302</v>
      </c>
      <c r="D66">
        <v>318302</v>
      </c>
      <c r="E66">
        <v>318302033</v>
      </c>
      <c r="F66" t="s">
        <v>1101</v>
      </c>
      <c r="G66" t="s">
        <v>314</v>
      </c>
      <c r="H66" t="s">
        <v>315</v>
      </c>
      <c r="I66" t="s">
        <v>82</v>
      </c>
      <c r="J66" t="s">
        <v>316</v>
      </c>
      <c r="K66" s="15" t="str">
        <f>VLOOKUP(I66,[2]LOOKUP!$A:$D,4,FALSE)</f>
        <v>CM</v>
      </c>
    </row>
    <row r="67" spans="1:11">
      <c r="A67" t="s">
        <v>376</v>
      </c>
      <c r="B67" t="s">
        <v>448</v>
      </c>
      <c r="C67" t="str">
        <f t="shared" ref="C67:C130" si="1">LEFT(E67,6)</f>
        <v>318302</v>
      </c>
      <c r="D67">
        <v>318302</v>
      </c>
      <c r="E67">
        <v>318302034</v>
      </c>
      <c r="F67" t="s">
        <v>1102</v>
      </c>
      <c r="G67" t="s">
        <v>314</v>
      </c>
      <c r="H67" t="s">
        <v>315</v>
      </c>
      <c r="I67" t="s">
        <v>82</v>
      </c>
      <c r="J67" t="s">
        <v>316</v>
      </c>
      <c r="K67" s="15" t="str">
        <f>VLOOKUP(I67,[2]LOOKUP!$A:$D,4,FALSE)</f>
        <v>CM</v>
      </c>
    </row>
    <row r="68" spans="1:11">
      <c r="A68" t="s">
        <v>376</v>
      </c>
      <c r="B68" t="s">
        <v>448</v>
      </c>
      <c r="C68" t="str">
        <f t="shared" si="1"/>
        <v>318302</v>
      </c>
      <c r="D68">
        <v>318302</v>
      </c>
      <c r="E68">
        <v>318302035</v>
      </c>
      <c r="F68" t="s">
        <v>1103</v>
      </c>
      <c r="G68" t="s">
        <v>314</v>
      </c>
      <c r="H68" t="s">
        <v>315</v>
      </c>
      <c r="I68" t="s">
        <v>82</v>
      </c>
      <c r="J68" t="s">
        <v>316</v>
      </c>
      <c r="K68" s="15" t="str">
        <f>VLOOKUP(I68,[2]LOOKUP!$A:$D,4,FALSE)</f>
        <v>CM</v>
      </c>
    </row>
    <row r="69" spans="1:11">
      <c r="A69" t="s">
        <v>376</v>
      </c>
      <c r="B69" t="s">
        <v>448</v>
      </c>
      <c r="C69" t="str">
        <f t="shared" si="1"/>
        <v>318302</v>
      </c>
      <c r="D69">
        <v>318302</v>
      </c>
      <c r="E69">
        <v>318302036</v>
      </c>
      <c r="F69" t="s">
        <v>1104</v>
      </c>
      <c r="G69" t="s">
        <v>314</v>
      </c>
      <c r="H69" t="s">
        <v>315</v>
      </c>
      <c r="I69" t="s">
        <v>82</v>
      </c>
      <c r="J69" t="s">
        <v>316</v>
      </c>
      <c r="K69" s="15" t="str">
        <f>VLOOKUP(I69,[2]LOOKUP!$A:$D,4,FALSE)</f>
        <v>CM</v>
      </c>
    </row>
    <row r="70" spans="1:11">
      <c r="A70" t="s">
        <v>618</v>
      </c>
      <c r="B70">
        <v>2</v>
      </c>
      <c r="C70" t="str">
        <f t="shared" si="1"/>
        <v>317373</v>
      </c>
      <c r="D70">
        <v>999998</v>
      </c>
      <c r="E70">
        <v>317373001</v>
      </c>
      <c r="F70" t="s">
        <v>1101</v>
      </c>
      <c r="G70" t="s">
        <v>314</v>
      </c>
      <c r="H70" t="s">
        <v>315</v>
      </c>
      <c r="I70" t="s">
        <v>19</v>
      </c>
      <c r="J70" t="s">
        <v>316</v>
      </c>
      <c r="K70" s="15" t="str">
        <f>VLOOKUP(I70,[2]LOOKUP!$A:$D,4,FALSE)</f>
        <v>RM</v>
      </c>
    </row>
    <row r="71" spans="1:11">
      <c r="A71" t="s">
        <v>618</v>
      </c>
      <c r="B71">
        <v>2</v>
      </c>
      <c r="C71" t="str">
        <f t="shared" si="1"/>
        <v>317373</v>
      </c>
      <c r="D71">
        <v>999998</v>
      </c>
      <c r="E71">
        <v>317373002</v>
      </c>
      <c r="F71" t="s">
        <v>1102</v>
      </c>
      <c r="G71" t="s">
        <v>314</v>
      </c>
      <c r="H71" t="s">
        <v>315</v>
      </c>
      <c r="I71" t="s">
        <v>19</v>
      </c>
      <c r="J71" t="s">
        <v>316</v>
      </c>
      <c r="K71" s="15" t="str">
        <f>VLOOKUP(I71,[2]LOOKUP!$A:$D,4,FALSE)</f>
        <v>RM</v>
      </c>
    </row>
    <row r="72" spans="1:11">
      <c r="A72" t="s">
        <v>618</v>
      </c>
      <c r="B72">
        <v>2</v>
      </c>
      <c r="C72" t="str">
        <f t="shared" si="1"/>
        <v>317373</v>
      </c>
      <c r="D72">
        <v>999998</v>
      </c>
      <c r="E72">
        <v>317373003</v>
      </c>
      <c r="F72" t="s">
        <v>1103</v>
      </c>
      <c r="G72" t="s">
        <v>314</v>
      </c>
      <c r="H72" t="s">
        <v>315</v>
      </c>
      <c r="I72" t="s">
        <v>19</v>
      </c>
      <c r="J72" t="s">
        <v>316</v>
      </c>
      <c r="K72" s="15" t="str">
        <f>VLOOKUP(I72,[2]LOOKUP!$A:$D,4,FALSE)</f>
        <v>RM</v>
      </c>
    </row>
    <row r="73" spans="1:11">
      <c r="A73" t="s">
        <v>565</v>
      </c>
      <c r="B73">
        <v>2</v>
      </c>
      <c r="C73" t="str">
        <f t="shared" si="1"/>
        <v>317373</v>
      </c>
      <c r="D73">
        <v>317373</v>
      </c>
      <c r="E73">
        <v>317373004</v>
      </c>
      <c r="F73" t="s">
        <v>1104</v>
      </c>
      <c r="G73" t="s">
        <v>314</v>
      </c>
      <c r="H73" t="s">
        <v>315</v>
      </c>
      <c r="I73" t="s">
        <v>58</v>
      </c>
      <c r="J73" t="s">
        <v>316</v>
      </c>
      <c r="K73" s="15" t="str">
        <f>VLOOKUP(I73,[2]LOOKUP!$A:$D,4,FALSE)</f>
        <v>CM</v>
      </c>
    </row>
    <row r="74" spans="1:11">
      <c r="A74" t="s">
        <v>565</v>
      </c>
      <c r="B74">
        <v>2</v>
      </c>
      <c r="C74" t="str">
        <f t="shared" si="1"/>
        <v>317373</v>
      </c>
      <c r="D74">
        <v>317373</v>
      </c>
      <c r="E74">
        <v>317373005</v>
      </c>
      <c r="F74" t="s">
        <v>1085</v>
      </c>
      <c r="G74" t="s">
        <v>314</v>
      </c>
      <c r="H74" t="s">
        <v>315</v>
      </c>
      <c r="I74" t="s">
        <v>100</v>
      </c>
      <c r="J74" t="s">
        <v>316</v>
      </c>
      <c r="K74" s="15" t="str">
        <f>VLOOKUP(I74,[2]LOOKUP!$A:$D,4,FALSE)</f>
        <v>CM</v>
      </c>
    </row>
    <row r="75" spans="1:11">
      <c r="A75" t="s">
        <v>565</v>
      </c>
      <c r="B75">
        <v>2</v>
      </c>
      <c r="C75" t="str">
        <f t="shared" si="1"/>
        <v>317373</v>
      </c>
      <c r="D75">
        <v>317373</v>
      </c>
      <c r="E75">
        <v>317373006</v>
      </c>
      <c r="F75" t="s">
        <v>1086</v>
      </c>
      <c r="G75" t="s">
        <v>314</v>
      </c>
      <c r="H75" t="s">
        <v>315</v>
      </c>
      <c r="I75" t="s">
        <v>58</v>
      </c>
      <c r="J75" t="s">
        <v>316</v>
      </c>
      <c r="K75" s="15" t="str">
        <f>VLOOKUP(I75,[2]LOOKUP!$A:$D,4,FALSE)</f>
        <v>CM</v>
      </c>
    </row>
    <row r="76" spans="1:11">
      <c r="A76" t="s">
        <v>565</v>
      </c>
      <c r="B76">
        <v>2</v>
      </c>
      <c r="C76" t="str">
        <f t="shared" si="1"/>
        <v>317373</v>
      </c>
      <c r="D76">
        <v>317373</v>
      </c>
      <c r="E76">
        <v>317373007</v>
      </c>
      <c r="F76" t="s">
        <v>1087</v>
      </c>
      <c r="G76" t="s">
        <v>314</v>
      </c>
      <c r="H76" t="s">
        <v>315</v>
      </c>
      <c r="I76" t="s">
        <v>58</v>
      </c>
      <c r="J76" t="s">
        <v>316</v>
      </c>
      <c r="K76" s="15" t="str">
        <f>VLOOKUP(I76,[2]LOOKUP!$A:$D,4,FALSE)</f>
        <v>CM</v>
      </c>
    </row>
    <row r="77" spans="1:11">
      <c r="A77" t="s">
        <v>618</v>
      </c>
      <c r="B77">
        <v>2</v>
      </c>
      <c r="C77" t="str">
        <f t="shared" si="1"/>
        <v>317373</v>
      </c>
      <c r="D77">
        <v>999998</v>
      </c>
      <c r="E77">
        <v>317373008</v>
      </c>
      <c r="F77" t="s">
        <v>1088</v>
      </c>
      <c r="G77" t="s">
        <v>314</v>
      </c>
      <c r="H77" t="s">
        <v>315</v>
      </c>
      <c r="I77" t="s">
        <v>19</v>
      </c>
      <c r="J77" t="s">
        <v>316</v>
      </c>
      <c r="K77" s="15" t="str">
        <f>VLOOKUP(I77,[2]LOOKUP!$A:$D,4,FALSE)</f>
        <v>RM</v>
      </c>
    </row>
    <row r="78" spans="1:11">
      <c r="A78" t="s">
        <v>618</v>
      </c>
      <c r="B78">
        <v>2</v>
      </c>
      <c r="C78" t="str">
        <f t="shared" si="1"/>
        <v>317373</v>
      </c>
      <c r="D78">
        <v>999998</v>
      </c>
      <c r="E78">
        <v>317373009</v>
      </c>
      <c r="F78" t="s">
        <v>1089</v>
      </c>
      <c r="G78" t="s">
        <v>314</v>
      </c>
      <c r="H78" t="s">
        <v>315</v>
      </c>
      <c r="I78" t="s">
        <v>19</v>
      </c>
      <c r="J78" t="s">
        <v>316</v>
      </c>
      <c r="K78" s="15" t="str">
        <f>VLOOKUP(I78,[2]LOOKUP!$A:$D,4,FALSE)</f>
        <v>RM</v>
      </c>
    </row>
    <row r="79" spans="1:11">
      <c r="A79" t="s">
        <v>565</v>
      </c>
      <c r="B79">
        <v>2</v>
      </c>
      <c r="C79" t="str">
        <f t="shared" si="1"/>
        <v>317373</v>
      </c>
      <c r="D79">
        <v>317373</v>
      </c>
      <c r="E79">
        <v>317373010</v>
      </c>
      <c r="F79" t="s">
        <v>1090</v>
      </c>
      <c r="G79" t="s">
        <v>314</v>
      </c>
      <c r="H79" t="s">
        <v>315</v>
      </c>
      <c r="I79" t="s">
        <v>100</v>
      </c>
      <c r="J79" t="s">
        <v>316</v>
      </c>
      <c r="K79" s="15" t="str">
        <f>VLOOKUP(I79,[2]LOOKUP!$A:$D,4,FALSE)</f>
        <v>CM</v>
      </c>
    </row>
    <row r="80" spans="1:11">
      <c r="A80" t="s">
        <v>618</v>
      </c>
      <c r="B80">
        <v>2</v>
      </c>
      <c r="C80" t="str">
        <f t="shared" si="1"/>
        <v>317373</v>
      </c>
      <c r="D80">
        <v>999998</v>
      </c>
      <c r="E80">
        <v>317373011</v>
      </c>
      <c r="F80" t="s">
        <v>1091</v>
      </c>
      <c r="G80" t="s">
        <v>314</v>
      </c>
      <c r="H80" t="s">
        <v>315</v>
      </c>
      <c r="I80" t="s">
        <v>19</v>
      </c>
      <c r="J80" t="s">
        <v>316</v>
      </c>
      <c r="K80" s="15" t="str">
        <f>VLOOKUP(I80,[2]LOOKUP!$A:$D,4,FALSE)</f>
        <v>RM</v>
      </c>
    </row>
    <row r="81" spans="1:11">
      <c r="A81" t="s">
        <v>618</v>
      </c>
      <c r="B81">
        <v>2</v>
      </c>
      <c r="C81" t="str">
        <f t="shared" si="1"/>
        <v>317373</v>
      </c>
      <c r="D81">
        <v>999998</v>
      </c>
      <c r="E81">
        <v>317373012</v>
      </c>
      <c r="F81" t="s">
        <v>1092</v>
      </c>
      <c r="G81" t="s">
        <v>314</v>
      </c>
      <c r="H81" t="s">
        <v>315</v>
      </c>
      <c r="I81" t="s">
        <v>19</v>
      </c>
      <c r="J81" t="s">
        <v>316</v>
      </c>
      <c r="K81" s="15" t="str">
        <f>VLOOKUP(I81,[2]LOOKUP!$A:$D,4,FALSE)</f>
        <v>RM</v>
      </c>
    </row>
    <row r="82" spans="1:11">
      <c r="A82" t="s">
        <v>618</v>
      </c>
      <c r="B82">
        <v>2</v>
      </c>
      <c r="C82" t="str">
        <f t="shared" si="1"/>
        <v>317373</v>
      </c>
      <c r="D82">
        <v>999998</v>
      </c>
      <c r="E82">
        <v>317373013</v>
      </c>
      <c r="F82" t="s">
        <v>1093</v>
      </c>
      <c r="G82" t="s">
        <v>314</v>
      </c>
      <c r="H82" t="s">
        <v>315</v>
      </c>
      <c r="I82" t="s">
        <v>19</v>
      </c>
      <c r="J82" t="s">
        <v>316</v>
      </c>
      <c r="K82" s="15" t="str">
        <f>VLOOKUP(I82,[2]LOOKUP!$A:$D,4,FALSE)</f>
        <v>RM</v>
      </c>
    </row>
    <row r="83" spans="1:11">
      <c r="A83" t="s">
        <v>618</v>
      </c>
      <c r="B83">
        <v>2</v>
      </c>
      <c r="C83" t="str">
        <f t="shared" si="1"/>
        <v>317373</v>
      </c>
      <c r="D83">
        <v>999998</v>
      </c>
      <c r="E83">
        <v>317373014</v>
      </c>
      <c r="F83" t="s">
        <v>1094</v>
      </c>
      <c r="G83" t="s">
        <v>314</v>
      </c>
      <c r="H83" t="s">
        <v>315</v>
      </c>
      <c r="I83" t="s">
        <v>19</v>
      </c>
      <c r="J83" t="s">
        <v>316</v>
      </c>
      <c r="K83" s="15" t="str">
        <f>VLOOKUP(I83,[2]LOOKUP!$A:$D,4,FALSE)</f>
        <v>RM</v>
      </c>
    </row>
    <row r="84" spans="1:11">
      <c r="A84" t="s">
        <v>618</v>
      </c>
      <c r="B84">
        <v>2</v>
      </c>
      <c r="C84" t="str">
        <f t="shared" si="1"/>
        <v>317373</v>
      </c>
      <c r="D84">
        <v>999998</v>
      </c>
      <c r="E84">
        <v>317373015</v>
      </c>
      <c r="F84" t="s">
        <v>1095</v>
      </c>
      <c r="G84" t="s">
        <v>314</v>
      </c>
      <c r="H84" t="s">
        <v>315</v>
      </c>
      <c r="I84" t="s">
        <v>19</v>
      </c>
      <c r="J84" t="s">
        <v>316</v>
      </c>
      <c r="K84" s="15" t="str">
        <f>VLOOKUP(I84,[2]LOOKUP!$A:$D,4,FALSE)</f>
        <v>RM</v>
      </c>
    </row>
    <row r="85" spans="1:11">
      <c r="A85" t="s">
        <v>618</v>
      </c>
      <c r="B85">
        <v>2</v>
      </c>
      <c r="C85" t="str">
        <f t="shared" si="1"/>
        <v>317373</v>
      </c>
      <c r="D85">
        <v>999998</v>
      </c>
      <c r="E85">
        <v>317373016</v>
      </c>
      <c r="F85" t="s">
        <v>1096</v>
      </c>
      <c r="G85" t="s">
        <v>314</v>
      </c>
      <c r="H85" t="s">
        <v>315</v>
      </c>
      <c r="I85" t="s">
        <v>19</v>
      </c>
      <c r="J85" t="s">
        <v>316</v>
      </c>
      <c r="K85" s="15" t="str">
        <f>VLOOKUP(I85,[2]LOOKUP!$A:$D,4,FALSE)</f>
        <v>RM</v>
      </c>
    </row>
    <row r="86" spans="1:11">
      <c r="A86" t="s">
        <v>565</v>
      </c>
      <c r="B86">
        <v>2</v>
      </c>
      <c r="C86" t="str">
        <f t="shared" si="1"/>
        <v>317373</v>
      </c>
      <c r="D86">
        <v>317373</v>
      </c>
      <c r="E86">
        <v>317373017</v>
      </c>
      <c r="F86" t="s">
        <v>1097</v>
      </c>
      <c r="G86" t="s">
        <v>314</v>
      </c>
      <c r="H86" t="s">
        <v>315</v>
      </c>
      <c r="I86" t="s">
        <v>100</v>
      </c>
      <c r="J86" t="s">
        <v>316</v>
      </c>
      <c r="K86" s="15" t="str">
        <f>VLOOKUP(I86,[2]LOOKUP!$A:$D,4,FALSE)</f>
        <v>CM</v>
      </c>
    </row>
    <row r="87" spans="1:11">
      <c r="A87" t="s">
        <v>565</v>
      </c>
      <c r="B87">
        <v>2</v>
      </c>
      <c r="C87" t="str">
        <f t="shared" si="1"/>
        <v>317373</v>
      </c>
      <c r="D87">
        <v>317373</v>
      </c>
      <c r="E87">
        <v>317373018</v>
      </c>
      <c r="F87" t="s">
        <v>1098</v>
      </c>
      <c r="G87" t="s">
        <v>314</v>
      </c>
      <c r="H87" t="s">
        <v>315</v>
      </c>
      <c r="I87" t="s">
        <v>100</v>
      </c>
      <c r="J87" t="s">
        <v>316</v>
      </c>
      <c r="K87" s="15" t="str">
        <f>VLOOKUP(I87,[2]LOOKUP!$A:$D,4,FALSE)</f>
        <v>CM</v>
      </c>
    </row>
    <row r="88" spans="1:11">
      <c r="A88" t="s">
        <v>565</v>
      </c>
      <c r="B88">
        <v>2</v>
      </c>
      <c r="C88" t="str">
        <f t="shared" si="1"/>
        <v>317373</v>
      </c>
      <c r="D88">
        <v>317373</v>
      </c>
      <c r="E88">
        <v>317373019</v>
      </c>
      <c r="F88" t="s">
        <v>1099</v>
      </c>
      <c r="G88" t="s">
        <v>314</v>
      </c>
      <c r="H88" t="s">
        <v>315</v>
      </c>
      <c r="I88" t="s">
        <v>55</v>
      </c>
      <c r="J88" t="s">
        <v>316</v>
      </c>
      <c r="K88" s="15" t="str">
        <f>VLOOKUP(I88,[2]LOOKUP!$A:$D,4,FALSE)</f>
        <v>RM</v>
      </c>
    </row>
    <row r="89" spans="1:11">
      <c r="A89" t="s">
        <v>618</v>
      </c>
      <c r="B89">
        <v>2</v>
      </c>
      <c r="C89" t="str">
        <f t="shared" si="1"/>
        <v>317373</v>
      </c>
      <c r="D89">
        <v>999998</v>
      </c>
      <c r="E89">
        <v>317373020</v>
      </c>
      <c r="F89" t="s">
        <v>1100</v>
      </c>
      <c r="G89" t="s">
        <v>314</v>
      </c>
      <c r="H89" t="s">
        <v>315</v>
      </c>
      <c r="I89" t="s">
        <v>19</v>
      </c>
      <c r="J89" t="s">
        <v>316</v>
      </c>
      <c r="K89" s="15" t="str">
        <f>VLOOKUP(I89,[2]LOOKUP!$A:$D,4,FALSE)</f>
        <v>RM</v>
      </c>
    </row>
    <row r="90" spans="1:11">
      <c r="A90" t="s">
        <v>565</v>
      </c>
      <c r="B90">
        <v>2</v>
      </c>
      <c r="C90" t="str">
        <f t="shared" si="1"/>
        <v>317373</v>
      </c>
      <c r="D90">
        <v>317373</v>
      </c>
      <c r="E90">
        <v>317373021</v>
      </c>
      <c r="F90" t="s">
        <v>1069</v>
      </c>
      <c r="G90" t="s">
        <v>314</v>
      </c>
      <c r="H90" t="s">
        <v>315</v>
      </c>
      <c r="I90" t="s">
        <v>100</v>
      </c>
      <c r="J90" t="s">
        <v>316</v>
      </c>
      <c r="K90" s="15" t="str">
        <f>VLOOKUP(I90,[2]LOOKUP!$A:$D,4,FALSE)</f>
        <v>CM</v>
      </c>
    </row>
    <row r="91" spans="1:11">
      <c r="A91" t="s">
        <v>618</v>
      </c>
      <c r="B91">
        <v>2</v>
      </c>
      <c r="C91" t="str">
        <f t="shared" si="1"/>
        <v>317373</v>
      </c>
      <c r="D91">
        <v>999998</v>
      </c>
      <c r="E91">
        <v>317373022</v>
      </c>
      <c r="F91" t="s">
        <v>1070</v>
      </c>
      <c r="G91" t="s">
        <v>314</v>
      </c>
      <c r="H91" t="s">
        <v>315</v>
      </c>
      <c r="I91" t="s">
        <v>19</v>
      </c>
      <c r="J91" t="s">
        <v>316</v>
      </c>
      <c r="K91" s="15" t="str">
        <f>VLOOKUP(I91,[2]LOOKUP!$A:$D,4,FALSE)</f>
        <v>RM</v>
      </c>
    </row>
    <row r="92" spans="1:11">
      <c r="A92" t="s">
        <v>565</v>
      </c>
      <c r="B92">
        <v>2</v>
      </c>
      <c r="C92" t="str">
        <f t="shared" si="1"/>
        <v>317373</v>
      </c>
      <c r="D92">
        <v>317373</v>
      </c>
      <c r="E92">
        <v>317373023</v>
      </c>
      <c r="F92" t="s">
        <v>1071</v>
      </c>
      <c r="G92" t="s">
        <v>314</v>
      </c>
      <c r="H92" t="s">
        <v>315</v>
      </c>
      <c r="I92" t="s">
        <v>100</v>
      </c>
      <c r="J92" t="s">
        <v>316</v>
      </c>
      <c r="K92" s="15" t="str">
        <f>VLOOKUP(I92,[2]LOOKUP!$A:$D,4,FALSE)</f>
        <v>CM</v>
      </c>
    </row>
    <row r="93" spans="1:11">
      <c r="A93" t="s">
        <v>565</v>
      </c>
      <c r="B93">
        <v>2</v>
      </c>
      <c r="C93" t="str">
        <f t="shared" si="1"/>
        <v>317373</v>
      </c>
      <c r="D93">
        <v>317373</v>
      </c>
      <c r="E93">
        <v>317373024</v>
      </c>
      <c r="F93" t="s">
        <v>1072</v>
      </c>
      <c r="G93" t="s">
        <v>314</v>
      </c>
      <c r="H93" t="s">
        <v>315</v>
      </c>
      <c r="I93" t="s">
        <v>58</v>
      </c>
      <c r="J93" t="s">
        <v>316</v>
      </c>
      <c r="K93" s="15" t="str">
        <f>VLOOKUP(I93,[2]LOOKUP!$A:$D,4,FALSE)</f>
        <v>CM</v>
      </c>
    </row>
    <row r="94" spans="1:11">
      <c r="A94" t="s">
        <v>565</v>
      </c>
      <c r="B94">
        <v>2</v>
      </c>
      <c r="C94" t="str">
        <f t="shared" si="1"/>
        <v>317373</v>
      </c>
      <c r="D94">
        <v>317373</v>
      </c>
      <c r="E94">
        <v>317373025</v>
      </c>
      <c r="F94" t="s">
        <v>1073</v>
      </c>
      <c r="G94" t="s">
        <v>314</v>
      </c>
      <c r="H94" t="s">
        <v>315</v>
      </c>
      <c r="I94" t="s">
        <v>100</v>
      </c>
      <c r="J94" t="s">
        <v>316</v>
      </c>
      <c r="K94" s="15" t="str">
        <f>VLOOKUP(I94,[2]LOOKUP!$A:$D,4,FALSE)</f>
        <v>CM</v>
      </c>
    </row>
    <row r="95" spans="1:11">
      <c r="A95" t="s">
        <v>565</v>
      </c>
      <c r="B95">
        <v>2</v>
      </c>
      <c r="C95" t="str">
        <f t="shared" si="1"/>
        <v>317373</v>
      </c>
      <c r="D95">
        <v>317373</v>
      </c>
      <c r="E95">
        <v>317373026</v>
      </c>
      <c r="F95" t="s">
        <v>1074</v>
      </c>
      <c r="G95" t="s">
        <v>314</v>
      </c>
      <c r="H95" t="s">
        <v>315</v>
      </c>
      <c r="I95" t="s">
        <v>44</v>
      </c>
      <c r="J95" t="s">
        <v>316</v>
      </c>
      <c r="K95" s="15" t="str">
        <f>VLOOKUP(I95,[2]LOOKUP!$A:$D,4,FALSE)</f>
        <v>RM</v>
      </c>
    </row>
    <row r="96" spans="1:11">
      <c r="A96" t="s">
        <v>618</v>
      </c>
      <c r="B96">
        <v>2</v>
      </c>
      <c r="C96" t="str">
        <f t="shared" si="1"/>
        <v>317373</v>
      </c>
      <c r="D96">
        <v>999998</v>
      </c>
      <c r="E96">
        <v>317373027</v>
      </c>
      <c r="F96" t="s">
        <v>1075</v>
      </c>
      <c r="G96" t="s">
        <v>314</v>
      </c>
      <c r="H96" t="s">
        <v>315</v>
      </c>
      <c r="I96" t="s">
        <v>19</v>
      </c>
      <c r="J96" t="s">
        <v>316</v>
      </c>
      <c r="K96" s="15" t="str">
        <f>VLOOKUP(I96,[2]LOOKUP!$A:$D,4,FALSE)</f>
        <v>RM</v>
      </c>
    </row>
    <row r="97" spans="1:11">
      <c r="A97" t="s">
        <v>565</v>
      </c>
      <c r="B97">
        <v>2</v>
      </c>
      <c r="C97" t="str">
        <f t="shared" si="1"/>
        <v>317373</v>
      </c>
      <c r="D97">
        <v>317373</v>
      </c>
      <c r="E97">
        <v>317373028</v>
      </c>
      <c r="F97" t="s">
        <v>1076</v>
      </c>
      <c r="G97" t="s">
        <v>314</v>
      </c>
      <c r="H97" t="s">
        <v>315</v>
      </c>
      <c r="I97" t="s">
        <v>100</v>
      </c>
      <c r="J97" t="s">
        <v>316</v>
      </c>
      <c r="K97" s="15" t="str">
        <f>VLOOKUP(I97,[2]LOOKUP!$A:$D,4,FALSE)</f>
        <v>CM</v>
      </c>
    </row>
    <row r="98" spans="1:11">
      <c r="A98" t="s">
        <v>618</v>
      </c>
      <c r="B98">
        <v>2</v>
      </c>
      <c r="C98" t="str">
        <f t="shared" si="1"/>
        <v>317373</v>
      </c>
      <c r="D98">
        <v>999998</v>
      </c>
      <c r="E98">
        <v>317373029</v>
      </c>
      <c r="F98" t="s">
        <v>1077</v>
      </c>
      <c r="G98" t="s">
        <v>314</v>
      </c>
      <c r="H98" t="s">
        <v>315</v>
      </c>
      <c r="I98" t="s">
        <v>19</v>
      </c>
      <c r="J98" t="s">
        <v>316</v>
      </c>
      <c r="K98" s="15" t="str">
        <f>VLOOKUP(I98,[2]LOOKUP!$A:$D,4,FALSE)</f>
        <v>RM</v>
      </c>
    </row>
    <row r="99" spans="1:11">
      <c r="A99" t="s">
        <v>565</v>
      </c>
      <c r="B99">
        <v>2</v>
      </c>
      <c r="C99" t="str">
        <f t="shared" si="1"/>
        <v>317373</v>
      </c>
      <c r="D99">
        <v>317373</v>
      </c>
      <c r="E99">
        <v>317373030</v>
      </c>
      <c r="F99" t="s">
        <v>1078</v>
      </c>
      <c r="G99" t="s">
        <v>314</v>
      </c>
      <c r="H99" t="s">
        <v>315</v>
      </c>
      <c r="I99" t="s">
        <v>100</v>
      </c>
      <c r="J99" t="s">
        <v>316</v>
      </c>
      <c r="K99" s="15" t="str">
        <f>VLOOKUP(I99,[2]LOOKUP!$A:$D,4,FALSE)</f>
        <v>CM</v>
      </c>
    </row>
    <row r="100" spans="1:11">
      <c r="A100" t="s">
        <v>565</v>
      </c>
      <c r="B100">
        <v>2</v>
      </c>
      <c r="C100" t="str">
        <f t="shared" si="1"/>
        <v>317373</v>
      </c>
      <c r="D100">
        <v>317373</v>
      </c>
      <c r="E100">
        <v>317373031</v>
      </c>
      <c r="F100" t="s">
        <v>1079</v>
      </c>
      <c r="G100" t="s">
        <v>314</v>
      </c>
      <c r="H100" t="s">
        <v>315</v>
      </c>
      <c r="I100" t="s">
        <v>100</v>
      </c>
      <c r="J100" t="s">
        <v>316</v>
      </c>
      <c r="K100" s="15" t="str">
        <f>VLOOKUP(I100,[2]LOOKUP!$A:$D,4,FALSE)</f>
        <v>CM</v>
      </c>
    </row>
    <row r="101" spans="1:11">
      <c r="A101" t="s">
        <v>565</v>
      </c>
      <c r="B101">
        <v>2</v>
      </c>
      <c r="C101" t="str">
        <f t="shared" si="1"/>
        <v>317373</v>
      </c>
      <c r="D101">
        <v>317373</v>
      </c>
      <c r="E101">
        <v>317373032</v>
      </c>
      <c r="F101" t="s">
        <v>1080</v>
      </c>
      <c r="G101" t="s">
        <v>314</v>
      </c>
      <c r="H101" t="s">
        <v>315</v>
      </c>
      <c r="I101" t="s">
        <v>100</v>
      </c>
      <c r="J101" t="s">
        <v>316</v>
      </c>
      <c r="K101" s="15" t="str">
        <f>VLOOKUP(I101,[2]LOOKUP!$A:$D,4,FALSE)</f>
        <v>CM</v>
      </c>
    </row>
    <row r="102" spans="1:11">
      <c r="A102" t="s">
        <v>618</v>
      </c>
      <c r="B102">
        <v>2</v>
      </c>
      <c r="C102" t="str">
        <f t="shared" si="1"/>
        <v>317373</v>
      </c>
      <c r="D102">
        <v>999998</v>
      </c>
      <c r="E102">
        <v>317373033</v>
      </c>
      <c r="F102" t="s">
        <v>1081</v>
      </c>
      <c r="G102" t="s">
        <v>314</v>
      </c>
      <c r="H102" t="s">
        <v>315</v>
      </c>
      <c r="I102" t="s">
        <v>19</v>
      </c>
      <c r="J102" t="s">
        <v>316</v>
      </c>
      <c r="K102" s="15" t="str">
        <f>VLOOKUP(I102,[2]LOOKUP!$A:$D,4,FALSE)</f>
        <v>RM</v>
      </c>
    </row>
    <row r="103" spans="1:11">
      <c r="A103" t="s">
        <v>565</v>
      </c>
      <c r="B103">
        <v>2</v>
      </c>
      <c r="C103" t="str">
        <f t="shared" si="1"/>
        <v>317373</v>
      </c>
      <c r="D103">
        <v>317373</v>
      </c>
      <c r="E103">
        <v>317373034</v>
      </c>
      <c r="F103" t="s">
        <v>1082</v>
      </c>
      <c r="G103" t="s">
        <v>314</v>
      </c>
      <c r="H103" t="s">
        <v>315</v>
      </c>
      <c r="I103" t="s">
        <v>100</v>
      </c>
      <c r="J103" t="s">
        <v>316</v>
      </c>
      <c r="K103" s="15" t="str">
        <f>VLOOKUP(I103,[2]LOOKUP!$A:$D,4,FALSE)</f>
        <v>CM</v>
      </c>
    </row>
    <row r="104" spans="1:11">
      <c r="A104" t="s">
        <v>618</v>
      </c>
      <c r="B104">
        <v>2</v>
      </c>
      <c r="C104" t="str">
        <f t="shared" si="1"/>
        <v>317373</v>
      </c>
      <c r="D104">
        <v>999998</v>
      </c>
      <c r="E104">
        <v>317373035</v>
      </c>
      <c r="F104" t="s">
        <v>1083</v>
      </c>
      <c r="G104" t="s">
        <v>314</v>
      </c>
      <c r="H104" t="s">
        <v>315</v>
      </c>
      <c r="I104" t="s">
        <v>19</v>
      </c>
      <c r="J104" t="s">
        <v>316</v>
      </c>
      <c r="K104" s="15" t="str">
        <f>VLOOKUP(I104,[2]LOOKUP!$A:$D,4,FALSE)</f>
        <v>RM</v>
      </c>
    </row>
    <row r="105" spans="1:11">
      <c r="A105" t="s">
        <v>565</v>
      </c>
      <c r="B105">
        <v>2</v>
      </c>
      <c r="C105" t="str">
        <f t="shared" si="1"/>
        <v>317373</v>
      </c>
      <c r="D105">
        <v>317373</v>
      </c>
      <c r="E105">
        <v>317373036</v>
      </c>
      <c r="F105" t="s">
        <v>1084</v>
      </c>
      <c r="G105" t="s">
        <v>314</v>
      </c>
      <c r="H105" t="s">
        <v>315</v>
      </c>
      <c r="I105" t="s">
        <v>58</v>
      </c>
      <c r="J105" t="s">
        <v>316</v>
      </c>
      <c r="K105" s="15" t="str">
        <f>VLOOKUP(I105,[2]LOOKUP!$A:$D,4,FALSE)</f>
        <v>CM</v>
      </c>
    </row>
    <row r="106" spans="1:11">
      <c r="A106" t="s">
        <v>634</v>
      </c>
      <c r="B106" t="s">
        <v>448</v>
      </c>
      <c r="C106" t="str">
        <f t="shared" si="1"/>
        <v>318308</v>
      </c>
      <c r="D106">
        <v>318308</v>
      </c>
      <c r="E106">
        <v>318308001</v>
      </c>
      <c r="F106" t="s">
        <v>1105</v>
      </c>
      <c r="G106" t="s">
        <v>314</v>
      </c>
      <c r="H106" t="s">
        <v>315</v>
      </c>
      <c r="I106" t="s">
        <v>82</v>
      </c>
      <c r="J106" t="s">
        <v>316</v>
      </c>
      <c r="K106" s="15" t="str">
        <f>VLOOKUP(I106,[2]LOOKUP!$A:$D,4,FALSE)</f>
        <v>CM</v>
      </c>
    </row>
    <row r="107" spans="1:11">
      <c r="A107" t="s">
        <v>634</v>
      </c>
      <c r="B107" t="s">
        <v>448</v>
      </c>
      <c r="C107" t="str">
        <f t="shared" si="1"/>
        <v>318308</v>
      </c>
      <c r="D107">
        <v>318308</v>
      </c>
      <c r="E107">
        <v>318308002</v>
      </c>
      <c r="F107" t="s">
        <v>1106</v>
      </c>
      <c r="G107" t="s">
        <v>314</v>
      </c>
      <c r="H107" t="s">
        <v>315</v>
      </c>
      <c r="I107" t="s">
        <v>82</v>
      </c>
      <c r="J107" t="s">
        <v>316</v>
      </c>
      <c r="K107" s="15" t="str">
        <f>VLOOKUP(I107,[2]LOOKUP!$A:$D,4,FALSE)</f>
        <v>CM</v>
      </c>
    </row>
    <row r="108" spans="1:11">
      <c r="A108" t="s">
        <v>634</v>
      </c>
      <c r="B108" t="s">
        <v>448</v>
      </c>
      <c r="C108" t="str">
        <f t="shared" si="1"/>
        <v>318308</v>
      </c>
      <c r="D108">
        <v>318308</v>
      </c>
      <c r="E108">
        <v>318308003</v>
      </c>
      <c r="F108" t="s">
        <v>1107</v>
      </c>
      <c r="G108" t="s">
        <v>314</v>
      </c>
      <c r="H108" t="s">
        <v>315</v>
      </c>
      <c r="I108" t="s">
        <v>82</v>
      </c>
      <c r="J108" t="s">
        <v>316</v>
      </c>
      <c r="K108" s="15" t="str">
        <f>VLOOKUP(I108,[2]LOOKUP!$A:$D,4,FALSE)</f>
        <v>CM</v>
      </c>
    </row>
    <row r="109" spans="1:11">
      <c r="A109" t="s">
        <v>634</v>
      </c>
      <c r="B109" t="s">
        <v>448</v>
      </c>
      <c r="C109" t="str">
        <f t="shared" si="1"/>
        <v>318308</v>
      </c>
      <c r="D109">
        <v>318308</v>
      </c>
      <c r="E109">
        <v>318308004</v>
      </c>
      <c r="F109" t="s">
        <v>1108</v>
      </c>
      <c r="G109" t="s">
        <v>314</v>
      </c>
      <c r="H109" t="s">
        <v>315</v>
      </c>
      <c r="I109" t="s">
        <v>82</v>
      </c>
      <c r="J109" t="s">
        <v>316</v>
      </c>
      <c r="K109" s="15" t="str">
        <f>VLOOKUP(I109,[2]LOOKUP!$A:$D,4,FALSE)</f>
        <v>CM</v>
      </c>
    </row>
    <row r="110" spans="1:11">
      <c r="A110" t="s">
        <v>634</v>
      </c>
      <c r="B110" t="s">
        <v>448</v>
      </c>
      <c r="C110" t="str">
        <f t="shared" si="1"/>
        <v>318308</v>
      </c>
      <c r="D110">
        <v>318308</v>
      </c>
      <c r="E110">
        <v>318308005</v>
      </c>
      <c r="F110" t="s">
        <v>1109</v>
      </c>
      <c r="G110" t="s">
        <v>314</v>
      </c>
      <c r="H110" t="s">
        <v>315</v>
      </c>
      <c r="I110" t="s">
        <v>82</v>
      </c>
      <c r="J110" t="s">
        <v>316</v>
      </c>
      <c r="K110" s="15" t="str">
        <f>VLOOKUP(I110,[2]LOOKUP!$A:$D,4,FALSE)</f>
        <v>CM</v>
      </c>
    </row>
    <row r="111" spans="1:11">
      <c r="A111" t="s">
        <v>634</v>
      </c>
      <c r="B111" t="s">
        <v>448</v>
      </c>
      <c r="C111" t="str">
        <f t="shared" si="1"/>
        <v>318308</v>
      </c>
      <c r="D111">
        <v>318308</v>
      </c>
      <c r="E111">
        <v>318308006</v>
      </c>
      <c r="F111" t="s">
        <v>1110</v>
      </c>
      <c r="G111" t="s">
        <v>314</v>
      </c>
      <c r="H111" t="s">
        <v>315</v>
      </c>
      <c r="I111" t="s">
        <v>82</v>
      </c>
      <c r="J111" t="s">
        <v>316</v>
      </c>
      <c r="K111" s="15" t="str">
        <f>VLOOKUP(I111,[2]LOOKUP!$A:$D,4,FALSE)</f>
        <v>CM</v>
      </c>
    </row>
    <row r="112" spans="1:11">
      <c r="A112" t="s">
        <v>634</v>
      </c>
      <c r="B112" t="s">
        <v>448</v>
      </c>
      <c r="C112" t="str">
        <f t="shared" si="1"/>
        <v>318308</v>
      </c>
      <c r="D112">
        <v>318308</v>
      </c>
      <c r="E112">
        <v>318308007</v>
      </c>
      <c r="F112" t="s">
        <v>1111</v>
      </c>
      <c r="G112" t="s">
        <v>314</v>
      </c>
      <c r="H112" t="s">
        <v>315</v>
      </c>
      <c r="I112" t="s">
        <v>82</v>
      </c>
      <c r="J112" t="s">
        <v>316</v>
      </c>
      <c r="K112" s="15" t="str">
        <f>VLOOKUP(I112,[2]LOOKUP!$A:$D,4,FALSE)</f>
        <v>CM</v>
      </c>
    </row>
    <row r="113" spans="1:11">
      <c r="A113" t="s">
        <v>634</v>
      </c>
      <c r="B113" t="s">
        <v>448</v>
      </c>
      <c r="C113" t="str">
        <f t="shared" si="1"/>
        <v>318308</v>
      </c>
      <c r="D113">
        <v>318308</v>
      </c>
      <c r="E113">
        <v>318308008</v>
      </c>
      <c r="F113" t="s">
        <v>1112</v>
      </c>
      <c r="G113" t="s">
        <v>314</v>
      </c>
      <c r="H113" t="s">
        <v>315</v>
      </c>
      <c r="I113" t="s">
        <v>82</v>
      </c>
      <c r="J113" t="s">
        <v>316</v>
      </c>
      <c r="K113" s="15" t="str">
        <f>VLOOKUP(I113,[2]LOOKUP!$A:$D,4,FALSE)</f>
        <v>CM</v>
      </c>
    </row>
    <row r="114" spans="1:11">
      <c r="A114" t="s">
        <v>634</v>
      </c>
      <c r="B114" t="s">
        <v>448</v>
      </c>
      <c r="C114" t="str">
        <f t="shared" si="1"/>
        <v>318308</v>
      </c>
      <c r="D114">
        <v>318308</v>
      </c>
      <c r="E114">
        <v>318308009</v>
      </c>
      <c r="F114" t="s">
        <v>1113</v>
      </c>
      <c r="G114" t="s">
        <v>314</v>
      </c>
      <c r="H114" t="s">
        <v>315</v>
      </c>
      <c r="I114" t="s">
        <v>82</v>
      </c>
      <c r="J114" t="s">
        <v>316</v>
      </c>
      <c r="K114" s="15" t="str">
        <f>VLOOKUP(I114,[2]LOOKUP!$A:$D,4,FALSE)</f>
        <v>CM</v>
      </c>
    </row>
    <row r="115" spans="1:11">
      <c r="A115" t="s">
        <v>634</v>
      </c>
      <c r="B115" t="s">
        <v>448</v>
      </c>
      <c r="C115" t="str">
        <f t="shared" si="1"/>
        <v>318308</v>
      </c>
      <c r="D115">
        <v>318308</v>
      </c>
      <c r="E115">
        <v>318308010</v>
      </c>
      <c r="F115" t="s">
        <v>1114</v>
      </c>
      <c r="G115" t="s">
        <v>314</v>
      </c>
      <c r="H115" t="s">
        <v>315</v>
      </c>
      <c r="I115" t="s">
        <v>82</v>
      </c>
      <c r="J115" t="s">
        <v>316</v>
      </c>
      <c r="K115" s="15" t="str">
        <f>VLOOKUP(I115,[2]LOOKUP!$A:$D,4,FALSE)</f>
        <v>CM</v>
      </c>
    </row>
    <row r="116" spans="1:11">
      <c r="A116" t="s">
        <v>634</v>
      </c>
      <c r="B116" t="s">
        <v>448</v>
      </c>
      <c r="C116" t="str">
        <f t="shared" si="1"/>
        <v>318308</v>
      </c>
      <c r="D116">
        <v>318308</v>
      </c>
      <c r="E116">
        <v>318308011</v>
      </c>
      <c r="F116" t="s">
        <v>1115</v>
      </c>
      <c r="G116" t="s">
        <v>314</v>
      </c>
      <c r="H116" t="s">
        <v>315</v>
      </c>
      <c r="I116" t="s">
        <v>82</v>
      </c>
      <c r="J116" t="s">
        <v>316</v>
      </c>
      <c r="K116" s="15" t="str">
        <f>VLOOKUP(I116,[2]LOOKUP!$A:$D,4,FALSE)</f>
        <v>CM</v>
      </c>
    </row>
    <row r="117" spans="1:11">
      <c r="A117" t="s">
        <v>634</v>
      </c>
      <c r="B117" t="s">
        <v>448</v>
      </c>
      <c r="C117" t="str">
        <f t="shared" si="1"/>
        <v>318308</v>
      </c>
      <c r="D117">
        <v>318308</v>
      </c>
      <c r="E117">
        <v>318308012</v>
      </c>
      <c r="F117" t="s">
        <v>1116</v>
      </c>
      <c r="G117" t="s">
        <v>314</v>
      </c>
      <c r="H117" t="s">
        <v>315</v>
      </c>
      <c r="I117" t="s">
        <v>82</v>
      </c>
      <c r="J117" t="s">
        <v>316</v>
      </c>
      <c r="K117" s="15" t="str">
        <f>VLOOKUP(I117,[2]LOOKUP!$A:$D,4,FALSE)</f>
        <v>CM</v>
      </c>
    </row>
    <row r="118" spans="1:11">
      <c r="A118" t="s">
        <v>634</v>
      </c>
      <c r="B118" t="s">
        <v>448</v>
      </c>
      <c r="C118" t="str">
        <f t="shared" si="1"/>
        <v>318308</v>
      </c>
      <c r="D118">
        <v>318308</v>
      </c>
      <c r="E118">
        <v>318308013</v>
      </c>
      <c r="F118" t="s">
        <v>1117</v>
      </c>
      <c r="G118" t="s">
        <v>314</v>
      </c>
      <c r="H118" t="s">
        <v>315</v>
      </c>
      <c r="I118" t="s">
        <v>82</v>
      </c>
      <c r="J118" t="s">
        <v>316</v>
      </c>
      <c r="K118" s="15" t="str">
        <f>VLOOKUP(I118,[2]LOOKUP!$A:$D,4,FALSE)</f>
        <v>CM</v>
      </c>
    </row>
    <row r="119" spans="1:11">
      <c r="A119" t="s">
        <v>634</v>
      </c>
      <c r="B119" t="s">
        <v>448</v>
      </c>
      <c r="C119" t="str">
        <f t="shared" si="1"/>
        <v>318308</v>
      </c>
      <c r="D119">
        <v>318308</v>
      </c>
      <c r="E119">
        <v>318308014</v>
      </c>
      <c r="F119" t="s">
        <v>1118</v>
      </c>
      <c r="G119" t="s">
        <v>314</v>
      </c>
      <c r="H119" t="s">
        <v>315</v>
      </c>
      <c r="I119" t="s">
        <v>82</v>
      </c>
      <c r="J119" t="s">
        <v>316</v>
      </c>
      <c r="K119" s="15" t="str">
        <f>VLOOKUP(I119,[2]LOOKUP!$A:$D,4,FALSE)</f>
        <v>CM</v>
      </c>
    </row>
    <row r="120" spans="1:11">
      <c r="A120" t="s">
        <v>634</v>
      </c>
      <c r="B120" t="s">
        <v>448</v>
      </c>
      <c r="C120" t="str">
        <f t="shared" si="1"/>
        <v>318308</v>
      </c>
      <c r="D120">
        <v>318308</v>
      </c>
      <c r="E120">
        <v>318308015</v>
      </c>
      <c r="F120" t="s">
        <v>1119</v>
      </c>
      <c r="G120" t="s">
        <v>314</v>
      </c>
      <c r="H120" t="s">
        <v>315</v>
      </c>
      <c r="I120" t="s">
        <v>82</v>
      </c>
      <c r="J120" t="s">
        <v>316</v>
      </c>
      <c r="K120" s="15" t="str">
        <f>VLOOKUP(I120,[2]LOOKUP!$A:$D,4,FALSE)</f>
        <v>CM</v>
      </c>
    </row>
    <row r="121" spans="1:11">
      <c r="A121" t="s">
        <v>634</v>
      </c>
      <c r="B121" t="s">
        <v>448</v>
      </c>
      <c r="C121" t="str">
        <f t="shared" si="1"/>
        <v>318308</v>
      </c>
      <c r="D121">
        <v>318308</v>
      </c>
      <c r="E121">
        <v>318308016</v>
      </c>
      <c r="F121" t="s">
        <v>1120</v>
      </c>
      <c r="G121" t="s">
        <v>314</v>
      </c>
      <c r="H121" t="s">
        <v>315</v>
      </c>
      <c r="I121" t="s">
        <v>82</v>
      </c>
      <c r="J121" t="s">
        <v>316</v>
      </c>
      <c r="K121" s="15" t="str">
        <f>VLOOKUP(I121,[2]LOOKUP!$A:$D,4,FALSE)</f>
        <v>CM</v>
      </c>
    </row>
    <row r="122" spans="1:11">
      <c r="A122" t="s">
        <v>634</v>
      </c>
      <c r="B122" t="s">
        <v>448</v>
      </c>
      <c r="C122" t="str">
        <f t="shared" si="1"/>
        <v>318308</v>
      </c>
      <c r="D122">
        <v>318308</v>
      </c>
      <c r="E122">
        <v>318308017</v>
      </c>
      <c r="F122" t="s">
        <v>1121</v>
      </c>
      <c r="G122" t="s">
        <v>314</v>
      </c>
      <c r="H122" t="s">
        <v>315</v>
      </c>
      <c r="I122" t="s">
        <v>82</v>
      </c>
      <c r="J122" t="s">
        <v>316</v>
      </c>
      <c r="K122" s="15" t="str">
        <f>VLOOKUP(I122,[2]LOOKUP!$A:$D,4,FALSE)</f>
        <v>CM</v>
      </c>
    </row>
    <row r="123" spans="1:11">
      <c r="A123" t="s">
        <v>634</v>
      </c>
      <c r="B123" t="s">
        <v>448</v>
      </c>
      <c r="C123" t="str">
        <f t="shared" si="1"/>
        <v>318308</v>
      </c>
      <c r="D123">
        <v>318308</v>
      </c>
      <c r="E123">
        <v>318308018</v>
      </c>
      <c r="F123" t="s">
        <v>1122</v>
      </c>
      <c r="G123" t="s">
        <v>314</v>
      </c>
      <c r="H123" t="s">
        <v>315</v>
      </c>
      <c r="I123" t="s">
        <v>82</v>
      </c>
      <c r="J123" t="s">
        <v>316</v>
      </c>
      <c r="K123" s="15" t="str">
        <f>VLOOKUP(I123,[2]LOOKUP!$A:$D,4,FALSE)</f>
        <v>CM</v>
      </c>
    </row>
    <row r="124" spans="1:11">
      <c r="A124" t="s">
        <v>634</v>
      </c>
      <c r="B124" t="s">
        <v>448</v>
      </c>
      <c r="C124" t="str">
        <f t="shared" si="1"/>
        <v>318308</v>
      </c>
      <c r="D124">
        <v>318308</v>
      </c>
      <c r="E124">
        <v>318308019</v>
      </c>
      <c r="F124" t="s">
        <v>1123</v>
      </c>
      <c r="G124" t="s">
        <v>314</v>
      </c>
      <c r="H124" t="s">
        <v>315</v>
      </c>
      <c r="I124" t="s">
        <v>82</v>
      </c>
      <c r="J124" t="s">
        <v>316</v>
      </c>
      <c r="K124" s="15" t="str">
        <f>VLOOKUP(I124,[2]LOOKUP!$A:$D,4,FALSE)</f>
        <v>CM</v>
      </c>
    </row>
    <row r="125" spans="1:11">
      <c r="A125" t="s">
        <v>634</v>
      </c>
      <c r="B125" t="s">
        <v>448</v>
      </c>
      <c r="C125" t="str">
        <f t="shared" si="1"/>
        <v>318308</v>
      </c>
      <c r="D125">
        <v>318308</v>
      </c>
      <c r="E125">
        <v>318308020</v>
      </c>
      <c r="F125" t="s">
        <v>1124</v>
      </c>
      <c r="G125" t="s">
        <v>314</v>
      </c>
      <c r="H125" t="s">
        <v>315</v>
      </c>
      <c r="I125" t="s">
        <v>82</v>
      </c>
      <c r="J125" t="s">
        <v>316</v>
      </c>
      <c r="K125" s="15" t="str">
        <f>VLOOKUP(I125,[2]LOOKUP!$A:$D,4,FALSE)</f>
        <v>CM</v>
      </c>
    </row>
    <row r="126" spans="1:11">
      <c r="A126" t="s">
        <v>634</v>
      </c>
      <c r="B126" t="s">
        <v>448</v>
      </c>
      <c r="C126" t="str">
        <f t="shared" si="1"/>
        <v>318308</v>
      </c>
      <c r="D126">
        <v>318308</v>
      </c>
      <c r="E126">
        <v>318308021</v>
      </c>
      <c r="F126" t="s">
        <v>1125</v>
      </c>
      <c r="G126" t="s">
        <v>314</v>
      </c>
      <c r="H126" t="s">
        <v>315</v>
      </c>
      <c r="I126" t="s">
        <v>82</v>
      </c>
      <c r="J126" t="s">
        <v>316</v>
      </c>
      <c r="K126" s="15" t="str">
        <f>VLOOKUP(I126,[2]LOOKUP!$A:$D,4,FALSE)</f>
        <v>CM</v>
      </c>
    </row>
    <row r="127" spans="1:11">
      <c r="A127" t="s">
        <v>634</v>
      </c>
      <c r="B127" t="s">
        <v>448</v>
      </c>
      <c r="C127" t="str">
        <f t="shared" si="1"/>
        <v>318308</v>
      </c>
      <c r="D127">
        <v>318308</v>
      </c>
      <c r="E127">
        <v>318308022</v>
      </c>
      <c r="F127" t="s">
        <v>1126</v>
      </c>
      <c r="G127" t="s">
        <v>314</v>
      </c>
      <c r="H127" t="s">
        <v>315</v>
      </c>
      <c r="I127" t="s">
        <v>82</v>
      </c>
      <c r="J127" t="s">
        <v>316</v>
      </c>
      <c r="K127" s="15" t="str">
        <f>VLOOKUP(I127,[2]LOOKUP!$A:$D,4,FALSE)</f>
        <v>CM</v>
      </c>
    </row>
    <row r="128" spans="1:11">
      <c r="A128" t="s">
        <v>634</v>
      </c>
      <c r="B128" t="s">
        <v>448</v>
      </c>
      <c r="C128" t="str">
        <f t="shared" si="1"/>
        <v>318308</v>
      </c>
      <c r="D128">
        <v>318308</v>
      </c>
      <c r="E128">
        <v>318308023</v>
      </c>
      <c r="F128" t="s">
        <v>1127</v>
      </c>
      <c r="G128" t="s">
        <v>314</v>
      </c>
      <c r="H128" t="s">
        <v>315</v>
      </c>
      <c r="I128" t="s">
        <v>82</v>
      </c>
      <c r="J128" t="s">
        <v>316</v>
      </c>
      <c r="K128" s="15" t="str">
        <f>VLOOKUP(I128,[2]LOOKUP!$A:$D,4,FALSE)</f>
        <v>CM</v>
      </c>
    </row>
    <row r="129" spans="1:11">
      <c r="A129" t="s">
        <v>634</v>
      </c>
      <c r="B129" t="s">
        <v>448</v>
      </c>
      <c r="C129" t="str">
        <f t="shared" si="1"/>
        <v>318308</v>
      </c>
      <c r="D129">
        <v>318308</v>
      </c>
      <c r="E129">
        <v>318308024</v>
      </c>
      <c r="F129" t="s">
        <v>1128</v>
      </c>
      <c r="G129" t="s">
        <v>314</v>
      </c>
      <c r="H129" t="s">
        <v>315</v>
      </c>
      <c r="I129" t="s">
        <v>82</v>
      </c>
      <c r="J129" t="s">
        <v>316</v>
      </c>
      <c r="K129" s="15" t="str">
        <f>VLOOKUP(I129,[2]LOOKUP!$A:$D,4,FALSE)</f>
        <v>CM</v>
      </c>
    </row>
    <row r="130" spans="1:11">
      <c r="A130" t="s">
        <v>1129</v>
      </c>
      <c r="B130">
        <v>3</v>
      </c>
      <c r="C130" t="str">
        <f t="shared" si="1"/>
        <v>317630</v>
      </c>
      <c r="D130">
        <v>999997</v>
      </c>
      <c r="E130">
        <v>317630001</v>
      </c>
      <c r="F130" t="s">
        <v>1105</v>
      </c>
      <c r="G130" t="s">
        <v>314</v>
      </c>
      <c r="H130" t="s">
        <v>315</v>
      </c>
      <c r="I130" t="s">
        <v>19</v>
      </c>
      <c r="J130" t="s">
        <v>316</v>
      </c>
      <c r="K130" s="15" t="str">
        <f>VLOOKUP(I130,[2]LOOKUP!$A:$D,4,FALSE)</f>
        <v>RM</v>
      </c>
    </row>
    <row r="131" spans="1:11">
      <c r="A131" t="s">
        <v>685</v>
      </c>
      <c r="B131">
        <v>3</v>
      </c>
      <c r="C131" t="str">
        <f t="shared" ref="C131:C194" si="2">LEFT(E131,6)</f>
        <v>317630</v>
      </c>
      <c r="D131">
        <v>317630</v>
      </c>
      <c r="E131">
        <v>317630002</v>
      </c>
      <c r="F131" t="s">
        <v>1106</v>
      </c>
      <c r="G131" t="s">
        <v>314</v>
      </c>
      <c r="H131" t="s">
        <v>315</v>
      </c>
      <c r="I131" t="s">
        <v>44</v>
      </c>
      <c r="J131" t="s">
        <v>316</v>
      </c>
      <c r="K131" s="15" t="str">
        <f>VLOOKUP(I131,[2]LOOKUP!$A:$D,4,FALSE)</f>
        <v>RM</v>
      </c>
    </row>
    <row r="132" spans="1:11">
      <c r="A132" t="s">
        <v>685</v>
      </c>
      <c r="B132">
        <v>3</v>
      </c>
      <c r="C132" t="str">
        <f t="shared" si="2"/>
        <v>317630</v>
      </c>
      <c r="D132">
        <v>317630</v>
      </c>
      <c r="E132">
        <v>317630003</v>
      </c>
      <c r="F132" t="s">
        <v>1107</v>
      </c>
      <c r="G132" t="s">
        <v>314</v>
      </c>
      <c r="H132" t="s">
        <v>315</v>
      </c>
      <c r="I132" t="s">
        <v>100</v>
      </c>
      <c r="J132" t="s">
        <v>316</v>
      </c>
      <c r="K132" s="15" t="str">
        <f>VLOOKUP(I132,[2]LOOKUP!$A:$D,4,FALSE)</f>
        <v>CM</v>
      </c>
    </row>
    <row r="133" spans="1:11">
      <c r="A133" t="s">
        <v>1129</v>
      </c>
      <c r="B133">
        <v>3</v>
      </c>
      <c r="C133" t="str">
        <f t="shared" si="2"/>
        <v>317630</v>
      </c>
      <c r="D133">
        <v>999997</v>
      </c>
      <c r="E133">
        <v>317630004</v>
      </c>
      <c r="F133" t="s">
        <v>1108</v>
      </c>
      <c r="G133" t="s">
        <v>314</v>
      </c>
      <c r="H133" t="s">
        <v>315</v>
      </c>
      <c r="I133" t="s">
        <v>19</v>
      </c>
      <c r="J133" t="s">
        <v>316</v>
      </c>
      <c r="K133" s="15" t="str">
        <f>VLOOKUP(I133,[2]LOOKUP!$A:$D,4,FALSE)</f>
        <v>RM</v>
      </c>
    </row>
    <row r="134" spans="1:11">
      <c r="A134" t="s">
        <v>685</v>
      </c>
      <c r="B134">
        <v>3</v>
      </c>
      <c r="C134" t="str">
        <f t="shared" si="2"/>
        <v>317630</v>
      </c>
      <c r="D134">
        <v>317630</v>
      </c>
      <c r="E134">
        <v>317630005</v>
      </c>
      <c r="F134" t="s">
        <v>1109</v>
      </c>
      <c r="G134" t="s">
        <v>314</v>
      </c>
      <c r="H134" t="s">
        <v>315</v>
      </c>
      <c r="I134" t="s">
        <v>100</v>
      </c>
      <c r="J134" t="s">
        <v>316</v>
      </c>
      <c r="K134" s="15" t="str">
        <f>VLOOKUP(I134,[2]LOOKUP!$A:$D,4,FALSE)</f>
        <v>CM</v>
      </c>
    </row>
    <row r="135" spans="1:11">
      <c r="A135" t="s">
        <v>685</v>
      </c>
      <c r="B135">
        <v>3</v>
      </c>
      <c r="C135" t="str">
        <f t="shared" si="2"/>
        <v>317630</v>
      </c>
      <c r="D135">
        <v>317630</v>
      </c>
      <c r="E135">
        <v>317630006</v>
      </c>
      <c r="F135" t="s">
        <v>1110</v>
      </c>
      <c r="G135" t="s">
        <v>314</v>
      </c>
      <c r="H135" t="s">
        <v>315</v>
      </c>
      <c r="I135" t="s">
        <v>100</v>
      </c>
      <c r="J135" t="s">
        <v>316</v>
      </c>
      <c r="K135" s="15" t="str">
        <f>VLOOKUP(I135,[2]LOOKUP!$A:$D,4,FALSE)</f>
        <v>CM</v>
      </c>
    </row>
    <row r="136" spans="1:11">
      <c r="A136" t="s">
        <v>1129</v>
      </c>
      <c r="B136">
        <v>3</v>
      </c>
      <c r="C136" t="str">
        <f t="shared" si="2"/>
        <v>317630</v>
      </c>
      <c r="D136">
        <v>999997</v>
      </c>
      <c r="E136">
        <v>317630007</v>
      </c>
      <c r="F136" t="s">
        <v>1111</v>
      </c>
      <c r="G136" t="s">
        <v>314</v>
      </c>
      <c r="H136" t="s">
        <v>315</v>
      </c>
      <c r="I136" t="s">
        <v>19</v>
      </c>
      <c r="J136" t="s">
        <v>316</v>
      </c>
      <c r="K136" s="15" t="str">
        <f>VLOOKUP(I136,[2]LOOKUP!$A:$D,4,FALSE)</f>
        <v>RM</v>
      </c>
    </row>
    <row r="137" spans="1:11">
      <c r="A137" t="s">
        <v>685</v>
      </c>
      <c r="B137">
        <v>3</v>
      </c>
      <c r="C137" t="str">
        <f t="shared" si="2"/>
        <v>317630</v>
      </c>
      <c r="D137">
        <v>317630</v>
      </c>
      <c r="E137">
        <v>317630008</v>
      </c>
      <c r="F137" t="s">
        <v>1112</v>
      </c>
      <c r="G137" t="s">
        <v>314</v>
      </c>
      <c r="H137" t="s">
        <v>315</v>
      </c>
      <c r="I137" t="s">
        <v>100</v>
      </c>
      <c r="J137" t="s">
        <v>316</v>
      </c>
      <c r="K137" s="15" t="str">
        <f>VLOOKUP(I137,[2]LOOKUP!$A:$D,4,FALSE)</f>
        <v>CM</v>
      </c>
    </row>
    <row r="138" spans="1:11">
      <c r="A138" t="s">
        <v>1129</v>
      </c>
      <c r="B138">
        <v>3</v>
      </c>
      <c r="C138" t="str">
        <f t="shared" si="2"/>
        <v>317630</v>
      </c>
      <c r="D138">
        <v>999997</v>
      </c>
      <c r="E138">
        <v>317630009</v>
      </c>
      <c r="F138" t="s">
        <v>1113</v>
      </c>
      <c r="G138" t="s">
        <v>314</v>
      </c>
      <c r="H138" t="s">
        <v>315</v>
      </c>
      <c r="I138" t="s">
        <v>19</v>
      </c>
      <c r="J138" t="s">
        <v>316</v>
      </c>
      <c r="K138" s="15" t="str">
        <f>VLOOKUP(I138,[2]LOOKUP!$A:$D,4,FALSE)</f>
        <v>RM</v>
      </c>
    </row>
    <row r="139" spans="1:11">
      <c r="A139" t="s">
        <v>685</v>
      </c>
      <c r="B139">
        <v>3</v>
      </c>
      <c r="C139" t="str">
        <f t="shared" si="2"/>
        <v>317630</v>
      </c>
      <c r="D139">
        <v>317630</v>
      </c>
      <c r="E139">
        <v>317630010</v>
      </c>
      <c r="F139" t="s">
        <v>1114</v>
      </c>
      <c r="G139" t="s">
        <v>314</v>
      </c>
      <c r="H139" t="s">
        <v>315</v>
      </c>
      <c r="I139" t="s">
        <v>100</v>
      </c>
      <c r="J139" t="s">
        <v>316</v>
      </c>
      <c r="K139" s="15" t="str">
        <f>VLOOKUP(I139,[2]LOOKUP!$A:$D,4,FALSE)</f>
        <v>CM</v>
      </c>
    </row>
    <row r="140" spans="1:11">
      <c r="A140" t="s">
        <v>1129</v>
      </c>
      <c r="B140">
        <v>3</v>
      </c>
      <c r="C140" t="str">
        <f t="shared" si="2"/>
        <v>317630</v>
      </c>
      <c r="D140">
        <v>999997</v>
      </c>
      <c r="E140">
        <v>317630011</v>
      </c>
      <c r="F140" t="s">
        <v>1115</v>
      </c>
      <c r="G140" t="s">
        <v>314</v>
      </c>
      <c r="H140" t="s">
        <v>315</v>
      </c>
      <c r="I140" t="s">
        <v>19</v>
      </c>
      <c r="J140" t="s">
        <v>316</v>
      </c>
      <c r="K140" s="15" t="str">
        <f>VLOOKUP(I140,[2]LOOKUP!$A:$D,4,FALSE)</f>
        <v>RM</v>
      </c>
    </row>
    <row r="141" spans="1:11">
      <c r="A141" t="s">
        <v>685</v>
      </c>
      <c r="B141">
        <v>3</v>
      </c>
      <c r="C141" t="str">
        <f t="shared" si="2"/>
        <v>317630</v>
      </c>
      <c r="D141">
        <v>317630</v>
      </c>
      <c r="E141">
        <v>317630012</v>
      </c>
      <c r="F141" t="s">
        <v>1116</v>
      </c>
      <c r="G141" t="s">
        <v>314</v>
      </c>
      <c r="H141" t="s">
        <v>315</v>
      </c>
      <c r="I141" t="s">
        <v>55</v>
      </c>
      <c r="J141" t="s">
        <v>316</v>
      </c>
      <c r="K141" s="15" t="str">
        <f>VLOOKUP(I141,[2]LOOKUP!$A:$D,4,FALSE)</f>
        <v>RM</v>
      </c>
    </row>
    <row r="142" spans="1:11">
      <c r="A142" t="s">
        <v>685</v>
      </c>
      <c r="B142">
        <v>3</v>
      </c>
      <c r="C142" t="str">
        <f t="shared" si="2"/>
        <v>317630</v>
      </c>
      <c r="D142">
        <v>317630</v>
      </c>
      <c r="E142">
        <v>317630013</v>
      </c>
      <c r="F142" t="s">
        <v>1117</v>
      </c>
      <c r="G142" t="s">
        <v>314</v>
      </c>
      <c r="H142" t="s">
        <v>315</v>
      </c>
      <c r="I142" t="s">
        <v>44</v>
      </c>
      <c r="J142" t="s">
        <v>316</v>
      </c>
      <c r="K142" s="15" t="str">
        <f>VLOOKUP(I142,[2]LOOKUP!$A:$D,4,FALSE)</f>
        <v>RM</v>
      </c>
    </row>
    <row r="143" spans="1:11">
      <c r="A143" t="s">
        <v>685</v>
      </c>
      <c r="B143">
        <v>3</v>
      </c>
      <c r="C143" t="str">
        <f t="shared" si="2"/>
        <v>317630</v>
      </c>
      <c r="D143">
        <v>317630</v>
      </c>
      <c r="E143">
        <v>317630014</v>
      </c>
      <c r="F143" t="s">
        <v>1118</v>
      </c>
      <c r="G143" t="s">
        <v>314</v>
      </c>
      <c r="H143" t="s">
        <v>315</v>
      </c>
      <c r="I143" t="s">
        <v>100</v>
      </c>
      <c r="J143" t="s">
        <v>316</v>
      </c>
      <c r="K143" s="15" t="str">
        <f>VLOOKUP(I143,[2]LOOKUP!$A:$D,4,FALSE)</f>
        <v>CM</v>
      </c>
    </row>
    <row r="144" spans="1:11">
      <c r="A144" t="s">
        <v>685</v>
      </c>
      <c r="B144">
        <v>3</v>
      </c>
      <c r="C144" t="str">
        <f t="shared" si="2"/>
        <v>317630</v>
      </c>
      <c r="D144">
        <v>317630</v>
      </c>
      <c r="E144">
        <v>317630015</v>
      </c>
      <c r="F144" t="s">
        <v>1119</v>
      </c>
      <c r="G144" t="s">
        <v>314</v>
      </c>
      <c r="H144" t="s">
        <v>315</v>
      </c>
      <c r="I144" t="s">
        <v>100</v>
      </c>
      <c r="J144" t="s">
        <v>316</v>
      </c>
      <c r="K144" s="15" t="str">
        <f>VLOOKUP(I144,[2]LOOKUP!$A:$D,4,FALSE)</f>
        <v>CM</v>
      </c>
    </row>
    <row r="145" spans="1:11">
      <c r="A145" t="s">
        <v>685</v>
      </c>
      <c r="B145">
        <v>3</v>
      </c>
      <c r="C145" t="str">
        <f t="shared" si="2"/>
        <v>317630</v>
      </c>
      <c r="D145">
        <v>317630</v>
      </c>
      <c r="E145">
        <v>317630016</v>
      </c>
      <c r="F145" t="s">
        <v>1120</v>
      </c>
      <c r="G145" t="s">
        <v>314</v>
      </c>
      <c r="H145" t="s">
        <v>315</v>
      </c>
      <c r="I145" t="s">
        <v>100</v>
      </c>
      <c r="J145" t="s">
        <v>316</v>
      </c>
      <c r="K145" s="15" t="str">
        <f>VLOOKUP(I145,[2]LOOKUP!$A:$D,4,FALSE)</f>
        <v>CM</v>
      </c>
    </row>
    <row r="146" spans="1:11">
      <c r="A146" t="s">
        <v>685</v>
      </c>
      <c r="B146">
        <v>3</v>
      </c>
      <c r="C146" t="str">
        <f t="shared" si="2"/>
        <v>317630</v>
      </c>
      <c r="D146">
        <v>317630</v>
      </c>
      <c r="E146">
        <v>317630017</v>
      </c>
      <c r="F146" t="s">
        <v>1121</v>
      </c>
      <c r="G146" t="s">
        <v>314</v>
      </c>
      <c r="H146" t="s">
        <v>315</v>
      </c>
      <c r="I146" t="s">
        <v>58</v>
      </c>
      <c r="J146" t="s">
        <v>316</v>
      </c>
      <c r="K146" s="15" t="str">
        <f>VLOOKUP(I146,[2]LOOKUP!$A:$D,4,FALSE)</f>
        <v>CM</v>
      </c>
    </row>
    <row r="147" spans="1:11">
      <c r="A147" t="s">
        <v>685</v>
      </c>
      <c r="B147">
        <v>3</v>
      </c>
      <c r="C147" t="str">
        <f t="shared" si="2"/>
        <v>317630</v>
      </c>
      <c r="D147">
        <v>317630</v>
      </c>
      <c r="E147">
        <v>317630018</v>
      </c>
      <c r="F147" t="s">
        <v>1122</v>
      </c>
      <c r="G147" t="s">
        <v>314</v>
      </c>
      <c r="H147" t="s">
        <v>315</v>
      </c>
      <c r="I147" t="s">
        <v>100</v>
      </c>
      <c r="J147" t="s">
        <v>316</v>
      </c>
      <c r="K147" s="15" t="str">
        <f>VLOOKUP(I147,[2]LOOKUP!$A:$D,4,FALSE)</f>
        <v>CM</v>
      </c>
    </row>
    <row r="148" spans="1:11">
      <c r="A148" t="s">
        <v>1129</v>
      </c>
      <c r="B148">
        <v>3</v>
      </c>
      <c r="C148" t="str">
        <f t="shared" si="2"/>
        <v>317630</v>
      </c>
      <c r="D148">
        <v>999997</v>
      </c>
      <c r="E148">
        <v>317630019</v>
      </c>
      <c r="F148" t="s">
        <v>1123</v>
      </c>
      <c r="G148" t="s">
        <v>314</v>
      </c>
      <c r="H148" t="s">
        <v>315</v>
      </c>
      <c r="I148" t="s">
        <v>19</v>
      </c>
      <c r="J148" t="s">
        <v>316</v>
      </c>
      <c r="K148" s="15" t="str">
        <f>VLOOKUP(I148,[2]LOOKUP!$A:$D,4,FALSE)</f>
        <v>RM</v>
      </c>
    </row>
    <row r="149" spans="1:11">
      <c r="A149" t="s">
        <v>685</v>
      </c>
      <c r="B149">
        <v>3</v>
      </c>
      <c r="C149" t="str">
        <f t="shared" si="2"/>
        <v>317630</v>
      </c>
      <c r="D149">
        <v>317630</v>
      </c>
      <c r="E149">
        <v>317630020</v>
      </c>
      <c r="F149" t="s">
        <v>1124</v>
      </c>
      <c r="G149" t="s">
        <v>314</v>
      </c>
      <c r="H149" t="s">
        <v>315</v>
      </c>
      <c r="I149" t="s">
        <v>100</v>
      </c>
      <c r="J149" t="s">
        <v>316</v>
      </c>
      <c r="K149" s="15" t="str">
        <f>VLOOKUP(I149,[2]LOOKUP!$A:$D,4,FALSE)</f>
        <v>CM</v>
      </c>
    </row>
    <row r="150" spans="1:11">
      <c r="A150" t="s">
        <v>685</v>
      </c>
      <c r="B150">
        <v>3</v>
      </c>
      <c r="C150" t="str">
        <f t="shared" si="2"/>
        <v>317630</v>
      </c>
      <c r="D150">
        <v>317630</v>
      </c>
      <c r="E150">
        <v>317630021</v>
      </c>
      <c r="F150" t="s">
        <v>1125</v>
      </c>
      <c r="G150" t="s">
        <v>314</v>
      </c>
      <c r="H150" t="s">
        <v>315</v>
      </c>
      <c r="I150" t="s">
        <v>100</v>
      </c>
      <c r="J150" t="s">
        <v>316</v>
      </c>
      <c r="K150" s="15" t="str">
        <f>VLOOKUP(I150,[2]LOOKUP!$A:$D,4,FALSE)</f>
        <v>CM</v>
      </c>
    </row>
    <row r="151" spans="1:11">
      <c r="A151" t="s">
        <v>685</v>
      </c>
      <c r="B151">
        <v>3</v>
      </c>
      <c r="C151" t="str">
        <f t="shared" si="2"/>
        <v>317630</v>
      </c>
      <c r="D151">
        <v>317630</v>
      </c>
      <c r="E151">
        <v>317630022</v>
      </c>
      <c r="F151" t="s">
        <v>1126</v>
      </c>
      <c r="G151" t="s">
        <v>314</v>
      </c>
      <c r="H151" t="s">
        <v>315</v>
      </c>
      <c r="I151" t="s">
        <v>55</v>
      </c>
      <c r="J151" t="s">
        <v>316</v>
      </c>
      <c r="K151" s="15" t="str">
        <f>VLOOKUP(I151,[2]LOOKUP!$A:$D,4,FALSE)</f>
        <v>RM</v>
      </c>
    </row>
    <row r="152" spans="1:11">
      <c r="A152" t="s">
        <v>685</v>
      </c>
      <c r="B152">
        <v>3</v>
      </c>
      <c r="C152" t="str">
        <f t="shared" si="2"/>
        <v>317630</v>
      </c>
      <c r="D152">
        <v>317630</v>
      </c>
      <c r="E152">
        <v>317630023</v>
      </c>
      <c r="F152" t="s">
        <v>1127</v>
      </c>
      <c r="G152" t="s">
        <v>314</v>
      </c>
      <c r="H152" t="s">
        <v>315</v>
      </c>
      <c r="I152" t="s">
        <v>44</v>
      </c>
      <c r="J152" t="s">
        <v>316</v>
      </c>
      <c r="K152" s="15" t="str">
        <f>VLOOKUP(I152,[2]LOOKUP!$A:$D,4,FALSE)</f>
        <v>RM</v>
      </c>
    </row>
    <row r="153" spans="1:11">
      <c r="A153" t="s">
        <v>685</v>
      </c>
      <c r="B153">
        <v>3</v>
      </c>
      <c r="C153" t="str">
        <f t="shared" si="2"/>
        <v>317630</v>
      </c>
      <c r="D153">
        <v>317630</v>
      </c>
      <c r="E153">
        <v>317630024</v>
      </c>
      <c r="F153" t="s">
        <v>1128</v>
      </c>
      <c r="G153" t="s">
        <v>314</v>
      </c>
      <c r="H153" t="s">
        <v>315</v>
      </c>
      <c r="I153" t="s">
        <v>100</v>
      </c>
      <c r="J153" t="s">
        <v>316</v>
      </c>
      <c r="K153" s="15" t="str">
        <f>VLOOKUP(I153,[2]LOOKUP!$A:$D,4,FALSE)</f>
        <v>CM</v>
      </c>
    </row>
    <row r="154" spans="1:11">
      <c r="A154" t="s">
        <v>1130</v>
      </c>
      <c r="B154" t="s">
        <v>448</v>
      </c>
      <c r="C154" t="str">
        <f t="shared" si="2"/>
        <v>318310</v>
      </c>
      <c r="D154">
        <v>318310</v>
      </c>
      <c r="E154">
        <v>318310001</v>
      </c>
      <c r="F154" t="s">
        <v>1131</v>
      </c>
      <c r="G154" t="s">
        <v>314</v>
      </c>
      <c r="H154" t="s">
        <v>315</v>
      </c>
      <c r="I154" t="s">
        <v>82</v>
      </c>
      <c r="J154" t="s">
        <v>316</v>
      </c>
      <c r="K154" s="15" t="str">
        <f>VLOOKUP(I154,[2]LOOKUP!$A:$D,4,FALSE)</f>
        <v>CM</v>
      </c>
    </row>
    <row r="155" spans="1:11">
      <c r="A155" t="s">
        <v>1130</v>
      </c>
      <c r="B155" t="s">
        <v>448</v>
      </c>
      <c r="C155" t="str">
        <f t="shared" si="2"/>
        <v>318310</v>
      </c>
      <c r="D155">
        <v>318310</v>
      </c>
      <c r="E155">
        <v>318310002</v>
      </c>
      <c r="F155" t="s">
        <v>1132</v>
      </c>
      <c r="G155" t="s">
        <v>314</v>
      </c>
      <c r="H155" t="s">
        <v>315</v>
      </c>
      <c r="I155" t="s">
        <v>82</v>
      </c>
      <c r="J155" t="s">
        <v>316</v>
      </c>
      <c r="K155" s="15" t="str">
        <f>VLOOKUP(I155,[2]LOOKUP!$A:$D,4,FALSE)</f>
        <v>CM</v>
      </c>
    </row>
    <row r="156" spans="1:11">
      <c r="A156" t="s">
        <v>1130</v>
      </c>
      <c r="B156" t="s">
        <v>448</v>
      </c>
      <c r="C156" t="str">
        <f t="shared" si="2"/>
        <v>318310</v>
      </c>
      <c r="D156">
        <v>318310</v>
      </c>
      <c r="E156">
        <v>318310003</v>
      </c>
      <c r="F156" t="s">
        <v>1133</v>
      </c>
      <c r="G156" t="s">
        <v>314</v>
      </c>
      <c r="H156" t="s">
        <v>315</v>
      </c>
      <c r="I156" t="s">
        <v>82</v>
      </c>
      <c r="J156" t="s">
        <v>316</v>
      </c>
      <c r="K156" s="15" t="str">
        <f>VLOOKUP(I156,[2]LOOKUP!$A:$D,4,FALSE)</f>
        <v>CM</v>
      </c>
    </row>
    <row r="157" spans="1:11">
      <c r="A157" t="s">
        <v>1130</v>
      </c>
      <c r="B157" t="s">
        <v>448</v>
      </c>
      <c r="C157" t="str">
        <f t="shared" si="2"/>
        <v>318310</v>
      </c>
      <c r="D157">
        <v>318310</v>
      </c>
      <c r="E157">
        <v>318310004</v>
      </c>
      <c r="F157" t="s">
        <v>1134</v>
      </c>
      <c r="G157" t="s">
        <v>314</v>
      </c>
      <c r="H157" t="s">
        <v>315</v>
      </c>
      <c r="I157" t="s">
        <v>82</v>
      </c>
      <c r="J157" t="s">
        <v>316</v>
      </c>
      <c r="K157" s="15" t="str">
        <f>VLOOKUP(I157,[2]LOOKUP!$A:$D,4,FALSE)</f>
        <v>CM</v>
      </c>
    </row>
    <row r="158" spans="1:11">
      <c r="A158" t="s">
        <v>1130</v>
      </c>
      <c r="B158" t="s">
        <v>448</v>
      </c>
      <c r="C158" t="str">
        <f t="shared" si="2"/>
        <v>318310</v>
      </c>
      <c r="D158">
        <v>318310</v>
      </c>
      <c r="E158">
        <v>318310005</v>
      </c>
      <c r="F158" t="s">
        <v>1135</v>
      </c>
      <c r="G158" t="s">
        <v>314</v>
      </c>
      <c r="H158" t="s">
        <v>315</v>
      </c>
      <c r="I158" t="s">
        <v>82</v>
      </c>
      <c r="J158" t="s">
        <v>316</v>
      </c>
      <c r="K158" s="15" t="str">
        <f>VLOOKUP(I158,[2]LOOKUP!$A:$D,4,FALSE)</f>
        <v>CM</v>
      </c>
    </row>
    <row r="159" spans="1:11">
      <c r="A159" t="s">
        <v>1130</v>
      </c>
      <c r="B159" t="s">
        <v>448</v>
      </c>
      <c r="C159" t="str">
        <f t="shared" si="2"/>
        <v>318310</v>
      </c>
      <c r="D159">
        <v>318310</v>
      </c>
      <c r="E159">
        <v>318310006</v>
      </c>
      <c r="F159" t="s">
        <v>1136</v>
      </c>
      <c r="G159" t="s">
        <v>314</v>
      </c>
      <c r="H159" t="s">
        <v>315</v>
      </c>
      <c r="I159" t="s">
        <v>82</v>
      </c>
      <c r="J159" t="s">
        <v>316</v>
      </c>
      <c r="K159" s="15" t="str">
        <f>VLOOKUP(I159,[2]LOOKUP!$A:$D,4,FALSE)</f>
        <v>CM</v>
      </c>
    </row>
    <row r="160" spans="1:11">
      <c r="A160" t="s">
        <v>1130</v>
      </c>
      <c r="B160" t="s">
        <v>448</v>
      </c>
      <c r="C160" t="str">
        <f t="shared" si="2"/>
        <v>318310</v>
      </c>
      <c r="D160">
        <v>318310</v>
      </c>
      <c r="E160">
        <v>318310007</v>
      </c>
      <c r="F160" t="s">
        <v>1137</v>
      </c>
      <c r="G160" t="s">
        <v>314</v>
      </c>
      <c r="H160" t="s">
        <v>315</v>
      </c>
      <c r="I160" t="s">
        <v>82</v>
      </c>
      <c r="J160" t="s">
        <v>316</v>
      </c>
      <c r="K160" s="15" t="str">
        <f>VLOOKUP(I160,[2]LOOKUP!$A:$D,4,FALSE)</f>
        <v>CM</v>
      </c>
    </row>
    <row r="161" spans="1:11">
      <c r="A161" t="s">
        <v>1130</v>
      </c>
      <c r="B161" t="s">
        <v>448</v>
      </c>
      <c r="C161" t="str">
        <f t="shared" si="2"/>
        <v>318310</v>
      </c>
      <c r="D161">
        <v>318310</v>
      </c>
      <c r="E161">
        <v>318310008</v>
      </c>
      <c r="F161" t="s">
        <v>1138</v>
      </c>
      <c r="G161" t="s">
        <v>314</v>
      </c>
      <c r="H161" t="s">
        <v>315</v>
      </c>
      <c r="I161" t="s">
        <v>82</v>
      </c>
      <c r="J161" t="s">
        <v>316</v>
      </c>
      <c r="K161" s="15" t="str">
        <f>VLOOKUP(I161,[2]LOOKUP!$A:$D,4,FALSE)</f>
        <v>CM</v>
      </c>
    </row>
    <row r="162" spans="1:11">
      <c r="A162" t="s">
        <v>1130</v>
      </c>
      <c r="B162" t="s">
        <v>448</v>
      </c>
      <c r="C162" t="str">
        <f t="shared" si="2"/>
        <v>318310</v>
      </c>
      <c r="D162">
        <v>318310</v>
      </c>
      <c r="E162">
        <v>318310009</v>
      </c>
      <c r="F162" t="s">
        <v>1139</v>
      </c>
      <c r="G162" t="s">
        <v>314</v>
      </c>
      <c r="H162" t="s">
        <v>315</v>
      </c>
      <c r="I162" t="s">
        <v>82</v>
      </c>
      <c r="J162" t="s">
        <v>316</v>
      </c>
      <c r="K162" s="15" t="str">
        <f>VLOOKUP(I162,[2]LOOKUP!$A:$D,4,FALSE)</f>
        <v>CM</v>
      </c>
    </row>
    <row r="163" spans="1:11">
      <c r="A163" t="s">
        <v>1130</v>
      </c>
      <c r="B163" t="s">
        <v>448</v>
      </c>
      <c r="C163" t="str">
        <f t="shared" si="2"/>
        <v>318310</v>
      </c>
      <c r="D163">
        <v>318310</v>
      </c>
      <c r="E163">
        <v>318310010</v>
      </c>
      <c r="F163" t="s">
        <v>1140</v>
      </c>
      <c r="G163" t="s">
        <v>314</v>
      </c>
      <c r="H163" t="s">
        <v>315</v>
      </c>
      <c r="I163" t="s">
        <v>82</v>
      </c>
      <c r="J163" t="s">
        <v>316</v>
      </c>
      <c r="K163" s="15" t="str">
        <f>VLOOKUP(I163,[2]LOOKUP!$A:$D,4,FALSE)</f>
        <v>CM</v>
      </c>
    </row>
    <row r="164" spans="1:11">
      <c r="A164" t="s">
        <v>1130</v>
      </c>
      <c r="B164" t="s">
        <v>448</v>
      </c>
      <c r="C164" t="str">
        <f t="shared" si="2"/>
        <v>318310</v>
      </c>
      <c r="D164">
        <v>318310</v>
      </c>
      <c r="E164">
        <v>318310011</v>
      </c>
      <c r="F164" t="s">
        <v>1141</v>
      </c>
      <c r="G164" t="s">
        <v>314</v>
      </c>
      <c r="H164" t="s">
        <v>315</v>
      </c>
      <c r="I164" t="s">
        <v>82</v>
      </c>
      <c r="J164" t="s">
        <v>316</v>
      </c>
      <c r="K164" s="15" t="str">
        <f>VLOOKUP(I164,[2]LOOKUP!$A:$D,4,FALSE)</f>
        <v>CM</v>
      </c>
    </row>
    <row r="165" spans="1:11">
      <c r="A165" t="s">
        <v>1130</v>
      </c>
      <c r="B165" t="s">
        <v>448</v>
      </c>
      <c r="C165" t="str">
        <f t="shared" si="2"/>
        <v>318310</v>
      </c>
      <c r="D165">
        <v>318310</v>
      </c>
      <c r="E165">
        <v>318310012</v>
      </c>
      <c r="F165" t="s">
        <v>1142</v>
      </c>
      <c r="G165" t="s">
        <v>314</v>
      </c>
      <c r="H165" t="s">
        <v>315</v>
      </c>
      <c r="I165" t="s">
        <v>82</v>
      </c>
      <c r="J165" t="s">
        <v>316</v>
      </c>
      <c r="K165" s="15" t="str">
        <f>VLOOKUP(I165,[2]LOOKUP!$A:$D,4,FALSE)</f>
        <v>CM</v>
      </c>
    </row>
    <row r="166" spans="1:11">
      <c r="A166" t="s">
        <v>1130</v>
      </c>
      <c r="B166" t="s">
        <v>448</v>
      </c>
      <c r="C166" t="str">
        <f t="shared" si="2"/>
        <v>318310</v>
      </c>
      <c r="D166">
        <v>318310</v>
      </c>
      <c r="E166">
        <v>318310013</v>
      </c>
      <c r="F166" t="s">
        <v>1143</v>
      </c>
      <c r="G166" t="s">
        <v>314</v>
      </c>
      <c r="H166" t="s">
        <v>315</v>
      </c>
      <c r="I166" t="s">
        <v>82</v>
      </c>
      <c r="J166" t="s">
        <v>316</v>
      </c>
      <c r="K166" s="15" t="str">
        <f>VLOOKUP(I166,[2]LOOKUP!$A:$D,4,FALSE)</f>
        <v>CM</v>
      </c>
    </row>
    <row r="167" spans="1:11">
      <c r="A167" t="s">
        <v>1130</v>
      </c>
      <c r="B167" t="s">
        <v>448</v>
      </c>
      <c r="C167" t="str">
        <f t="shared" si="2"/>
        <v>318310</v>
      </c>
      <c r="D167">
        <v>318310</v>
      </c>
      <c r="E167">
        <v>318310014</v>
      </c>
      <c r="F167" t="s">
        <v>1144</v>
      </c>
      <c r="G167" t="s">
        <v>314</v>
      </c>
      <c r="H167" t="s">
        <v>315</v>
      </c>
      <c r="I167" t="s">
        <v>82</v>
      </c>
      <c r="J167" t="s">
        <v>316</v>
      </c>
      <c r="K167" s="15" t="str">
        <f>VLOOKUP(I167,[2]LOOKUP!$A:$D,4,FALSE)</f>
        <v>CM</v>
      </c>
    </row>
    <row r="168" spans="1:11">
      <c r="A168" t="s">
        <v>1130</v>
      </c>
      <c r="B168" t="s">
        <v>448</v>
      </c>
      <c r="C168" t="str">
        <f t="shared" si="2"/>
        <v>318310</v>
      </c>
      <c r="D168">
        <v>318310</v>
      </c>
      <c r="E168">
        <v>318310015</v>
      </c>
      <c r="F168" t="s">
        <v>1145</v>
      </c>
      <c r="G168" t="s">
        <v>314</v>
      </c>
      <c r="H168" t="s">
        <v>315</v>
      </c>
      <c r="I168" t="s">
        <v>82</v>
      </c>
      <c r="J168" t="s">
        <v>316</v>
      </c>
      <c r="K168" s="15" t="str">
        <f>VLOOKUP(I168,[2]LOOKUP!$A:$D,4,FALSE)</f>
        <v>CM</v>
      </c>
    </row>
    <row r="169" spans="1:11">
      <c r="A169" t="s">
        <v>1130</v>
      </c>
      <c r="B169" t="s">
        <v>448</v>
      </c>
      <c r="C169" t="str">
        <f t="shared" si="2"/>
        <v>318310</v>
      </c>
      <c r="D169">
        <v>318310</v>
      </c>
      <c r="E169">
        <v>318310016</v>
      </c>
      <c r="F169" t="s">
        <v>1146</v>
      </c>
      <c r="G169" t="s">
        <v>314</v>
      </c>
      <c r="H169" t="s">
        <v>315</v>
      </c>
      <c r="I169" t="s">
        <v>82</v>
      </c>
      <c r="J169" t="s">
        <v>316</v>
      </c>
      <c r="K169" s="15" t="str">
        <f>VLOOKUP(I169,[2]LOOKUP!$A:$D,4,FALSE)</f>
        <v>CM</v>
      </c>
    </row>
    <row r="170" spans="1:11">
      <c r="A170" t="s">
        <v>1130</v>
      </c>
      <c r="B170" t="s">
        <v>448</v>
      </c>
      <c r="C170" t="str">
        <f t="shared" si="2"/>
        <v>318310</v>
      </c>
      <c r="D170">
        <v>318310</v>
      </c>
      <c r="E170">
        <v>318310017</v>
      </c>
      <c r="F170" t="s">
        <v>1147</v>
      </c>
      <c r="G170" t="s">
        <v>314</v>
      </c>
      <c r="H170" t="s">
        <v>315</v>
      </c>
      <c r="I170" t="s">
        <v>82</v>
      </c>
      <c r="J170" t="s">
        <v>316</v>
      </c>
      <c r="K170" s="15" t="str">
        <f>VLOOKUP(I170,[2]LOOKUP!$A:$D,4,FALSE)</f>
        <v>CM</v>
      </c>
    </row>
    <row r="171" spans="1:11">
      <c r="A171" t="s">
        <v>1130</v>
      </c>
      <c r="B171" t="s">
        <v>448</v>
      </c>
      <c r="C171" t="str">
        <f t="shared" si="2"/>
        <v>318310</v>
      </c>
      <c r="D171">
        <v>318310</v>
      </c>
      <c r="E171">
        <v>318310018</v>
      </c>
      <c r="F171" t="s">
        <v>1148</v>
      </c>
      <c r="G171" t="s">
        <v>314</v>
      </c>
      <c r="H171" t="s">
        <v>315</v>
      </c>
      <c r="I171" t="s">
        <v>82</v>
      </c>
      <c r="J171" t="s">
        <v>316</v>
      </c>
      <c r="K171" s="15" t="str">
        <f>VLOOKUP(I171,[2]LOOKUP!$A:$D,4,FALSE)</f>
        <v>CM</v>
      </c>
    </row>
    <row r="172" spans="1:11">
      <c r="A172" t="s">
        <v>1130</v>
      </c>
      <c r="B172" t="s">
        <v>448</v>
      </c>
      <c r="C172" t="str">
        <f t="shared" si="2"/>
        <v>318310</v>
      </c>
      <c r="D172">
        <v>318310</v>
      </c>
      <c r="E172">
        <v>318310019</v>
      </c>
      <c r="F172" t="s">
        <v>1149</v>
      </c>
      <c r="G172" t="s">
        <v>314</v>
      </c>
      <c r="H172" t="s">
        <v>315</v>
      </c>
      <c r="I172" t="s">
        <v>82</v>
      </c>
      <c r="J172" t="s">
        <v>316</v>
      </c>
      <c r="K172" s="15" t="str">
        <f>VLOOKUP(I172,[2]LOOKUP!$A:$D,4,FALSE)</f>
        <v>CM</v>
      </c>
    </row>
    <row r="173" spans="1:11">
      <c r="A173" t="s">
        <v>1130</v>
      </c>
      <c r="B173" t="s">
        <v>448</v>
      </c>
      <c r="C173" t="str">
        <f t="shared" si="2"/>
        <v>318310</v>
      </c>
      <c r="D173">
        <v>318310</v>
      </c>
      <c r="E173">
        <v>318310020</v>
      </c>
      <c r="F173" t="s">
        <v>1150</v>
      </c>
      <c r="G173" t="s">
        <v>314</v>
      </c>
      <c r="H173" t="s">
        <v>315</v>
      </c>
      <c r="I173" t="s">
        <v>82</v>
      </c>
      <c r="J173" t="s">
        <v>316</v>
      </c>
      <c r="K173" s="15" t="str">
        <f>VLOOKUP(I173,[2]LOOKUP!$A:$D,4,FALSE)</f>
        <v>CM</v>
      </c>
    </row>
    <row r="174" spans="1:11">
      <c r="A174" t="s">
        <v>1130</v>
      </c>
      <c r="B174" t="s">
        <v>448</v>
      </c>
      <c r="C174" t="str">
        <f t="shared" si="2"/>
        <v>318310</v>
      </c>
      <c r="D174">
        <v>318310</v>
      </c>
      <c r="E174">
        <v>318310021</v>
      </c>
      <c r="F174" t="s">
        <v>1151</v>
      </c>
      <c r="G174" t="s">
        <v>314</v>
      </c>
      <c r="H174" t="s">
        <v>315</v>
      </c>
      <c r="I174" t="s">
        <v>82</v>
      </c>
      <c r="J174" t="s">
        <v>316</v>
      </c>
      <c r="K174" s="15" t="str">
        <f>VLOOKUP(I174,[2]LOOKUP!$A:$D,4,FALSE)</f>
        <v>CM</v>
      </c>
    </row>
    <row r="175" spans="1:11">
      <c r="A175" t="s">
        <v>1130</v>
      </c>
      <c r="B175" t="s">
        <v>448</v>
      </c>
      <c r="C175" t="str">
        <f t="shared" si="2"/>
        <v>318310</v>
      </c>
      <c r="D175">
        <v>318310</v>
      </c>
      <c r="E175">
        <v>318310022</v>
      </c>
      <c r="F175" t="s">
        <v>1152</v>
      </c>
      <c r="G175" t="s">
        <v>314</v>
      </c>
      <c r="H175" t="s">
        <v>315</v>
      </c>
      <c r="I175" t="s">
        <v>82</v>
      </c>
      <c r="J175" t="s">
        <v>316</v>
      </c>
      <c r="K175" s="15" t="str">
        <f>VLOOKUP(I175,[2]LOOKUP!$A:$D,4,FALSE)</f>
        <v>CM</v>
      </c>
    </row>
    <row r="176" spans="1:11">
      <c r="A176" t="s">
        <v>1130</v>
      </c>
      <c r="B176" t="s">
        <v>448</v>
      </c>
      <c r="C176" t="str">
        <f t="shared" si="2"/>
        <v>318310</v>
      </c>
      <c r="D176">
        <v>318310</v>
      </c>
      <c r="E176">
        <v>318310023</v>
      </c>
      <c r="F176" t="s">
        <v>1153</v>
      </c>
      <c r="G176" t="s">
        <v>314</v>
      </c>
      <c r="H176" t="s">
        <v>315</v>
      </c>
      <c r="I176" t="s">
        <v>82</v>
      </c>
      <c r="J176" t="s">
        <v>316</v>
      </c>
      <c r="K176" s="15" t="str">
        <f>VLOOKUP(I176,[2]LOOKUP!$A:$D,4,FALSE)</f>
        <v>CM</v>
      </c>
    </row>
    <row r="177" spans="1:11">
      <c r="A177" t="s">
        <v>1130</v>
      </c>
      <c r="B177" t="s">
        <v>448</v>
      </c>
      <c r="C177" t="str">
        <f t="shared" si="2"/>
        <v>318310</v>
      </c>
      <c r="D177">
        <v>318310</v>
      </c>
      <c r="E177">
        <v>318310024</v>
      </c>
      <c r="F177" t="s">
        <v>1154</v>
      </c>
      <c r="G177" t="s">
        <v>314</v>
      </c>
      <c r="H177" t="s">
        <v>315</v>
      </c>
      <c r="I177" t="s">
        <v>82</v>
      </c>
      <c r="J177" t="s">
        <v>316</v>
      </c>
      <c r="K177" s="15" t="str">
        <f>VLOOKUP(I177,[2]LOOKUP!$A:$D,4,FALSE)</f>
        <v>CM</v>
      </c>
    </row>
    <row r="178" spans="1:11">
      <c r="A178" t="s">
        <v>1130</v>
      </c>
      <c r="B178" t="s">
        <v>448</v>
      </c>
      <c r="C178" t="str">
        <f t="shared" si="2"/>
        <v>318310</v>
      </c>
      <c r="D178">
        <v>318310</v>
      </c>
      <c r="E178">
        <v>318310025</v>
      </c>
      <c r="F178" t="s">
        <v>1155</v>
      </c>
      <c r="G178" t="s">
        <v>314</v>
      </c>
      <c r="H178" t="s">
        <v>315</v>
      </c>
      <c r="I178" t="s">
        <v>82</v>
      </c>
      <c r="J178" t="s">
        <v>316</v>
      </c>
      <c r="K178" s="15" t="str">
        <f>VLOOKUP(I178,[2]LOOKUP!$A:$D,4,FALSE)</f>
        <v>CM</v>
      </c>
    </row>
    <row r="179" spans="1:11">
      <c r="A179" t="s">
        <v>1130</v>
      </c>
      <c r="B179" t="s">
        <v>448</v>
      </c>
      <c r="C179" t="str">
        <f t="shared" si="2"/>
        <v>318310</v>
      </c>
      <c r="D179">
        <v>318310</v>
      </c>
      <c r="E179">
        <v>318310026</v>
      </c>
      <c r="F179" t="s">
        <v>1156</v>
      </c>
      <c r="G179" t="s">
        <v>314</v>
      </c>
      <c r="H179" t="s">
        <v>315</v>
      </c>
      <c r="I179" t="s">
        <v>82</v>
      </c>
      <c r="J179" t="s">
        <v>316</v>
      </c>
      <c r="K179" s="15" t="str">
        <f>VLOOKUP(I179,[2]LOOKUP!$A:$D,4,FALSE)</f>
        <v>CM</v>
      </c>
    </row>
    <row r="180" spans="1:11">
      <c r="A180" t="s">
        <v>1130</v>
      </c>
      <c r="B180" t="s">
        <v>448</v>
      </c>
      <c r="C180" t="str">
        <f t="shared" si="2"/>
        <v>318310</v>
      </c>
      <c r="D180">
        <v>318310</v>
      </c>
      <c r="E180">
        <v>318310027</v>
      </c>
      <c r="F180" t="s">
        <v>1157</v>
      </c>
      <c r="G180" t="s">
        <v>314</v>
      </c>
      <c r="H180" t="s">
        <v>315</v>
      </c>
      <c r="I180" t="s">
        <v>82</v>
      </c>
      <c r="J180" t="s">
        <v>316</v>
      </c>
      <c r="K180" s="15" t="str">
        <f>VLOOKUP(I180,[2]LOOKUP!$A:$D,4,FALSE)</f>
        <v>CM</v>
      </c>
    </row>
    <row r="181" spans="1:11">
      <c r="A181" t="s">
        <v>1130</v>
      </c>
      <c r="B181" t="s">
        <v>448</v>
      </c>
      <c r="C181" t="str">
        <f t="shared" si="2"/>
        <v>318310</v>
      </c>
      <c r="D181">
        <v>318310</v>
      </c>
      <c r="E181">
        <v>318310028</v>
      </c>
      <c r="F181" t="s">
        <v>1158</v>
      </c>
      <c r="G181" t="s">
        <v>314</v>
      </c>
      <c r="H181" t="s">
        <v>315</v>
      </c>
      <c r="I181" t="s">
        <v>82</v>
      </c>
      <c r="J181" t="s">
        <v>316</v>
      </c>
      <c r="K181" s="15" t="str">
        <f>VLOOKUP(I181,[2]LOOKUP!$A:$D,4,FALSE)</f>
        <v>CM</v>
      </c>
    </row>
    <row r="182" spans="1:11">
      <c r="A182" t="s">
        <v>1130</v>
      </c>
      <c r="B182" t="s">
        <v>448</v>
      </c>
      <c r="C182" t="str">
        <f t="shared" si="2"/>
        <v>318310</v>
      </c>
      <c r="D182">
        <v>318310</v>
      </c>
      <c r="E182">
        <v>318310029</v>
      </c>
      <c r="F182" t="s">
        <v>1159</v>
      </c>
      <c r="G182" t="s">
        <v>314</v>
      </c>
      <c r="H182" t="s">
        <v>315</v>
      </c>
      <c r="I182" t="s">
        <v>82</v>
      </c>
      <c r="J182" t="s">
        <v>316</v>
      </c>
      <c r="K182" s="15" t="str">
        <f>VLOOKUP(I182,[2]LOOKUP!$A:$D,4,FALSE)</f>
        <v>CM</v>
      </c>
    </row>
    <row r="183" spans="1:11">
      <c r="A183" t="s">
        <v>1130</v>
      </c>
      <c r="B183" t="s">
        <v>448</v>
      </c>
      <c r="C183" t="str">
        <f t="shared" si="2"/>
        <v>318310</v>
      </c>
      <c r="D183">
        <v>318310</v>
      </c>
      <c r="E183">
        <v>318310030</v>
      </c>
      <c r="F183" t="s">
        <v>1160</v>
      </c>
      <c r="G183" t="s">
        <v>314</v>
      </c>
      <c r="H183" t="s">
        <v>315</v>
      </c>
      <c r="I183" t="s">
        <v>82</v>
      </c>
      <c r="J183" t="s">
        <v>316</v>
      </c>
      <c r="K183" s="15" t="str">
        <f>VLOOKUP(I183,[2]LOOKUP!$A:$D,4,FALSE)</f>
        <v>CM</v>
      </c>
    </row>
    <row r="184" spans="1:11">
      <c r="A184" t="s">
        <v>1130</v>
      </c>
      <c r="B184" t="s">
        <v>448</v>
      </c>
      <c r="C184" t="str">
        <f t="shared" si="2"/>
        <v>318310</v>
      </c>
      <c r="D184">
        <v>318310</v>
      </c>
      <c r="E184">
        <v>318310031</v>
      </c>
      <c r="F184" t="s">
        <v>1161</v>
      </c>
      <c r="G184" t="s">
        <v>314</v>
      </c>
      <c r="H184" t="s">
        <v>315</v>
      </c>
      <c r="I184" t="s">
        <v>82</v>
      </c>
      <c r="J184" t="s">
        <v>316</v>
      </c>
      <c r="K184" s="15" t="str">
        <f>VLOOKUP(I184,[2]LOOKUP!$A:$D,4,FALSE)</f>
        <v>CM</v>
      </c>
    </row>
    <row r="185" spans="1:11">
      <c r="A185" t="s">
        <v>1130</v>
      </c>
      <c r="B185" t="s">
        <v>448</v>
      </c>
      <c r="C185" t="str">
        <f t="shared" si="2"/>
        <v>318310</v>
      </c>
      <c r="D185">
        <v>318310</v>
      </c>
      <c r="E185">
        <v>318310032</v>
      </c>
      <c r="F185" t="s">
        <v>1162</v>
      </c>
      <c r="G185" t="s">
        <v>314</v>
      </c>
      <c r="H185" t="s">
        <v>315</v>
      </c>
      <c r="I185" t="s">
        <v>82</v>
      </c>
      <c r="J185" t="s">
        <v>316</v>
      </c>
      <c r="K185" s="15" t="str">
        <f>VLOOKUP(I185,[2]LOOKUP!$A:$D,4,FALSE)</f>
        <v>CM</v>
      </c>
    </row>
    <row r="186" spans="1:11">
      <c r="A186" t="s">
        <v>1130</v>
      </c>
      <c r="B186" t="s">
        <v>448</v>
      </c>
      <c r="C186" t="str">
        <f t="shared" si="2"/>
        <v>318310</v>
      </c>
      <c r="D186">
        <v>318310</v>
      </c>
      <c r="E186">
        <v>318310033</v>
      </c>
      <c r="F186" t="s">
        <v>1163</v>
      </c>
      <c r="G186" t="s">
        <v>314</v>
      </c>
      <c r="H186" t="s">
        <v>315</v>
      </c>
      <c r="I186" t="s">
        <v>82</v>
      </c>
      <c r="J186" t="s">
        <v>316</v>
      </c>
      <c r="K186" s="15" t="str">
        <f>VLOOKUP(I186,[2]LOOKUP!$A:$D,4,FALSE)</f>
        <v>CM</v>
      </c>
    </row>
    <row r="187" spans="1:11">
      <c r="A187" t="s">
        <v>1130</v>
      </c>
      <c r="B187" t="s">
        <v>448</v>
      </c>
      <c r="C187" t="str">
        <f t="shared" si="2"/>
        <v>318310</v>
      </c>
      <c r="D187">
        <v>318310</v>
      </c>
      <c r="E187">
        <v>318310034</v>
      </c>
      <c r="F187" t="s">
        <v>1164</v>
      </c>
      <c r="G187" t="s">
        <v>314</v>
      </c>
      <c r="H187" t="s">
        <v>315</v>
      </c>
      <c r="I187" t="s">
        <v>82</v>
      </c>
      <c r="J187" t="s">
        <v>316</v>
      </c>
      <c r="K187" s="15" t="str">
        <f>VLOOKUP(I187,[2]LOOKUP!$A:$D,4,FALSE)</f>
        <v>CM</v>
      </c>
    </row>
    <row r="188" spans="1:11">
      <c r="A188" t="s">
        <v>1130</v>
      </c>
      <c r="B188" t="s">
        <v>448</v>
      </c>
      <c r="C188" t="str">
        <f t="shared" si="2"/>
        <v>318310</v>
      </c>
      <c r="D188">
        <v>318310</v>
      </c>
      <c r="E188">
        <v>318310035</v>
      </c>
      <c r="F188" t="s">
        <v>1165</v>
      </c>
      <c r="G188" t="s">
        <v>314</v>
      </c>
      <c r="H188" t="s">
        <v>315</v>
      </c>
      <c r="I188" t="s">
        <v>82</v>
      </c>
      <c r="J188" t="s">
        <v>316</v>
      </c>
      <c r="K188" s="15" t="str">
        <f>VLOOKUP(I188,[2]LOOKUP!$A:$D,4,FALSE)</f>
        <v>CM</v>
      </c>
    </row>
    <row r="189" spans="1:11">
      <c r="A189" t="s">
        <v>1130</v>
      </c>
      <c r="B189" t="s">
        <v>448</v>
      </c>
      <c r="C189" t="str">
        <f t="shared" si="2"/>
        <v>318310</v>
      </c>
      <c r="D189">
        <v>318310</v>
      </c>
      <c r="E189">
        <v>318310036</v>
      </c>
      <c r="F189" t="s">
        <v>1166</v>
      </c>
      <c r="G189" t="s">
        <v>314</v>
      </c>
      <c r="H189" t="s">
        <v>315</v>
      </c>
      <c r="I189" t="s">
        <v>82</v>
      </c>
      <c r="J189" t="s">
        <v>316</v>
      </c>
      <c r="K189" s="15" t="str">
        <f>VLOOKUP(I189,[2]LOOKUP!$A:$D,4,FALSE)</f>
        <v>CM</v>
      </c>
    </row>
    <row r="190" spans="1:11">
      <c r="A190" t="s">
        <v>1130</v>
      </c>
      <c r="B190" t="s">
        <v>448</v>
      </c>
      <c r="C190" t="str">
        <f t="shared" si="2"/>
        <v>318310</v>
      </c>
      <c r="D190">
        <v>318310</v>
      </c>
      <c r="E190">
        <v>318310037</v>
      </c>
      <c r="F190" t="s">
        <v>1167</v>
      </c>
      <c r="G190" t="s">
        <v>314</v>
      </c>
      <c r="H190" t="s">
        <v>315</v>
      </c>
      <c r="I190" t="s">
        <v>82</v>
      </c>
      <c r="J190" t="s">
        <v>316</v>
      </c>
      <c r="K190" s="15" t="str">
        <f>VLOOKUP(I190,[2]LOOKUP!$A:$D,4,FALSE)</f>
        <v>CM</v>
      </c>
    </row>
    <row r="191" spans="1:11">
      <c r="A191" t="s">
        <v>1130</v>
      </c>
      <c r="B191" t="s">
        <v>448</v>
      </c>
      <c r="C191" t="str">
        <f t="shared" si="2"/>
        <v>318310</v>
      </c>
      <c r="D191">
        <v>318310</v>
      </c>
      <c r="E191">
        <v>318310038</v>
      </c>
      <c r="F191" t="s">
        <v>1168</v>
      </c>
      <c r="G191" t="s">
        <v>314</v>
      </c>
      <c r="H191" t="s">
        <v>315</v>
      </c>
      <c r="I191" t="s">
        <v>82</v>
      </c>
      <c r="J191" t="s">
        <v>316</v>
      </c>
      <c r="K191" s="15" t="str">
        <f>VLOOKUP(I191,[2]LOOKUP!$A:$D,4,FALSE)</f>
        <v>CM</v>
      </c>
    </row>
    <row r="192" spans="1:11">
      <c r="A192" t="s">
        <v>1130</v>
      </c>
      <c r="B192" t="s">
        <v>448</v>
      </c>
      <c r="C192" t="str">
        <f t="shared" si="2"/>
        <v>318310</v>
      </c>
      <c r="D192">
        <v>318310</v>
      </c>
      <c r="E192">
        <v>318310039</v>
      </c>
      <c r="F192" t="s">
        <v>1169</v>
      </c>
      <c r="G192" t="s">
        <v>314</v>
      </c>
      <c r="H192" t="s">
        <v>315</v>
      </c>
      <c r="I192" t="s">
        <v>82</v>
      </c>
      <c r="J192" t="s">
        <v>316</v>
      </c>
      <c r="K192" s="15" t="str">
        <f>VLOOKUP(I192,[2]LOOKUP!$A:$D,4,FALSE)</f>
        <v>CM</v>
      </c>
    </row>
    <row r="193" spans="1:11">
      <c r="A193" t="s">
        <v>1130</v>
      </c>
      <c r="B193" t="s">
        <v>448</v>
      </c>
      <c r="C193" t="str">
        <f t="shared" si="2"/>
        <v>318310</v>
      </c>
      <c r="D193">
        <v>318310</v>
      </c>
      <c r="E193">
        <v>318310040</v>
      </c>
      <c r="F193" t="s">
        <v>1170</v>
      </c>
      <c r="G193" t="s">
        <v>314</v>
      </c>
      <c r="H193" t="s">
        <v>315</v>
      </c>
      <c r="I193" t="s">
        <v>82</v>
      </c>
      <c r="J193" t="s">
        <v>316</v>
      </c>
      <c r="K193" s="15" t="str">
        <f>VLOOKUP(I193,[2]LOOKUP!$A:$D,4,FALSE)</f>
        <v>CM</v>
      </c>
    </row>
    <row r="194" spans="1:11">
      <c r="A194" t="s">
        <v>1130</v>
      </c>
      <c r="B194" t="s">
        <v>448</v>
      </c>
      <c r="C194" t="str">
        <f t="shared" si="2"/>
        <v>318310</v>
      </c>
      <c r="D194">
        <v>318310</v>
      </c>
      <c r="E194">
        <v>318310041</v>
      </c>
      <c r="F194" t="s">
        <v>1171</v>
      </c>
      <c r="G194" t="s">
        <v>314</v>
      </c>
      <c r="H194" t="s">
        <v>315</v>
      </c>
      <c r="I194" t="s">
        <v>82</v>
      </c>
      <c r="J194" t="s">
        <v>316</v>
      </c>
      <c r="K194" s="15" t="str">
        <f>VLOOKUP(I194,[2]LOOKUP!$A:$D,4,FALSE)</f>
        <v>CM</v>
      </c>
    </row>
    <row r="195" spans="1:11">
      <c r="A195" t="s">
        <v>1130</v>
      </c>
      <c r="B195" t="s">
        <v>448</v>
      </c>
      <c r="C195" t="str">
        <f t="shared" ref="C195:C258" si="3">LEFT(E195,6)</f>
        <v>318310</v>
      </c>
      <c r="D195">
        <v>318310</v>
      </c>
      <c r="E195">
        <v>318310042</v>
      </c>
      <c r="F195" t="s">
        <v>1172</v>
      </c>
      <c r="G195" t="s">
        <v>314</v>
      </c>
      <c r="H195" t="s">
        <v>315</v>
      </c>
      <c r="I195" t="s">
        <v>82</v>
      </c>
      <c r="J195" t="s">
        <v>316</v>
      </c>
      <c r="K195" s="15" t="str">
        <f>VLOOKUP(I195,[2]LOOKUP!$A:$D,4,FALSE)</f>
        <v>CM</v>
      </c>
    </row>
    <row r="196" spans="1:11">
      <c r="A196" t="s">
        <v>1173</v>
      </c>
      <c r="B196">
        <v>4</v>
      </c>
      <c r="C196" t="str">
        <f t="shared" si="3"/>
        <v>317585</v>
      </c>
      <c r="D196">
        <v>999995</v>
      </c>
      <c r="E196">
        <v>317585001</v>
      </c>
      <c r="F196" t="s">
        <v>1131</v>
      </c>
      <c r="G196" t="s">
        <v>314</v>
      </c>
      <c r="H196" t="s">
        <v>315</v>
      </c>
      <c r="I196" t="s">
        <v>19</v>
      </c>
      <c r="J196" t="s">
        <v>316</v>
      </c>
      <c r="K196" s="15" t="str">
        <f>VLOOKUP(I196,[2]LOOKUP!$A:$D,4,FALSE)</f>
        <v>RM</v>
      </c>
    </row>
    <row r="197" spans="1:11">
      <c r="A197" t="s">
        <v>1174</v>
      </c>
      <c r="B197">
        <v>4</v>
      </c>
      <c r="C197" t="str">
        <f t="shared" si="3"/>
        <v>317585</v>
      </c>
      <c r="D197">
        <v>317585</v>
      </c>
      <c r="E197">
        <v>317585002</v>
      </c>
      <c r="F197" t="s">
        <v>1132</v>
      </c>
      <c r="G197" t="s">
        <v>314</v>
      </c>
      <c r="H197" t="s">
        <v>315</v>
      </c>
      <c r="I197" t="s">
        <v>100</v>
      </c>
      <c r="J197" t="s">
        <v>316</v>
      </c>
      <c r="K197" s="15" t="str">
        <f>VLOOKUP(I197,[2]LOOKUP!$A:$D,4,FALSE)</f>
        <v>CM</v>
      </c>
    </row>
    <row r="198" spans="1:11">
      <c r="A198" t="s">
        <v>1173</v>
      </c>
      <c r="B198">
        <v>4</v>
      </c>
      <c r="C198" t="str">
        <f t="shared" si="3"/>
        <v>317585</v>
      </c>
      <c r="D198">
        <v>999995</v>
      </c>
      <c r="E198">
        <v>317585003</v>
      </c>
      <c r="F198" t="s">
        <v>1133</v>
      </c>
      <c r="G198" t="s">
        <v>314</v>
      </c>
      <c r="H198" t="s">
        <v>315</v>
      </c>
      <c r="I198" t="s">
        <v>19</v>
      </c>
      <c r="J198" t="s">
        <v>316</v>
      </c>
      <c r="K198" s="15" t="str">
        <f>VLOOKUP(I198,[2]LOOKUP!$A:$D,4,FALSE)</f>
        <v>RM</v>
      </c>
    </row>
    <row r="199" spans="1:11">
      <c r="A199" t="s">
        <v>1173</v>
      </c>
      <c r="B199">
        <v>4</v>
      </c>
      <c r="C199" t="str">
        <f t="shared" si="3"/>
        <v>317585</v>
      </c>
      <c r="D199">
        <v>999995</v>
      </c>
      <c r="E199">
        <v>317585004</v>
      </c>
      <c r="F199" t="s">
        <v>1134</v>
      </c>
      <c r="G199" t="s">
        <v>314</v>
      </c>
      <c r="H199" t="s">
        <v>315</v>
      </c>
      <c r="I199" t="s">
        <v>19</v>
      </c>
      <c r="J199" t="s">
        <v>316</v>
      </c>
      <c r="K199" s="15" t="str">
        <f>VLOOKUP(I199,[2]LOOKUP!$A:$D,4,FALSE)</f>
        <v>RM</v>
      </c>
    </row>
    <row r="200" spans="1:11">
      <c r="A200" t="s">
        <v>1174</v>
      </c>
      <c r="B200">
        <v>4</v>
      </c>
      <c r="C200" t="str">
        <f t="shared" si="3"/>
        <v>317585</v>
      </c>
      <c r="D200">
        <v>317585</v>
      </c>
      <c r="E200">
        <v>317585005</v>
      </c>
      <c r="F200" t="s">
        <v>1135</v>
      </c>
      <c r="G200" t="s">
        <v>314</v>
      </c>
      <c r="H200" t="s">
        <v>315</v>
      </c>
      <c r="I200" t="s">
        <v>100</v>
      </c>
      <c r="J200" t="s">
        <v>316</v>
      </c>
      <c r="K200" s="15" t="str">
        <f>VLOOKUP(I200,[2]LOOKUP!$A:$D,4,FALSE)</f>
        <v>CM</v>
      </c>
    </row>
    <row r="201" spans="1:11">
      <c r="A201" t="s">
        <v>1173</v>
      </c>
      <c r="B201">
        <v>4</v>
      </c>
      <c r="C201" t="str">
        <f t="shared" si="3"/>
        <v>317585</v>
      </c>
      <c r="D201">
        <v>999995</v>
      </c>
      <c r="E201">
        <v>317585006</v>
      </c>
      <c r="F201" t="s">
        <v>1136</v>
      </c>
      <c r="G201" t="s">
        <v>314</v>
      </c>
      <c r="H201" t="s">
        <v>315</v>
      </c>
      <c r="I201" t="s">
        <v>19</v>
      </c>
      <c r="J201" t="s">
        <v>316</v>
      </c>
      <c r="K201" s="15" t="str">
        <f>VLOOKUP(I201,[2]LOOKUP!$A:$D,4,FALSE)</f>
        <v>RM</v>
      </c>
    </row>
    <row r="202" spans="1:11">
      <c r="A202" t="s">
        <v>1174</v>
      </c>
      <c r="B202">
        <v>4</v>
      </c>
      <c r="C202" t="str">
        <f t="shared" si="3"/>
        <v>317585</v>
      </c>
      <c r="D202">
        <v>317585</v>
      </c>
      <c r="E202">
        <v>317585007</v>
      </c>
      <c r="F202" t="s">
        <v>1137</v>
      </c>
      <c r="G202" t="s">
        <v>314</v>
      </c>
      <c r="H202" t="s">
        <v>315</v>
      </c>
      <c r="I202" t="s">
        <v>100</v>
      </c>
      <c r="J202" t="s">
        <v>316</v>
      </c>
      <c r="K202" s="15" t="str">
        <f>VLOOKUP(I202,[2]LOOKUP!$A:$D,4,FALSE)</f>
        <v>CM</v>
      </c>
    </row>
    <row r="203" spans="1:11">
      <c r="A203" t="s">
        <v>1173</v>
      </c>
      <c r="B203">
        <v>4</v>
      </c>
      <c r="C203" t="str">
        <f t="shared" si="3"/>
        <v>317585</v>
      </c>
      <c r="D203">
        <v>999995</v>
      </c>
      <c r="E203">
        <v>317585008</v>
      </c>
      <c r="F203" t="s">
        <v>1138</v>
      </c>
      <c r="G203" t="s">
        <v>314</v>
      </c>
      <c r="H203" t="s">
        <v>315</v>
      </c>
      <c r="I203" t="s">
        <v>19</v>
      </c>
      <c r="J203" t="s">
        <v>316</v>
      </c>
      <c r="K203" s="15" t="str">
        <f>VLOOKUP(I203,[2]LOOKUP!$A:$D,4,FALSE)</f>
        <v>RM</v>
      </c>
    </row>
    <row r="204" spans="1:11">
      <c r="A204" t="s">
        <v>1174</v>
      </c>
      <c r="B204">
        <v>4</v>
      </c>
      <c r="C204" t="str">
        <f t="shared" si="3"/>
        <v>317585</v>
      </c>
      <c r="D204">
        <v>317585</v>
      </c>
      <c r="E204">
        <v>317585009</v>
      </c>
      <c r="F204" t="s">
        <v>1139</v>
      </c>
      <c r="G204" t="s">
        <v>314</v>
      </c>
      <c r="H204" t="s">
        <v>315</v>
      </c>
      <c r="I204" t="s">
        <v>100</v>
      </c>
      <c r="J204" t="s">
        <v>316</v>
      </c>
      <c r="K204" s="15" t="str">
        <f>VLOOKUP(I204,[2]LOOKUP!$A:$D,4,FALSE)</f>
        <v>CM</v>
      </c>
    </row>
    <row r="205" spans="1:11">
      <c r="A205" t="s">
        <v>1173</v>
      </c>
      <c r="B205">
        <v>4</v>
      </c>
      <c r="C205" t="str">
        <f t="shared" si="3"/>
        <v>317585</v>
      </c>
      <c r="D205">
        <v>999995</v>
      </c>
      <c r="E205">
        <v>317585010</v>
      </c>
      <c r="F205" t="s">
        <v>1140</v>
      </c>
      <c r="G205" t="s">
        <v>314</v>
      </c>
      <c r="H205" t="s">
        <v>315</v>
      </c>
      <c r="I205" t="s">
        <v>19</v>
      </c>
      <c r="J205" t="s">
        <v>316</v>
      </c>
      <c r="K205" s="15" t="str">
        <f>VLOOKUP(I205,[2]LOOKUP!$A:$D,4,FALSE)</f>
        <v>RM</v>
      </c>
    </row>
    <row r="206" spans="1:11">
      <c r="A206" t="s">
        <v>1174</v>
      </c>
      <c r="B206">
        <v>4</v>
      </c>
      <c r="C206" t="str">
        <f t="shared" si="3"/>
        <v>317585</v>
      </c>
      <c r="D206">
        <v>317585</v>
      </c>
      <c r="E206">
        <v>317585011</v>
      </c>
      <c r="F206" t="s">
        <v>1141</v>
      </c>
      <c r="G206" t="s">
        <v>314</v>
      </c>
      <c r="H206" t="s">
        <v>315</v>
      </c>
      <c r="I206" t="s">
        <v>58</v>
      </c>
      <c r="J206" t="s">
        <v>316</v>
      </c>
      <c r="K206" s="15" t="str">
        <f>VLOOKUP(I206,[2]LOOKUP!$A:$D,4,FALSE)</f>
        <v>CM</v>
      </c>
    </row>
    <row r="207" spans="1:11">
      <c r="A207" t="s">
        <v>1173</v>
      </c>
      <c r="B207">
        <v>4</v>
      </c>
      <c r="C207" t="str">
        <f t="shared" si="3"/>
        <v>317585</v>
      </c>
      <c r="D207">
        <v>999995</v>
      </c>
      <c r="E207">
        <v>317585012</v>
      </c>
      <c r="F207" t="s">
        <v>1142</v>
      </c>
      <c r="G207" t="s">
        <v>314</v>
      </c>
      <c r="H207" t="s">
        <v>315</v>
      </c>
      <c r="I207" t="s">
        <v>19</v>
      </c>
      <c r="J207" t="s">
        <v>316</v>
      </c>
      <c r="K207" s="15" t="str">
        <f>VLOOKUP(I207,[2]LOOKUP!$A:$D,4,FALSE)</f>
        <v>RM</v>
      </c>
    </row>
    <row r="208" spans="1:11">
      <c r="A208" t="s">
        <v>1173</v>
      </c>
      <c r="B208">
        <v>4</v>
      </c>
      <c r="C208" t="str">
        <f t="shared" si="3"/>
        <v>317585</v>
      </c>
      <c r="D208">
        <v>999995</v>
      </c>
      <c r="E208">
        <v>317585013</v>
      </c>
      <c r="F208" t="s">
        <v>1143</v>
      </c>
      <c r="G208" t="s">
        <v>314</v>
      </c>
      <c r="H208" t="s">
        <v>315</v>
      </c>
      <c r="I208" t="s">
        <v>19</v>
      </c>
      <c r="J208" t="s">
        <v>316</v>
      </c>
      <c r="K208" s="15" t="str">
        <f>VLOOKUP(I208,[2]LOOKUP!$A:$D,4,FALSE)</f>
        <v>RM</v>
      </c>
    </row>
    <row r="209" spans="1:11">
      <c r="A209" t="s">
        <v>1173</v>
      </c>
      <c r="B209">
        <v>4</v>
      </c>
      <c r="C209" t="str">
        <f t="shared" si="3"/>
        <v>317585</v>
      </c>
      <c r="D209">
        <v>999995</v>
      </c>
      <c r="E209">
        <v>317585014</v>
      </c>
      <c r="F209" t="s">
        <v>1144</v>
      </c>
      <c r="G209" t="s">
        <v>314</v>
      </c>
      <c r="H209" t="s">
        <v>315</v>
      </c>
      <c r="I209" t="s">
        <v>19</v>
      </c>
      <c r="J209" t="s">
        <v>316</v>
      </c>
      <c r="K209" s="15" t="str">
        <f>VLOOKUP(I209,[2]LOOKUP!$A:$D,4,FALSE)</f>
        <v>RM</v>
      </c>
    </row>
    <row r="210" spans="1:11">
      <c r="A210" t="s">
        <v>1173</v>
      </c>
      <c r="B210">
        <v>4</v>
      </c>
      <c r="C210" t="str">
        <f t="shared" si="3"/>
        <v>317585</v>
      </c>
      <c r="D210">
        <v>999995</v>
      </c>
      <c r="E210">
        <v>317585015</v>
      </c>
      <c r="F210" t="s">
        <v>1175</v>
      </c>
      <c r="G210" t="s">
        <v>314</v>
      </c>
      <c r="H210" t="s">
        <v>315</v>
      </c>
      <c r="I210" t="s">
        <v>19</v>
      </c>
      <c r="J210" t="s">
        <v>316</v>
      </c>
      <c r="K210" s="15" t="str">
        <f>VLOOKUP(I210,[2]LOOKUP!$A:$D,4,FALSE)</f>
        <v>RM</v>
      </c>
    </row>
    <row r="211" spans="1:11">
      <c r="A211" t="s">
        <v>1173</v>
      </c>
      <c r="B211">
        <v>4</v>
      </c>
      <c r="C211" t="str">
        <f t="shared" si="3"/>
        <v>317585</v>
      </c>
      <c r="D211">
        <v>999995</v>
      </c>
      <c r="E211">
        <v>317585016</v>
      </c>
      <c r="F211" t="s">
        <v>1146</v>
      </c>
      <c r="G211" t="s">
        <v>314</v>
      </c>
      <c r="H211" t="s">
        <v>315</v>
      </c>
      <c r="I211" t="s">
        <v>19</v>
      </c>
      <c r="J211" t="s">
        <v>316</v>
      </c>
      <c r="K211" s="15" t="str">
        <f>VLOOKUP(I211,[2]LOOKUP!$A:$D,4,FALSE)</f>
        <v>RM</v>
      </c>
    </row>
    <row r="212" spans="1:11">
      <c r="A212" t="s">
        <v>1174</v>
      </c>
      <c r="B212">
        <v>4</v>
      </c>
      <c r="C212" t="str">
        <f t="shared" si="3"/>
        <v>317585</v>
      </c>
      <c r="D212">
        <v>317585</v>
      </c>
      <c r="E212">
        <v>317585017</v>
      </c>
      <c r="F212" t="s">
        <v>1147</v>
      </c>
      <c r="G212" t="s">
        <v>314</v>
      </c>
      <c r="H212" t="s">
        <v>315</v>
      </c>
      <c r="I212" t="s">
        <v>100</v>
      </c>
      <c r="J212" t="s">
        <v>316</v>
      </c>
      <c r="K212" s="15" t="str">
        <f>VLOOKUP(I212,[2]LOOKUP!$A:$D,4,FALSE)</f>
        <v>CM</v>
      </c>
    </row>
    <row r="213" spans="1:11">
      <c r="A213" t="s">
        <v>1173</v>
      </c>
      <c r="B213">
        <v>4</v>
      </c>
      <c r="C213" t="str">
        <f t="shared" si="3"/>
        <v>317585</v>
      </c>
      <c r="D213">
        <v>999995</v>
      </c>
      <c r="E213">
        <v>317585018</v>
      </c>
      <c r="F213" t="s">
        <v>1148</v>
      </c>
      <c r="G213" t="s">
        <v>314</v>
      </c>
      <c r="H213" t="s">
        <v>315</v>
      </c>
      <c r="I213" t="s">
        <v>19</v>
      </c>
      <c r="J213" t="s">
        <v>316</v>
      </c>
      <c r="K213" s="15" t="str">
        <f>VLOOKUP(I213,[2]LOOKUP!$A:$D,4,FALSE)</f>
        <v>RM</v>
      </c>
    </row>
    <row r="214" spans="1:11">
      <c r="A214" t="s">
        <v>1174</v>
      </c>
      <c r="B214">
        <v>4</v>
      </c>
      <c r="C214" t="str">
        <f t="shared" si="3"/>
        <v>317585</v>
      </c>
      <c r="D214">
        <v>317585</v>
      </c>
      <c r="E214">
        <v>317585019</v>
      </c>
      <c r="F214" t="s">
        <v>1176</v>
      </c>
      <c r="G214" t="s">
        <v>314</v>
      </c>
      <c r="H214" t="s">
        <v>315</v>
      </c>
      <c r="I214" t="s">
        <v>115</v>
      </c>
      <c r="J214" t="s">
        <v>420</v>
      </c>
      <c r="K214" s="15" t="str">
        <f>VLOOKUP(I214,[2]LOOKUP!$A:$D,4,FALSE)</f>
        <v>RM</v>
      </c>
    </row>
    <row r="215" spans="1:11">
      <c r="A215" t="s">
        <v>1173</v>
      </c>
      <c r="B215">
        <v>4</v>
      </c>
      <c r="C215" t="str">
        <f t="shared" si="3"/>
        <v>317585</v>
      </c>
      <c r="D215">
        <v>999995</v>
      </c>
      <c r="E215">
        <v>317585020</v>
      </c>
      <c r="F215" t="s">
        <v>1150</v>
      </c>
      <c r="G215" t="s">
        <v>314</v>
      </c>
      <c r="H215" t="s">
        <v>315</v>
      </c>
      <c r="I215" t="s">
        <v>19</v>
      </c>
      <c r="J215" t="s">
        <v>316</v>
      </c>
      <c r="K215" s="15" t="str">
        <f>VLOOKUP(I215,[2]LOOKUP!$A:$D,4,FALSE)</f>
        <v>RM</v>
      </c>
    </row>
    <row r="216" spans="1:11">
      <c r="A216" t="s">
        <v>1173</v>
      </c>
      <c r="B216">
        <v>4</v>
      </c>
      <c r="C216" t="str">
        <f t="shared" si="3"/>
        <v>317585</v>
      </c>
      <c r="D216">
        <v>999995</v>
      </c>
      <c r="E216">
        <v>317585021</v>
      </c>
      <c r="F216" t="s">
        <v>1151</v>
      </c>
      <c r="G216" t="s">
        <v>314</v>
      </c>
      <c r="H216" t="s">
        <v>315</v>
      </c>
      <c r="I216" t="s">
        <v>19</v>
      </c>
      <c r="J216" t="s">
        <v>316</v>
      </c>
      <c r="K216" s="15" t="str">
        <f>VLOOKUP(I216,[2]LOOKUP!$A:$D,4,FALSE)</f>
        <v>RM</v>
      </c>
    </row>
    <row r="217" spans="1:11">
      <c r="A217" t="s">
        <v>1173</v>
      </c>
      <c r="B217">
        <v>4</v>
      </c>
      <c r="C217" t="str">
        <f t="shared" si="3"/>
        <v>317585</v>
      </c>
      <c r="D217">
        <v>999995</v>
      </c>
      <c r="E217">
        <v>317585022</v>
      </c>
      <c r="F217" t="s">
        <v>1152</v>
      </c>
      <c r="G217" t="s">
        <v>314</v>
      </c>
      <c r="H217" t="s">
        <v>315</v>
      </c>
      <c r="I217" t="s">
        <v>19</v>
      </c>
      <c r="J217" t="s">
        <v>316</v>
      </c>
      <c r="K217" s="15" t="str">
        <f>VLOOKUP(I217,[2]LOOKUP!$A:$D,4,FALSE)</f>
        <v>RM</v>
      </c>
    </row>
    <row r="218" spans="1:11">
      <c r="A218" t="s">
        <v>1174</v>
      </c>
      <c r="B218">
        <v>4</v>
      </c>
      <c r="C218" t="str">
        <f t="shared" si="3"/>
        <v>317585</v>
      </c>
      <c r="D218">
        <v>317585</v>
      </c>
      <c r="E218">
        <v>317585023</v>
      </c>
      <c r="F218" t="s">
        <v>1153</v>
      </c>
      <c r="G218" t="s">
        <v>314</v>
      </c>
      <c r="H218" t="s">
        <v>315</v>
      </c>
      <c r="I218" t="s">
        <v>100</v>
      </c>
      <c r="J218" t="s">
        <v>316</v>
      </c>
      <c r="K218" s="15" t="str">
        <f>VLOOKUP(I218,[2]LOOKUP!$A:$D,4,FALSE)</f>
        <v>CM</v>
      </c>
    </row>
    <row r="219" spans="1:11">
      <c r="A219" t="s">
        <v>1173</v>
      </c>
      <c r="B219">
        <v>4</v>
      </c>
      <c r="C219" t="str">
        <f t="shared" si="3"/>
        <v>317585</v>
      </c>
      <c r="D219">
        <v>999995</v>
      </c>
      <c r="E219">
        <v>317585024</v>
      </c>
      <c r="F219" t="s">
        <v>1154</v>
      </c>
      <c r="G219" t="s">
        <v>314</v>
      </c>
      <c r="H219" t="s">
        <v>315</v>
      </c>
      <c r="I219" t="s">
        <v>19</v>
      </c>
      <c r="J219" t="s">
        <v>316</v>
      </c>
      <c r="K219" s="15" t="str">
        <f>VLOOKUP(I219,[2]LOOKUP!$A:$D,4,FALSE)</f>
        <v>RM</v>
      </c>
    </row>
    <row r="220" spans="1:11">
      <c r="A220" t="s">
        <v>1173</v>
      </c>
      <c r="B220">
        <v>4</v>
      </c>
      <c r="C220" t="str">
        <f t="shared" si="3"/>
        <v>317585</v>
      </c>
      <c r="D220">
        <v>999995</v>
      </c>
      <c r="E220">
        <v>317585025</v>
      </c>
      <c r="F220" t="s">
        <v>1155</v>
      </c>
      <c r="G220" t="s">
        <v>314</v>
      </c>
      <c r="H220" t="s">
        <v>315</v>
      </c>
      <c r="I220" t="s">
        <v>19</v>
      </c>
      <c r="J220" t="s">
        <v>316</v>
      </c>
      <c r="K220" s="15" t="str">
        <f>VLOOKUP(I220,[2]LOOKUP!$A:$D,4,FALSE)</f>
        <v>RM</v>
      </c>
    </row>
    <row r="221" spans="1:11">
      <c r="A221" t="s">
        <v>1174</v>
      </c>
      <c r="B221">
        <v>4</v>
      </c>
      <c r="C221" t="str">
        <f t="shared" si="3"/>
        <v>317585</v>
      </c>
      <c r="D221">
        <v>317585</v>
      </c>
      <c r="E221">
        <v>317585026</v>
      </c>
      <c r="F221" t="s">
        <v>1156</v>
      </c>
      <c r="G221" t="s">
        <v>314</v>
      </c>
      <c r="H221" t="s">
        <v>315</v>
      </c>
      <c r="I221" t="s">
        <v>100</v>
      </c>
      <c r="J221" t="s">
        <v>316</v>
      </c>
      <c r="K221" s="15" t="str">
        <f>VLOOKUP(I221,[2]LOOKUP!$A:$D,4,FALSE)</f>
        <v>CM</v>
      </c>
    </row>
    <row r="222" spans="1:11">
      <c r="A222" t="s">
        <v>1173</v>
      </c>
      <c r="B222">
        <v>4</v>
      </c>
      <c r="C222" t="str">
        <f t="shared" si="3"/>
        <v>317585</v>
      </c>
      <c r="D222">
        <v>999995</v>
      </c>
      <c r="E222">
        <v>317585027</v>
      </c>
      <c r="F222" t="s">
        <v>1157</v>
      </c>
      <c r="G222" t="s">
        <v>314</v>
      </c>
      <c r="H222" t="s">
        <v>315</v>
      </c>
      <c r="I222" t="s">
        <v>19</v>
      </c>
      <c r="J222" t="s">
        <v>316</v>
      </c>
      <c r="K222" s="15" t="str">
        <f>VLOOKUP(I222,[2]LOOKUP!$A:$D,4,FALSE)</f>
        <v>RM</v>
      </c>
    </row>
    <row r="223" spans="1:11">
      <c r="A223" t="s">
        <v>1174</v>
      </c>
      <c r="B223">
        <v>4</v>
      </c>
      <c r="C223" t="str">
        <f t="shared" si="3"/>
        <v>317585</v>
      </c>
      <c r="D223">
        <v>317585</v>
      </c>
      <c r="E223">
        <v>317585028</v>
      </c>
      <c r="F223" t="s">
        <v>1158</v>
      </c>
      <c r="G223" t="s">
        <v>314</v>
      </c>
      <c r="H223" t="s">
        <v>315</v>
      </c>
      <c r="I223" t="s">
        <v>115</v>
      </c>
      <c r="J223" t="s">
        <v>420</v>
      </c>
      <c r="K223" s="15" t="str">
        <f>VLOOKUP(I223,[2]LOOKUP!$A:$D,4,FALSE)</f>
        <v>RM</v>
      </c>
    </row>
    <row r="224" spans="1:11">
      <c r="A224" t="s">
        <v>1174</v>
      </c>
      <c r="B224">
        <v>4</v>
      </c>
      <c r="C224" t="str">
        <f t="shared" si="3"/>
        <v>317585</v>
      </c>
      <c r="D224">
        <v>317585</v>
      </c>
      <c r="E224">
        <v>317585029</v>
      </c>
      <c r="F224" t="s">
        <v>1159</v>
      </c>
      <c r="G224" t="s">
        <v>314</v>
      </c>
      <c r="H224" t="s">
        <v>315</v>
      </c>
      <c r="I224" t="s">
        <v>44</v>
      </c>
      <c r="J224" t="s">
        <v>316</v>
      </c>
      <c r="K224" s="15" t="str">
        <f>VLOOKUP(I224,[2]LOOKUP!$A:$D,4,FALSE)</f>
        <v>RM</v>
      </c>
    </row>
    <row r="225" spans="1:11">
      <c r="A225" t="s">
        <v>1173</v>
      </c>
      <c r="B225">
        <v>4</v>
      </c>
      <c r="C225" t="str">
        <f t="shared" si="3"/>
        <v>317585</v>
      </c>
      <c r="D225">
        <v>999995</v>
      </c>
      <c r="E225">
        <v>317585030</v>
      </c>
      <c r="F225" t="s">
        <v>1160</v>
      </c>
      <c r="G225" t="s">
        <v>314</v>
      </c>
      <c r="H225" t="s">
        <v>315</v>
      </c>
      <c r="I225" t="s">
        <v>19</v>
      </c>
      <c r="J225" t="s">
        <v>316</v>
      </c>
      <c r="K225" s="15" t="str">
        <f>VLOOKUP(I225,[2]LOOKUP!$A:$D,4,FALSE)</f>
        <v>RM</v>
      </c>
    </row>
    <row r="226" spans="1:11">
      <c r="A226" t="s">
        <v>1173</v>
      </c>
      <c r="B226">
        <v>4</v>
      </c>
      <c r="C226" t="str">
        <f t="shared" si="3"/>
        <v>317585</v>
      </c>
      <c r="D226">
        <v>999995</v>
      </c>
      <c r="E226">
        <v>317585031</v>
      </c>
      <c r="F226" t="s">
        <v>1161</v>
      </c>
      <c r="G226" t="s">
        <v>314</v>
      </c>
      <c r="H226" t="s">
        <v>315</v>
      </c>
      <c r="I226" t="s">
        <v>19</v>
      </c>
      <c r="J226" t="s">
        <v>316</v>
      </c>
      <c r="K226" s="15" t="str">
        <f>VLOOKUP(I226,[2]LOOKUP!$A:$D,4,FALSE)</f>
        <v>RM</v>
      </c>
    </row>
    <row r="227" spans="1:11">
      <c r="A227" t="s">
        <v>1173</v>
      </c>
      <c r="B227">
        <v>4</v>
      </c>
      <c r="C227" t="str">
        <f t="shared" si="3"/>
        <v>317585</v>
      </c>
      <c r="D227">
        <v>999995</v>
      </c>
      <c r="E227">
        <v>317585032</v>
      </c>
      <c r="F227" t="s">
        <v>1162</v>
      </c>
      <c r="G227" t="s">
        <v>314</v>
      </c>
      <c r="H227" t="s">
        <v>315</v>
      </c>
      <c r="I227" t="s">
        <v>19</v>
      </c>
      <c r="J227" t="s">
        <v>316</v>
      </c>
      <c r="K227" s="15" t="str">
        <f>VLOOKUP(I227,[2]LOOKUP!$A:$D,4,FALSE)</f>
        <v>RM</v>
      </c>
    </row>
    <row r="228" spans="1:11">
      <c r="A228" t="s">
        <v>1173</v>
      </c>
      <c r="B228">
        <v>4</v>
      </c>
      <c r="C228" t="str">
        <f t="shared" si="3"/>
        <v>317585</v>
      </c>
      <c r="D228">
        <v>999995</v>
      </c>
      <c r="E228">
        <v>317585033</v>
      </c>
      <c r="F228" t="s">
        <v>1163</v>
      </c>
      <c r="G228" t="s">
        <v>314</v>
      </c>
      <c r="H228" t="s">
        <v>315</v>
      </c>
      <c r="I228" t="s">
        <v>19</v>
      </c>
      <c r="J228" t="s">
        <v>316</v>
      </c>
      <c r="K228" s="15" t="str">
        <f>VLOOKUP(I228,[2]LOOKUP!$A:$D,4,FALSE)</f>
        <v>RM</v>
      </c>
    </row>
    <row r="229" spans="1:11">
      <c r="A229" t="s">
        <v>1174</v>
      </c>
      <c r="B229">
        <v>4</v>
      </c>
      <c r="C229" t="str">
        <f t="shared" si="3"/>
        <v>317585</v>
      </c>
      <c r="D229">
        <v>317585</v>
      </c>
      <c r="E229">
        <v>317585034</v>
      </c>
      <c r="F229" t="s">
        <v>1164</v>
      </c>
      <c r="G229" t="s">
        <v>314</v>
      </c>
      <c r="H229" t="s">
        <v>315</v>
      </c>
      <c r="I229" t="s">
        <v>100</v>
      </c>
      <c r="J229" t="s">
        <v>316</v>
      </c>
      <c r="K229" s="15" t="str">
        <f>VLOOKUP(I229,[2]LOOKUP!$A:$D,4,FALSE)</f>
        <v>CM</v>
      </c>
    </row>
    <row r="230" spans="1:11">
      <c r="A230" t="s">
        <v>1173</v>
      </c>
      <c r="B230">
        <v>4</v>
      </c>
      <c r="C230" t="str">
        <f t="shared" si="3"/>
        <v>317585</v>
      </c>
      <c r="D230">
        <v>999995</v>
      </c>
      <c r="E230">
        <v>317585035</v>
      </c>
      <c r="F230" t="s">
        <v>1165</v>
      </c>
      <c r="G230" t="s">
        <v>314</v>
      </c>
      <c r="H230" t="s">
        <v>315</v>
      </c>
      <c r="I230" t="s">
        <v>19</v>
      </c>
      <c r="J230" t="s">
        <v>316</v>
      </c>
      <c r="K230" s="15" t="str">
        <f>VLOOKUP(I230,[2]LOOKUP!$A:$D,4,FALSE)</f>
        <v>RM</v>
      </c>
    </row>
    <row r="231" spans="1:11">
      <c r="A231" t="s">
        <v>1173</v>
      </c>
      <c r="B231">
        <v>4</v>
      </c>
      <c r="C231" t="str">
        <f t="shared" si="3"/>
        <v>317585</v>
      </c>
      <c r="D231">
        <v>999995</v>
      </c>
      <c r="E231">
        <v>317585036</v>
      </c>
      <c r="F231" t="s">
        <v>1166</v>
      </c>
      <c r="G231" t="s">
        <v>314</v>
      </c>
      <c r="H231" t="s">
        <v>315</v>
      </c>
      <c r="I231" t="s">
        <v>19</v>
      </c>
      <c r="J231" t="s">
        <v>316</v>
      </c>
      <c r="K231" s="15" t="str">
        <f>VLOOKUP(I231,[2]LOOKUP!$A:$D,4,FALSE)</f>
        <v>RM</v>
      </c>
    </row>
    <row r="232" spans="1:11">
      <c r="A232" t="s">
        <v>1174</v>
      </c>
      <c r="B232">
        <v>4</v>
      </c>
      <c r="C232" t="str">
        <f t="shared" si="3"/>
        <v>317585</v>
      </c>
      <c r="D232">
        <v>317585</v>
      </c>
      <c r="E232">
        <v>317585037</v>
      </c>
      <c r="F232" t="s">
        <v>1167</v>
      </c>
      <c r="G232" t="s">
        <v>314</v>
      </c>
      <c r="H232" t="s">
        <v>315</v>
      </c>
      <c r="I232" t="s">
        <v>100</v>
      </c>
      <c r="J232" t="s">
        <v>316</v>
      </c>
      <c r="K232" s="15" t="str">
        <f>VLOOKUP(I232,[2]LOOKUP!$A:$D,4,FALSE)</f>
        <v>CM</v>
      </c>
    </row>
    <row r="233" spans="1:11">
      <c r="A233" t="s">
        <v>1173</v>
      </c>
      <c r="B233">
        <v>4</v>
      </c>
      <c r="C233" t="str">
        <f t="shared" si="3"/>
        <v>317585</v>
      </c>
      <c r="D233">
        <v>999995</v>
      </c>
      <c r="E233">
        <v>317585038</v>
      </c>
      <c r="F233" t="s">
        <v>1168</v>
      </c>
      <c r="G233" t="s">
        <v>314</v>
      </c>
      <c r="H233" t="s">
        <v>315</v>
      </c>
      <c r="I233" t="s">
        <v>19</v>
      </c>
      <c r="J233" t="s">
        <v>316</v>
      </c>
      <c r="K233" s="15" t="str">
        <f>VLOOKUP(I233,[2]LOOKUP!$A:$D,4,FALSE)</f>
        <v>RM</v>
      </c>
    </row>
    <row r="234" spans="1:11">
      <c r="A234" t="s">
        <v>1174</v>
      </c>
      <c r="B234">
        <v>4</v>
      </c>
      <c r="C234" t="str">
        <f t="shared" si="3"/>
        <v>317585</v>
      </c>
      <c r="D234">
        <v>317585</v>
      </c>
      <c r="E234">
        <v>317585039</v>
      </c>
      <c r="F234" t="s">
        <v>1169</v>
      </c>
      <c r="G234" t="s">
        <v>314</v>
      </c>
      <c r="H234" t="s">
        <v>315</v>
      </c>
      <c r="I234" t="s">
        <v>100</v>
      </c>
      <c r="J234" t="s">
        <v>316</v>
      </c>
      <c r="K234" s="15" t="str">
        <f>VLOOKUP(I234,[2]LOOKUP!$A:$D,4,FALSE)</f>
        <v>CM</v>
      </c>
    </row>
    <row r="235" spans="1:11">
      <c r="A235" t="s">
        <v>1173</v>
      </c>
      <c r="B235">
        <v>4</v>
      </c>
      <c r="C235" t="str">
        <f t="shared" si="3"/>
        <v>317585</v>
      </c>
      <c r="D235">
        <v>999995</v>
      </c>
      <c r="E235">
        <v>317585040</v>
      </c>
      <c r="F235" t="s">
        <v>1170</v>
      </c>
      <c r="G235" t="s">
        <v>314</v>
      </c>
      <c r="H235" t="s">
        <v>315</v>
      </c>
      <c r="I235" t="s">
        <v>19</v>
      </c>
      <c r="J235" t="s">
        <v>316</v>
      </c>
      <c r="K235" s="15" t="str">
        <f>VLOOKUP(I235,[2]LOOKUP!$A:$D,4,FALSE)</f>
        <v>RM</v>
      </c>
    </row>
    <row r="236" spans="1:11">
      <c r="A236" t="s">
        <v>1173</v>
      </c>
      <c r="B236">
        <v>4</v>
      </c>
      <c r="C236" t="str">
        <f t="shared" si="3"/>
        <v>317585</v>
      </c>
      <c r="D236">
        <v>999995</v>
      </c>
      <c r="E236">
        <v>317585041</v>
      </c>
      <c r="F236" t="s">
        <v>1171</v>
      </c>
      <c r="G236" t="s">
        <v>314</v>
      </c>
      <c r="H236" t="s">
        <v>315</v>
      </c>
      <c r="I236" t="s">
        <v>19</v>
      </c>
      <c r="J236" t="s">
        <v>316</v>
      </c>
      <c r="K236" s="15" t="str">
        <f>VLOOKUP(I236,[2]LOOKUP!$A:$D,4,FALSE)</f>
        <v>RM</v>
      </c>
    </row>
    <row r="237" spans="1:11">
      <c r="A237" t="s">
        <v>1173</v>
      </c>
      <c r="B237">
        <v>4</v>
      </c>
      <c r="C237" t="str">
        <f t="shared" si="3"/>
        <v>317585</v>
      </c>
      <c r="D237">
        <v>999995</v>
      </c>
      <c r="E237">
        <v>317585042</v>
      </c>
      <c r="F237" t="s">
        <v>1172</v>
      </c>
      <c r="G237" t="s">
        <v>314</v>
      </c>
      <c r="H237" t="s">
        <v>315</v>
      </c>
      <c r="I237" t="s">
        <v>19</v>
      </c>
      <c r="J237" t="s">
        <v>316</v>
      </c>
      <c r="K237" s="15" t="str">
        <f>VLOOKUP(I237,[2]LOOKUP!$A:$D,4,FALSE)</f>
        <v>RM</v>
      </c>
    </row>
    <row r="238" spans="1:11">
      <c r="A238" t="s">
        <v>1177</v>
      </c>
      <c r="B238">
        <v>5</v>
      </c>
      <c r="C238" t="str">
        <f t="shared" si="3"/>
        <v>317383</v>
      </c>
      <c r="D238">
        <v>317383</v>
      </c>
      <c r="E238">
        <v>317383001</v>
      </c>
      <c r="F238" t="s">
        <v>1178</v>
      </c>
      <c r="G238" t="s">
        <v>314</v>
      </c>
      <c r="H238" t="s">
        <v>315</v>
      </c>
      <c r="I238" t="s">
        <v>100</v>
      </c>
      <c r="J238" t="s">
        <v>316</v>
      </c>
      <c r="K238" s="15" t="str">
        <f>VLOOKUP(I238,[2]LOOKUP!$A:$D,4,FALSE)</f>
        <v>CM</v>
      </c>
    </row>
    <row r="239" spans="1:11">
      <c r="A239" t="s">
        <v>1179</v>
      </c>
      <c r="B239">
        <v>5</v>
      </c>
      <c r="C239" t="str">
        <f t="shared" si="3"/>
        <v>317383</v>
      </c>
      <c r="D239">
        <v>999992</v>
      </c>
      <c r="E239">
        <v>317383003</v>
      </c>
      <c r="F239" t="s">
        <v>1180</v>
      </c>
      <c r="G239" t="s">
        <v>314</v>
      </c>
      <c r="H239" t="s">
        <v>315</v>
      </c>
      <c r="I239" t="s">
        <v>19</v>
      </c>
      <c r="J239" t="s">
        <v>316</v>
      </c>
      <c r="K239" s="15" t="str">
        <f>VLOOKUP(I239,[2]LOOKUP!$A:$D,4,FALSE)</f>
        <v>RM</v>
      </c>
    </row>
    <row r="240" spans="1:11">
      <c r="A240" t="s">
        <v>1177</v>
      </c>
      <c r="B240">
        <v>5</v>
      </c>
      <c r="C240" t="str">
        <f t="shared" si="3"/>
        <v>317383</v>
      </c>
      <c r="D240">
        <v>317383</v>
      </c>
      <c r="E240">
        <v>317383006</v>
      </c>
      <c r="F240" t="s">
        <v>1181</v>
      </c>
      <c r="G240" t="s">
        <v>314</v>
      </c>
      <c r="H240" t="s">
        <v>315</v>
      </c>
      <c r="I240" t="s">
        <v>58</v>
      </c>
      <c r="J240" t="s">
        <v>316</v>
      </c>
      <c r="K240" s="15" t="str">
        <f>VLOOKUP(I240,[2]LOOKUP!$A:$D,4,FALSE)</f>
        <v>CM</v>
      </c>
    </row>
    <row r="241" spans="1:11">
      <c r="A241" t="s">
        <v>1177</v>
      </c>
      <c r="B241">
        <v>5</v>
      </c>
      <c r="C241" t="str">
        <f t="shared" si="3"/>
        <v>317383</v>
      </c>
      <c r="D241">
        <v>317383</v>
      </c>
      <c r="E241">
        <v>317383008</v>
      </c>
      <c r="F241" t="s">
        <v>1182</v>
      </c>
      <c r="G241" t="s">
        <v>314</v>
      </c>
      <c r="H241" t="s">
        <v>315</v>
      </c>
      <c r="I241" t="s">
        <v>100</v>
      </c>
      <c r="J241" t="s">
        <v>316</v>
      </c>
      <c r="K241" s="15" t="str">
        <f>VLOOKUP(I241,[2]LOOKUP!$A:$D,4,FALSE)</f>
        <v>CM</v>
      </c>
    </row>
    <row r="242" spans="1:11">
      <c r="A242" t="s">
        <v>1177</v>
      </c>
      <c r="B242">
        <v>5</v>
      </c>
      <c r="C242" t="str">
        <f t="shared" si="3"/>
        <v>317383</v>
      </c>
      <c r="D242">
        <v>317383</v>
      </c>
      <c r="E242">
        <v>317383010</v>
      </c>
      <c r="F242" t="s">
        <v>1183</v>
      </c>
      <c r="G242" t="s">
        <v>314</v>
      </c>
      <c r="H242" t="s">
        <v>315</v>
      </c>
      <c r="I242" t="s">
        <v>100</v>
      </c>
      <c r="J242" t="s">
        <v>316</v>
      </c>
      <c r="K242" s="15" t="str">
        <f>VLOOKUP(I242,[2]LOOKUP!$A:$D,4,FALSE)</f>
        <v>CM</v>
      </c>
    </row>
    <row r="243" spans="1:11">
      <c r="A243" t="s">
        <v>1177</v>
      </c>
      <c r="B243">
        <v>5</v>
      </c>
      <c r="C243" t="str">
        <f t="shared" si="3"/>
        <v>317383</v>
      </c>
      <c r="D243">
        <v>317383</v>
      </c>
      <c r="E243">
        <v>317383014</v>
      </c>
      <c r="F243" t="s">
        <v>1184</v>
      </c>
      <c r="G243" t="s">
        <v>314</v>
      </c>
      <c r="H243" t="s">
        <v>315</v>
      </c>
      <c r="I243" t="s">
        <v>58</v>
      </c>
      <c r="J243" t="s">
        <v>316</v>
      </c>
      <c r="K243" s="15" t="str">
        <f>VLOOKUP(I243,[2]LOOKUP!$A:$D,4,FALSE)</f>
        <v>CM</v>
      </c>
    </row>
    <row r="244" spans="1:11">
      <c r="A244" t="s">
        <v>1177</v>
      </c>
      <c r="B244">
        <v>5</v>
      </c>
      <c r="C244" t="str">
        <f t="shared" si="3"/>
        <v>317383</v>
      </c>
      <c r="D244">
        <v>317383</v>
      </c>
      <c r="E244">
        <v>317383015</v>
      </c>
      <c r="F244" t="s">
        <v>1185</v>
      </c>
      <c r="G244" t="s">
        <v>314</v>
      </c>
      <c r="H244" t="s">
        <v>315</v>
      </c>
      <c r="I244" t="s">
        <v>100</v>
      </c>
      <c r="J244" t="s">
        <v>316</v>
      </c>
      <c r="K244" s="15" t="str">
        <f>VLOOKUP(I244,[2]LOOKUP!$A:$D,4,FALSE)</f>
        <v>CM</v>
      </c>
    </row>
    <row r="245" spans="1:11">
      <c r="A245" t="s">
        <v>1177</v>
      </c>
      <c r="B245">
        <v>5</v>
      </c>
      <c r="C245" t="str">
        <f t="shared" si="3"/>
        <v>317383</v>
      </c>
      <c r="D245">
        <v>317383</v>
      </c>
      <c r="E245">
        <v>317383018</v>
      </c>
      <c r="F245" t="s">
        <v>1186</v>
      </c>
      <c r="G245" t="s">
        <v>314</v>
      </c>
      <c r="H245" t="s">
        <v>315</v>
      </c>
      <c r="I245" t="s">
        <v>100</v>
      </c>
      <c r="J245" t="s">
        <v>316</v>
      </c>
      <c r="K245" s="15" t="str">
        <f>VLOOKUP(I245,[2]LOOKUP!$A:$D,4,FALSE)</f>
        <v>CM</v>
      </c>
    </row>
    <row r="246" spans="1:11">
      <c r="A246" t="s">
        <v>1177</v>
      </c>
      <c r="B246">
        <v>5</v>
      </c>
      <c r="C246" t="str">
        <f t="shared" si="3"/>
        <v>317383</v>
      </c>
      <c r="D246">
        <v>317383</v>
      </c>
      <c r="E246">
        <v>317383019</v>
      </c>
      <c r="F246" t="s">
        <v>1187</v>
      </c>
      <c r="G246" t="s">
        <v>314</v>
      </c>
      <c r="H246" t="s">
        <v>315</v>
      </c>
      <c r="I246" t="s">
        <v>44</v>
      </c>
      <c r="J246" t="s">
        <v>316</v>
      </c>
      <c r="K246" s="15" t="str">
        <f>VLOOKUP(I246,[2]LOOKUP!$A:$D,4,FALSE)</f>
        <v>RM</v>
      </c>
    </row>
    <row r="247" spans="1:11">
      <c r="A247" t="s">
        <v>1177</v>
      </c>
      <c r="B247">
        <v>5</v>
      </c>
      <c r="C247" t="str">
        <f t="shared" si="3"/>
        <v>317383</v>
      </c>
      <c r="D247">
        <v>317383</v>
      </c>
      <c r="E247">
        <v>317383022</v>
      </c>
      <c r="F247" t="s">
        <v>1188</v>
      </c>
      <c r="G247" t="s">
        <v>314</v>
      </c>
      <c r="H247" t="s">
        <v>315</v>
      </c>
      <c r="I247" t="s">
        <v>44</v>
      </c>
      <c r="J247" t="s">
        <v>316</v>
      </c>
      <c r="K247" s="15" t="str">
        <f>VLOOKUP(I247,[2]LOOKUP!$A:$D,4,FALSE)</f>
        <v>RM</v>
      </c>
    </row>
    <row r="248" spans="1:11">
      <c r="A248" t="s">
        <v>1177</v>
      </c>
      <c r="B248">
        <v>5</v>
      </c>
      <c r="C248" t="str">
        <f t="shared" si="3"/>
        <v>317383</v>
      </c>
      <c r="D248">
        <v>317383</v>
      </c>
      <c r="E248">
        <v>317383024</v>
      </c>
      <c r="F248" t="s">
        <v>1189</v>
      </c>
      <c r="G248" t="s">
        <v>314</v>
      </c>
      <c r="H248" t="s">
        <v>315</v>
      </c>
      <c r="I248" t="s">
        <v>58</v>
      </c>
      <c r="J248" t="s">
        <v>316</v>
      </c>
      <c r="K248" s="15" t="str">
        <f>VLOOKUP(I248,[2]LOOKUP!$A:$D,4,FALSE)</f>
        <v>CM</v>
      </c>
    </row>
    <row r="249" spans="1:11">
      <c r="A249" t="s">
        <v>1190</v>
      </c>
      <c r="B249" t="s">
        <v>448</v>
      </c>
      <c r="C249" t="str">
        <f t="shared" si="3"/>
        <v>318303</v>
      </c>
      <c r="D249">
        <v>318303</v>
      </c>
      <c r="E249">
        <v>318303001</v>
      </c>
      <c r="F249" t="s">
        <v>1178</v>
      </c>
      <c r="G249" t="s">
        <v>314</v>
      </c>
      <c r="H249" t="s">
        <v>315</v>
      </c>
      <c r="I249" t="s">
        <v>82</v>
      </c>
      <c r="J249" t="s">
        <v>316</v>
      </c>
      <c r="K249" s="15" t="str">
        <f>VLOOKUP(I249,[2]LOOKUP!$A:$D,4,FALSE)</f>
        <v>CM</v>
      </c>
    </row>
    <row r="250" spans="1:11">
      <c r="A250" t="s">
        <v>1190</v>
      </c>
      <c r="B250">
        <v>5</v>
      </c>
      <c r="C250" t="str">
        <f t="shared" si="3"/>
        <v>317383</v>
      </c>
      <c r="D250">
        <v>318303</v>
      </c>
      <c r="E250">
        <v>317383002</v>
      </c>
      <c r="F250" t="s">
        <v>1191</v>
      </c>
      <c r="G250" t="s">
        <v>314</v>
      </c>
      <c r="H250" t="s">
        <v>315</v>
      </c>
      <c r="I250" t="s">
        <v>88</v>
      </c>
      <c r="J250" t="s">
        <v>316</v>
      </c>
      <c r="K250" s="15" t="str">
        <f>VLOOKUP(I250,[2]LOOKUP!$A:$D,4,FALSE)</f>
        <v>CM</v>
      </c>
    </row>
    <row r="251" spans="1:11">
      <c r="A251" t="s">
        <v>1190</v>
      </c>
      <c r="B251" t="s">
        <v>448</v>
      </c>
      <c r="C251" t="str">
        <f t="shared" si="3"/>
        <v>318303</v>
      </c>
      <c r="D251">
        <v>318303</v>
      </c>
      <c r="E251">
        <v>318303003</v>
      </c>
      <c r="F251" t="s">
        <v>1192</v>
      </c>
      <c r="G251" t="s">
        <v>314</v>
      </c>
      <c r="H251" t="s">
        <v>315</v>
      </c>
      <c r="I251" t="s">
        <v>82</v>
      </c>
      <c r="J251" t="s">
        <v>316</v>
      </c>
      <c r="K251" s="15" t="str">
        <f>VLOOKUP(I251,[2]LOOKUP!$A:$D,4,FALSE)</f>
        <v>CM</v>
      </c>
    </row>
    <row r="252" spans="1:11">
      <c r="A252" t="s">
        <v>1190</v>
      </c>
      <c r="B252">
        <v>5</v>
      </c>
      <c r="C252" t="str">
        <f t="shared" si="3"/>
        <v>317383</v>
      </c>
      <c r="D252">
        <v>318303</v>
      </c>
      <c r="E252">
        <v>317383004</v>
      </c>
      <c r="F252" t="s">
        <v>1193</v>
      </c>
      <c r="G252" t="s">
        <v>314</v>
      </c>
      <c r="H252" t="s">
        <v>315</v>
      </c>
      <c r="I252" t="s">
        <v>88</v>
      </c>
      <c r="J252" t="s">
        <v>316</v>
      </c>
      <c r="K252" s="15" t="str">
        <f>VLOOKUP(I252,[2]LOOKUP!$A:$D,4,FALSE)</f>
        <v>CM</v>
      </c>
    </row>
    <row r="253" spans="1:11">
      <c r="A253" t="s">
        <v>1190</v>
      </c>
      <c r="B253">
        <v>5</v>
      </c>
      <c r="C253" t="str">
        <f t="shared" si="3"/>
        <v>317383</v>
      </c>
      <c r="D253">
        <v>318303</v>
      </c>
      <c r="E253">
        <v>317383005</v>
      </c>
      <c r="F253" t="s">
        <v>1194</v>
      </c>
      <c r="G253" t="s">
        <v>314</v>
      </c>
      <c r="H253" t="s">
        <v>315</v>
      </c>
      <c r="I253" t="s">
        <v>88</v>
      </c>
      <c r="J253" t="s">
        <v>316</v>
      </c>
      <c r="K253" s="15" t="str">
        <f>VLOOKUP(I253,[2]LOOKUP!$A:$D,4,FALSE)</f>
        <v>CM</v>
      </c>
    </row>
    <row r="254" spans="1:11">
      <c r="A254" t="s">
        <v>1190</v>
      </c>
      <c r="B254" t="s">
        <v>448</v>
      </c>
      <c r="C254" t="str">
        <f t="shared" si="3"/>
        <v>318303</v>
      </c>
      <c r="D254">
        <v>318303</v>
      </c>
      <c r="E254">
        <v>318303006</v>
      </c>
      <c r="F254" t="s">
        <v>1181</v>
      </c>
      <c r="G254" t="s">
        <v>314</v>
      </c>
      <c r="H254" t="s">
        <v>315</v>
      </c>
      <c r="I254" t="s">
        <v>82</v>
      </c>
      <c r="J254" t="s">
        <v>316</v>
      </c>
      <c r="K254" s="15" t="str">
        <f>VLOOKUP(I254,[2]LOOKUP!$A:$D,4,FALSE)</f>
        <v>CM</v>
      </c>
    </row>
    <row r="255" spans="1:11">
      <c r="A255" t="s">
        <v>1190</v>
      </c>
      <c r="B255">
        <v>5</v>
      </c>
      <c r="C255" t="str">
        <f t="shared" si="3"/>
        <v>317383</v>
      </c>
      <c r="D255">
        <v>318303</v>
      </c>
      <c r="E255">
        <v>317383007</v>
      </c>
      <c r="F255" t="s">
        <v>1195</v>
      </c>
      <c r="G255" t="s">
        <v>314</v>
      </c>
      <c r="H255" t="s">
        <v>315</v>
      </c>
      <c r="I255" t="s">
        <v>88</v>
      </c>
      <c r="J255" t="s">
        <v>316</v>
      </c>
      <c r="K255" s="15" t="str">
        <f>VLOOKUP(I255,[2]LOOKUP!$A:$D,4,FALSE)</f>
        <v>CM</v>
      </c>
    </row>
    <row r="256" spans="1:11">
      <c r="A256" t="s">
        <v>1190</v>
      </c>
      <c r="B256" t="s">
        <v>448</v>
      </c>
      <c r="C256" t="str">
        <f t="shared" si="3"/>
        <v>318303</v>
      </c>
      <c r="D256">
        <v>318303</v>
      </c>
      <c r="E256">
        <v>318303008</v>
      </c>
      <c r="F256" t="s">
        <v>1182</v>
      </c>
      <c r="G256" t="s">
        <v>314</v>
      </c>
      <c r="H256" t="s">
        <v>315</v>
      </c>
      <c r="I256" t="s">
        <v>82</v>
      </c>
      <c r="J256" t="s">
        <v>316</v>
      </c>
      <c r="K256" s="15" t="str">
        <f>VLOOKUP(I256,[2]LOOKUP!$A:$D,4,FALSE)</f>
        <v>CM</v>
      </c>
    </row>
    <row r="257" spans="1:11">
      <c r="A257" t="s">
        <v>1190</v>
      </c>
      <c r="B257">
        <v>5</v>
      </c>
      <c r="C257" t="str">
        <f t="shared" si="3"/>
        <v>317383</v>
      </c>
      <c r="D257">
        <v>318303</v>
      </c>
      <c r="E257">
        <v>317383009</v>
      </c>
      <c r="F257" t="s">
        <v>1196</v>
      </c>
      <c r="G257" t="s">
        <v>314</v>
      </c>
      <c r="H257" t="s">
        <v>315</v>
      </c>
      <c r="I257" t="s">
        <v>88</v>
      </c>
      <c r="J257" t="s">
        <v>316</v>
      </c>
      <c r="K257" s="15" t="str">
        <f>VLOOKUP(I257,[2]LOOKUP!$A:$D,4,FALSE)</f>
        <v>CM</v>
      </c>
    </row>
    <row r="258" spans="1:11">
      <c r="A258" t="s">
        <v>1190</v>
      </c>
      <c r="B258" t="s">
        <v>448</v>
      </c>
      <c r="C258" t="str">
        <f t="shared" si="3"/>
        <v>318303</v>
      </c>
      <c r="D258">
        <v>318303</v>
      </c>
      <c r="E258">
        <v>318303010</v>
      </c>
      <c r="F258" t="s">
        <v>1197</v>
      </c>
      <c r="G258" t="s">
        <v>314</v>
      </c>
      <c r="H258" t="s">
        <v>315</v>
      </c>
      <c r="I258" t="s">
        <v>82</v>
      </c>
      <c r="J258" t="s">
        <v>316</v>
      </c>
      <c r="K258" s="15" t="str">
        <f>VLOOKUP(I258,[2]LOOKUP!$A:$D,4,FALSE)</f>
        <v>CM</v>
      </c>
    </row>
    <row r="259" spans="1:11">
      <c r="A259" t="s">
        <v>1190</v>
      </c>
      <c r="B259">
        <v>5</v>
      </c>
      <c r="C259" t="str">
        <f t="shared" ref="C259:C322" si="4">LEFT(E259,6)</f>
        <v>317383</v>
      </c>
      <c r="D259">
        <v>318303</v>
      </c>
      <c r="E259">
        <v>317383011</v>
      </c>
      <c r="F259" t="s">
        <v>1198</v>
      </c>
      <c r="G259" t="s">
        <v>314</v>
      </c>
      <c r="H259" t="s">
        <v>315</v>
      </c>
      <c r="I259" t="s">
        <v>88</v>
      </c>
      <c r="J259" t="s">
        <v>316</v>
      </c>
      <c r="K259" s="15" t="str">
        <f>VLOOKUP(I259,[2]LOOKUP!$A:$D,4,FALSE)</f>
        <v>CM</v>
      </c>
    </row>
    <row r="260" spans="1:11">
      <c r="A260" t="s">
        <v>1190</v>
      </c>
      <c r="B260">
        <v>5</v>
      </c>
      <c r="C260" t="str">
        <f t="shared" si="4"/>
        <v>317383</v>
      </c>
      <c r="D260">
        <v>318303</v>
      </c>
      <c r="E260">
        <v>317383012</v>
      </c>
      <c r="F260" t="s">
        <v>1199</v>
      </c>
      <c r="G260" t="s">
        <v>314</v>
      </c>
      <c r="H260" t="s">
        <v>315</v>
      </c>
      <c r="I260" t="s">
        <v>88</v>
      </c>
      <c r="J260" t="s">
        <v>316</v>
      </c>
      <c r="K260" s="15" t="str">
        <f>VLOOKUP(I260,[2]LOOKUP!$A:$D,4,FALSE)</f>
        <v>CM</v>
      </c>
    </row>
    <row r="261" spans="1:11">
      <c r="A261" t="s">
        <v>1190</v>
      </c>
      <c r="B261">
        <v>5</v>
      </c>
      <c r="C261" t="str">
        <f t="shared" si="4"/>
        <v>317383</v>
      </c>
      <c r="D261">
        <v>318303</v>
      </c>
      <c r="E261">
        <v>317383013</v>
      </c>
      <c r="F261" t="s">
        <v>1200</v>
      </c>
      <c r="G261" t="s">
        <v>314</v>
      </c>
      <c r="H261" t="s">
        <v>315</v>
      </c>
      <c r="I261" t="s">
        <v>88</v>
      </c>
      <c r="J261" t="s">
        <v>316</v>
      </c>
      <c r="K261" s="15" t="str">
        <f>VLOOKUP(I261,[2]LOOKUP!$A:$D,4,FALSE)</f>
        <v>CM</v>
      </c>
    </row>
    <row r="262" spans="1:11">
      <c r="A262" t="s">
        <v>1190</v>
      </c>
      <c r="B262" t="s">
        <v>448</v>
      </c>
      <c r="C262" t="str">
        <f t="shared" si="4"/>
        <v>318303</v>
      </c>
      <c r="D262">
        <v>318303</v>
      </c>
      <c r="E262">
        <v>318303014</v>
      </c>
      <c r="F262" t="s">
        <v>1201</v>
      </c>
      <c r="G262" t="s">
        <v>314</v>
      </c>
      <c r="H262" t="s">
        <v>315</v>
      </c>
      <c r="I262" t="s">
        <v>82</v>
      </c>
      <c r="J262" t="s">
        <v>316</v>
      </c>
      <c r="K262" s="15" t="str">
        <f>VLOOKUP(I262,[2]LOOKUP!$A:$D,4,FALSE)</f>
        <v>CM</v>
      </c>
    </row>
    <row r="263" spans="1:11">
      <c r="A263" t="s">
        <v>1190</v>
      </c>
      <c r="B263" t="s">
        <v>448</v>
      </c>
      <c r="C263" t="str">
        <f t="shared" si="4"/>
        <v>318303</v>
      </c>
      <c r="D263">
        <v>318303</v>
      </c>
      <c r="E263">
        <v>318303015</v>
      </c>
      <c r="F263" t="s">
        <v>1202</v>
      </c>
      <c r="G263" t="s">
        <v>314</v>
      </c>
      <c r="H263" t="s">
        <v>315</v>
      </c>
      <c r="I263" t="s">
        <v>82</v>
      </c>
      <c r="J263" t="s">
        <v>316</v>
      </c>
      <c r="K263" s="15" t="str">
        <f>VLOOKUP(I263,[2]LOOKUP!$A:$D,4,FALSE)</f>
        <v>CM</v>
      </c>
    </row>
    <row r="264" spans="1:11">
      <c r="A264" t="s">
        <v>1190</v>
      </c>
      <c r="B264">
        <v>5</v>
      </c>
      <c r="C264" t="str">
        <f t="shared" si="4"/>
        <v>317383</v>
      </c>
      <c r="D264">
        <v>318303</v>
      </c>
      <c r="E264">
        <v>317383016</v>
      </c>
      <c r="F264" t="s">
        <v>1203</v>
      </c>
      <c r="G264" t="s">
        <v>314</v>
      </c>
      <c r="H264" t="s">
        <v>315</v>
      </c>
      <c r="I264" t="s">
        <v>88</v>
      </c>
      <c r="J264" t="s">
        <v>316</v>
      </c>
      <c r="K264" s="15" t="str">
        <f>VLOOKUP(I264,[2]LOOKUP!$A:$D,4,FALSE)</f>
        <v>CM</v>
      </c>
    </row>
    <row r="265" spans="1:11">
      <c r="A265" t="s">
        <v>1190</v>
      </c>
      <c r="B265">
        <v>5</v>
      </c>
      <c r="C265" t="str">
        <f t="shared" si="4"/>
        <v>317383</v>
      </c>
      <c r="D265">
        <v>318303</v>
      </c>
      <c r="E265">
        <v>317383017</v>
      </c>
      <c r="F265" t="s">
        <v>1204</v>
      </c>
      <c r="G265" t="s">
        <v>314</v>
      </c>
      <c r="H265" t="s">
        <v>315</v>
      </c>
      <c r="I265" t="s">
        <v>88</v>
      </c>
      <c r="J265" t="s">
        <v>316</v>
      </c>
      <c r="K265" s="15" t="str">
        <f>VLOOKUP(I265,[2]LOOKUP!$A:$D,4,FALSE)</f>
        <v>CM</v>
      </c>
    </row>
    <row r="266" spans="1:11">
      <c r="A266" t="s">
        <v>1190</v>
      </c>
      <c r="B266" t="s">
        <v>448</v>
      </c>
      <c r="C266" t="str">
        <f t="shared" si="4"/>
        <v>318303</v>
      </c>
      <c r="D266">
        <v>318303</v>
      </c>
      <c r="E266">
        <v>318303018</v>
      </c>
      <c r="F266" t="s">
        <v>1205</v>
      </c>
      <c r="G266" t="s">
        <v>314</v>
      </c>
      <c r="H266" t="s">
        <v>315</v>
      </c>
      <c r="I266" t="s">
        <v>82</v>
      </c>
      <c r="J266" t="s">
        <v>316</v>
      </c>
      <c r="K266" s="15" t="str">
        <f>VLOOKUP(I266,[2]LOOKUP!$A:$D,4,FALSE)</f>
        <v>CM</v>
      </c>
    </row>
    <row r="267" spans="1:11">
      <c r="A267" t="s">
        <v>1190</v>
      </c>
      <c r="B267" t="s">
        <v>448</v>
      </c>
      <c r="C267" t="str">
        <f t="shared" si="4"/>
        <v>318303</v>
      </c>
      <c r="D267">
        <v>318303</v>
      </c>
      <c r="E267">
        <v>318303019</v>
      </c>
      <c r="F267" t="s">
        <v>1206</v>
      </c>
      <c r="G267" t="s">
        <v>314</v>
      </c>
      <c r="H267" t="s">
        <v>315</v>
      </c>
      <c r="I267" t="s">
        <v>82</v>
      </c>
      <c r="J267" t="s">
        <v>316</v>
      </c>
      <c r="K267" s="15" t="str">
        <f>VLOOKUP(I267,[2]LOOKUP!$A:$D,4,FALSE)</f>
        <v>CM</v>
      </c>
    </row>
    <row r="268" spans="1:11">
      <c r="A268" t="s">
        <v>1190</v>
      </c>
      <c r="B268">
        <v>5</v>
      </c>
      <c r="C268" t="str">
        <f t="shared" si="4"/>
        <v>317383</v>
      </c>
      <c r="D268">
        <v>318303</v>
      </c>
      <c r="E268">
        <v>317383020</v>
      </c>
      <c r="F268" t="s">
        <v>1207</v>
      </c>
      <c r="G268" t="s">
        <v>314</v>
      </c>
      <c r="H268" t="s">
        <v>315</v>
      </c>
      <c r="I268" t="s">
        <v>88</v>
      </c>
      <c r="J268" t="s">
        <v>316</v>
      </c>
      <c r="K268" s="15" t="str">
        <f>VLOOKUP(I268,[2]LOOKUP!$A:$D,4,FALSE)</f>
        <v>CM</v>
      </c>
    </row>
    <row r="269" spans="1:11">
      <c r="A269" t="s">
        <v>1190</v>
      </c>
      <c r="B269">
        <v>5</v>
      </c>
      <c r="C269" t="str">
        <f t="shared" si="4"/>
        <v>317383</v>
      </c>
      <c r="D269">
        <v>318303</v>
      </c>
      <c r="E269">
        <v>317383021</v>
      </c>
      <c r="F269" t="s">
        <v>1208</v>
      </c>
      <c r="G269" t="s">
        <v>314</v>
      </c>
      <c r="H269" t="s">
        <v>315</v>
      </c>
      <c r="I269" t="s">
        <v>88</v>
      </c>
      <c r="J269" t="s">
        <v>316</v>
      </c>
      <c r="K269" s="15" t="str">
        <f>VLOOKUP(I269,[2]LOOKUP!$A:$D,4,FALSE)</f>
        <v>CM</v>
      </c>
    </row>
    <row r="270" spans="1:11">
      <c r="A270" t="s">
        <v>1190</v>
      </c>
      <c r="B270" t="s">
        <v>448</v>
      </c>
      <c r="C270" t="str">
        <f t="shared" si="4"/>
        <v>318303</v>
      </c>
      <c r="D270">
        <v>318303</v>
      </c>
      <c r="E270">
        <v>318303022</v>
      </c>
      <c r="F270" t="s">
        <v>1209</v>
      </c>
      <c r="G270" t="s">
        <v>314</v>
      </c>
      <c r="H270" t="s">
        <v>315</v>
      </c>
      <c r="I270" t="s">
        <v>82</v>
      </c>
      <c r="J270" t="s">
        <v>316</v>
      </c>
      <c r="K270" s="15" t="str">
        <f>VLOOKUP(I270,[2]LOOKUP!$A:$D,4,FALSE)</f>
        <v>CM</v>
      </c>
    </row>
    <row r="271" spans="1:11">
      <c r="A271" t="s">
        <v>1190</v>
      </c>
      <c r="B271">
        <v>5</v>
      </c>
      <c r="C271" t="str">
        <f t="shared" si="4"/>
        <v>317383</v>
      </c>
      <c r="D271">
        <v>318303</v>
      </c>
      <c r="E271">
        <v>317383023</v>
      </c>
      <c r="F271" t="s">
        <v>1210</v>
      </c>
      <c r="G271" t="s">
        <v>314</v>
      </c>
      <c r="H271" t="s">
        <v>315</v>
      </c>
      <c r="I271" t="s">
        <v>88</v>
      </c>
      <c r="J271" t="s">
        <v>316</v>
      </c>
      <c r="K271" s="15" t="str">
        <f>VLOOKUP(I271,[2]LOOKUP!$A:$D,4,FALSE)</f>
        <v>CM</v>
      </c>
    </row>
    <row r="272" spans="1:11">
      <c r="A272" t="s">
        <v>1190</v>
      </c>
      <c r="B272" t="s">
        <v>448</v>
      </c>
      <c r="C272" t="str">
        <f t="shared" si="4"/>
        <v>318303</v>
      </c>
      <c r="D272">
        <v>318303</v>
      </c>
      <c r="E272">
        <v>318303024</v>
      </c>
      <c r="F272" t="s">
        <v>1211</v>
      </c>
      <c r="G272" t="s">
        <v>314</v>
      </c>
      <c r="H272" t="s">
        <v>315</v>
      </c>
      <c r="I272" t="s">
        <v>82</v>
      </c>
      <c r="J272" t="s">
        <v>316</v>
      </c>
      <c r="K272" s="15" t="str">
        <f>VLOOKUP(I272,[2]LOOKUP!$A:$D,4,FALSE)</f>
        <v>CM</v>
      </c>
    </row>
    <row r="273" spans="1:11">
      <c r="A273" t="s">
        <v>1212</v>
      </c>
      <c r="B273">
        <v>6</v>
      </c>
      <c r="C273" t="str">
        <f t="shared" si="4"/>
        <v>317384</v>
      </c>
      <c r="D273">
        <v>317804</v>
      </c>
      <c r="E273">
        <v>317384001</v>
      </c>
      <c r="F273" t="s">
        <v>1213</v>
      </c>
      <c r="G273" t="s">
        <v>314</v>
      </c>
      <c r="H273" t="s">
        <v>315</v>
      </c>
      <c r="I273" t="s">
        <v>88</v>
      </c>
      <c r="J273" t="s">
        <v>316</v>
      </c>
      <c r="K273" s="15" t="str">
        <f>VLOOKUP(I273,[2]LOOKUP!$A:$D,4,FALSE)</f>
        <v>CM</v>
      </c>
    </row>
    <row r="274" spans="1:11">
      <c r="A274" t="s">
        <v>1212</v>
      </c>
      <c r="B274">
        <v>6</v>
      </c>
      <c r="C274" t="str">
        <f t="shared" si="4"/>
        <v>317384</v>
      </c>
      <c r="D274">
        <v>317804</v>
      </c>
      <c r="E274">
        <v>317384002</v>
      </c>
      <c r="F274" t="s">
        <v>1214</v>
      </c>
      <c r="G274" t="s">
        <v>314</v>
      </c>
      <c r="H274" t="s">
        <v>315</v>
      </c>
      <c r="I274" t="s">
        <v>88</v>
      </c>
      <c r="J274" t="s">
        <v>316</v>
      </c>
      <c r="K274" s="15" t="str">
        <f>VLOOKUP(I274,[2]LOOKUP!$A:$D,4,FALSE)</f>
        <v>CM</v>
      </c>
    </row>
    <row r="275" spans="1:11">
      <c r="A275" t="s">
        <v>1212</v>
      </c>
      <c r="B275">
        <v>6</v>
      </c>
      <c r="C275" t="str">
        <f t="shared" si="4"/>
        <v>317384</v>
      </c>
      <c r="D275">
        <v>317804</v>
      </c>
      <c r="E275">
        <v>317384003</v>
      </c>
      <c r="F275" t="s">
        <v>1215</v>
      </c>
      <c r="G275" t="s">
        <v>314</v>
      </c>
      <c r="H275" t="s">
        <v>315</v>
      </c>
      <c r="I275" t="s">
        <v>88</v>
      </c>
      <c r="J275" t="s">
        <v>316</v>
      </c>
      <c r="K275" s="15" t="str">
        <f>VLOOKUP(I275,[2]LOOKUP!$A:$D,4,FALSE)</f>
        <v>CM</v>
      </c>
    </row>
    <row r="276" spans="1:11">
      <c r="A276" t="s">
        <v>1216</v>
      </c>
      <c r="B276">
        <v>6</v>
      </c>
      <c r="C276" t="str">
        <f t="shared" si="4"/>
        <v>317384</v>
      </c>
      <c r="D276">
        <v>317384</v>
      </c>
      <c r="E276">
        <v>317384004</v>
      </c>
      <c r="F276" t="s">
        <v>1217</v>
      </c>
      <c r="G276" t="s">
        <v>314</v>
      </c>
      <c r="H276" t="s">
        <v>315</v>
      </c>
      <c r="I276" t="s">
        <v>58</v>
      </c>
      <c r="J276" t="s">
        <v>316</v>
      </c>
      <c r="K276" s="15" t="str">
        <f>VLOOKUP(I276,[2]LOOKUP!$A:$D,4,FALSE)</f>
        <v>CM</v>
      </c>
    </row>
    <row r="277" spans="1:11">
      <c r="A277" t="s">
        <v>1216</v>
      </c>
      <c r="B277">
        <v>6</v>
      </c>
      <c r="C277" t="str">
        <f t="shared" si="4"/>
        <v>317384</v>
      </c>
      <c r="D277">
        <v>317384</v>
      </c>
      <c r="E277">
        <v>317384005</v>
      </c>
      <c r="F277" t="s">
        <v>1218</v>
      </c>
      <c r="G277" t="s">
        <v>314</v>
      </c>
      <c r="H277" t="s">
        <v>315</v>
      </c>
      <c r="I277" t="s">
        <v>58</v>
      </c>
      <c r="J277" t="s">
        <v>316</v>
      </c>
      <c r="K277" s="15" t="str">
        <f>VLOOKUP(I277,[2]LOOKUP!$A:$D,4,FALSE)</f>
        <v>CM</v>
      </c>
    </row>
    <row r="278" spans="1:11">
      <c r="A278" t="s">
        <v>1216</v>
      </c>
      <c r="B278">
        <v>6</v>
      </c>
      <c r="C278" t="str">
        <f t="shared" si="4"/>
        <v>317384</v>
      </c>
      <c r="D278">
        <v>317384</v>
      </c>
      <c r="E278">
        <v>317384006</v>
      </c>
      <c r="F278" t="s">
        <v>1219</v>
      </c>
      <c r="G278" t="s">
        <v>314</v>
      </c>
      <c r="H278" t="s">
        <v>315</v>
      </c>
      <c r="I278" t="s">
        <v>100</v>
      </c>
      <c r="J278" t="s">
        <v>316</v>
      </c>
      <c r="K278" s="15" t="str">
        <f>VLOOKUP(I278,[2]LOOKUP!$A:$D,4,FALSE)</f>
        <v>CM</v>
      </c>
    </row>
    <row r="279" spans="1:11">
      <c r="A279" t="s">
        <v>1212</v>
      </c>
      <c r="B279">
        <v>6</v>
      </c>
      <c r="C279" t="str">
        <f t="shared" si="4"/>
        <v>317384</v>
      </c>
      <c r="D279">
        <v>317804</v>
      </c>
      <c r="E279">
        <v>317384007</v>
      </c>
      <c r="F279" t="s">
        <v>1220</v>
      </c>
      <c r="G279" t="s">
        <v>314</v>
      </c>
      <c r="H279" t="s">
        <v>315</v>
      </c>
      <c r="I279" t="s">
        <v>88</v>
      </c>
      <c r="J279" t="s">
        <v>316</v>
      </c>
      <c r="K279" s="15" t="str">
        <f>VLOOKUP(I279,[2]LOOKUP!$A:$D,4,FALSE)</f>
        <v>CM</v>
      </c>
    </row>
    <row r="280" spans="1:11">
      <c r="A280" t="s">
        <v>1216</v>
      </c>
      <c r="B280">
        <v>6</v>
      </c>
      <c r="C280" t="str">
        <f t="shared" si="4"/>
        <v>317384</v>
      </c>
      <c r="D280">
        <v>317384</v>
      </c>
      <c r="E280">
        <v>317384008</v>
      </c>
      <c r="F280" t="s">
        <v>1221</v>
      </c>
      <c r="G280" t="s">
        <v>314</v>
      </c>
      <c r="H280" t="s">
        <v>315</v>
      </c>
      <c r="I280" t="s">
        <v>58</v>
      </c>
      <c r="J280" t="s">
        <v>316</v>
      </c>
      <c r="K280" s="15" t="str">
        <f>VLOOKUP(I280,[2]LOOKUP!$A:$D,4,FALSE)</f>
        <v>CM</v>
      </c>
    </row>
    <row r="281" spans="1:11">
      <c r="A281" t="s">
        <v>1216</v>
      </c>
      <c r="B281">
        <v>6</v>
      </c>
      <c r="C281" t="str">
        <f t="shared" si="4"/>
        <v>317384</v>
      </c>
      <c r="D281">
        <v>317384</v>
      </c>
      <c r="E281">
        <v>317384009</v>
      </c>
      <c r="F281" t="s">
        <v>1222</v>
      </c>
      <c r="G281" t="s">
        <v>314</v>
      </c>
      <c r="H281" t="s">
        <v>315</v>
      </c>
      <c r="I281" t="s">
        <v>58</v>
      </c>
      <c r="J281" t="s">
        <v>316</v>
      </c>
      <c r="K281" s="15" t="str">
        <f>VLOOKUP(I281,[2]LOOKUP!$A:$D,4,FALSE)</f>
        <v>CM</v>
      </c>
    </row>
    <row r="282" spans="1:11">
      <c r="A282" t="s">
        <v>1212</v>
      </c>
      <c r="B282">
        <v>6</v>
      </c>
      <c r="C282" t="str">
        <f t="shared" si="4"/>
        <v>317384</v>
      </c>
      <c r="D282">
        <v>317804</v>
      </c>
      <c r="E282">
        <v>317384010</v>
      </c>
      <c r="F282" t="s">
        <v>1223</v>
      </c>
      <c r="G282" t="s">
        <v>314</v>
      </c>
      <c r="H282" t="s">
        <v>315</v>
      </c>
      <c r="I282" t="s">
        <v>88</v>
      </c>
      <c r="J282" t="s">
        <v>316</v>
      </c>
      <c r="K282" s="15" t="str">
        <f>VLOOKUP(I282,[2]LOOKUP!$A:$D,4,FALSE)</f>
        <v>CM</v>
      </c>
    </row>
    <row r="283" spans="1:11">
      <c r="A283" t="s">
        <v>1216</v>
      </c>
      <c r="B283">
        <v>6</v>
      </c>
      <c r="C283" t="str">
        <f t="shared" si="4"/>
        <v>317384</v>
      </c>
      <c r="D283">
        <v>317384</v>
      </c>
      <c r="E283">
        <v>317384011</v>
      </c>
      <c r="F283" t="s">
        <v>1224</v>
      </c>
      <c r="G283" t="s">
        <v>314</v>
      </c>
      <c r="H283" t="s">
        <v>315</v>
      </c>
      <c r="I283" t="s">
        <v>100</v>
      </c>
      <c r="J283" t="s">
        <v>316</v>
      </c>
      <c r="K283" s="15" t="str">
        <f>VLOOKUP(I283,[2]LOOKUP!$A:$D,4,FALSE)</f>
        <v>CM</v>
      </c>
    </row>
    <row r="284" spans="1:11">
      <c r="A284" t="s">
        <v>1212</v>
      </c>
      <c r="B284">
        <v>6</v>
      </c>
      <c r="C284" t="str">
        <f t="shared" si="4"/>
        <v>317384</v>
      </c>
      <c r="D284">
        <v>317804</v>
      </c>
      <c r="E284">
        <v>317384012</v>
      </c>
      <c r="F284" t="s">
        <v>1225</v>
      </c>
      <c r="G284" t="s">
        <v>314</v>
      </c>
      <c r="H284" t="s">
        <v>315</v>
      </c>
      <c r="I284" t="s">
        <v>88</v>
      </c>
      <c r="J284" t="s">
        <v>316</v>
      </c>
      <c r="K284" s="15" t="str">
        <f>VLOOKUP(I284,[2]LOOKUP!$A:$D,4,FALSE)</f>
        <v>CM</v>
      </c>
    </row>
    <row r="285" spans="1:11">
      <c r="A285" t="s">
        <v>1212</v>
      </c>
      <c r="B285">
        <v>6</v>
      </c>
      <c r="C285" t="str">
        <f t="shared" si="4"/>
        <v>317384</v>
      </c>
      <c r="D285">
        <v>317804</v>
      </c>
      <c r="E285">
        <v>317384013</v>
      </c>
      <c r="F285" t="s">
        <v>1226</v>
      </c>
      <c r="G285" t="s">
        <v>314</v>
      </c>
      <c r="H285" t="s">
        <v>315</v>
      </c>
      <c r="I285" t="s">
        <v>88</v>
      </c>
      <c r="J285" t="s">
        <v>316</v>
      </c>
      <c r="K285" s="15" t="str">
        <f>VLOOKUP(I285,[2]LOOKUP!$A:$D,4,FALSE)</f>
        <v>CM</v>
      </c>
    </row>
    <row r="286" spans="1:11">
      <c r="A286" t="s">
        <v>1216</v>
      </c>
      <c r="B286">
        <v>6</v>
      </c>
      <c r="C286" t="str">
        <f t="shared" si="4"/>
        <v>317384</v>
      </c>
      <c r="D286">
        <v>317384</v>
      </c>
      <c r="E286">
        <v>317384014</v>
      </c>
      <c r="F286" t="s">
        <v>1227</v>
      </c>
      <c r="G286" t="s">
        <v>314</v>
      </c>
      <c r="H286" t="s">
        <v>315</v>
      </c>
      <c r="I286" t="s">
        <v>100</v>
      </c>
      <c r="J286" t="s">
        <v>316</v>
      </c>
      <c r="K286" s="15" t="str">
        <f>VLOOKUP(I286,[2]LOOKUP!$A:$D,4,FALSE)</f>
        <v>CM</v>
      </c>
    </row>
    <row r="287" spans="1:11">
      <c r="A287" t="s">
        <v>1216</v>
      </c>
      <c r="B287">
        <v>6</v>
      </c>
      <c r="C287" t="str">
        <f t="shared" si="4"/>
        <v>317384</v>
      </c>
      <c r="D287">
        <v>317384</v>
      </c>
      <c r="E287">
        <v>317384015</v>
      </c>
      <c r="F287" t="s">
        <v>1228</v>
      </c>
      <c r="G287" t="s">
        <v>314</v>
      </c>
      <c r="H287" t="s">
        <v>315</v>
      </c>
      <c r="I287" t="s">
        <v>44</v>
      </c>
      <c r="J287" t="s">
        <v>316</v>
      </c>
      <c r="K287" s="15" t="str">
        <f>VLOOKUP(I287,[2]LOOKUP!$A:$D,4,FALSE)</f>
        <v>RM</v>
      </c>
    </row>
    <row r="288" spans="1:11">
      <c r="A288" t="s">
        <v>1212</v>
      </c>
      <c r="B288">
        <v>6</v>
      </c>
      <c r="C288" t="str">
        <f t="shared" si="4"/>
        <v>317384</v>
      </c>
      <c r="D288">
        <v>317804</v>
      </c>
      <c r="E288">
        <v>317384016</v>
      </c>
      <c r="F288" t="s">
        <v>1229</v>
      </c>
      <c r="G288" t="s">
        <v>314</v>
      </c>
      <c r="H288" t="s">
        <v>315</v>
      </c>
      <c r="I288" t="s">
        <v>88</v>
      </c>
      <c r="J288" t="s">
        <v>316</v>
      </c>
      <c r="K288" s="15" t="str">
        <f>VLOOKUP(I288,[2]LOOKUP!$A:$D,4,FALSE)</f>
        <v>CM</v>
      </c>
    </row>
    <row r="289" spans="1:11">
      <c r="A289" t="s">
        <v>1216</v>
      </c>
      <c r="B289">
        <v>6</v>
      </c>
      <c r="C289" t="str">
        <f t="shared" si="4"/>
        <v>317384</v>
      </c>
      <c r="D289">
        <v>317384</v>
      </c>
      <c r="E289">
        <v>317384017</v>
      </c>
      <c r="F289" t="s">
        <v>1230</v>
      </c>
      <c r="G289" t="s">
        <v>314</v>
      </c>
      <c r="H289" t="s">
        <v>315</v>
      </c>
      <c r="I289" t="s">
        <v>58</v>
      </c>
      <c r="J289" t="s">
        <v>316</v>
      </c>
      <c r="K289" s="15" t="str">
        <f>VLOOKUP(I289,[2]LOOKUP!$A:$D,4,FALSE)</f>
        <v>CM</v>
      </c>
    </row>
    <row r="290" spans="1:11">
      <c r="A290" t="s">
        <v>1212</v>
      </c>
      <c r="B290">
        <v>6</v>
      </c>
      <c r="C290" t="str">
        <f t="shared" si="4"/>
        <v>317660</v>
      </c>
      <c r="D290">
        <v>317804</v>
      </c>
      <c r="E290">
        <v>317660001</v>
      </c>
      <c r="F290" t="s">
        <v>1231</v>
      </c>
      <c r="G290" t="s">
        <v>314</v>
      </c>
      <c r="H290" t="s">
        <v>315</v>
      </c>
      <c r="I290" t="s">
        <v>88</v>
      </c>
      <c r="J290" t="s">
        <v>316</v>
      </c>
      <c r="K290" s="15" t="str">
        <f>VLOOKUP(I290,[2]LOOKUP!$A:$D,4,FALSE)</f>
        <v>CM</v>
      </c>
    </row>
    <row r="291" spans="1:11">
      <c r="A291" t="s">
        <v>1212</v>
      </c>
      <c r="B291" t="s">
        <v>448</v>
      </c>
      <c r="C291" t="str">
        <f t="shared" si="4"/>
        <v>318304</v>
      </c>
      <c r="D291">
        <v>317804</v>
      </c>
      <c r="E291">
        <v>318304005</v>
      </c>
      <c r="F291" t="s">
        <v>1217</v>
      </c>
      <c r="G291" t="s">
        <v>314</v>
      </c>
      <c r="H291" t="s">
        <v>315</v>
      </c>
      <c r="I291" t="s">
        <v>82</v>
      </c>
      <c r="J291" t="s">
        <v>316</v>
      </c>
      <c r="K291" s="15" t="str">
        <f>VLOOKUP(I291,[2]LOOKUP!$A:$D,4,FALSE)</f>
        <v>CM</v>
      </c>
    </row>
    <row r="292" spans="1:11">
      <c r="A292" t="s">
        <v>1212</v>
      </c>
      <c r="B292" t="s">
        <v>448</v>
      </c>
      <c r="C292" t="str">
        <f t="shared" si="4"/>
        <v>318304</v>
      </c>
      <c r="D292">
        <v>317804</v>
      </c>
      <c r="E292">
        <v>318304006</v>
      </c>
      <c r="F292" t="s">
        <v>1218</v>
      </c>
      <c r="G292" t="s">
        <v>314</v>
      </c>
      <c r="H292" t="s">
        <v>315</v>
      </c>
      <c r="I292" t="s">
        <v>82</v>
      </c>
      <c r="J292" t="s">
        <v>316</v>
      </c>
      <c r="K292" s="15" t="str">
        <f>VLOOKUP(I292,[2]LOOKUP!$A:$D,4,FALSE)</f>
        <v>CM</v>
      </c>
    </row>
    <row r="293" spans="1:11">
      <c r="A293" t="s">
        <v>1212</v>
      </c>
      <c r="B293" t="s">
        <v>448</v>
      </c>
      <c r="C293" t="str">
        <f t="shared" si="4"/>
        <v>318304</v>
      </c>
      <c r="D293">
        <v>317804</v>
      </c>
      <c r="E293">
        <v>318304007</v>
      </c>
      <c r="F293" t="s">
        <v>1219</v>
      </c>
      <c r="G293" t="s">
        <v>314</v>
      </c>
      <c r="H293" t="s">
        <v>315</v>
      </c>
      <c r="I293" t="s">
        <v>82</v>
      </c>
      <c r="J293" t="s">
        <v>316</v>
      </c>
      <c r="K293" s="15" t="str">
        <f>VLOOKUP(I293,[2]LOOKUP!$A:$D,4,FALSE)</f>
        <v>CM</v>
      </c>
    </row>
    <row r="294" spans="1:11">
      <c r="A294" t="s">
        <v>1212</v>
      </c>
      <c r="B294" t="s">
        <v>448</v>
      </c>
      <c r="C294" t="str">
        <f t="shared" si="4"/>
        <v>318304</v>
      </c>
      <c r="D294">
        <v>317804</v>
      </c>
      <c r="E294">
        <v>318304009</v>
      </c>
      <c r="F294" t="s">
        <v>1221</v>
      </c>
      <c r="G294" t="s">
        <v>314</v>
      </c>
      <c r="H294" t="s">
        <v>315</v>
      </c>
      <c r="I294" t="s">
        <v>82</v>
      </c>
      <c r="J294" t="s">
        <v>316</v>
      </c>
      <c r="K294" s="15" t="str">
        <f>VLOOKUP(I294,[2]LOOKUP!$A:$D,4,FALSE)</f>
        <v>CM</v>
      </c>
    </row>
    <row r="295" spans="1:11">
      <c r="A295" t="s">
        <v>1212</v>
      </c>
      <c r="B295" t="s">
        <v>448</v>
      </c>
      <c r="C295" t="str">
        <f t="shared" si="4"/>
        <v>318304</v>
      </c>
      <c r="D295">
        <v>317804</v>
      </c>
      <c r="E295">
        <v>318304010</v>
      </c>
      <c r="F295" t="s">
        <v>1222</v>
      </c>
      <c r="G295" t="s">
        <v>314</v>
      </c>
      <c r="H295" t="s">
        <v>315</v>
      </c>
      <c r="I295" t="s">
        <v>82</v>
      </c>
      <c r="J295" t="s">
        <v>316</v>
      </c>
      <c r="K295" s="15" t="str">
        <f>VLOOKUP(I295,[2]LOOKUP!$A:$D,4,FALSE)</f>
        <v>CM</v>
      </c>
    </row>
    <row r="296" spans="1:11">
      <c r="A296" t="s">
        <v>1212</v>
      </c>
      <c r="B296" t="s">
        <v>448</v>
      </c>
      <c r="C296" t="str">
        <f t="shared" si="4"/>
        <v>318304</v>
      </c>
      <c r="D296">
        <v>317804</v>
      </c>
      <c r="E296">
        <v>318304012</v>
      </c>
      <c r="F296" t="s">
        <v>1224</v>
      </c>
      <c r="G296" t="s">
        <v>314</v>
      </c>
      <c r="H296" t="s">
        <v>315</v>
      </c>
      <c r="I296" t="s">
        <v>82</v>
      </c>
      <c r="J296" t="s">
        <v>316</v>
      </c>
      <c r="K296" s="15" t="str">
        <f>VLOOKUP(I296,[2]LOOKUP!$A:$D,4,FALSE)</f>
        <v>CM</v>
      </c>
    </row>
    <row r="297" spans="1:11">
      <c r="A297" t="s">
        <v>1212</v>
      </c>
      <c r="B297" t="s">
        <v>448</v>
      </c>
      <c r="C297" t="str">
        <f t="shared" si="4"/>
        <v>318304</v>
      </c>
      <c r="D297">
        <v>317804</v>
      </c>
      <c r="E297">
        <v>318304015</v>
      </c>
      <c r="F297" t="s">
        <v>1227</v>
      </c>
      <c r="G297" t="s">
        <v>314</v>
      </c>
      <c r="H297" t="s">
        <v>315</v>
      </c>
      <c r="I297" t="s">
        <v>82</v>
      </c>
      <c r="J297" t="s">
        <v>316</v>
      </c>
      <c r="K297" s="15" t="str">
        <f>VLOOKUP(I297,[2]LOOKUP!$A:$D,4,FALSE)</f>
        <v>CM</v>
      </c>
    </row>
    <row r="298" spans="1:11">
      <c r="A298" t="s">
        <v>1212</v>
      </c>
      <c r="B298" t="s">
        <v>448</v>
      </c>
      <c r="C298" t="str">
        <f t="shared" si="4"/>
        <v>318304</v>
      </c>
      <c r="D298">
        <v>317804</v>
      </c>
      <c r="E298">
        <v>318304016</v>
      </c>
      <c r="F298" t="s">
        <v>1228</v>
      </c>
      <c r="G298" t="s">
        <v>314</v>
      </c>
      <c r="H298" t="s">
        <v>315</v>
      </c>
      <c r="I298" t="s">
        <v>82</v>
      </c>
      <c r="J298" t="s">
        <v>316</v>
      </c>
      <c r="K298" s="15" t="str">
        <f>VLOOKUP(I298,[2]LOOKUP!$A:$D,4,FALSE)</f>
        <v>CM</v>
      </c>
    </row>
    <row r="299" spans="1:11">
      <c r="A299" t="s">
        <v>1212</v>
      </c>
      <c r="B299" t="s">
        <v>448</v>
      </c>
      <c r="C299" t="str">
        <f t="shared" si="4"/>
        <v>318304</v>
      </c>
      <c r="D299">
        <v>317804</v>
      </c>
      <c r="E299">
        <v>318304018</v>
      </c>
      <c r="F299" t="s">
        <v>1230</v>
      </c>
      <c r="G299" t="s">
        <v>314</v>
      </c>
      <c r="H299" t="s">
        <v>315</v>
      </c>
      <c r="I299" t="s">
        <v>82</v>
      </c>
      <c r="J299" t="s">
        <v>316</v>
      </c>
      <c r="K299" s="15" t="str">
        <f>VLOOKUP(I299,[2]LOOKUP!$A:$D,4,FALSE)</f>
        <v>CM</v>
      </c>
    </row>
    <row r="300" spans="1:11">
      <c r="A300" t="s">
        <v>1232</v>
      </c>
      <c r="B300">
        <v>7</v>
      </c>
      <c r="C300" t="str">
        <f t="shared" si="4"/>
        <v>317385</v>
      </c>
      <c r="D300">
        <v>317385</v>
      </c>
      <c r="E300">
        <v>317385001</v>
      </c>
      <c r="F300" t="s">
        <v>1233</v>
      </c>
      <c r="G300" t="s">
        <v>314</v>
      </c>
      <c r="H300" t="s">
        <v>315</v>
      </c>
      <c r="I300" t="s">
        <v>100</v>
      </c>
      <c r="J300" t="s">
        <v>316</v>
      </c>
      <c r="K300" s="15" t="str">
        <f>VLOOKUP(I300,[2]LOOKUP!$A:$D,4,FALSE)</f>
        <v>CM</v>
      </c>
    </row>
    <row r="301" spans="1:11">
      <c r="A301" t="s">
        <v>1234</v>
      </c>
      <c r="B301">
        <v>7</v>
      </c>
      <c r="C301" t="str">
        <f t="shared" si="4"/>
        <v>317385</v>
      </c>
      <c r="D301">
        <v>999994</v>
      </c>
      <c r="E301">
        <v>317385008</v>
      </c>
      <c r="F301" t="s">
        <v>1235</v>
      </c>
      <c r="G301" t="s">
        <v>314</v>
      </c>
      <c r="H301" t="s">
        <v>315</v>
      </c>
      <c r="I301" t="s">
        <v>19</v>
      </c>
      <c r="J301" t="s">
        <v>316</v>
      </c>
      <c r="K301" s="15" t="str">
        <f>VLOOKUP(I301,[2]LOOKUP!$A:$D,4,FALSE)</f>
        <v>RM</v>
      </c>
    </row>
    <row r="302" spans="1:11">
      <c r="A302" t="s">
        <v>1232</v>
      </c>
      <c r="B302">
        <v>7</v>
      </c>
      <c r="C302" t="str">
        <f t="shared" si="4"/>
        <v>317385</v>
      </c>
      <c r="D302">
        <v>317385</v>
      </c>
      <c r="E302">
        <v>317385011</v>
      </c>
      <c r="F302" t="s">
        <v>1236</v>
      </c>
      <c r="G302" t="s">
        <v>314</v>
      </c>
      <c r="H302" t="s">
        <v>315</v>
      </c>
      <c r="I302" t="s">
        <v>100</v>
      </c>
      <c r="J302" t="s">
        <v>316</v>
      </c>
      <c r="K302" s="15" t="str">
        <f>VLOOKUP(I302,[2]LOOKUP!$A:$D,4,FALSE)</f>
        <v>CM</v>
      </c>
    </row>
    <row r="303" spans="1:11">
      <c r="A303" t="s">
        <v>1234</v>
      </c>
      <c r="B303">
        <v>7</v>
      </c>
      <c r="C303" t="str">
        <f t="shared" si="4"/>
        <v>317385</v>
      </c>
      <c r="D303">
        <v>999994</v>
      </c>
      <c r="E303">
        <v>317385012</v>
      </c>
      <c r="F303" t="s">
        <v>1237</v>
      </c>
      <c r="G303" t="s">
        <v>314</v>
      </c>
      <c r="H303" t="s">
        <v>315</v>
      </c>
      <c r="I303" t="s">
        <v>19</v>
      </c>
      <c r="J303" t="s">
        <v>316</v>
      </c>
      <c r="K303" s="15" t="str">
        <f>VLOOKUP(I303,[2]LOOKUP!$A:$D,4,FALSE)</f>
        <v>RM</v>
      </c>
    </row>
    <row r="304" spans="1:11">
      <c r="A304" t="s">
        <v>1232</v>
      </c>
      <c r="B304">
        <v>7</v>
      </c>
      <c r="C304" t="str">
        <f t="shared" si="4"/>
        <v>317385</v>
      </c>
      <c r="D304">
        <v>317385</v>
      </c>
      <c r="E304">
        <v>317385013</v>
      </c>
      <c r="F304" t="s">
        <v>1238</v>
      </c>
      <c r="G304" t="s">
        <v>314</v>
      </c>
      <c r="H304" t="s">
        <v>315</v>
      </c>
      <c r="I304" t="s">
        <v>58</v>
      </c>
      <c r="J304" t="s">
        <v>316</v>
      </c>
      <c r="K304" s="15" t="str">
        <f>VLOOKUP(I304,[2]LOOKUP!$A:$D,4,FALSE)</f>
        <v>CM</v>
      </c>
    </row>
    <row r="305" spans="1:11">
      <c r="A305" t="s">
        <v>1232</v>
      </c>
      <c r="B305">
        <v>7</v>
      </c>
      <c r="C305" t="str">
        <f t="shared" si="4"/>
        <v>317385</v>
      </c>
      <c r="D305">
        <v>317385</v>
      </c>
      <c r="E305">
        <v>317385014</v>
      </c>
      <c r="F305" t="s">
        <v>1239</v>
      </c>
      <c r="G305" t="s">
        <v>314</v>
      </c>
      <c r="H305" t="s">
        <v>315</v>
      </c>
      <c r="I305" t="s">
        <v>100</v>
      </c>
      <c r="J305" t="s">
        <v>316</v>
      </c>
      <c r="K305" s="15" t="str">
        <f>VLOOKUP(I305,[2]LOOKUP!$A:$D,4,FALSE)</f>
        <v>CM</v>
      </c>
    </row>
    <row r="306" spans="1:11">
      <c r="A306" t="s">
        <v>1232</v>
      </c>
      <c r="B306">
        <v>7</v>
      </c>
      <c r="C306" t="str">
        <f t="shared" si="4"/>
        <v>317385</v>
      </c>
      <c r="D306">
        <v>317385</v>
      </c>
      <c r="E306">
        <v>317385015</v>
      </c>
      <c r="F306" t="s">
        <v>1240</v>
      </c>
      <c r="G306" t="s">
        <v>314</v>
      </c>
      <c r="H306" t="s">
        <v>315</v>
      </c>
      <c r="I306" t="s">
        <v>44</v>
      </c>
      <c r="J306" t="s">
        <v>316</v>
      </c>
      <c r="K306" s="15" t="str">
        <f>VLOOKUP(I306,[2]LOOKUP!$A:$D,4,FALSE)</f>
        <v>RM</v>
      </c>
    </row>
    <row r="307" spans="1:11">
      <c r="A307" t="s">
        <v>1232</v>
      </c>
      <c r="B307">
        <v>7</v>
      </c>
      <c r="C307" t="str">
        <f t="shared" si="4"/>
        <v>317385</v>
      </c>
      <c r="D307">
        <v>317385</v>
      </c>
      <c r="E307">
        <v>317385016</v>
      </c>
      <c r="F307" t="s">
        <v>1241</v>
      </c>
      <c r="G307" t="s">
        <v>314</v>
      </c>
      <c r="H307" t="s">
        <v>315</v>
      </c>
      <c r="I307" t="s">
        <v>100</v>
      </c>
      <c r="J307" t="s">
        <v>316</v>
      </c>
      <c r="K307" s="15" t="str">
        <f>VLOOKUP(I307,[2]LOOKUP!$A:$D,4,FALSE)</f>
        <v>CM</v>
      </c>
    </row>
    <row r="308" spans="1:11">
      <c r="A308" t="s">
        <v>1234</v>
      </c>
      <c r="B308">
        <v>7</v>
      </c>
      <c r="C308" t="str">
        <f t="shared" si="4"/>
        <v>317385</v>
      </c>
      <c r="D308">
        <v>999994</v>
      </c>
      <c r="E308">
        <v>317385020</v>
      </c>
      <c r="F308" t="s">
        <v>1242</v>
      </c>
      <c r="G308" t="s">
        <v>314</v>
      </c>
      <c r="H308" t="s">
        <v>315</v>
      </c>
      <c r="I308" t="s">
        <v>115</v>
      </c>
      <c r="J308" t="s">
        <v>420</v>
      </c>
      <c r="K308" s="15" t="str">
        <f>VLOOKUP(I308,[2]LOOKUP!$A:$D,4,FALSE)</f>
        <v>RM</v>
      </c>
    </row>
    <row r="309" spans="1:11">
      <c r="A309" t="s">
        <v>1232</v>
      </c>
      <c r="B309">
        <v>7</v>
      </c>
      <c r="C309" t="str">
        <f t="shared" si="4"/>
        <v>317385</v>
      </c>
      <c r="D309">
        <v>317385</v>
      </c>
      <c r="E309">
        <v>317385022</v>
      </c>
      <c r="F309" t="s">
        <v>1243</v>
      </c>
      <c r="G309" t="s">
        <v>314</v>
      </c>
      <c r="H309" t="s">
        <v>315</v>
      </c>
      <c r="I309" t="s">
        <v>100</v>
      </c>
      <c r="J309" t="s">
        <v>316</v>
      </c>
      <c r="K309" s="15" t="str">
        <f>VLOOKUP(I309,[2]LOOKUP!$A:$D,4,FALSE)</f>
        <v>CM</v>
      </c>
    </row>
    <row r="310" spans="1:11">
      <c r="A310" t="s">
        <v>1232</v>
      </c>
      <c r="B310">
        <v>7</v>
      </c>
      <c r="C310" t="str">
        <f t="shared" si="4"/>
        <v>317385</v>
      </c>
      <c r="D310">
        <v>317385</v>
      </c>
      <c r="E310">
        <v>317385023</v>
      </c>
      <c r="F310" t="s">
        <v>1244</v>
      </c>
      <c r="G310" t="s">
        <v>314</v>
      </c>
      <c r="H310" t="s">
        <v>315</v>
      </c>
      <c r="I310" t="s">
        <v>100</v>
      </c>
      <c r="J310" t="s">
        <v>316</v>
      </c>
      <c r="K310" s="15" t="str">
        <f>VLOOKUP(I310,[2]LOOKUP!$A:$D,4,FALSE)</f>
        <v>CM</v>
      </c>
    </row>
    <row r="311" spans="1:11">
      <c r="A311" t="s">
        <v>1245</v>
      </c>
      <c r="B311" t="s">
        <v>448</v>
      </c>
      <c r="C311" t="str">
        <f t="shared" si="4"/>
        <v>318305</v>
      </c>
      <c r="D311">
        <v>318305</v>
      </c>
      <c r="E311">
        <v>318305001</v>
      </c>
      <c r="F311" t="s">
        <v>1233</v>
      </c>
      <c r="G311" t="s">
        <v>314</v>
      </c>
      <c r="H311" t="s">
        <v>315</v>
      </c>
      <c r="I311" t="s">
        <v>82</v>
      </c>
      <c r="J311" t="s">
        <v>316</v>
      </c>
      <c r="K311" s="15" t="str">
        <f>VLOOKUP(I311,[2]LOOKUP!$A:$D,4,FALSE)</f>
        <v>CM</v>
      </c>
    </row>
    <row r="312" spans="1:11">
      <c r="A312" t="s">
        <v>1245</v>
      </c>
      <c r="B312">
        <v>7</v>
      </c>
      <c r="C312" t="str">
        <f t="shared" si="4"/>
        <v>317385</v>
      </c>
      <c r="D312">
        <v>318305</v>
      </c>
      <c r="E312">
        <v>317385002</v>
      </c>
      <c r="F312" t="s">
        <v>1246</v>
      </c>
      <c r="G312" t="s">
        <v>314</v>
      </c>
      <c r="H312" t="s">
        <v>315</v>
      </c>
      <c r="I312" t="s">
        <v>88</v>
      </c>
      <c r="J312" t="s">
        <v>316</v>
      </c>
      <c r="K312" s="15" t="str">
        <f>VLOOKUP(I312,[2]LOOKUP!$A:$D,4,FALSE)</f>
        <v>CM</v>
      </c>
    </row>
    <row r="313" spans="1:11">
      <c r="A313" t="s">
        <v>1245</v>
      </c>
      <c r="B313">
        <v>7</v>
      </c>
      <c r="C313" t="str">
        <f t="shared" si="4"/>
        <v>317385</v>
      </c>
      <c r="D313">
        <v>318305</v>
      </c>
      <c r="E313">
        <v>317385003</v>
      </c>
      <c r="F313" t="s">
        <v>1247</v>
      </c>
      <c r="G313" t="s">
        <v>314</v>
      </c>
      <c r="H313" t="s">
        <v>315</v>
      </c>
      <c r="I313" t="s">
        <v>88</v>
      </c>
      <c r="J313" t="s">
        <v>316</v>
      </c>
      <c r="K313" s="15" t="str">
        <f>VLOOKUP(I313,[2]LOOKUP!$A:$D,4,FALSE)</f>
        <v>CM</v>
      </c>
    </row>
    <row r="314" spans="1:11">
      <c r="A314" t="s">
        <v>1245</v>
      </c>
      <c r="B314">
        <v>7</v>
      </c>
      <c r="C314" t="str">
        <f t="shared" si="4"/>
        <v>317385</v>
      </c>
      <c r="D314">
        <v>318305</v>
      </c>
      <c r="E314">
        <v>317385004</v>
      </c>
      <c r="F314" t="s">
        <v>1248</v>
      </c>
      <c r="G314" t="s">
        <v>314</v>
      </c>
      <c r="H314" t="s">
        <v>315</v>
      </c>
      <c r="I314" t="s">
        <v>88</v>
      </c>
      <c r="J314" t="s">
        <v>316</v>
      </c>
      <c r="K314" s="15" t="str">
        <f>VLOOKUP(I314,[2]LOOKUP!$A:$D,4,FALSE)</f>
        <v>CM</v>
      </c>
    </row>
    <row r="315" spans="1:11">
      <c r="A315" t="s">
        <v>1245</v>
      </c>
      <c r="B315">
        <v>7</v>
      </c>
      <c r="C315" t="str">
        <f t="shared" si="4"/>
        <v>317385</v>
      </c>
      <c r="D315">
        <v>318305</v>
      </c>
      <c r="E315">
        <v>317385005</v>
      </c>
      <c r="F315" t="s">
        <v>1249</v>
      </c>
      <c r="G315" t="s">
        <v>314</v>
      </c>
      <c r="H315" t="s">
        <v>315</v>
      </c>
      <c r="I315" t="s">
        <v>88</v>
      </c>
      <c r="J315" t="s">
        <v>316</v>
      </c>
      <c r="K315" s="15" t="str">
        <f>VLOOKUP(I315,[2]LOOKUP!$A:$D,4,FALSE)</f>
        <v>CM</v>
      </c>
    </row>
    <row r="316" spans="1:11">
      <c r="A316" t="s">
        <v>1245</v>
      </c>
      <c r="B316">
        <v>7</v>
      </c>
      <c r="C316" t="str">
        <f t="shared" si="4"/>
        <v>317385</v>
      </c>
      <c r="D316">
        <v>318305</v>
      </c>
      <c r="E316">
        <v>317385006</v>
      </c>
      <c r="F316" t="s">
        <v>1250</v>
      </c>
      <c r="G316" t="s">
        <v>314</v>
      </c>
      <c r="H316" t="s">
        <v>315</v>
      </c>
      <c r="I316" t="s">
        <v>88</v>
      </c>
      <c r="J316" t="s">
        <v>316</v>
      </c>
      <c r="K316" s="15" t="str">
        <f>VLOOKUP(I316,[2]LOOKUP!$A:$D,4,FALSE)</f>
        <v>CM</v>
      </c>
    </row>
    <row r="317" spans="1:11">
      <c r="A317" t="s">
        <v>1245</v>
      </c>
      <c r="B317">
        <v>7</v>
      </c>
      <c r="C317" t="str">
        <f t="shared" si="4"/>
        <v>317385</v>
      </c>
      <c r="D317">
        <v>318305</v>
      </c>
      <c r="E317">
        <v>317385007</v>
      </c>
      <c r="F317" t="s">
        <v>1251</v>
      </c>
      <c r="G317" t="s">
        <v>314</v>
      </c>
      <c r="H317" t="s">
        <v>315</v>
      </c>
      <c r="I317" t="s">
        <v>88</v>
      </c>
      <c r="J317" t="s">
        <v>316</v>
      </c>
      <c r="K317" s="15" t="str">
        <f>VLOOKUP(I317,[2]LOOKUP!$A:$D,4,FALSE)</f>
        <v>CM</v>
      </c>
    </row>
    <row r="318" spans="1:11">
      <c r="A318" t="s">
        <v>1245</v>
      </c>
      <c r="B318" t="s">
        <v>448</v>
      </c>
      <c r="C318" t="str">
        <f t="shared" si="4"/>
        <v>318305</v>
      </c>
      <c r="D318">
        <v>318305</v>
      </c>
      <c r="E318">
        <v>318305008</v>
      </c>
      <c r="F318" t="s">
        <v>1235</v>
      </c>
      <c r="G318" t="s">
        <v>314</v>
      </c>
      <c r="H318" t="s">
        <v>315</v>
      </c>
      <c r="I318" t="s">
        <v>82</v>
      </c>
      <c r="J318" t="s">
        <v>316</v>
      </c>
      <c r="K318" s="15" t="str">
        <f>VLOOKUP(I318,[2]LOOKUP!$A:$D,4,FALSE)</f>
        <v>CM</v>
      </c>
    </row>
    <row r="319" spans="1:11">
      <c r="A319" t="s">
        <v>1245</v>
      </c>
      <c r="B319">
        <v>7</v>
      </c>
      <c r="C319" t="str">
        <f t="shared" si="4"/>
        <v>317385</v>
      </c>
      <c r="D319">
        <v>318305</v>
      </c>
      <c r="E319">
        <v>317385009</v>
      </c>
      <c r="F319" t="s">
        <v>1252</v>
      </c>
      <c r="G319" t="s">
        <v>314</v>
      </c>
      <c r="H319" t="s">
        <v>315</v>
      </c>
      <c r="I319" t="s">
        <v>88</v>
      </c>
      <c r="J319" t="s">
        <v>316</v>
      </c>
      <c r="K319" s="15" t="str">
        <f>VLOOKUP(I319,[2]LOOKUP!$A:$D,4,FALSE)</f>
        <v>CM</v>
      </c>
    </row>
    <row r="320" spans="1:11">
      <c r="A320" t="s">
        <v>1245</v>
      </c>
      <c r="B320">
        <v>7</v>
      </c>
      <c r="C320" t="str">
        <f t="shared" si="4"/>
        <v>317385</v>
      </c>
      <c r="D320">
        <v>318305</v>
      </c>
      <c r="E320">
        <v>317385010</v>
      </c>
      <c r="F320" t="s">
        <v>1253</v>
      </c>
      <c r="G320" t="s">
        <v>314</v>
      </c>
      <c r="H320" t="s">
        <v>315</v>
      </c>
      <c r="I320" t="s">
        <v>88</v>
      </c>
      <c r="J320" t="s">
        <v>316</v>
      </c>
      <c r="K320" s="15" t="str">
        <f>VLOOKUP(I320,[2]LOOKUP!$A:$D,4,FALSE)</f>
        <v>CM</v>
      </c>
    </row>
    <row r="321" spans="1:11">
      <c r="A321" t="s">
        <v>1245</v>
      </c>
      <c r="B321" t="s">
        <v>448</v>
      </c>
      <c r="C321" t="str">
        <f t="shared" si="4"/>
        <v>318305</v>
      </c>
      <c r="D321">
        <v>318305</v>
      </c>
      <c r="E321">
        <v>318305011</v>
      </c>
      <c r="F321" t="s">
        <v>1236</v>
      </c>
      <c r="G321" t="s">
        <v>314</v>
      </c>
      <c r="H321" t="s">
        <v>315</v>
      </c>
      <c r="I321" t="s">
        <v>82</v>
      </c>
      <c r="J321" t="s">
        <v>316</v>
      </c>
      <c r="K321" s="15" t="str">
        <f>VLOOKUP(I321,[2]LOOKUP!$A:$D,4,FALSE)</f>
        <v>CM</v>
      </c>
    </row>
    <row r="322" spans="1:11">
      <c r="A322" t="s">
        <v>1245</v>
      </c>
      <c r="B322" t="s">
        <v>448</v>
      </c>
      <c r="C322" t="str">
        <f t="shared" si="4"/>
        <v>318305</v>
      </c>
      <c r="D322">
        <v>318305</v>
      </c>
      <c r="E322">
        <v>318305012</v>
      </c>
      <c r="F322" t="s">
        <v>1237</v>
      </c>
      <c r="G322" t="s">
        <v>314</v>
      </c>
      <c r="H322" t="s">
        <v>315</v>
      </c>
      <c r="I322" t="s">
        <v>82</v>
      </c>
      <c r="J322" t="s">
        <v>316</v>
      </c>
      <c r="K322" s="15" t="str">
        <f>VLOOKUP(I322,[2]LOOKUP!$A:$D,4,FALSE)</f>
        <v>CM</v>
      </c>
    </row>
    <row r="323" spans="1:11">
      <c r="A323" t="s">
        <v>1245</v>
      </c>
      <c r="B323" t="s">
        <v>448</v>
      </c>
      <c r="C323" t="str">
        <f t="shared" ref="C323:C355" si="5">LEFT(E323,6)</f>
        <v>318305</v>
      </c>
      <c r="D323">
        <v>318305</v>
      </c>
      <c r="E323">
        <v>318305013</v>
      </c>
      <c r="F323" t="s">
        <v>1238</v>
      </c>
      <c r="G323" t="s">
        <v>314</v>
      </c>
      <c r="H323" t="s">
        <v>315</v>
      </c>
      <c r="I323" t="s">
        <v>82</v>
      </c>
      <c r="J323" t="s">
        <v>316</v>
      </c>
      <c r="K323" s="15" t="str">
        <f>VLOOKUP(I323,[2]LOOKUP!$A:$D,4,FALSE)</f>
        <v>CM</v>
      </c>
    </row>
    <row r="324" spans="1:11">
      <c r="A324" t="s">
        <v>1245</v>
      </c>
      <c r="B324" t="s">
        <v>448</v>
      </c>
      <c r="C324" t="str">
        <f t="shared" si="5"/>
        <v>318305</v>
      </c>
      <c r="D324">
        <v>318305</v>
      </c>
      <c r="E324">
        <v>318305014</v>
      </c>
      <c r="F324" t="s">
        <v>1239</v>
      </c>
      <c r="G324" t="s">
        <v>314</v>
      </c>
      <c r="H324" t="s">
        <v>315</v>
      </c>
      <c r="I324" t="s">
        <v>82</v>
      </c>
      <c r="J324" t="s">
        <v>316</v>
      </c>
      <c r="K324" s="15" t="str">
        <f>VLOOKUP(I324,[2]LOOKUP!$A:$D,4,FALSE)</f>
        <v>CM</v>
      </c>
    </row>
    <row r="325" spans="1:11">
      <c r="A325" t="s">
        <v>1245</v>
      </c>
      <c r="B325" t="s">
        <v>448</v>
      </c>
      <c r="C325" t="str">
        <f t="shared" si="5"/>
        <v>318305</v>
      </c>
      <c r="D325">
        <v>318305</v>
      </c>
      <c r="E325">
        <v>318305015</v>
      </c>
      <c r="F325" t="s">
        <v>1240</v>
      </c>
      <c r="G325" t="s">
        <v>314</v>
      </c>
      <c r="H325" t="s">
        <v>315</v>
      </c>
      <c r="I325" t="s">
        <v>82</v>
      </c>
      <c r="J325" t="s">
        <v>316</v>
      </c>
      <c r="K325" s="15" t="str">
        <f>VLOOKUP(I325,[2]LOOKUP!$A:$D,4,FALSE)</f>
        <v>CM</v>
      </c>
    </row>
    <row r="326" spans="1:11">
      <c r="A326" t="s">
        <v>1245</v>
      </c>
      <c r="B326" t="s">
        <v>448</v>
      </c>
      <c r="C326" t="str">
        <f t="shared" si="5"/>
        <v>318305</v>
      </c>
      <c r="D326">
        <v>318305</v>
      </c>
      <c r="E326">
        <v>318305016</v>
      </c>
      <c r="F326" t="s">
        <v>1241</v>
      </c>
      <c r="G326" t="s">
        <v>314</v>
      </c>
      <c r="H326" t="s">
        <v>315</v>
      </c>
      <c r="I326" t="s">
        <v>82</v>
      </c>
      <c r="J326" t="s">
        <v>316</v>
      </c>
      <c r="K326" s="15" t="str">
        <f>VLOOKUP(I326,[2]LOOKUP!$A:$D,4,FALSE)</f>
        <v>CM</v>
      </c>
    </row>
    <row r="327" spans="1:11">
      <c r="A327" t="s">
        <v>1245</v>
      </c>
      <c r="B327">
        <v>7</v>
      </c>
      <c r="C327" t="str">
        <f t="shared" si="5"/>
        <v>317385</v>
      </c>
      <c r="D327">
        <v>318305</v>
      </c>
      <c r="E327">
        <v>317385017</v>
      </c>
      <c r="F327" t="s">
        <v>1254</v>
      </c>
      <c r="G327" t="s">
        <v>314</v>
      </c>
      <c r="H327" t="s">
        <v>315</v>
      </c>
      <c r="I327" t="s">
        <v>88</v>
      </c>
      <c r="J327" t="s">
        <v>316</v>
      </c>
      <c r="K327" s="15" t="str">
        <f>VLOOKUP(I327,[2]LOOKUP!$A:$D,4,FALSE)</f>
        <v>CM</v>
      </c>
    </row>
    <row r="328" spans="1:11">
      <c r="A328" t="s">
        <v>1245</v>
      </c>
      <c r="B328">
        <v>7</v>
      </c>
      <c r="C328" t="str">
        <f t="shared" si="5"/>
        <v>317385</v>
      </c>
      <c r="D328">
        <v>318305</v>
      </c>
      <c r="E328">
        <v>317385018</v>
      </c>
      <c r="F328" t="s">
        <v>1255</v>
      </c>
      <c r="G328" t="s">
        <v>314</v>
      </c>
      <c r="H328" t="s">
        <v>315</v>
      </c>
      <c r="I328" t="s">
        <v>88</v>
      </c>
      <c r="J328" t="s">
        <v>316</v>
      </c>
      <c r="K328" s="15" t="str">
        <f>VLOOKUP(I328,[2]LOOKUP!$A:$D,4,FALSE)</f>
        <v>CM</v>
      </c>
    </row>
    <row r="329" spans="1:11">
      <c r="A329" t="s">
        <v>1245</v>
      </c>
      <c r="B329">
        <v>7</v>
      </c>
      <c r="C329" t="str">
        <f t="shared" si="5"/>
        <v>317385</v>
      </c>
      <c r="D329">
        <v>318305</v>
      </c>
      <c r="E329">
        <v>317385019</v>
      </c>
      <c r="F329" t="s">
        <v>1256</v>
      </c>
      <c r="G329" t="s">
        <v>314</v>
      </c>
      <c r="H329" t="s">
        <v>315</v>
      </c>
      <c r="I329" t="s">
        <v>88</v>
      </c>
      <c r="J329" t="s">
        <v>316</v>
      </c>
      <c r="K329" s="15" t="str">
        <f>VLOOKUP(I329,[2]LOOKUP!$A:$D,4,FALSE)</f>
        <v>CM</v>
      </c>
    </row>
    <row r="330" spans="1:11">
      <c r="A330" t="s">
        <v>1245</v>
      </c>
      <c r="B330" t="s">
        <v>448</v>
      </c>
      <c r="C330" t="str">
        <f t="shared" si="5"/>
        <v>318305</v>
      </c>
      <c r="D330">
        <v>318305</v>
      </c>
      <c r="E330">
        <v>318305020</v>
      </c>
      <c r="F330" t="s">
        <v>1242</v>
      </c>
      <c r="G330" t="s">
        <v>314</v>
      </c>
      <c r="H330" t="s">
        <v>315</v>
      </c>
      <c r="I330" t="s">
        <v>82</v>
      </c>
      <c r="J330" t="s">
        <v>316</v>
      </c>
      <c r="K330" s="15" t="str">
        <f>VLOOKUP(I330,[2]LOOKUP!$A:$D,4,FALSE)</f>
        <v>CM</v>
      </c>
    </row>
    <row r="331" spans="1:11">
      <c r="A331" t="s">
        <v>1245</v>
      </c>
      <c r="B331">
        <v>7</v>
      </c>
      <c r="C331" t="str">
        <f t="shared" si="5"/>
        <v>317385</v>
      </c>
      <c r="D331">
        <v>318305</v>
      </c>
      <c r="E331">
        <v>317385021</v>
      </c>
      <c r="F331" t="s">
        <v>1257</v>
      </c>
      <c r="G331" t="s">
        <v>314</v>
      </c>
      <c r="H331" t="s">
        <v>315</v>
      </c>
      <c r="I331" t="s">
        <v>88</v>
      </c>
      <c r="J331" t="s">
        <v>316</v>
      </c>
      <c r="K331" s="15" t="str">
        <f>VLOOKUP(I331,[2]LOOKUP!$A:$D,4,FALSE)</f>
        <v>CM</v>
      </c>
    </row>
    <row r="332" spans="1:11">
      <c r="A332" t="s">
        <v>1245</v>
      </c>
      <c r="B332" t="s">
        <v>448</v>
      </c>
      <c r="C332" t="str">
        <f t="shared" si="5"/>
        <v>318305</v>
      </c>
      <c r="D332">
        <v>318305</v>
      </c>
      <c r="E332">
        <v>318305022</v>
      </c>
      <c r="F332" t="s">
        <v>1243</v>
      </c>
      <c r="G332" t="s">
        <v>314</v>
      </c>
      <c r="H332" t="s">
        <v>315</v>
      </c>
      <c r="I332" t="s">
        <v>82</v>
      </c>
      <c r="J332" t="s">
        <v>316</v>
      </c>
      <c r="K332" s="15" t="str">
        <f>VLOOKUP(I332,[2]LOOKUP!$A:$D,4,FALSE)</f>
        <v>CM</v>
      </c>
    </row>
    <row r="333" spans="1:11">
      <c r="A333" t="s">
        <v>1245</v>
      </c>
      <c r="B333" t="s">
        <v>448</v>
      </c>
      <c r="C333" t="str">
        <f t="shared" si="5"/>
        <v>318305</v>
      </c>
      <c r="D333">
        <v>318305</v>
      </c>
      <c r="E333">
        <v>318305023</v>
      </c>
      <c r="F333" t="s">
        <v>1244</v>
      </c>
      <c r="G333" t="s">
        <v>314</v>
      </c>
      <c r="H333" t="s">
        <v>315</v>
      </c>
      <c r="I333" t="s">
        <v>82</v>
      </c>
      <c r="J333" t="s">
        <v>316</v>
      </c>
      <c r="K333" s="15" t="str">
        <f>VLOOKUP(I333,[2]LOOKUP!$A:$D,4,FALSE)</f>
        <v>CM</v>
      </c>
    </row>
    <row r="334" spans="1:11">
      <c r="A334" t="s">
        <v>1245</v>
      </c>
      <c r="B334">
        <v>7</v>
      </c>
      <c r="C334" t="str">
        <f t="shared" si="5"/>
        <v>317385</v>
      </c>
      <c r="D334">
        <v>318305</v>
      </c>
      <c r="E334">
        <v>317385024</v>
      </c>
      <c r="F334" t="s">
        <v>1258</v>
      </c>
      <c r="G334" t="s">
        <v>314</v>
      </c>
      <c r="H334" t="s">
        <v>315</v>
      </c>
      <c r="I334" t="s">
        <v>88</v>
      </c>
      <c r="J334" t="s">
        <v>316</v>
      </c>
      <c r="K334" s="15" t="str">
        <f>VLOOKUP(I334,[2]LOOKUP!$A:$D,4,FALSE)</f>
        <v>CM</v>
      </c>
    </row>
    <row r="335" spans="1:11">
      <c r="A335" t="s">
        <v>1259</v>
      </c>
      <c r="B335">
        <v>8</v>
      </c>
      <c r="C335" t="str">
        <f t="shared" si="5"/>
        <v>317387</v>
      </c>
      <c r="D335">
        <v>999993</v>
      </c>
      <c r="E335">
        <v>317387001</v>
      </c>
      <c r="F335" t="s">
        <v>1260</v>
      </c>
      <c r="G335" t="s">
        <v>314</v>
      </c>
      <c r="H335" t="s">
        <v>315</v>
      </c>
      <c r="I335" t="s">
        <v>19</v>
      </c>
      <c r="J335" t="s">
        <v>316</v>
      </c>
      <c r="K335" s="15" t="str">
        <f>VLOOKUP(I335,[2]LOOKUP!$A:$D,4,FALSE)</f>
        <v>RM</v>
      </c>
    </row>
    <row r="336" spans="1:11">
      <c r="A336" t="s">
        <v>1261</v>
      </c>
      <c r="B336">
        <v>8</v>
      </c>
      <c r="C336" t="str">
        <f t="shared" si="5"/>
        <v>317387</v>
      </c>
      <c r="D336">
        <v>317387</v>
      </c>
      <c r="E336">
        <v>317387003</v>
      </c>
      <c r="F336" t="s">
        <v>1262</v>
      </c>
      <c r="G336" t="s">
        <v>314</v>
      </c>
      <c r="H336" t="s">
        <v>315</v>
      </c>
      <c r="I336" t="s">
        <v>100</v>
      </c>
      <c r="J336" t="s">
        <v>316</v>
      </c>
      <c r="K336" s="15" t="str">
        <f>VLOOKUP(I336,[2]LOOKUP!$A:$D,4,FALSE)</f>
        <v>CM</v>
      </c>
    </row>
    <row r="337" spans="1:11">
      <c r="A337" t="s">
        <v>1261</v>
      </c>
      <c r="B337">
        <v>8</v>
      </c>
      <c r="C337" t="str">
        <f t="shared" si="5"/>
        <v>317387</v>
      </c>
      <c r="D337">
        <v>317387</v>
      </c>
      <c r="E337">
        <v>317387009</v>
      </c>
      <c r="F337" t="s">
        <v>1263</v>
      </c>
      <c r="G337" t="s">
        <v>314</v>
      </c>
      <c r="H337" t="s">
        <v>315</v>
      </c>
      <c r="I337" t="s">
        <v>58</v>
      </c>
      <c r="J337" t="s">
        <v>316</v>
      </c>
      <c r="K337" s="15" t="str">
        <f>VLOOKUP(I337,[2]LOOKUP!$A:$D,4,FALSE)</f>
        <v>CM</v>
      </c>
    </row>
    <row r="338" spans="1:11">
      <c r="A338" t="s">
        <v>1261</v>
      </c>
      <c r="B338">
        <v>8</v>
      </c>
      <c r="C338" t="str">
        <f t="shared" si="5"/>
        <v>317387</v>
      </c>
      <c r="D338">
        <v>317387</v>
      </c>
      <c r="E338">
        <v>317387015</v>
      </c>
      <c r="F338" t="s">
        <v>1264</v>
      </c>
      <c r="G338" t="s">
        <v>314</v>
      </c>
      <c r="H338" t="s">
        <v>315</v>
      </c>
      <c r="I338" t="s">
        <v>44</v>
      </c>
      <c r="J338" t="s">
        <v>316</v>
      </c>
      <c r="K338" s="15" t="str">
        <f>VLOOKUP(I338,[2]LOOKUP!$A:$D,4,FALSE)</f>
        <v>RM</v>
      </c>
    </row>
    <row r="339" spans="1:11">
      <c r="A339" t="s">
        <v>1265</v>
      </c>
      <c r="B339" t="s">
        <v>448</v>
      </c>
      <c r="C339" t="str">
        <f t="shared" si="5"/>
        <v>318306</v>
      </c>
      <c r="D339">
        <v>318306</v>
      </c>
      <c r="E339">
        <v>318306001</v>
      </c>
      <c r="F339" t="s">
        <v>1260</v>
      </c>
      <c r="G339" t="s">
        <v>314</v>
      </c>
      <c r="H339" t="s">
        <v>315</v>
      </c>
      <c r="I339" t="s">
        <v>82</v>
      </c>
      <c r="J339" t="s">
        <v>316</v>
      </c>
      <c r="K339" s="15" t="str">
        <f>VLOOKUP(I339,[2]LOOKUP!$A:$D,4,FALSE)</f>
        <v>CM</v>
      </c>
    </row>
    <row r="340" spans="1:11">
      <c r="A340" t="s">
        <v>1265</v>
      </c>
      <c r="B340">
        <v>8</v>
      </c>
      <c r="C340" t="str">
        <f t="shared" si="5"/>
        <v>317387</v>
      </c>
      <c r="D340">
        <v>318306</v>
      </c>
      <c r="E340">
        <v>317387002</v>
      </c>
      <c r="F340" t="s">
        <v>1266</v>
      </c>
      <c r="G340" t="s">
        <v>314</v>
      </c>
      <c r="H340" t="s">
        <v>315</v>
      </c>
      <c r="I340" t="s">
        <v>88</v>
      </c>
      <c r="J340" t="s">
        <v>316</v>
      </c>
      <c r="K340" s="15" t="str">
        <f>VLOOKUP(I340,[2]LOOKUP!$A:$D,4,FALSE)</f>
        <v>CM</v>
      </c>
    </row>
    <row r="341" spans="1:11">
      <c r="A341" t="s">
        <v>1265</v>
      </c>
      <c r="B341" t="s">
        <v>448</v>
      </c>
      <c r="C341" t="str">
        <f t="shared" si="5"/>
        <v>318306</v>
      </c>
      <c r="D341">
        <v>318306</v>
      </c>
      <c r="E341">
        <v>318306003</v>
      </c>
      <c r="F341" t="s">
        <v>1262</v>
      </c>
      <c r="G341" t="s">
        <v>314</v>
      </c>
      <c r="H341" t="s">
        <v>315</v>
      </c>
      <c r="I341" t="s">
        <v>82</v>
      </c>
      <c r="J341" t="s">
        <v>316</v>
      </c>
      <c r="K341" s="15" t="str">
        <f>VLOOKUP(I341,[2]LOOKUP!$A:$D,4,FALSE)</f>
        <v>CM</v>
      </c>
    </row>
    <row r="342" spans="1:11">
      <c r="A342" t="s">
        <v>1265</v>
      </c>
      <c r="B342">
        <v>8</v>
      </c>
      <c r="C342" t="str">
        <f t="shared" si="5"/>
        <v>317387</v>
      </c>
      <c r="D342">
        <v>318306</v>
      </c>
      <c r="E342">
        <v>317387004</v>
      </c>
      <c r="F342" t="s">
        <v>1267</v>
      </c>
      <c r="G342" t="s">
        <v>314</v>
      </c>
      <c r="H342" t="s">
        <v>315</v>
      </c>
      <c r="I342" t="s">
        <v>88</v>
      </c>
      <c r="J342" t="s">
        <v>316</v>
      </c>
      <c r="K342" s="15" t="str">
        <f>VLOOKUP(I342,[2]LOOKUP!$A:$D,4,FALSE)</f>
        <v>CM</v>
      </c>
    </row>
    <row r="343" spans="1:11">
      <c r="A343" t="s">
        <v>1265</v>
      </c>
      <c r="B343">
        <v>8</v>
      </c>
      <c r="C343" t="str">
        <f t="shared" si="5"/>
        <v>317387</v>
      </c>
      <c r="D343">
        <v>318306</v>
      </c>
      <c r="E343">
        <v>317387005</v>
      </c>
      <c r="F343" t="s">
        <v>1268</v>
      </c>
      <c r="G343" t="s">
        <v>314</v>
      </c>
      <c r="H343" t="s">
        <v>315</v>
      </c>
      <c r="I343" t="s">
        <v>88</v>
      </c>
      <c r="J343" t="s">
        <v>316</v>
      </c>
      <c r="K343" s="15" t="str">
        <f>VLOOKUP(I343,[2]LOOKUP!$A:$D,4,FALSE)</f>
        <v>CM</v>
      </c>
    </row>
    <row r="344" spans="1:11">
      <c r="A344" t="s">
        <v>1265</v>
      </c>
      <c r="B344">
        <v>8</v>
      </c>
      <c r="C344" t="str">
        <f t="shared" si="5"/>
        <v>317387</v>
      </c>
      <c r="D344">
        <v>318306</v>
      </c>
      <c r="E344">
        <v>317387006</v>
      </c>
      <c r="F344" t="s">
        <v>1269</v>
      </c>
      <c r="G344" t="s">
        <v>314</v>
      </c>
      <c r="H344" t="s">
        <v>315</v>
      </c>
      <c r="I344" t="s">
        <v>88</v>
      </c>
      <c r="J344" t="s">
        <v>316</v>
      </c>
      <c r="K344" s="15" t="str">
        <f>VLOOKUP(I344,[2]LOOKUP!$A:$D,4,FALSE)</f>
        <v>CM</v>
      </c>
    </row>
    <row r="345" spans="1:11">
      <c r="A345" t="s">
        <v>1265</v>
      </c>
      <c r="B345">
        <v>8</v>
      </c>
      <c r="C345" t="str">
        <f t="shared" si="5"/>
        <v>317387</v>
      </c>
      <c r="D345">
        <v>318306</v>
      </c>
      <c r="E345">
        <v>317387007</v>
      </c>
      <c r="F345" t="s">
        <v>1270</v>
      </c>
      <c r="G345" t="s">
        <v>314</v>
      </c>
      <c r="H345" t="s">
        <v>315</v>
      </c>
      <c r="I345" t="s">
        <v>88</v>
      </c>
      <c r="J345" t="s">
        <v>316</v>
      </c>
      <c r="K345" s="15" t="str">
        <f>VLOOKUP(I345,[2]LOOKUP!$A:$D,4,FALSE)</f>
        <v>CM</v>
      </c>
    </row>
    <row r="346" spans="1:11">
      <c r="A346" t="s">
        <v>1265</v>
      </c>
      <c r="B346">
        <v>8</v>
      </c>
      <c r="C346" t="str">
        <f t="shared" si="5"/>
        <v>317387</v>
      </c>
      <c r="D346">
        <v>318306</v>
      </c>
      <c r="E346">
        <v>317387008</v>
      </c>
      <c r="F346" t="s">
        <v>1271</v>
      </c>
      <c r="G346" t="s">
        <v>314</v>
      </c>
      <c r="H346" t="s">
        <v>315</v>
      </c>
      <c r="I346" t="s">
        <v>88</v>
      </c>
      <c r="J346" t="s">
        <v>316</v>
      </c>
      <c r="K346" s="15" t="str">
        <f>VLOOKUP(I346,[2]LOOKUP!$A:$D,4,FALSE)</f>
        <v>CM</v>
      </c>
    </row>
    <row r="347" spans="1:11">
      <c r="A347" t="s">
        <v>1265</v>
      </c>
      <c r="B347" t="s">
        <v>448</v>
      </c>
      <c r="C347" t="str">
        <f t="shared" si="5"/>
        <v>318306</v>
      </c>
      <c r="D347">
        <v>318306</v>
      </c>
      <c r="E347">
        <v>318306009</v>
      </c>
      <c r="F347" t="s">
        <v>1263</v>
      </c>
      <c r="G347" t="s">
        <v>314</v>
      </c>
      <c r="H347" t="s">
        <v>315</v>
      </c>
      <c r="I347" t="s">
        <v>82</v>
      </c>
      <c r="J347" t="s">
        <v>316</v>
      </c>
      <c r="K347" s="15" t="str">
        <f>VLOOKUP(I347,[2]LOOKUP!$A:$D,4,FALSE)</f>
        <v>CM</v>
      </c>
    </row>
    <row r="348" spans="1:11">
      <c r="A348" t="s">
        <v>1265</v>
      </c>
      <c r="B348">
        <v>8</v>
      </c>
      <c r="C348" t="str">
        <f t="shared" si="5"/>
        <v>317387</v>
      </c>
      <c r="D348">
        <v>318306</v>
      </c>
      <c r="E348">
        <v>317387010</v>
      </c>
      <c r="F348" t="s">
        <v>1272</v>
      </c>
      <c r="G348" t="s">
        <v>314</v>
      </c>
      <c r="H348" t="s">
        <v>315</v>
      </c>
      <c r="I348" t="s">
        <v>88</v>
      </c>
      <c r="J348" t="s">
        <v>316</v>
      </c>
      <c r="K348" s="15" t="str">
        <f>VLOOKUP(I348,[2]LOOKUP!$A:$D,4,FALSE)</f>
        <v>CM</v>
      </c>
    </row>
    <row r="349" spans="1:11">
      <c r="A349" t="s">
        <v>1265</v>
      </c>
      <c r="B349">
        <v>8</v>
      </c>
      <c r="C349" t="str">
        <f t="shared" si="5"/>
        <v>317387</v>
      </c>
      <c r="D349">
        <v>318306</v>
      </c>
      <c r="E349">
        <v>317387011</v>
      </c>
      <c r="F349" t="s">
        <v>1273</v>
      </c>
      <c r="G349" t="s">
        <v>314</v>
      </c>
      <c r="H349" t="s">
        <v>315</v>
      </c>
      <c r="I349" t="s">
        <v>88</v>
      </c>
      <c r="J349" t="s">
        <v>316</v>
      </c>
      <c r="K349" s="15" t="str">
        <f>VLOOKUP(I349,[2]LOOKUP!$A:$D,4,FALSE)</f>
        <v>CM</v>
      </c>
    </row>
    <row r="350" spans="1:11">
      <c r="A350" t="s">
        <v>1265</v>
      </c>
      <c r="B350">
        <v>8</v>
      </c>
      <c r="C350" t="str">
        <f t="shared" si="5"/>
        <v>317387</v>
      </c>
      <c r="D350">
        <v>318306</v>
      </c>
      <c r="E350">
        <v>317387012</v>
      </c>
      <c r="F350" t="s">
        <v>1274</v>
      </c>
      <c r="G350" t="s">
        <v>314</v>
      </c>
      <c r="H350" t="s">
        <v>315</v>
      </c>
      <c r="I350" t="s">
        <v>88</v>
      </c>
      <c r="J350" t="s">
        <v>316</v>
      </c>
      <c r="K350" s="15" t="str">
        <f>VLOOKUP(I350,[2]LOOKUP!$A:$D,4,FALSE)</f>
        <v>CM</v>
      </c>
    </row>
    <row r="351" spans="1:11">
      <c r="A351" t="s">
        <v>1265</v>
      </c>
      <c r="B351">
        <v>8</v>
      </c>
      <c r="C351" t="str">
        <f t="shared" si="5"/>
        <v>317387</v>
      </c>
      <c r="D351">
        <v>318306</v>
      </c>
      <c r="E351">
        <v>317387013</v>
      </c>
      <c r="F351" t="s">
        <v>1275</v>
      </c>
      <c r="G351" t="s">
        <v>314</v>
      </c>
      <c r="H351" t="s">
        <v>315</v>
      </c>
      <c r="I351" t="s">
        <v>88</v>
      </c>
      <c r="J351" t="s">
        <v>316</v>
      </c>
      <c r="K351" s="15" t="str">
        <f>VLOOKUP(I351,[2]LOOKUP!$A:$D,4,FALSE)</f>
        <v>CM</v>
      </c>
    </row>
    <row r="352" spans="1:11">
      <c r="A352" t="s">
        <v>1265</v>
      </c>
      <c r="B352">
        <v>8</v>
      </c>
      <c r="C352" t="str">
        <f t="shared" si="5"/>
        <v>317387</v>
      </c>
      <c r="D352">
        <v>318306</v>
      </c>
      <c r="E352">
        <v>317387014</v>
      </c>
      <c r="F352" t="s">
        <v>1276</v>
      </c>
      <c r="G352" t="s">
        <v>314</v>
      </c>
      <c r="H352" t="s">
        <v>315</v>
      </c>
      <c r="I352" t="s">
        <v>88</v>
      </c>
      <c r="J352" t="s">
        <v>316</v>
      </c>
      <c r="K352" s="15" t="str">
        <f>VLOOKUP(I352,[2]LOOKUP!$A:$D,4,FALSE)</f>
        <v>CM</v>
      </c>
    </row>
    <row r="353" spans="1:11">
      <c r="A353" t="s">
        <v>1265</v>
      </c>
      <c r="B353" t="s">
        <v>448</v>
      </c>
      <c r="C353" t="str">
        <f t="shared" si="5"/>
        <v>318306</v>
      </c>
      <c r="D353">
        <v>318306</v>
      </c>
      <c r="E353">
        <v>318306015</v>
      </c>
      <c r="F353" t="s">
        <v>1264</v>
      </c>
      <c r="G353" t="s">
        <v>314</v>
      </c>
      <c r="H353" t="s">
        <v>315</v>
      </c>
      <c r="I353" t="s">
        <v>82</v>
      </c>
      <c r="J353" t="s">
        <v>316</v>
      </c>
      <c r="K353" s="15" t="str">
        <f>VLOOKUP(I353,[2]LOOKUP!$A:$D,4,FALSE)</f>
        <v>CM</v>
      </c>
    </row>
    <row r="354" spans="1:11">
      <c r="A354" t="s">
        <v>1265</v>
      </c>
      <c r="B354">
        <v>8</v>
      </c>
      <c r="C354" t="str">
        <f t="shared" si="5"/>
        <v>317387</v>
      </c>
      <c r="D354">
        <v>318306</v>
      </c>
      <c r="E354">
        <v>317387016</v>
      </c>
      <c r="F354" t="s">
        <v>1277</v>
      </c>
      <c r="G354" t="s">
        <v>314</v>
      </c>
      <c r="H354" t="s">
        <v>315</v>
      </c>
      <c r="I354" t="s">
        <v>88</v>
      </c>
      <c r="J354" t="s">
        <v>316</v>
      </c>
      <c r="K354" s="15" t="str">
        <f>VLOOKUP(I354,[2]LOOKUP!$A:$D,4,FALSE)</f>
        <v>CM</v>
      </c>
    </row>
    <row r="355" spans="1:11">
      <c r="A355" t="s">
        <v>1278</v>
      </c>
      <c r="C355" t="str">
        <f t="shared" si="5"/>
        <v/>
      </c>
      <c r="D355">
        <v>999999</v>
      </c>
      <c r="F355" t="s">
        <v>566</v>
      </c>
      <c r="K355" s="15" t="e">
        <f>VLOOKUP(I355,[2]LOOKUP!$A:$D,4,FALSE)</f>
        <v>#N/A</v>
      </c>
    </row>
  </sheetData>
  <autoFilter ref="A1:K355" xr:uid="{5D2D8C75-211D-4AFB-B4F0-768E152A8C8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DE4FAC-516E-47CB-9993-7870200723FC}"/>
</file>

<file path=customXml/itemProps2.xml><?xml version="1.0" encoding="utf-8"?>
<ds:datastoreItem xmlns:ds="http://schemas.openxmlformats.org/officeDocument/2006/customXml" ds:itemID="{8908C378-5C75-4218-AA7C-B2DE12148DB0}"/>
</file>

<file path=customXml/itemProps3.xml><?xml version="1.0" encoding="utf-8"?>
<ds:datastoreItem xmlns:ds="http://schemas.openxmlformats.org/officeDocument/2006/customXml" ds:itemID="{370D50AB-4507-435D-881A-F92C5CF26272}"/>
</file>

<file path=customXml/itemProps4.xml><?xml version="1.0" encoding="utf-8"?>
<ds:datastoreItem xmlns:ds="http://schemas.openxmlformats.org/officeDocument/2006/customXml" ds:itemID="{41FE4395-3DFE-4484-BE79-D97D90A68E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Joao Cardoso</dc:creator>
  <cp:keywords/>
  <dc:description/>
  <cp:lastModifiedBy>Melusi Mlalazi</cp:lastModifiedBy>
  <cp:revision/>
  <dcterms:created xsi:type="dcterms:W3CDTF">2021-02-24T09:33:00Z</dcterms:created>
  <dcterms:modified xsi:type="dcterms:W3CDTF">2025-03-05T11:15:11Z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Client">
    <vt:lpwstr>6;#Grainger PLC|a74f1cb5-e995-4f9e-8521-6d52e2c6bf08</vt:lpwstr>
  </property>
  <property fmtid="{D5CDD505-2E9C-101B-9397-08002B2CF9AE}" pid="5" name="Client Project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MediaServiceImageTags">
    <vt:lpwstr/>
  </property>
  <property fmtid="{D5CDD505-2E9C-101B-9397-08002B2CF9AE}" pid="8" name="lcf76f155ced4ddcb4097134ff3c332f">
    <vt:lpwstr/>
  </property>
  <property fmtid="{D5CDD505-2E9C-101B-9397-08002B2CF9AE}" pid="9" name="Project_x0020_Document_x0020_Type">
    <vt:lpwstr>4;#Generic Project Document|258c2ed6-b93b-4ffe-8901-a23f2dc98ec9</vt:lpwstr>
  </property>
  <property fmtid="{D5CDD505-2E9C-101B-9397-08002B2CF9AE}" pid="10" name="Client_x0020_Project">
    <vt:lpwstr/>
  </property>
</Properties>
</file>