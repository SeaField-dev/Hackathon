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Jacob Smycz FTE/01. Sales/2025/"/>
    </mc:Choice>
  </mc:AlternateContent>
  <xr:revisionPtr revIDLastSave="960" documentId="8_{91E544D5-5AB0-4683-A2F0-8E52511AD322}" xr6:coauthVersionLast="47" xr6:coauthVersionMax="47" xr10:uidLastSave="{8FD146FC-25A6-4E72-8557-2D81811E563A}"/>
  <bookViews>
    <workbookView minimized="1" xWindow="30120" yWindow="1710" windowWidth="21600" windowHeight="11295" xr2:uid="{59C00F49-CABA-4394-8CAB-3C5B889581A9}"/>
  </bookViews>
  <sheets>
    <sheet name="2025 Oct" sheetId="3" r:id="rId1"/>
    <sheet name="2025 June Estimates" sheetId="2" r:id="rId2"/>
    <sheet name="2025 Jan - June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E28" i="3"/>
  <c r="E27" i="3"/>
  <c r="E26" i="3"/>
  <c r="E25" i="3"/>
  <c r="D33" i="3"/>
  <c r="D29" i="3"/>
  <c r="D28" i="3"/>
  <c r="D27" i="3"/>
  <c r="D26" i="3"/>
  <c r="D25" i="3"/>
  <c r="N27" i="3"/>
  <c r="N26" i="3"/>
  <c r="N25" i="3"/>
  <c r="R37" i="3"/>
  <c r="Q37" i="3"/>
  <c r="P37" i="3"/>
  <c r="O37" i="3"/>
  <c r="N37" i="3"/>
  <c r="O25" i="3"/>
  <c r="G20" i="3"/>
  <c r="E20" i="3"/>
  <c r="O27" i="3"/>
  <c r="O26" i="3"/>
  <c r="H10" i="3"/>
  <c r="P10" i="3" s="1"/>
  <c r="R10" i="3" s="1"/>
  <c r="H9" i="3"/>
  <c r="P9" i="3" s="1"/>
  <c r="R9" i="3" s="1"/>
  <c r="H8" i="3"/>
  <c r="Q20" i="3"/>
  <c r="O8" i="3"/>
  <c r="O14" i="3"/>
  <c r="O9" i="3"/>
  <c r="N8" i="3"/>
  <c r="O19" i="3"/>
  <c r="O10" i="3"/>
  <c r="O11" i="3"/>
  <c r="O12" i="3"/>
  <c r="O13" i="3"/>
  <c r="O15" i="3"/>
  <c r="O16" i="3"/>
  <c r="O17" i="3"/>
  <c r="O18" i="3"/>
  <c r="N11" i="3"/>
  <c r="N10" i="3"/>
  <c r="N9" i="3"/>
  <c r="N13" i="3"/>
  <c r="F19" i="3"/>
  <c r="N19" i="3"/>
  <c r="F18" i="3"/>
  <c r="N18" i="3"/>
  <c r="F17" i="3"/>
  <c r="N17" i="3"/>
  <c r="N16" i="3"/>
  <c r="N12" i="3"/>
  <c r="N14" i="3"/>
  <c r="N15" i="3"/>
  <c r="F16" i="3"/>
  <c r="F15" i="3"/>
  <c r="F14" i="3"/>
  <c r="F13" i="3"/>
  <c r="F12" i="3"/>
  <c r="F11" i="3"/>
  <c r="F10" i="3"/>
  <c r="F9" i="3"/>
  <c r="F8" i="3"/>
  <c r="F20" i="3" s="1"/>
  <c r="G3" i="3"/>
  <c r="E31" i="3" s="1"/>
  <c r="O31" i="3" s="1"/>
  <c r="B3" i="3"/>
  <c r="H14" i="3" s="1"/>
  <c r="P14" i="3" s="1"/>
  <c r="R14" i="3" s="1"/>
  <c r="D2" i="3"/>
  <c r="W34" i="2"/>
  <c r="W36" i="2"/>
  <c r="G3" i="2"/>
  <c r="M36" i="2"/>
  <c r="M35" i="2"/>
  <c r="M34" i="2"/>
  <c r="M33" i="2"/>
  <c r="M32" i="2"/>
  <c r="M31" i="2"/>
  <c r="M30" i="2"/>
  <c r="M29" i="2"/>
  <c r="M28" i="2"/>
  <c r="M27" i="2"/>
  <c r="M26" i="2"/>
  <c r="M25" i="2"/>
  <c r="B3" i="2"/>
  <c r="D3" i="2"/>
  <c r="L31" i="2"/>
  <c r="L30" i="2"/>
  <c r="L29" i="2"/>
  <c r="L28" i="2"/>
  <c r="L27" i="2"/>
  <c r="L26" i="2"/>
  <c r="L25" i="2"/>
  <c r="W25" i="2"/>
  <c r="W26" i="2"/>
  <c r="W27" i="2"/>
  <c r="W28" i="2"/>
  <c r="W29" i="2"/>
  <c r="W30" i="2"/>
  <c r="W31" i="2"/>
  <c r="W32" i="2"/>
  <c r="W33" i="2"/>
  <c r="W35" i="2"/>
  <c r="W37" i="2"/>
  <c r="V3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T20" i="2"/>
  <c r="V20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H8" i="2"/>
  <c r="L8" i="2"/>
  <c r="H9" i="2"/>
  <c r="L9" i="2"/>
  <c r="H10" i="2"/>
  <c r="L10" i="2"/>
  <c r="H11" i="2"/>
  <c r="L11" i="2"/>
  <c r="H12" i="2"/>
  <c r="L12" i="2"/>
  <c r="H13" i="2"/>
  <c r="L13" i="2"/>
  <c r="H14" i="2"/>
  <c r="L14" i="2"/>
  <c r="H15" i="2"/>
  <c r="L15" i="2"/>
  <c r="H16" i="2"/>
  <c r="L16" i="2"/>
  <c r="H17" i="2"/>
  <c r="L17" i="2"/>
  <c r="H18" i="2"/>
  <c r="L18" i="2"/>
  <c r="H19" i="2"/>
  <c r="L19" i="2"/>
  <c r="L20" i="2"/>
  <c r="H20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S20" i="2"/>
  <c r="N27" i="2"/>
  <c r="N26" i="2"/>
  <c r="N25" i="2"/>
  <c r="L32" i="2"/>
  <c r="L33" i="2"/>
  <c r="L34" i="2"/>
  <c r="L35" i="2"/>
  <c r="L36" i="2"/>
  <c r="L37" i="2"/>
  <c r="M37" i="2"/>
  <c r="D2" i="2"/>
  <c r="N28" i="2"/>
  <c r="N29" i="2"/>
  <c r="N30" i="2"/>
  <c r="E20" i="2"/>
  <c r="N31" i="2"/>
  <c r="N32" i="2"/>
  <c r="N33" i="2"/>
  <c r="N34" i="2"/>
  <c r="N35" i="2"/>
  <c r="N36" i="2"/>
  <c r="N3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G20" i="2"/>
  <c r="K42" i="2"/>
  <c r="K43" i="2"/>
  <c r="K44" i="2"/>
  <c r="K45" i="2"/>
  <c r="K46" i="2"/>
  <c r="K47" i="2"/>
  <c r="K54" i="2"/>
  <c r="K65" i="2"/>
  <c r="K66" i="2"/>
  <c r="K69" i="2"/>
  <c r="E48" i="2"/>
  <c r="E49" i="2"/>
  <c r="E51" i="2"/>
  <c r="K67" i="2"/>
  <c r="E50" i="2"/>
  <c r="D48" i="2"/>
  <c r="D50" i="2"/>
  <c r="D49" i="2"/>
  <c r="J54" i="2"/>
  <c r="I54" i="2"/>
  <c r="N5" i="1"/>
  <c r="P10" i="1"/>
  <c r="P9" i="1"/>
  <c r="P8" i="1"/>
  <c r="P7" i="1"/>
  <c r="P6" i="1"/>
  <c r="P5" i="1"/>
  <c r="N25" i="1"/>
  <c r="N21" i="1"/>
  <c r="N22" i="1"/>
  <c r="M11" i="1"/>
  <c r="N23" i="1"/>
  <c r="N6" i="1"/>
  <c r="N7" i="1"/>
  <c r="N8" i="1"/>
  <c r="N9" i="1"/>
  <c r="N10" i="1"/>
  <c r="N11" i="1"/>
  <c r="L11" i="1"/>
  <c r="G21" i="1"/>
  <c r="G22" i="1"/>
  <c r="G5" i="1"/>
  <c r="G6" i="1"/>
  <c r="G7" i="1"/>
  <c r="G8" i="1"/>
  <c r="G9" i="1"/>
  <c r="G10" i="1"/>
  <c r="G11" i="1"/>
  <c r="G24" i="1"/>
  <c r="G23" i="1"/>
  <c r="F21" i="1"/>
  <c r="F22" i="1"/>
  <c r="F11" i="1"/>
  <c r="D11" i="1"/>
  <c r="E10" i="1"/>
  <c r="E9" i="1"/>
  <c r="E8" i="1"/>
  <c r="E7" i="1"/>
  <c r="E6" i="1"/>
  <c r="E5" i="1"/>
  <c r="F23" i="1"/>
  <c r="E11" i="1"/>
  <c r="O20" i="3" l="1"/>
  <c r="P27" i="3"/>
  <c r="R27" i="3" s="1"/>
  <c r="N20" i="3"/>
  <c r="P25" i="3"/>
  <c r="P8" i="3"/>
  <c r="F27" i="3"/>
  <c r="H12" i="3"/>
  <c r="P12" i="3" s="1"/>
  <c r="R12" i="3" s="1"/>
  <c r="H13" i="3"/>
  <c r="P13" i="3" s="1"/>
  <c r="R13" i="3" s="1"/>
  <c r="H19" i="3"/>
  <c r="P19" i="3" s="1"/>
  <c r="R19" i="3" s="1"/>
  <c r="H17" i="3"/>
  <c r="P17" i="3" s="1"/>
  <c r="R17" i="3" s="1"/>
  <c r="H15" i="3"/>
  <c r="P15" i="3" s="1"/>
  <c r="R15" i="3" s="1"/>
  <c r="H16" i="3"/>
  <c r="P16" i="3" s="1"/>
  <c r="R16" i="3" s="1"/>
  <c r="H18" i="3"/>
  <c r="P18" i="3" s="1"/>
  <c r="R18" i="3" s="1"/>
  <c r="P26" i="3"/>
  <c r="R26" i="3" s="1"/>
  <c r="H11" i="3"/>
  <c r="P11" i="3" s="1"/>
  <c r="R11" i="3" s="1"/>
  <c r="O28" i="3"/>
  <c r="O29" i="3"/>
  <c r="E34" i="3"/>
  <c r="O34" i="3" s="1"/>
  <c r="E35" i="3"/>
  <c r="O35" i="3" s="1"/>
  <c r="E36" i="3"/>
  <c r="O36" i="3" s="1"/>
  <c r="R25" i="3"/>
  <c r="E33" i="3"/>
  <c r="F25" i="3"/>
  <c r="F26" i="3"/>
  <c r="E32" i="3"/>
  <c r="D3" i="3"/>
  <c r="E30" i="3"/>
  <c r="O30" i="3" s="1"/>
  <c r="R8" i="3" l="1"/>
  <c r="R20" i="3" s="1"/>
  <c r="P20" i="3"/>
  <c r="H20" i="3"/>
  <c r="E37" i="3"/>
  <c r="O33" i="3"/>
  <c r="O32" i="3"/>
  <c r="F28" i="3"/>
  <c r="D36" i="3"/>
  <c r="D30" i="3"/>
  <c r="N30" i="3" s="1"/>
  <c r="P30" i="3" s="1"/>
  <c r="R30" i="3" s="1"/>
  <c r="D35" i="3"/>
  <c r="D34" i="3"/>
  <c r="N33" i="3"/>
  <c r="P33" i="3" s="1"/>
  <c r="R33" i="3" s="1"/>
  <c r="D31" i="3"/>
  <c r="D32" i="3"/>
  <c r="N32" i="3" s="1"/>
  <c r="P32" i="3" s="1"/>
  <c r="R32" i="3" s="1"/>
  <c r="N35" i="3" l="1"/>
  <c r="P35" i="3" s="1"/>
  <c r="R35" i="3" s="1"/>
  <c r="F35" i="3"/>
  <c r="F30" i="3"/>
  <c r="F32" i="3"/>
  <c r="N31" i="3"/>
  <c r="P31" i="3" s="1"/>
  <c r="R31" i="3" s="1"/>
  <c r="F31" i="3"/>
  <c r="N34" i="3"/>
  <c r="P34" i="3" s="1"/>
  <c r="R34" i="3" s="1"/>
  <c r="F34" i="3"/>
  <c r="N36" i="3"/>
  <c r="P36" i="3" s="1"/>
  <c r="R36" i="3" s="1"/>
  <c r="F36" i="3"/>
  <c r="F33" i="3"/>
  <c r="N28" i="3"/>
  <c r="P28" i="3" s="1"/>
  <c r="D37" i="3"/>
  <c r="N29" i="3"/>
  <c r="P29" i="3" s="1"/>
  <c r="R29" i="3" s="1"/>
  <c r="F29" i="3"/>
  <c r="F37" i="3" l="1"/>
  <c r="R28" i="3"/>
</calcChain>
</file>

<file path=xl/sharedStrings.xml><?xml version="1.0" encoding="utf-8"?>
<sst xmlns="http://schemas.openxmlformats.org/spreadsheetml/2006/main" count="301" uniqueCount="47">
  <si>
    <t>2024 Day Rate</t>
  </si>
  <si>
    <t>Jacob FTE</t>
  </si>
  <si>
    <t>Standard FTE</t>
  </si>
  <si>
    <t>2025 Day Rate</t>
  </si>
  <si>
    <t>FTE 2025</t>
  </si>
  <si>
    <t>2026 Day Rate</t>
  </si>
  <si>
    <t>FTE 2026</t>
  </si>
  <si>
    <t>Sent to Grainger</t>
  </si>
  <si>
    <t>Jacob 60 % Allocation</t>
  </si>
  <si>
    <t>Jacob 60 % Allocation with additional 0,5 FTE</t>
  </si>
  <si>
    <t>Option A</t>
  </si>
  <si>
    <t>#</t>
  </si>
  <si>
    <t>Month</t>
  </si>
  <si>
    <t>Year</t>
  </si>
  <si>
    <t>Days</t>
  </si>
  <si>
    <t>Rounded</t>
  </si>
  <si>
    <t>Cost</t>
  </si>
  <si>
    <t>Jacob</t>
  </si>
  <si>
    <t>0,5 FTE</t>
  </si>
  <si>
    <t>Total</t>
  </si>
  <si>
    <t>Travel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</si>
  <si>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</si>
  <si>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</si>
  <si>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</si>
  <si>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</si>
  <si>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</si>
  <si>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</si>
  <si>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</si>
  <si>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</si>
  <si>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</si>
  <si>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</si>
  <si>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</si>
  <si>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</si>
  <si>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Jacob 50 % Allocation with additional 0,5 FTE</t>
  </si>
  <si>
    <t>Option B</t>
  </si>
  <si>
    <t>Jacob + FTE</t>
  </si>
  <si>
    <t>FTE</t>
  </si>
  <si>
    <t>Lower Bound</t>
  </si>
  <si>
    <t>Upper Bound</t>
  </si>
  <si>
    <t>March</t>
  </si>
  <si>
    <t>Apri</t>
  </si>
  <si>
    <t>Graingers cost</t>
  </si>
  <si>
    <t>Open Box's Portion</t>
  </si>
  <si>
    <t>Estimated Total</t>
  </si>
  <si>
    <t>Day Rate</t>
  </si>
  <si>
    <t>Hours</t>
  </si>
  <si>
    <t>Jacob 50 % Allocation with additional 50%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</si>
</sst>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491]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164" fontId="3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left"/>
    </xf>
    <xf numFmtId="0" fontId="1" fillId="0" borderId="5" xfId="0" applyFont="1" applyBorder="1"/>
    <xf numFmtId="9" fontId="0" fillId="0" borderId="0" xfId="1" applyFont="1"/>
    <xf numFmtId="0" fontId="1" fillId="0" borderId="0" xfId="0" applyFont="1"/>
    <xf numFmtId="164" fontId="3" fillId="0" borderId="0" xfId="0" applyNumberFormat="1" applyFont="1"/>
    <xf numFmtId="9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164" fontId="6" fillId="0" borderId="1" xfId="0" applyNumberFormat="1" applyFont="1" applyBorder="1"/>
    <xf numFmtId="9" fontId="0" fillId="0" borderId="1" xfId="1" applyFont="1" applyBorder="1"/>
    <xf numFmtId="0" fontId="1" fillId="4" borderId="1" xfId="0" applyFont="1" applyFill="1" applyBorder="1"/>
    <xf numFmtId="0" fontId="0" fillId="0" borderId="5" xfId="0" applyBorder="1"/>
    <xf numFmtId="0" fontId="0" fillId="0" borderId="7" xfId="0" applyBorder="1"/>
    <xf numFmtId="2" fontId="1" fillId="0" borderId="1" xfId="0" applyNumberFormat="1" applyFont="1" applyBorder="1"/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" xfId="0" applyFont="1" applyBorder="1" applyAlignment="1">
      <alignment horizontal="left"/>
    </xf>
    <xf numFmtId="164" fontId="1" fillId="3" borderId="1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8978-0461-42E7-BE4C-BC8E34DE707B}">
  <dimension ref="A1:S70"/>
  <sheetViews>
    <sheetView tabSelected="1" workbookViewId="0">
      <selection activeCell="O8" sqref="O8"/>
    </sheetView>
  </sheetViews>
  <sheetFormatPr defaultRowHeight="15" x14ac:dyDescent="0.25"/>
  <cols>
    <col min="1" max="1" width="13.140625" bestFit="1" customWidth="1"/>
    <col min="2" max="2" width="7.5703125" bestFit="1" customWidth="1"/>
    <col min="3" max="3" width="8.5703125" bestFit="1" customWidth="1"/>
    <col min="4" max="4" width="12.42578125" customWidth="1"/>
    <col min="5" max="5" width="12.5703125" bestFit="1" customWidth="1"/>
    <col min="6" max="6" width="15.140625" bestFit="1" customWidth="1"/>
    <col min="7" max="8" width="12.5703125" bestFit="1" customWidth="1"/>
    <col min="9" max="9" width="5.42578125" bestFit="1" customWidth="1"/>
    <col min="10" max="10" width="6.28515625" customWidth="1"/>
    <col min="11" max="11" width="9" customWidth="1"/>
    <col min="12" max="12" width="6.7109375" bestFit="1" customWidth="1"/>
    <col min="13" max="13" width="5" bestFit="1" customWidth="1"/>
    <col min="14" max="14" width="10" bestFit="1" customWidth="1"/>
    <col min="15" max="15" width="12.42578125" customWidth="1"/>
    <col min="16" max="16" width="13.42578125" customWidth="1"/>
    <col min="17" max="17" width="11" customWidth="1"/>
    <col min="18" max="18" width="13" customWidth="1"/>
    <col min="19" max="19" width="7.5703125" bestFit="1" customWidth="1"/>
    <col min="20" max="20" width="11" bestFit="1" customWidth="1"/>
    <col min="21" max="22" width="12.5703125" bestFit="1" customWidth="1"/>
  </cols>
  <sheetData>
    <row r="1" spans="1:19" x14ac:dyDescent="0.25">
      <c r="A1" s="6" t="s">
        <v>0</v>
      </c>
      <c r="B1" s="7">
        <v>680</v>
      </c>
      <c r="D1" s="26" t="s">
        <v>1</v>
      </c>
      <c r="F1" s="47" t="s">
        <v>2</v>
      </c>
      <c r="G1" s="47"/>
    </row>
    <row r="2" spans="1:19" ht="15.75" thickBot="1" x14ac:dyDescent="0.3">
      <c r="A2" s="6" t="s">
        <v>3</v>
      </c>
      <c r="B2" s="7">
        <v>700</v>
      </c>
      <c r="C2" s="15"/>
      <c r="D2" s="7">
        <f>B2*20</f>
        <v>14000</v>
      </c>
      <c r="F2" s="6" t="s">
        <v>4</v>
      </c>
      <c r="G2" s="7">
        <v>15680</v>
      </c>
      <c r="H2" s="1"/>
    </row>
    <row r="3" spans="1:19" x14ac:dyDescent="0.25">
      <c r="A3" s="6" t="s">
        <v>5</v>
      </c>
      <c r="B3" s="7">
        <f>B2*1.03</f>
        <v>721</v>
      </c>
      <c r="D3" s="7">
        <f>B3*20</f>
        <v>14420</v>
      </c>
      <c r="F3" s="25" t="s">
        <v>6</v>
      </c>
      <c r="G3" s="7">
        <f>G2*1.03</f>
        <v>16150.4</v>
      </c>
      <c r="H3" s="1"/>
      <c r="J3" s="49" t="s">
        <v>7</v>
      </c>
      <c r="K3" s="50"/>
      <c r="L3" s="50"/>
      <c r="M3" s="50"/>
      <c r="N3" s="50"/>
      <c r="O3" s="50"/>
      <c r="P3" s="50"/>
      <c r="Q3" s="50"/>
      <c r="R3" s="50"/>
      <c r="S3" s="51"/>
    </row>
    <row r="4" spans="1:19" ht="6" customHeight="1" x14ac:dyDescent="0.25">
      <c r="B4" s="1"/>
      <c r="J4" s="31"/>
      <c r="K4" s="27"/>
      <c r="R4" s="28"/>
      <c r="S4" s="32"/>
    </row>
    <row r="5" spans="1:19" x14ac:dyDescent="0.25">
      <c r="B5" s="44" t="s">
        <v>8</v>
      </c>
      <c r="C5" s="45"/>
      <c r="D5" s="45"/>
      <c r="E5" s="45"/>
      <c r="F5" s="45"/>
      <c r="G5" s="45"/>
      <c r="H5" s="46"/>
      <c r="J5" s="31"/>
      <c r="K5" s="48" t="s">
        <v>10</v>
      </c>
      <c r="L5" s="48"/>
      <c r="M5" s="48"/>
      <c r="N5" s="48"/>
      <c r="O5" s="48"/>
      <c r="P5" s="48"/>
      <c r="Q5" s="48"/>
      <c r="R5" s="48"/>
      <c r="S5" s="32"/>
    </row>
    <row r="6" spans="1:19" x14ac:dyDescent="0.25">
      <c r="A6" s="1"/>
      <c r="B6" s="41"/>
      <c r="C6" s="42"/>
      <c r="D6" s="42"/>
      <c r="E6" s="42"/>
      <c r="F6" s="42"/>
      <c r="G6" s="42"/>
      <c r="H6" s="43"/>
      <c r="J6" s="31"/>
      <c r="K6" s="37" t="s">
        <v>8</v>
      </c>
      <c r="L6" s="37"/>
      <c r="M6" s="37"/>
      <c r="N6" s="37"/>
      <c r="O6" s="37"/>
      <c r="P6" s="37"/>
      <c r="Q6" s="37"/>
      <c r="R6" s="37"/>
      <c r="S6" s="32"/>
    </row>
    <row r="7" spans="1:19" x14ac:dyDescent="0.25">
      <c r="A7" s="1"/>
      <c r="B7" s="2" t="s">
        <v>11</v>
      </c>
      <c r="C7" s="21" t="s">
        <v>12</v>
      </c>
      <c r="D7" s="21" t="s">
        <v>13</v>
      </c>
      <c r="E7" s="21" t="s">
        <v>14</v>
      </c>
      <c r="F7" s="22">
        <v>0.6</v>
      </c>
      <c r="G7" s="22" t="s">
        <v>15</v>
      </c>
      <c r="H7" s="21" t="s">
        <v>16</v>
      </c>
      <c r="J7" s="31"/>
      <c r="K7" s="2" t="s">
        <v>11</v>
      </c>
      <c r="L7" s="21" t="s">
        <v>12</v>
      </c>
      <c r="M7" s="21" t="s">
        <v>13</v>
      </c>
      <c r="N7" s="21" t="s">
        <v>14</v>
      </c>
      <c r="O7" s="22">
        <v>0.6</v>
      </c>
      <c r="P7" s="21" t="s">
        <v>16</v>
      </c>
      <c r="Q7" s="21" t="s">
        <v>20</v>
      </c>
      <c r="R7" s="21" t="s">
        <v>19</v>
      </c>
      <c r="S7" s="32"/>
    </row>
    <row r="8" spans="1:19" x14ac:dyDescent="0.25">
      <c r="B8" s="5">
        <v>1</v>
      </c>
      <c r="C8" s="6" t="s">
        <v>24</v>
      </c>
      <c r="D8" s="6">
        <v>2025</v>
      </c>
      <c r="E8" s="6">
        <v>23</v>
      </c>
      <c r="F8" s="6">
        <f t="shared" ref="F8:F19" si="0">E8*0.6</f>
        <v>13.799999999999999</v>
      </c>
      <c r="G8" s="6">
        <v>14</v>
      </c>
      <c r="H8" s="7">
        <f>G8*$B$2</f>
        <v>9800</v>
      </c>
      <c r="J8" s="31"/>
      <c r="K8" s="5">
        <v>1</v>
      </c>
      <c r="L8" s="6" t="s">
        <v>24</v>
      </c>
      <c r="M8" s="6">
        <v>2025</v>
      </c>
      <c r="N8" s="6">
        <f t="shared" ref="N8:N13" si="1">E8</f>
        <v>23</v>
      </c>
      <c r="O8" s="6">
        <f>G8</f>
        <v>14</v>
      </c>
      <c r="P8" s="7">
        <f>H8</f>
        <v>9800</v>
      </c>
      <c r="Q8" s="7">
        <v>60</v>
      </c>
      <c r="R8" s="7">
        <f>P8+Q8</f>
        <v>9860</v>
      </c>
      <c r="S8" s="32"/>
    </row>
    <row r="9" spans="1:19" x14ac:dyDescent="0.25">
      <c r="B9" s="5">
        <v>2</v>
      </c>
      <c r="C9" s="6" t="s">
        <v>25</v>
      </c>
      <c r="D9" s="6">
        <v>2025</v>
      </c>
      <c r="E9" s="6">
        <v>20</v>
      </c>
      <c r="F9" s="6">
        <f t="shared" si="0"/>
        <v>12</v>
      </c>
      <c r="G9" s="6">
        <v>12</v>
      </c>
      <c r="H9" s="7">
        <f>G9*$B$2</f>
        <v>8400</v>
      </c>
      <c r="J9" s="31"/>
      <c r="K9" s="5">
        <v>2</v>
      </c>
      <c r="L9" s="6" t="s">
        <v>25</v>
      </c>
      <c r="M9" s="6">
        <v>2025</v>
      </c>
      <c r="N9" s="6">
        <f t="shared" si="1"/>
        <v>20</v>
      </c>
      <c r="O9" s="6">
        <f>G9</f>
        <v>12</v>
      </c>
      <c r="P9" s="7">
        <f>H9</f>
        <v>8400</v>
      </c>
      <c r="Q9" s="7">
        <v>60</v>
      </c>
      <c r="R9" s="7">
        <f>P9+Q9</f>
        <v>8460</v>
      </c>
      <c r="S9" s="32"/>
    </row>
    <row r="10" spans="1:19" x14ac:dyDescent="0.25">
      <c r="B10" s="5">
        <v>3</v>
      </c>
      <c r="C10" s="6" t="s">
        <v>26</v>
      </c>
      <c r="D10" s="6">
        <v>2025</v>
      </c>
      <c r="E10" s="6">
        <v>20</v>
      </c>
      <c r="F10" s="6">
        <f t="shared" si="0"/>
        <v>12</v>
      </c>
      <c r="G10" s="6">
        <v>12</v>
      </c>
      <c r="H10" s="7">
        <f>G10*$B$2</f>
        <v>8400</v>
      </c>
      <c r="J10" s="31"/>
      <c r="K10" s="5">
        <v>3</v>
      </c>
      <c r="L10" s="6" t="s">
        <v>26</v>
      </c>
      <c r="M10" s="6">
        <v>2025</v>
      </c>
      <c r="N10" s="6">
        <f t="shared" si="1"/>
        <v>20</v>
      </c>
      <c r="O10" s="6">
        <f t="shared" ref="O10:O18" si="2">G10</f>
        <v>12</v>
      </c>
      <c r="P10" s="7">
        <f t="shared" ref="P10:P19" si="3">H10</f>
        <v>8400</v>
      </c>
      <c r="Q10" s="7">
        <v>60</v>
      </c>
      <c r="R10" s="7">
        <f>P10+Q10</f>
        <v>8460</v>
      </c>
      <c r="S10" s="32"/>
    </row>
    <row r="11" spans="1:19" x14ac:dyDescent="0.25">
      <c r="B11" s="5">
        <v>4</v>
      </c>
      <c r="C11" s="6" t="s">
        <v>27</v>
      </c>
      <c r="D11" s="6">
        <v>2026</v>
      </c>
      <c r="E11" s="6">
        <v>21</v>
      </c>
      <c r="F11" s="6">
        <f t="shared" si="0"/>
        <v>12.6</v>
      </c>
      <c r="G11" s="6">
        <v>13</v>
      </c>
      <c r="H11" s="7">
        <f t="shared" ref="H11:H17" si="4">G11*$B$3</f>
        <v>9373</v>
      </c>
      <c r="J11" s="31"/>
      <c r="K11" s="5">
        <v>4</v>
      </c>
      <c r="L11" s="6" t="s">
        <v>27</v>
      </c>
      <c r="M11" s="6">
        <v>2026</v>
      </c>
      <c r="N11" s="6">
        <f t="shared" si="1"/>
        <v>21</v>
      </c>
      <c r="O11" s="6">
        <f t="shared" si="2"/>
        <v>13</v>
      </c>
      <c r="P11" s="7">
        <f t="shared" si="3"/>
        <v>9373</v>
      </c>
      <c r="Q11" s="7">
        <v>60</v>
      </c>
      <c r="R11" s="7">
        <f t="shared" ref="R11:R19" si="5">P11+Q11</f>
        <v>9433</v>
      </c>
      <c r="S11" s="32"/>
    </row>
    <row r="12" spans="1:19" x14ac:dyDescent="0.25">
      <c r="B12" s="5">
        <v>5</v>
      </c>
      <c r="C12" s="6" t="s">
        <v>28</v>
      </c>
      <c r="D12" s="6">
        <v>2026</v>
      </c>
      <c r="E12" s="6">
        <v>20</v>
      </c>
      <c r="F12" s="6">
        <f t="shared" si="0"/>
        <v>12</v>
      </c>
      <c r="G12" s="6">
        <v>12</v>
      </c>
      <c r="H12" s="7">
        <f t="shared" si="4"/>
        <v>8652</v>
      </c>
      <c r="J12" s="31"/>
      <c r="K12" s="5">
        <v>5</v>
      </c>
      <c r="L12" s="6" t="s">
        <v>28</v>
      </c>
      <c r="M12" s="6">
        <v>2026</v>
      </c>
      <c r="N12" s="6">
        <f t="shared" si="1"/>
        <v>20</v>
      </c>
      <c r="O12" s="6">
        <f t="shared" si="2"/>
        <v>12</v>
      </c>
      <c r="P12" s="7">
        <f t="shared" si="3"/>
        <v>8652</v>
      </c>
      <c r="Q12" s="7">
        <v>60</v>
      </c>
      <c r="R12" s="7">
        <f t="shared" si="5"/>
        <v>8712</v>
      </c>
      <c r="S12" s="32"/>
    </row>
    <row r="13" spans="1:19" x14ac:dyDescent="0.25">
      <c r="B13" s="5">
        <v>6</v>
      </c>
      <c r="C13" s="6" t="s">
        <v>29</v>
      </c>
      <c r="D13" s="6">
        <v>2026</v>
      </c>
      <c r="E13" s="6">
        <v>22</v>
      </c>
      <c r="F13" s="6">
        <f t="shared" si="0"/>
        <v>13.2</v>
      </c>
      <c r="G13" s="6">
        <v>13</v>
      </c>
      <c r="H13" s="7">
        <f t="shared" si="4"/>
        <v>9373</v>
      </c>
      <c r="J13" s="31"/>
      <c r="K13" s="5">
        <v>6</v>
      </c>
      <c r="L13" s="6" t="s">
        <v>29</v>
      </c>
      <c r="M13" s="6">
        <v>2026</v>
      </c>
      <c r="N13" s="6">
        <f t="shared" si="1"/>
        <v>22</v>
      </c>
      <c r="O13" s="6">
        <f t="shared" si="2"/>
        <v>13</v>
      </c>
      <c r="P13" s="7">
        <f t="shared" si="3"/>
        <v>9373</v>
      </c>
      <c r="Q13" s="7">
        <v>60</v>
      </c>
      <c r="R13" s="7">
        <f t="shared" si="5"/>
        <v>9433</v>
      </c>
      <c r="S13" s="32"/>
    </row>
    <row r="14" spans="1:19" x14ac:dyDescent="0.25">
      <c r="B14" s="5">
        <v>7</v>
      </c>
      <c r="C14" s="6" t="s">
        <v>30</v>
      </c>
      <c r="D14" s="6">
        <v>2026</v>
      </c>
      <c r="E14" s="6">
        <v>19</v>
      </c>
      <c r="F14" s="6">
        <f t="shared" si="0"/>
        <v>11.4</v>
      </c>
      <c r="G14" s="6">
        <v>11</v>
      </c>
      <c r="H14" s="7">
        <f t="shared" si="4"/>
        <v>7931</v>
      </c>
      <c r="J14" s="31"/>
      <c r="K14" s="5">
        <v>7</v>
      </c>
      <c r="L14" s="6" t="s">
        <v>30</v>
      </c>
      <c r="M14" s="6">
        <v>2026</v>
      </c>
      <c r="N14" s="6">
        <f t="shared" ref="N14:N15" si="6">E14</f>
        <v>19</v>
      </c>
      <c r="O14" s="6">
        <f>G14</f>
        <v>11</v>
      </c>
      <c r="P14" s="7">
        <f t="shared" si="3"/>
        <v>7931</v>
      </c>
      <c r="Q14" s="7">
        <v>60</v>
      </c>
      <c r="R14" s="7">
        <f t="shared" si="5"/>
        <v>7991</v>
      </c>
      <c r="S14" s="32"/>
    </row>
    <row r="15" spans="1:19" x14ac:dyDescent="0.25">
      <c r="B15" s="5">
        <v>8</v>
      </c>
      <c r="C15" s="6" t="s">
        <v>31</v>
      </c>
      <c r="D15" s="6">
        <v>2026</v>
      </c>
      <c r="E15" s="6">
        <v>20</v>
      </c>
      <c r="F15" s="6">
        <f t="shared" si="0"/>
        <v>12</v>
      </c>
      <c r="G15" s="6">
        <v>12</v>
      </c>
      <c r="H15" s="7">
        <f t="shared" si="4"/>
        <v>8652</v>
      </c>
      <c r="J15" s="31"/>
      <c r="K15" s="5">
        <v>8</v>
      </c>
      <c r="L15" s="6" t="s">
        <v>31</v>
      </c>
      <c r="M15" s="6">
        <v>2026</v>
      </c>
      <c r="N15" s="6">
        <f t="shared" si="6"/>
        <v>20</v>
      </c>
      <c r="O15" s="6">
        <f t="shared" si="2"/>
        <v>12</v>
      </c>
      <c r="P15" s="7">
        <f t="shared" si="3"/>
        <v>8652</v>
      </c>
      <c r="Q15" s="7">
        <v>60</v>
      </c>
      <c r="R15" s="7">
        <f t="shared" si="5"/>
        <v>8712</v>
      </c>
      <c r="S15" s="32"/>
    </row>
    <row r="16" spans="1:19" x14ac:dyDescent="0.25">
      <c r="B16" s="5">
        <v>9</v>
      </c>
      <c r="C16" s="6" t="s">
        <v>32</v>
      </c>
      <c r="D16" s="6">
        <v>2026</v>
      </c>
      <c r="E16" s="6">
        <v>21</v>
      </c>
      <c r="F16" s="6">
        <f t="shared" si="0"/>
        <v>12.6</v>
      </c>
      <c r="G16" s="6">
        <v>12</v>
      </c>
      <c r="H16" s="7">
        <f t="shared" si="4"/>
        <v>8652</v>
      </c>
      <c r="J16" s="31"/>
      <c r="K16" s="5">
        <v>9</v>
      </c>
      <c r="L16" s="6" t="s">
        <v>32</v>
      </c>
      <c r="M16" s="6">
        <v>2026</v>
      </c>
      <c r="N16" s="6">
        <f>E16</f>
        <v>21</v>
      </c>
      <c r="O16" s="6">
        <f t="shared" si="2"/>
        <v>12</v>
      </c>
      <c r="P16" s="7">
        <f t="shared" si="3"/>
        <v>8652</v>
      </c>
      <c r="Q16" s="7">
        <v>60</v>
      </c>
      <c r="R16" s="7">
        <f t="shared" si="5"/>
        <v>8712</v>
      </c>
      <c r="S16" s="32"/>
    </row>
    <row r="17" spans="2:19" x14ac:dyDescent="0.25">
      <c r="B17" s="5">
        <v>10</v>
      </c>
      <c r="C17" s="6" t="s">
        <v>21</v>
      </c>
      <c r="D17" s="6">
        <v>2026</v>
      </c>
      <c r="E17" s="6">
        <v>23</v>
      </c>
      <c r="F17" s="6">
        <f t="shared" si="0"/>
        <v>13.799999999999999</v>
      </c>
      <c r="G17" s="6">
        <v>14</v>
      </c>
      <c r="H17" s="7">
        <f t="shared" si="4"/>
        <v>10094</v>
      </c>
      <c r="J17" s="31"/>
      <c r="K17" s="5">
        <v>10</v>
      </c>
      <c r="L17" s="6" t="s">
        <v>21</v>
      </c>
      <c r="M17" s="6">
        <v>2026</v>
      </c>
      <c r="N17" s="6">
        <f>E17</f>
        <v>23</v>
      </c>
      <c r="O17" s="6">
        <f t="shared" si="2"/>
        <v>14</v>
      </c>
      <c r="P17" s="7">
        <f t="shared" si="3"/>
        <v>10094</v>
      </c>
      <c r="Q17" s="7">
        <v>60</v>
      </c>
      <c r="R17" s="7">
        <f t="shared" si="5"/>
        <v>10154</v>
      </c>
      <c r="S17" s="32"/>
    </row>
    <row r="18" spans="2:19" x14ac:dyDescent="0.25">
      <c r="B18" s="5">
        <v>11</v>
      </c>
      <c r="C18" s="6" t="s">
        <v>22</v>
      </c>
      <c r="D18" s="6">
        <v>2026</v>
      </c>
      <c r="E18" s="6">
        <v>20</v>
      </c>
      <c r="F18" s="6">
        <f t="shared" si="0"/>
        <v>12</v>
      </c>
      <c r="G18" s="6">
        <v>12</v>
      </c>
      <c r="H18" s="7">
        <f t="shared" ref="H18:H19" si="7">G18*$B$3</f>
        <v>8652</v>
      </c>
      <c r="J18" s="31"/>
      <c r="K18" s="5">
        <v>11</v>
      </c>
      <c r="L18" s="6" t="s">
        <v>22</v>
      </c>
      <c r="M18" s="6">
        <v>2026</v>
      </c>
      <c r="N18" s="6">
        <f>E18</f>
        <v>20</v>
      </c>
      <c r="O18" s="6">
        <f t="shared" si="2"/>
        <v>12</v>
      </c>
      <c r="P18" s="7">
        <f t="shared" si="3"/>
        <v>8652</v>
      </c>
      <c r="Q18" s="7">
        <v>60</v>
      </c>
      <c r="R18" s="7">
        <f t="shared" si="5"/>
        <v>8712</v>
      </c>
      <c r="S18" s="32"/>
    </row>
    <row r="19" spans="2:19" x14ac:dyDescent="0.25">
      <c r="B19" s="5">
        <v>12</v>
      </c>
      <c r="C19" s="6" t="s">
        <v>23</v>
      </c>
      <c r="D19" s="6">
        <v>2026</v>
      </c>
      <c r="E19" s="6">
        <v>21</v>
      </c>
      <c r="F19" s="6">
        <f t="shared" si="0"/>
        <v>12.6</v>
      </c>
      <c r="G19" s="6">
        <v>13</v>
      </c>
      <c r="H19" s="7">
        <f t="shared" si="7"/>
        <v>9373</v>
      </c>
      <c r="J19" s="31"/>
      <c r="K19" s="5">
        <v>12</v>
      </c>
      <c r="L19" s="6" t="s">
        <v>23</v>
      </c>
      <c r="M19" s="6">
        <v>2026</v>
      </c>
      <c r="N19" s="6">
        <f>E19</f>
        <v>21</v>
      </c>
      <c r="O19" s="6">
        <f>G19</f>
        <v>13</v>
      </c>
      <c r="P19" s="7">
        <f t="shared" si="3"/>
        <v>9373</v>
      </c>
      <c r="Q19" s="7">
        <v>60</v>
      </c>
      <c r="R19" s="7">
        <f t="shared" si="5"/>
        <v>9433</v>
      </c>
      <c r="S19" s="32"/>
    </row>
    <row r="20" spans="2:19" x14ac:dyDescent="0.25">
      <c r="B20" s="36" t="s">
        <v>19</v>
      </c>
      <c r="C20" s="36"/>
      <c r="D20" s="13"/>
      <c r="E20" s="3">
        <f>SUM(E8:E19)</f>
        <v>250</v>
      </c>
      <c r="F20" s="29">
        <f>SUM(F8:F19)</f>
        <v>149.99999999999997</v>
      </c>
      <c r="G20" s="3">
        <f>SUM(G8:G19)</f>
        <v>150</v>
      </c>
      <c r="H20" s="24">
        <f>SUM(H8:H19)</f>
        <v>107352</v>
      </c>
      <c r="J20" s="31"/>
      <c r="K20" s="36" t="s">
        <v>19</v>
      </c>
      <c r="L20" s="36"/>
      <c r="M20" s="13"/>
      <c r="N20" s="3">
        <f>SUM(N8:N19)</f>
        <v>250</v>
      </c>
      <c r="O20" s="3">
        <f>SUM(O8:O19)</f>
        <v>150</v>
      </c>
      <c r="P20" s="24">
        <f>SUM(P8:P19)</f>
        <v>107352</v>
      </c>
      <c r="Q20" s="23">
        <f>SUM(Q8:Q19)</f>
        <v>720</v>
      </c>
      <c r="R20" s="23">
        <f>SUM(R8:R19)</f>
        <v>108072</v>
      </c>
      <c r="S20" s="32"/>
    </row>
    <row r="21" spans="2:19" ht="6.75" customHeight="1" x14ac:dyDescent="0.25">
      <c r="B21" s="20"/>
      <c r="C21" s="20"/>
      <c r="D21" s="20"/>
      <c r="E21" s="16"/>
      <c r="F21" s="16"/>
      <c r="G21" s="16"/>
      <c r="H21" s="17"/>
      <c r="J21" s="31"/>
      <c r="K21" s="27"/>
      <c r="R21" s="28"/>
      <c r="S21" s="32"/>
    </row>
    <row r="22" spans="2:19" x14ac:dyDescent="0.25">
      <c r="B22" s="37" t="s">
        <v>33</v>
      </c>
      <c r="C22" s="37"/>
      <c r="D22" s="37"/>
      <c r="E22" s="37"/>
      <c r="F22" s="37"/>
      <c r="J22" s="31"/>
      <c r="K22" s="38" t="s">
        <v>34</v>
      </c>
      <c r="L22" s="39"/>
      <c r="M22" s="39"/>
      <c r="N22" s="39"/>
      <c r="O22" s="39"/>
      <c r="P22" s="39"/>
      <c r="Q22" s="39"/>
      <c r="R22" s="40"/>
      <c r="S22" s="32"/>
    </row>
    <row r="23" spans="2:19" x14ac:dyDescent="0.25">
      <c r="B23" s="41"/>
      <c r="C23" s="42"/>
      <c r="D23" s="42"/>
      <c r="E23" s="42"/>
      <c r="F23" s="43"/>
      <c r="J23" s="31"/>
      <c r="K23" s="44" t="s">
        <v>46</v>
      </c>
      <c r="L23" s="45"/>
      <c r="M23" s="45"/>
      <c r="N23" s="45"/>
      <c r="O23" s="45"/>
      <c r="P23" s="45"/>
      <c r="Q23" s="45"/>
      <c r="R23" s="46"/>
      <c r="S23" s="32"/>
    </row>
    <row r="24" spans="2:19" x14ac:dyDescent="0.25">
      <c r="B24" s="21" t="s">
        <v>11</v>
      </c>
      <c r="C24" s="21" t="s">
        <v>12</v>
      </c>
      <c r="D24" s="21" t="s">
        <v>17</v>
      </c>
      <c r="E24" s="21" t="s">
        <v>18</v>
      </c>
      <c r="F24" s="4" t="s">
        <v>19</v>
      </c>
      <c r="J24" s="31"/>
      <c r="K24" s="2" t="s">
        <v>11</v>
      </c>
      <c r="L24" s="21" t="s">
        <v>12</v>
      </c>
      <c r="M24" s="21" t="s">
        <v>13</v>
      </c>
      <c r="N24" s="21" t="s">
        <v>17</v>
      </c>
      <c r="O24" s="21" t="s">
        <v>18</v>
      </c>
      <c r="P24" s="22" t="s">
        <v>35</v>
      </c>
      <c r="Q24" s="22" t="s">
        <v>20</v>
      </c>
      <c r="R24" s="22" t="s">
        <v>19</v>
      </c>
      <c r="S24" s="32"/>
    </row>
    <row r="25" spans="2:19" x14ac:dyDescent="0.25">
      <c r="B25" s="5">
        <v>1</v>
      </c>
      <c r="C25" s="6" t="s">
        <v>24</v>
      </c>
      <c r="D25" s="7">
        <f>D$2/2</f>
        <v>7000</v>
      </c>
      <c r="E25" s="7">
        <f>G$2/2</f>
        <v>7840</v>
      </c>
      <c r="F25" s="7">
        <f t="shared" ref="F25:F36" si="8">D25+E25</f>
        <v>14840</v>
      </c>
      <c r="J25" s="31"/>
      <c r="K25" s="5">
        <v>1</v>
      </c>
      <c r="L25" s="6" t="s">
        <v>24</v>
      </c>
      <c r="M25" s="6">
        <v>2025</v>
      </c>
      <c r="N25" s="7">
        <f t="shared" ref="N25:N36" si="9">D25</f>
        <v>7000</v>
      </c>
      <c r="O25" s="7">
        <f t="shared" ref="O25:O36" si="10">E25</f>
        <v>7840</v>
      </c>
      <c r="P25" s="7">
        <f>N25+O25</f>
        <v>14840</v>
      </c>
      <c r="Q25" s="7">
        <v>60</v>
      </c>
      <c r="R25" s="7">
        <f>P25+Q25</f>
        <v>14900</v>
      </c>
      <c r="S25" s="32"/>
    </row>
    <row r="26" spans="2:19" x14ac:dyDescent="0.25">
      <c r="B26" s="5">
        <v>2</v>
      </c>
      <c r="C26" s="6" t="s">
        <v>25</v>
      </c>
      <c r="D26" s="7">
        <f>D$2/2</f>
        <v>7000</v>
      </c>
      <c r="E26" s="7">
        <f>G$2/2</f>
        <v>7840</v>
      </c>
      <c r="F26" s="7">
        <f t="shared" si="8"/>
        <v>14840</v>
      </c>
      <c r="J26" s="31"/>
      <c r="K26" s="5">
        <v>2</v>
      </c>
      <c r="L26" s="6" t="s">
        <v>25</v>
      </c>
      <c r="M26" s="6">
        <v>2025</v>
      </c>
      <c r="N26" s="7">
        <f t="shared" si="9"/>
        <v>7000</v>
      </c>
      <c r="O26" s="7">
        <f t="shared" si="10"/>
        <v>7840</v>
      </c>
      <c r="P26" s="7">
        <f t="shared" ref="P26:P36" si="11">N26+O26</f>
        <v>14840</v>
      </c>
      <c r="Q26" s="7">
        <v>60</v>
      </c>
      <c r="R26" s="7">
        <f t="shared" ref="R26:R36" si="12">P26+Q26</f>
        <v>14900</v>
      </c>
      <c r="S26" s="32"/>
    </row>
    <row r="27" spans="2:19" x14ac:dyDescent="0.25">
      <c r="B27" s="5">
        <v>3</v>
      </c>
      <c r="C27" s="6" t="s">
        <v>26</v>
      </c>
      <c r="D27" s="7">
        <f>D$2/2</f>
        <v>7000</v>
      </c>
      <c r="E27" s="7">
        <f>G$2/2</f>
        <v>7840</v>
      </c>
      <c r="F27" s="7">
        <f t="shared" si="8"/>
        <v>14840</v>
      </c>
      <c r="J27" s="31"/>
      <c r="K27" s="5">
        <v>3</v>
      </c>
      <c r="L27" s="6" t="s">
        <v>26</v>
      </c>
      <c r="M27" s="6">
        <v>2025</v>
      </c>
      <c r="N27" s="7">
        <f t="shared" si="9"/>
        <v>7000</v>
      </c>
      <c r="O27" s="7">
        <f t="shared" si="10"/>
        <v>7840</v>
      </c>
      <c r="P27" s="7">
        <f t="shared" si="11"/>
        <v>14840</v>
      </c>
      <c r="Q27" s="7">
        <v>60</v>
      </c>
      <c r="R27" s="7">
        <f t="shared" si="12"/>
        <v>14900</v>
      </c>
      <c r="S27" s="32"/>
    </row>
    <row r="28" spans="2:19" x14ac:dyDescent="0.25">
      <c r="B28" s="5">
        <v>4</v>
      </c>
      <c r="C28" s="6" t="s">
        <v>27</v>
      </c>
      <c r="D28" s="7">
        <f t="shared" ref="D28:D36" si="13">D$3/2</f>
        <v>7210</v>
      </c>
      <c r="E28" s="7">
        <f t="shared" ref="E28:E36" si="14">G$3/2</f>
        <v>8075.2</v>
      </c>
      <c r="F28" s="7">
        <f t="shared" si="8"/>
        <v>15285.2</v>
      </c>
      <c r="J28" s="31"/>
      <c r="K28" s="5">
        <v>4</v>
      </c>
      <c r="L28" s="6" t="s">
        <v>27</v>
      </c>
      <c r="M28" s="6">
        <v>2026</v>
      </c>
      <c r="N28" s="7">
        <f t="shared" si="9"/>
        <v>7210</v>
      </c>
      <c r="O28" s="7">
        <f t="shared" si="10"/>
        <v>8075.2</v>
      </c>
      <c r="P28" s="7">
        <f t="shared" si="11"/>
        <v>15285.2</v>
      </c>
      <c r="Q28" s="7">
        <v>60</v>
      </c>
      <c r="R28" s="7">
        <f t="shared" si="12"/>
        <v>15345.2</v>
      </c>
      <c r="S28" s="32"/>
    </row>
    <row r="29" spans="2:19" x14ac:dyDescent="0.25">
      <c r="B29" s="5">
        <v>5</v>
      </c>
      <c r="C29" s="6" t="s">
        <v>28</v>
      </c>
      <c r="D29" s="7">
        <f t="shared" si="13"/>
        <v>7210</v>
      </c>
      <c r="E29" s="7">
        <f t="shared" si="14"/>
        <v>8075.2</v>
      </c>
      <c r="F29" s="7">
        <f t="shared" si="8"/>
        <v>15285.2</v>
      </c>
      <c r="J29" s="31"/>
      <c r="K29" s="5">
        <v>5</v>
      </c>
      <c r="L29" s="6" t="s">
        <v>28</v>
      </c>
      <c r="M29" s="6">
        <v>2026</v>
      </c>
      <c r="N29" s="7">
        <f t="shared" si="9"/>
        <v>7210</v>
      </c>
      <c r="O29" s="7">
        <f t="shared" si="10"/>
        <v>8075.2</v>
      </c>
      <c r="P29" s="7">
        <f t="shared" si="11"/>
        <v>15285.2</v>
      </c>
      <c r="Q29" s="7">
        <v>60</v>
      </c>
      <c r="R29" s="7">
        <f t="shared" si="12"/>
        <v>15345.2</v>
      </c>
      <c r="S29" s="32"/>
    </row>
    <row r="30" spans="2:19" x14ac:dyDescent="0.25">
      <c r="B30" s="5">
        <v>6</v>
      </c>
      <c r="C30" s="6" t="s">
        <v>29</v>
      </c>
      <c r="D30" s="7">
        <f t="shared" si="13"/>
        <v>7210</v>
      </c>
      <c r="E30" s="7">
        <f t="shared" si="14"/>
        <v>8075.2</v>
      </c>
      <c r="F30" s="7">
        <f t="shared" si="8"/>
        <v>15285.2</v>
      </c>
      <c r="J30" s="31"/>
      <c r="K30" s="5">
        <v>6</v>
      </c>
      <c r="L30" s="6" t="s">
        <v>29</v>
      </c>
      <c r="M30" s="6">
        <v>2026</v>
      </c>
      <c r="N30" s="7">
        <f t="shared" si="9"/>
        <v>7210</v>
      </c>
      <c r="O30" s="7">
        <f t="shared" si="10"/>
        <v>8075.2</v>
      </c>
      <c r="P30" s="7">
        <f t="shared" si="11"/>
        <v>15285.2</v>
      </c>
      <c r="Q30" s="7">
        <v>60</v>
      </c>
      <c r="R30" s="7">
        <f t="shared" si="12"/>
        <v>15345.2</v>
      </c>
      <c r="S30" s="32"/>
    </row>
    <row r="31" spans="2:19" x14ac:dyDescent="0.25">
      <c r="B31" s="5">
        <v>7</v>
      </c>
      <c r="C31" s="6" t="s">
        <v>30</v>
      </c>
      <c r="D31" s="7">
        <f t="shared" si="13"/>
        <v>7210</v>
      </c>
      <c r="E31" s="7">
        <f t="shared" si="14"/>
        <v>8075.2</v>
      </c>
      <c r="F31" s="7">
        <f t="shared" si="8"/>
        <v>15285.2</v>
      </c>
      <c r="J31" s="31"/>
      <c r="K31" s="5">
        <v>7</v>
      </c>
      <c r="L31" s="6" t="s">
        <v>30</v>
      </c>
      <c r="M31" s="6">
        <v>2026</v>
      </c>
      <c r="N31" s="7">
        <f t="shared" si="9"/>
        <v>7210</v>
      </c>
      <c r="O31" s="7">
        <f t="shared" si="10"/>
        <v>8075.2</v>
      </c>
      <c r="P31" s="7">
        <f t="shared" si="11"/>
        <v>15285.2</v>
      </c>
      <c r="Q31" s="7">
        <v>60</v>
      </c>
      <c r="R31" s="7">
        <f t="shared" si="12"/>
        <v>15345.2</v>
      </c>
      <c r="S31" s="32"/>
    </row>
    <row r="32" spans="2:19" x14ac:dyDescent="0.25">
      <c r="B32" s="5">
        <v>8</v>
      </c>
      <c r="C32" s="6" t="s">
        <v>31</v>
      </c>
      <c r="D32" s="7">
        <f t="shared" si="13"/>
        <v>7210</v>
      </c>
      <c r="E32" s="7">
        <f t="shared" si="14"/>
        <v>8075.2</v>
      </c>
      <c r="F32" s="7">
        <f t="shared" si="8"/>
        <v>15285.2</v>
      </c>
      <c r="J32" s="31"/>
      <c r="K32" s="5">
        <v>8</v>
      </c>
      <c r="L32" s="6" t="s">
        <v>31</v>
      </c>
      <c r="M32" s="6">
        <v>2026</v>
      </c>
      <c r="N32" s="7">
        <f t="shared" si="9"/>
        <v>7210</v>
      </c>
      <c r="O32" s="7">
        <f t="shared" si="10"/>
        <v>8075.2</v>
      </c>
      <c r="P32" s="7">
        <f t="shared" si="11"/>
        <v>15285.2</v>
      </c>
      <c r="Q32" s="7">
        <v>60</v>
      </c>
      <c r="R32" s="7">
        <f t="shared" si="12"/>
        <v>15345.2</v>
      </c>
      <c r="S32" s="32"/>
    </row>
    <row r="33" spans="2:19" x14ac:dyDescent="0.25">
      <c r="B33" s="5">
        <v>9</v>
      </c>
      <c r="C33" s="6" t="s">
        <v>32</v>
      </c>
      <c r="D33" s="7">
        <f t="shared" si="13"/>
        <v>7210</v>
      </c>
      <c r="E33" s="7">
        <f t="shared" si="14"/>
        <v>8075.2</v>
      </c>
      <c r="F33" s="7">
        <f t="shared" si="8"/>
        <v>15285.2</v>
      </c>
      <c r="J33" s="31"/>
      <c r="K33" s="5">
        <v>9</v>
      </c>
      <c r="L33" s="6" t="s">
        <v>32</v>
      </c>
      <c r="M33" s="6">
        <v>2026</v>
      </c>
      <c r="N33" s="7">
        <f t="shared" si="9"/>
        <v>7210</v>
      </c>
      <c r="O33" s="7">
        <f t="shared" si="10"/>
        <v>8075.2</v>
      </c>
      <c r="P33" s="7">
        <f t="shared" si="11"/>
        <v>15285.2</v>
      </c>
      <c r="Q33" s="7">
        <v>60</v>
      </c>
      <c r="R33" s="7">
        <f t="shared" si="12"/>
        <v>15345.2</v>
      </c>
      <c r="S33" s="32"/>
    </row>
    <row r="34" spans="2:19" x14ac:dyDescent="0.25">
      <c r="B34" s="5">
        <v>10</v>
      </c>
      <c r="C34" s="6" t="s">
        <v>21</v>
      </c>
      <c r="D34" s="7">
        <f t="shared" si="13"/>
        <v>7210</v>
      </c>
      <c r="E34" s="7">
        <f t="shared" si="14"/>
        <v>8075.2</v>
      </c>
      <c r="F34" s="7">
        <f t="shared" si="8"/>
        <v>15285.2</v>
      </c>
      <c r="J34" s="31"/>
      <c r="K34" s="5">
        <v>10</v>
      </c>
      <c r="L34" s="6" t="s">
        <v>21</v>
      </c>
      <c r="M34" s="6">
        <v>2026</v>
      </c>
      <c r="N34" s="7">
        <f t="shared" si="9"/>
        <v>7210</v>
      </c>
      <c r="O34" s="7">
        <f t="shared" si="10"/>
        <v>8075.2</v>
      </c>
      <c r="P34" s="7">
        <f t="shared" si="11"/>
        <v>15285.2</v>
      </c>
      <c r="Q34" s="7">
        <v>60</v>
      </c>
      <c r="R34" s="7">
        <f t="shared" si="12"/>
        <v>15345.2</v>
      </c>
      <c r="S34" s="32"/>
    </row>
    <row r="35" spans="2:19" x14ac:dyDescent="0.25">
      <c r="B35" s="5">
        <v>11</v>
      </c>
      <c r="C35" s="6" t="s">
        <v>22</v>
      </c>
      <c r="D35" s="7">
        <f t="shared" si="13"/>
        <v>7210</v>
      </c>
      <c r="E35" s="7">
        <f t="shared" si="14"/>
        <v>8075.2</v>
      </c>
      <c r="F35" s="7">
        <f t="shared" si="8"/>
        <v>15285.2</v>
      </c>
      <c r="J35" s="31"/>
      <c r="K35" s="5">
        <v>11</v>
      </c>
      <c r="L35" s="6" t="s">
        <v>22</v>
      </c>
      <c r="M35" s="6">
        <v>2026</v>
      </c>
      <c r="N35" s="7">
        <f t="shared" si="9"/>
        <v>7210</v>
      </c>
      <c r="O35" s="7">
        <f t="shared" si="10"/>
        <v>8075.2</v>
      </c>
      <c r="P35" s="7">
        <f t="shared" si="11"/>
        <v>15285.2</v>
      </c>
      <c r="Q35" s="7">
        <v>60</v>
      </c>
      <c r="R35" s="7">
        <f t="shared" si="12"/>
        <v>15345.2</v>
      </c>
      <c r="S35" s="32"/>
    </row>
    <row r="36" spans="2:19" x14ac:dyDescent="0.25">
      <c r="B36" s="5">
        <v>12</v>
      </c>
      <c r="C36" s="6" t="s">
        <v>23</v>
      </c>
      <c r="D36" s="7">
        <f t="shared" si="13"/>
        <v>7210</v>
      </c>
      <c r="E36" s="7">
        <f t="shared" si="14"/>
        <v>8075.2</v>
      </c>
      <c r="F36" s="7">
        <f t="shared" si="8"/>
        <v>15285.2</v>
      </c>
      <c r="J36" s="31"/>
      <c r="K36" s="5">
        <v>12</v>
      </c>
      <c r="L36" s="6" t="s">
        <v>23</v>
      </c>
      <c r="M36" s="6">
        <v>2026</v>
      </c>
      <c r="N36" s="7">
        <f t="shared" si="9"/>
        <v>7210</v>
      </c>
      <c r="O36" s="7">
        <f t="shared" si="10"/>
        <v>8075.2</v>
      </c>
      <c r="P36" s="7">
        <f t="shared" si="11"/>
        <v>15285.2</v>
      </c>
      <c r="Q36" s="7">
        <v>60</v>
      </c>
      <c r="R36" s="7">
        <f t="shared" si="12"/>
        <v>15345.2</v>
      </c>
      <c r="S36" s="32"/>
    </row>
    <row r="37" spans="2:19" x14ac:dyDescent="0.25">
      <c r="B37" s="36" t="s">
        <v>19</v>
      </c>
      <c r="C37" s="36"/>
      <c r="D37" s="24">
        <f>SUM(D25:D36)</f>
        <v>85890</v>
      </c>
      <c r="E37" s="23">
        <f>SUM(E25:E36)</f>
        <v>96196.799999999988</v>
      </c>
      <c r="F37" s="23">
        <f>SUM(F25:F36)</f>
        <v>182086.80000000002</v>
      </c>
      <c r="J37" s="31"/>
      <c r="K37" s="3" t="s">
        <v>19</v>
      </c>
      <c r="L37" s="3"/>
      <c r="M37" s="3"/>
      <c r="N37" s="24">
        <f>SUM(N25:N36)</f>
        <v>85890</v>
      </c>
      <c r="O37" s="23">
        <f>SUM(O25:O36)</f>
        <v>96196.799999999988</v>
      </c>
      <c r="P37" s="23">
        <f>SUM(P25:P36)</f>
        <v>182086.80000000002</v>
      </c>
      <c r="Q37" s="23">
        <f>SUM(Q25:Q36)</f>
        <v>720</v>
      </c>
      <c r="R37" s="23">
        <f>SUM(R25:R36)</f>
        <v>182806.80000000002</v>
      </c>
      <c r="S37" s="32"/>
    </row>
    <row r="38" spans="2:19" ht="15.75" thickBot="1" x14ac:dyDescent="0.3">
      <c r="J38" s="33"/>
      <c r="K38" s="34"/>
      <c r="L38" s="34"/>
      <c r="M38" s="34"/>
      <c r="N38" s="34"/>
      <c r="O38" s="34"/>
      <c r="P38" s="34"/>
      <c r="Q38" s="34"/>
      <c r="R38" s="34"/>
      <c r="S38" s="35"/>
    </row>
    <row r="39" spans="2:19" x14ac:dyDescent="0.25">
      <c r="R39" s="1"/>
    </row>
    <row r="40" spans="2:19" x14ac:dyDescent="0.25">
      <c r="R40" s="1"/>
    </row>
    <row r="42" spans="2:19" x14ac:dyDescent="0.25">
      <c r="F42" s="16"/>
    </row>
    <row r="43" spans="2:19" x14ac:dyDescent="0.25">
      <c r="F43" s="1"/>
    </row>
    <row r="44" spans="2:19" x14ac:dyDescent="0.25">
      <c r="F44" s="1"/>
    </row>
    <row r="45" spans="2:19" x14ac:dyDescent="0.25">
      <c r="F45" s="1"/>
    </row>
    <row r="46" spans="2:19" x14ac:dyDescent="0.25">
      <c r="F46" s="1"/>
    </row>
    <row r="47" spans="2:19" x14ac:dyDescent="0.25">
      <c r="F47" s="1"/>
    </row>
    <row r="48" spans="2:19" x14ac:dyDescent="0.25">
      <c r="F48" s="1"/>
    </row>
    <row r="49" spans="2:6" x14ac:dyDescent="0.25">
      <c r="F49" s="1"/>
    </row>
    <row r="50" spans="2:6" x14ac:dyDescent="0.25">
      <c r="F50" s="1"/>
    </row>
    <row r="51" spans="2:6" x14ac:dyDescent="0.25">
      <c r="F51" s="1"/>
    </row>
    <row r="52" spans="2:6" x14ac:dyDescent="0.25">
      <c r="B52" s="1"/>
      <c r="C52" s="1"/>
      <c r="D52" s="1"/>
      <c r="E52" s="1"/>
      <c r="F52" s="1"/>
    </row>
    <row r="53" spans="2:6" x14ac:dyDescent="0.25">
      <c r="B53" s="1"/>
      <c r="C53" s="1"/>
      <c r="D53" s="1"/>
      <c r="E53" s="1"/>
      <c r="F53" s="1"/>
    </row>
    <row r="54" spans="2:6" x14ac:dyDescent="0.25">
      <c r="B54" s="1"/>
      <c r="C54" s="1"/>
      <c r="D54" s="1"/>
      <c r="E54" s="1"/>
      <c r="F54" s="1"/>
    </row>
    <row r="55" spans="2:6" x14ac:dyDescent="0.25">
      <c r="B55" s="17"/>
      <c r="C55" s="17"/>
      <c r="D55" s="17"/>
      <c r="E55" s="17"/>
      <c r="F55" s="17"/>
    </row>
    <row r="56" spans="2:6" x14ac:dyDescent="0.25">
      <c r="B56" s="17"/>
      <c r="C56" s="17"/>
      <c r="D56" s="17"/>
      <c r="E56" s="17"/>
      <c r="F56" s="17"/>
    </row>
    <row r="58" spans="2:6" x14ac:dyDescent="0.25">
      <c r="B58" s="16"/>
      <c r="C58" s="16"/>
      <c r="D58" s="16"/>
      <c r="E58" s="16"/>
      <c r="F58" s="16"/>
    </row>
    <row r="59" spans="2:6" x14ac:dyDescent="0.25">
      <c r="B59" s="18"/>
      <c r="C59" s="18"/>
      <c r="D59" s="18"/>
      <c r="E59" s="18"/>
      <c r="F59" s="18"/>
    </row>
    <row r="66" spans="2:8" x14ac:dyDescent="0.25">
      <c r="B66" s="16"/>
      <c r="C66" s="16"/>
      <c r="D66" s="16"/>
      <c r="E66" s="16"/>
      <c r="F66" s="16"/>
    </row>
    <row r="67" spans="2:8" x14ac:dyDescent="0.25">
      <c r="B67" s="19"/>
      <c r="C67" s="19"/>
      <c r="D67" s="19"/>
      <c r="E67" s="19"/>
      <c r="F67" s="19"/>
    </row>
    <row r="69" spans="2:8" x14ac:dyDescent="0.25">
      <c r="B69" s="17"/>
      <c r="C69" s="17"/>
      <c r="D69" s="17"/>
      <c r="E69" s="17"/>
      <c r="F69" s="17"/>
    </row>
    <row r="70" spans="2:8" x14ac:dyDescent="0.25">
      <c r="H70" s="30"/>
    </row>
  </sheetData>
  <mergeCells count="13">
    <mergeCell ref="F1:G1"/>
    <mergeCell ref="B5:H5"/>
    <mergeCell ref="K5:R5"/>
    <mergeCell ref="B6:H6"/>
    <mergeCell ref="K6:R6"/>
    <mergeCell ref="J3:S3"/>
    <mergeCell ref="B37:C37"/>
    <mergeCell ref="B20:C20"/>
    <mergeCell ref="K20:L20"/>
    <mergeCell ref="B22:F22"/>
    <mergeCell ref="K22:R22"/>
    <mergeCell ref="B23:F23"/>
    <mergeCell ref="K23:R2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009A-0E2C-46EF-A62E-6539608D1A48}">
  <dimension ref="A1:W69"/>
  <sheetViews>
    <sheetView workbookViewId="0">
      <selection activeCell="V10" sqref="V10"/>
    </sheetView>
  </sheetViews>
  <sheetFormatPr defaultRowHeight="15" x14ac:dyDescent="0.25"/>
  <cols>
    <col min="1" max="1" width="15.7109375" customWidth="1"/>
    <col min="2" max="2" width="7.5703125" bestFit="1" customWidth="1"/>
    <col min="3" max="3" width="8.5703125" bestFit="1" customWidth="1"/>
    <col min="4" max="4" width="12.42578125" customWidth="1"/>
    <col min="5" max="5" width="12.5703125" bestFit="1" customWidth="1"/>
    <col min="6" max="6" width="15.140625" bestFit="1" customWidth="1"/>
    <col min="7" max="8" width="12.5703125" bestFit="1" customWidth="1"/>
    <col min="9" max="9" width="5.42578125" bestFit="1" customWidth="1"/>
    <col min="10" max="10" width="4.5703125" bestFit="1" customWidth="1"/>
    <col min="11" max="14" width="12.5703125" customWidth="1"/>
    <col min="15" max="15" width="6.28515625" customWidth="1"/>
    <col min="16" max="16" width="9" customWidth="1"/>
    <col min="17" max="17" width="6.7109375" bestFit="1" customWidth="1"/>
    <col min="18" max="18" width="5" bestFit="1" customWidth="1"/>
    <col min="19" max="19" width="12.5703125" customWidth="1"/>
    <col min="20" max="20" width="12.42578125" customWidth="1"/>
    <col min="21" max="21" width="13.42578125" customWidth="1"/>
    <col min="22" max="22" width="11" customWidth="1"/>
    <col min="23" max="23" width="13" customWidth="1"/>
    <col min="24" max="24" width="7.5703125" bestFit="1" customWidth="1"/>
    <col min="25" max="25" width="11" bestFit="1" customWidth="1"/>
    <col min="26" max="27" width="12.5703125" bestFit="1" customWidth="1"/>
  </cols>
  <sheetData>
    <row r="1" spans="1:23" x14ac:dyDescent="0.25">
      <c r="A1" s="6" t="s">
        <v>0</v>
      </c>
      <c r="B1" s="7">
        <v>680</v>
      </c>
      <c r="D1" s="26" t="s">
        <v>1</v>
      </c>
      <c r="F1" s="47" t="s">
        <v>2</v>
      </c>
      <c r="G1" s="47"/>
    </row>
    <row r="2" spans="1:23" x14ac:dyDescent="0.25">
      <c r="A2" s="6" t="s">
        <v>3</v>
      </c>
      <c r="B2" s="7">
        <v>700</v>
      </c>
      <c r="C2" s="15"/>
      <c r="D2" s="7">
        <f>B2*20</f>
        <v>14000</v>
      </c>
      <c r="F2" s="6" t="s">
        <v>4</v>
      </c>
      <c r="G2" s="7">
        <v>15680</v>
      </c>
    </row>
    <row r="3" spans="1:23" x14ac:dyDescent="0.25">
      <c r="A3" s="6" t="s">
        <v>5</v>
      </c>
      <c r="B3" s="7">
        <f>B2*1.03</f>
        <v>721</v>
      </c>
      <c r="D3" s="7">
        <f>B3*20</f>
        <v>14420</v>
      </c>
      <c r="F3" s="25" t="s">
        <v>6</v>
      </c>
      <c r="G3" s="7">
        <f>G2*1.03</f>
        <v>16150.4</v>
      </c>
      <c r="P3" s="52" t="s">
        <v>7</v>
      </c>
      <c r="Q3" s="53"/>
      <c r="R3" s="53"/>
      <c r="S3" s="53"/>
      <c r="T3" s="53"/>
      <c r="U3" s="53"/>
      <c r="V3" s="53"/>
      <c r="W3" s="54"/>
    </row>
    <row r="4" spans="1:23" x14ac:dyDescent="0.25">
      <c r="B4" s="1"/>
      <c r="P4" s="27"/>
      <c r="W4" s="28"/>
    </row>
    <row r="5" spans="1:23" x14ac:dyDescent="0.25">
      <c r="B5" s="44" t="s">
        <v>8</v>
      </c>
      <c r="C5" s="45"/>
      <c r="D5" s="45"/>
      <c r="E5" s="45"/>
      <c r="F5" s="45"/>
      <c r="G5" s="45"/>
      <c r="H5" s="46"/>
      <c r="J5" s="37" t="s">
        <v>9</v>
      </c>
      <c r="K5" s="37"/>
      <c r="L5" s="37"/>
      <c r="M5" s="37"/>
      <c r="N5" s="37"/>
      <c r="P5" s="48" t="s">
        <v>10</v>
      </c>
      <c r="Q5" s="48"/>
      <c r="R5" s="48"/>
      <c r="S5" s="48"/>
      <c r="T5" s="48"/>
      <c r="U5" s="48"/>
      <c r="V5" s="48"/>
      <c r="W5" s="48"/>
    </row>
    <row r="6" spans="1:23" x14ac:dyDescent="0.25">
      <c r="A6" s="1"/>
      <c r="B6" s="55"/>
      <c r="C6" s="55"/>
      <c r="D6" s="55"/>
      <c r="E6" s="55"/>
      <c r="F6" s="55"/>
      <c r="G6" s="55"/>
      <c r="H6" s="55"/>
      <c r="J6" s="41"/>
      <c r="K6" s="42"/>
      <c r="L6" s="42"/>
      <c r="M6" s="42"/>
      <c r="N6" s="43"/>
      <c r="P6" s="37" t="s">
        <v>8</v>
      </c>
      <c r="Q6" s="37"/>
      <c r="R6" s="37"/>
      <c r="S6" s="37"/>
      <c r="T6" s="37"/>
      <c r="U6" s="37"/>
      <c r="V6" s="37"/>
      <c r="W6" s="37"/>
    </row>
    <row r="7" spans="1:23" x14ac:dyDescent="0.25">
      <c r="A7" s="1"/>
      <c r="B7" s="2" t="s">
        <v>11</v>
      </c>
      <c r="C7" s="21" t="s">
        <v>12</v>
      </c>
      <c r="D7" s="21" t="s">
        <v>13</v>
      </c>
      <c r="E7" s="21" t="s">
        <v>14</v>
      </c>
      <c r="F7" s="22">
        <v>0.6</v>
      </c>
      <c r="G7" s="22" t="s">
        <v>15</v>
      </c>
      <c r="H7" s="21" t="s">
        <v>16</v>
      </c>
      <c r="J7" s="21" t="s">
        <v>11</v>
      </c>
      <c r="K7" s="21" t="s">
        <v>12</v>
      </c>
      <c r="L7" s="21" t="s">
        <v>17</v>
      </c>
      <c r="M7" s="21" t="s">
        <v>18</v>
      </c>
      <c r="N7" s="4" t="s">
        <v>19</v>
      </c>
      <c r="P7" s="2" t="s">
        <v>11</v>
      </c>
      <c r="Q7" s="21" t="s">
        <v>12</v>
      </c>
      <c r="R7" s="21" t="s">
        <v>13</v>
      </c>
      <c r="S7" s="21" t="s">
        <v>14</v>
      </c>
      <c r="T7" s="22">
        <v>0.6</v>
      </c>
      <c r="U7" s="21" t="s">
        <v>16</v>
      </c>
      <c r="V7" s="21" t="s">
        <v>20</v>
      </c>
      <c r="W7" s="21" t="s">
        <v>19</v>
      </c>
    </row>
    <row r="8" spans="1:23" x14ac:dyDescent="0.25">
      <c r="B8" s="5">
        <v>1</v>
      </c>
      <c r="C8" s="6" t="s">
        <v>21</v>
      </c>
      <c r="D8" s="6">
        <v>2025</v>
      </c>
      <c r="E8" s="6">
        <v>23</v>
      </c>
      <c r="F8" s="6">
        <f t="shared" ref="F8:F19" si="0">E8*0.6</f>
        <v>13.799999999999999</v>
      </c>
      <c r="G8" s="6">
        <v>14</v>
      </c>
      <c r="H8" s="7">
        <f t="shared" ref="H8:H13" si="1">G8*$B$2</f>
        <v>9800</v>
      </c>
      <c r="J8" s="5">
        <v>1</v>
      </c>
      <c r="K8" s="6" t="s">
        <v>21</v>
      </c>
      <c r="L8" s="7">
        <f t="shared" ref="L8:L19" si="2">H8</f>
        <v>9800</v>
      </c>
      <c r="M8" s="7">
        <f>G2/2</f>
        <v>7840</v>
      </c>
      <c r="N8" s="7">
        <f t="shared" ref="N8:N19" si="3">L8+M8</f>
        <v>17640</v>
      </c>
      <c r="P8" s="5">
        <v>1</v>
      </c>
      <c r="Q8" s="6" t="s">
        <v>21</v>
      </c>
      <c r="R8" s="6">
        <v>2025</v>
      </c>
      <c r="S8" s="6">
        <v>23</v>
      </c>
      <c r="T8" s="6">
        <v>14</v>
      </c>
      <c r="U8" s="7">
        <f t="shared" ref="U8:U13" si="4">T8*$B$2</f>
        <v>9800</v>
      </c>
      <c r="V8" s="7">
        <v>60</v>
      </c>
      <c r="W8" s="7">
        <f>U8+V8</f>
        <v>9860</v>
      </c>
    </row>
    <row r="9" spans="1:23" x14ac:dyDescent="0.25">
      <c r="B9" s="5">
        <v>2</v>
      </c>
      <c r="C9" s="6" t="s">
        <v>22</v>
      </c>
      <c r="D9" s="6">
        <v>2025</v>
      </c>
      <c r="E9" s="6">
        <v>21</v>
      </c>
      <c r="F9" s="6">
        <f t="shared" si="0"/>
        <v>12.6</v>
      </c>
      <c r="G9" s="6">
        <v>13</v>
      </c>
      <c r="H9" s="7">
        <f t="shared" si="1"/>
        <v>9100</v>
      </c>
      <c r="J9" s="5">
        <v>2</v>
      </c>
      <c r="K9" s="6" t="s">
        <v>22</v>
      </c>
      <c r="L9" s="7">
        <f t="shared" si="2"/>
        <v>9100</v>
      </c>
      <c r="M9" s="7">
        <f>G2/2</f>
        <v>7840</v>
      </c>
      <c r="N9" s="7">
        <f t="shared" si="3"/>
        <v>16940</v>
      </c>
      <c r="P9" s="5">
        <v>2</v>
      </c>
      <c r="Q9" s="6" t="s">
        <v>22</v>
      </c>
      <c r="R9" s="6">
        <v>2025</v>
      </c>
      <c r="S9" s="6">
        <v>21</v>
      </c>
      <c r="T9" s="6">
        <v>13</v>
      </c>
      <c r="U9" s="7">
        <f t="shared" si="4"/>
        <v>9100</v>
      </c>
      <c r="V9" s="7">
        <v>60</v>
      </c>
      <c r="W9" s="7">
        <f t="shared" ref="W9:W19" si="5">U9+V9</f>
        <v>9160</v>
      </c>
    </row>
    <row r="10" spans="1:23" x14ac:dyDescent="0.25">
      <c r="B10" s="5">
        <v>3</v>
      </c>
      <c r="C10" s="6" t="s">
        <v>23</v>
      </c>
      <c r="D10" s="6">
        <v>2025</v>
      </c>
      <c r="E10" s="6">
        <v>21</v>
      </c>
      <c r="F10" s="6">
        <f t="shared" si="0"/>
        <v>12.6</v>
      </c>
      <c r="G10" s="6">
        <v>13</v>
      </c>
      <c r="H10" s="7">
        <f t="shared" si="1"/>
        <v>9100</v>
      </c>
      <c r="J10" s="5">
        <v>3</v>
      </c>
      <c r="K10" s="6" t="s">
        <v>23</v>
      </c>
      <c r="L10" s="7">
        <f t="shared" si="2"/>
        <v>9100</v>
      </c>
      <c r="M10" s="7">
        <f>G2/2</f>
        <v>7840</v>
      </c>
      <c r="N10" s="7">
        <f t="shared" si="3"/>
        <v>16940</v>
      </c>
      <c r="P10" s="5">
        <v>3</v>
      </c>
      <c r="Q10" s="6" t="s">
        <v>23</v>
      </c>
      <c r="R10" s="6">
        <v>2025</v>
      </c>
      <c r="S10" s="6">
        <v>21</v>
      </c>
      <c r="T10" s="6">
        <v>13</v>
      </c>
      <c r="U10" s="7">
        <f t="shared" si="4"/>
        <v>9100</v>
      </c>
      <c r="V10" s="7">
        <v>60</v>
      </c>
      <c r="W10" s="7">
        <f t="shared" si="5"/>
        <v>9160</v>
      </c>
    </row>
    <row r="11" spans="1:23" x14ac:dyDescent="0.25">
      <c r="B11" s="5">
        <v>4</v>
      </c>
      <c r="C11" s="6" t="s">
        <v>24</v>
      </c>
      <c r="D11" s="6">
        <v>2025</v>
      </c>
      <c r="E11" s="6">
        <v>23</v>
      </c>
      <c r="F11" s="6">
        <f t="shared" si="0"/>
        <v>13.799999999999999</v>
      </c>
      <c r="G11" s="6">
        <v>14</v>
      </c>
      <c r="H11" s="7">
        <f t="shared" si="1"/>
        <v>9800</v>
      </c>
      <c r="J11" s="5">
        <v>4</v>
      </c>
      <c r="K11" s="6" t="s">
        <v>24</v>
      </c>
      <c r="L11" s="7">
        <f t="shared" si="2"/>
        <v>9800</v>
      </c>
      <c r="M11" s="7">
        <f>G2/2</f>
        <v>7840</v>
      </c>
      <c r="N11" s="7">
        <f t="shared" si="3"/>
        <v>17640</v>
      </c>
      <c r="P11" s="5">
        <v>4</v>
      </c>
      <c r="Q11" s="6" t="s">
        <v>24</v>
      </c>
      <c r="R11" s="6">
        <v>2025</v>
      </c>
      <c r="S11" s="6">
        <v>23</v>
      </c>
      <c r="T11" s="6">
        <v>14</v>
      </c>
      <c r="U11" s="7">
        <f t="shared" si="4"/>
        <v>9800</v>
      </c>
      <c r="V11" s="7">
        <v>60</v>
      </c>
      <c r="W11" s="7">
        <f t="shared" si="5"/>
        <v>9860</v>
      </c>
    </row>
    <row r="12" spans="1:23" x14ac:dyDescent="0.25">
      <c r="B12" s="5">
        <v>5</v>
      </c>
      <c r="C12" s="6" t="s">
        <v>25</v>
      </c>
      <c r="D12" s="6">
        <v>2025</v>
      </c>
      <c r="E12" s="6">
        <v>20</v>
      </c>
      <c r="F12" s="6">
        <f t="shared" si="0"/>
        <v>12</v>
      </c>
      <c r="G12" s="6">
        <v>12</v>
      </c>
      <c r="H12" s="7">
        <f t="shared" si="1"/>
        <v>8400</v>
      </c>
      <c r="J12" s="5">
        <v>5</v>
      </c>
      <c r="K12" s="6" t="s">
        <v>25</v>
      </c>
      <c r="L12" s="7">
        <f t="shared" si="2"/>
        <v>8400</v>
      </c>
      <c r="M12" s="7">
        <f>G2/2</f>
        <v>7840</v>
      </c>
      <c r="N12" s="7">
        <f t="shared" si="3"/>
        <v>16240</v>
      </c>
      <c r="P12" s="5">
        <v>5</v>
      </c>
      <c r="Q12" s="6" t="s">
        <v>25</v>
      </c>
      <c r="R12" s="6">
        <v>2025</v>
      </c>
      <c r="S12" s="6">
        <v>20</v>
      </c>
      <c r="T12" s="6">
        <v>12</v>
      </c>
      <c r="U12" s="7">
        <f t="shared" si="4"/>
        <v>8400</v>
      </c>
      <c r="V12" s="7">
        <v>60</v>
      </c>
      <c r="W12" s="7">
        <f t="shared" si="5"/>
        <v>8460</v>
      </c>
    </row>
    <row r="13" spans="1:23" x14ac:dyDescent="0.25">
      <c r="B13" s="5">
        <v>6</v>
      </c>
      <c r="C13" s="6" t="s">
        <v>26</v>
      </c>
      <c r="D13" s="6">
        <v>2025</v>
      </c>
      <c r="E13" s="6">
        <v>20</v>
      </c>
      <c r="F13" s="6">
        <f t="shared" si="0"/>
        <v>12</v>
      </c>
      <c r="G13" s="6">
        <v>12</v>
      </c>
      <c r="H13" s="7">
        <f t="shared" si="1"/>
        <v>8400</v>
      </c>
      <c r="J13" s="5">
        <v>6</v>
      </c>
      <c r="K13" s="6" t="s">
        <v>26</v>
      </c>
      <c r="L13" s="7">
        <f t="shared" si="2"/>
        <v>8400</v>
      </c>
      <c r="M13" s="7">
        <f>G2/2</f>
        <v>7840</v>
      </c>
      <c r="N13" s="7">
        <f t="shared" si="3"/>
        <v>16240</v>
      </c>
      <c r="P13" s="5">
        <v>6</v>
      </c>
      <c r="Q13" s="6" t="s">
        <v>26</v>
      </c>
      <c r="R13" s="6">
        <v>2025</v>
      </c>
      <c r="S13" s="6">
        <v>20</v>
      </c>
      <c r="T13" s="6">
        <v>12</v>
      </c>
      <c r="U13" s="7">
        <f t="shared" si="4"/>
        <v>8400</v>
      </c>
      <c r="V13" s="7">
        <v>60</v>
      </c>
      <c r="W13" s="7">
        <f t="shared" si="5"/>
        <v>8460</v>
      </c>
    </row>
    <row r="14" spans="1:23" x14ac:dyDescent="0.25">
      <c r="B14" s="5">
        <v>7</v>
      </c>
      <c r="C14" s="6" t="s">
        <v>27</v>
      </c>
      <c r="D14" s="6">
        <v>2026</v>
      </c>
      <c r="E14" s="6">
        <v>21</v>
      </c>
      <c r="F14" s="6">
        <f t="shared" si="0"/>
        <v>12.6</v>
      </c>
      <c r="G14" s="6">
        <v>13</v>
      </c>
      <c r="H14" s="7">
        <f t="shared" ref="H14:H19" si="6">G14*$B$3</f>
        <v>9373</v>
      </c>
      <c r="J14" s="5">
        <v>7</v>
      </c>
      <c r="K14" s="6" t="s">
        <v>27</v>
      </c>
      <c r="L14" s="7">
        <f t="shared" si="2"/>
        <v>9373</v>
      </c>
      <c r="M14" s="7">
        <f>G3/2</f>
        <v>8075.2</v>
      </c>
      <c r="N14" s="7">
        <f t="shared" si="3"/>
        <v>17448.2</v>
      </c>
      <c r="P14" s="5">
        <v>7</v>
      </c>
      <c r="Q14" s="6" t="s">
        <v>27</v>
      </c>
      <c r="R14" s="6">
        <v>2026</v>
      </c>
      <c r="S14" s="6">
        <v>21</v>
      </c>
      <c r="T14" s="6">
        <v>13</v>
      </c>
      <c r="U14" s="7">
        <f t="shared" ref="U14:U18" si="7">T14*$B$3</f>
        <v>9373</v>
      </c>
      <c r="V14" s="7">
        <v>60</v>
      </c>
      <c r="W14" s="7">
        <f t="shared" si="5"/>
        <v>9433</v>
      </c>
    </row>
    <row r="15" spans="1:23" x14ac:dyDescent="0.25">
      <c r="B15" s="5">
        <v>8</v>
      </c>
      <c r="C15" s="6" t="s">
        <v>28</v>
      </c>
      <c r="D15" s="6">
        <v>2026</v>
      </c>
      <c r="E15" s="6">
        <v>20</v>
      </c>
      <c r="F15" s="6">
        <f t="shared" si="0"/>
        <v>12</v>
      </c>
      <c r="G15" s="6">
        <v>12</v>
      </c>
      <c r="H15" s="7">
        <f t="shared" si="6"/>
        <v>8652</v>
      </c>
      <c r="J15" s="5">
        <v>8</v>
      </c>
      <c r="K15" s="6" t="s">
        <v>28</v>
      </c>
      <c r="L15" s="7">
        <f t="shared" si="2"/>
        <v>8652</v>
      </c>
      <c r="M15" s="7">
        <f>G3/2</f>
        <v>8075.2</v>
      </c>
      <c r="N15" s="7">
        <f t="shared" si="3"/>
        <v>16727.2</v>
      </c>
      <c r="P15" s="5">
        <v>8</v>
      </c>
      <c r="Q15" s="6" t="s">
        <v>28</v>
      </c>
      <c r="R15" s="6">
        <v>2026</v>
      </c>
      <c r="S15" s="6">
        <v>20</v>
      </c>
      <c r="T15" s="6">
        <v>12</v>
      </c>
      <c r="U15" s="7">
        <f>T15*$B$3</f>
        <v>8652</v>
      </c>
      <c r="V15" s="7">
        <v>60</v>
      </c>
      <c r="W15" s="7">
        <f t="shared" si="5"/>
        <v>8712</v>
      </c>
    </row>
    <row r="16" spans="1:23" x14ac:dyDescent="0.25">
      <c r="B16" s="5">
        <v>9</v>
      </c>
      <c r="C16" s="6" t="s">
        <v>29</v>
      </c>
      <c r="D16" s="6">
        <v>2026</v>
      </c>
      <c r="E16" s="6">
        <v>22</v>
      </c>
      <c r="F16" s="6">
        <f t="shared" si="0"/>
        <v>13.2</v>
      </c>
      <c r="G16" s="6">
        <v>13</v>
      </c>
      <c r="H16" s="7">
        <f t="shared" si="6"/>
        <v>9373</v>
      </c>
      <c r="J16" s="5">
        <v>9</v>
      </c>
      <c r="K16" s="6" t="s">
        <v>29</v>
      </c>
      <c r="L16" s="7">
        <f t="shared" si="2"/>
        <v>9373</v>
      </c>
      <c r="M16" s="7">
        <f>G3/2</f>
        <v>8075.2</v>
      </c>
      <c r="N16" s="7">
        <f t="shared" si="3"/>
        <v>17448.2</v>
      </c>
      <c r="P16" s="5">
        <v>9</v>
      </c>
      <c r="Q16" s="6" t="s">
        <v>29</v>
      </c>
      <c r="R16" s="6">
        <v>2026</v>
      </c>
      <c r="S16" s="6">
        <v>22</v>
      </c>
      <c r="T16" s="6">
        <v>13</v>
      </c>
      <c r="U16" s="7">
        <f t="shared" si="7"/>
        <v>9373</v>
      </c>
      <c r="V16" s="7">
        <v>60</v>
      </c>
      <c r="W16" s="7">
        <f t="shared" si="5"/>
        <v>9433</v>
      </c>
    </row>
    <row r="17" spans="2:23" x14ac:dyDescent="0.25">
      <c r="B17" s="5">
        <v>10</v>
      </c>
      <c r="C17" s="6" t="s">
        <v>30</v>
      </c>
      <c r="D17" s="6">
        <v>2026</v>
      </c>
      <c r="E17" s="6">
        <v>19</v>
      </c>
      <c r="F17" s="6">
        <f t="shared" si="0"/>
        <v>11.4</v>
      </c>
      <c r="G17" s="6">
        <v>11</v>
      </c>
      <c r="H17" s="7">
        <f t="shared" si="6"/>
        <v>7931</v>
      </c>
      <c r="J17" s="5">
        <v>10</v>
      </c>
      <c r="K17" s="6" t="s">
        <v>30</v>
      </c>
      <c r="L17" s="7">
        <f t="shared" si="2"/>
        <v>7931</v>
      </c>
      <c r="M17" s="7">
        <f>G3/2</f>
        <v>8075.2</v>
      </c>
      <c r="N17" s="7">
        <f t="shared" si="3"/>
        <v>16006.2</v>
      </c>
      <c r="P17" s="5">
        <v>10</v>
      </c>
      <c r="Q17" s="6" t="s">
        <v>30</v>
      </c>
      <c r="R17" s="6">
        <v>2026</v>
      </c>
      <c r="S17" s="6">
        <v>19</v>
      </c>
      <c r="T17" s="6">
        <v>11</v>
      </c>
      <c r="U17" s="7">
        <f t="shared" si="7"/>
        <v>7931</v>
      </c>
      <c r="V17" s="7">
        <v>60</v>
      </c>
      <c r="W17" s="7">
        <f t="shared" si="5"/>
        <v>7991</v>
      </c>
    </row>
    <row r="18" spans="2:23" x14ac:dyDescent="0.25">
      <c r="B18" s="5">
        <v>11</v>
      </c>
      <c r="C18" s="6" t="s">
        <v>31</v>
      </c>
      <c r="D18" s="6">
        <v>2026</v>
      </c>
      <c r="E18" s="6">
        <v>20</v>
      </c>
      <c r="F18" s="6">
        <f t="shared" si="0"/>
        <v>12</v>
      </c>
      <c r="G18" s="6">
        <v>12</v>
      </c>
      <c r="H18" s="7">
        <f t="shared" si="6"/>
        <v>8652</v>
      </c>
      <c r="J18" s="5">
        <v>11</v>
      </c>
      <c r="K18" s="6" t="s">
        <v>31</v>
      </c>
      <c r="L18" s="7">
        <f t="shared" si="2"/>
        <v>8652</v>
      </c>
      <c r="M18" s="7">
        <f>G3/2</f>
        <v>8075.2</v>
      </c>
      <c r="N18" s="7">
        <f t="shared" si="3"/>
        <v>16727.2</v>
      </c>
      <c r="P18" s="5">
        <v>11</v>
      </c>
      <c r="Q18" s="6" t="s">
        <v>31</v>
      </c>
      <c r="R18" s="6">
        <v>2026</v>
      </c>
      <c r="S18" s="6">
        <v>20</v>
      </c>
      <c r="T18" s="6">
        <v>12</v>
      </c>
      <c r="U18" s="7">
        <f t="shared" si="7"/>
        <v>8652</v>
      </c>
      <c r="V18" s="7">
        <v>60</v>
      </c>
      <c r="W18" s="7">
        <f t="shared" si="5"/>
        <v>8712</v>
      </c>
    </row>
    <row r="19" spans="2:23" x14ac:dyDescent="0.25">
      <c r="B19" s="5">
        <v>12</v>
      </c>
      <c r="C19" s="6" t="s">
        <v>32</v>
      </c>
      <c r="D19" s="6">
        <v>2026</v>
      </c>
      <c r="E19" s="6">
        <v>20</v>
      </c>
      <c r="F19" s="6">
        <f t="shared" si="0"/>
        <v>12</v>
      </c>
      <c r="G19" s="6">
        <v>12</v>
      </c>
      <c r="H19" s="7">
        <f t="shared" si="6"/>
        <v>8652</v>
      </c>
      <c r="J19" s="5">
        <v>12</v>
      </c>
      <c r="K19" s="6" t="s">
        <v>32</v>
      </c>
      <c r="L19" s="7">
        <f t="shared" si="2"/>
        <v>8652</v>
      </c>
      <c r="M19" s="7">
        <f>G3/2</f>
        <v>8075.2</v>
      </c>
      <c r="N19" s="7">
        <f t="shared" si="3"/>
        <v>16727.2</v>
      </c>
      <c r="P19" s="5">
        <v>12</v>
      </c>
      <c r="Q19" s="6" t="s">
        <v>32</v>
      </c>
      <c r="R19" s="6">
        <v>2026</v>
      </c>
      <c r="S19" s="6">
        <v>20</v>
      </c>
      <c r="T19" s="6">
        <v>12</v>
      </c>
      <c r="U19" s="7">
        <f>T19*$B$3</f>
        <v>8652</v>
      </c>
      <c r="V19" s="7">
        <v>60</v>
      </c>
      <c r="W19" s="7">
        <f t="shared" si="5"/>
        <v>8712</v>
      </c>
    </row>
    <row r="20" spans="2:23" x14ac:dyDescent="0.25">
      <c r="B20" s="36" t="s">
        <v>19</v>
      </c>
      <c r="C20" s="36"/>
      <c r="D20" s="13"/>
      <c r="E20" s="3">
        <f>SUM(E8:E19)</f>
        <v>250</v>
      </c>
      <c r="F20" s="3">
        <f>SUM(F8:F19)</f>
        <v>150</v>
      </c>
      <c r="G20" s="3">
        <f>SUM(G8:G19)</f>
        <v>151</v>
      </c>
      <c r="H20" s="24">
        <f>SUM(H8:H19)</f>
        <v>107233</v>
      </c>
      <c r="J20" s="36" t="s">
        <v>19</v>
      </c>
      <c r="K20" s="36"/>
      <c r="L20" s="24">
        <f>SUM(L8:L19)</f>
        <v>107233</v>
      </c>
      <c r="M20" s="23">
        <f>SUM(M8:M19)</f>
        <v>95491.199999999983</v>
      </c>
      <c r="N20" s="23">
        <f>SUM(N8:N19)</f>
        <v>202724.20000000004</v>
      </c>
      <c r="P20" s="36" t="s">
        <v>19</v>
      </c>
      <c r="Q20" s="36"/>
      <c r="R20" s="13"/>
      <c r="S20" s="3">
        <f>SUM(S8:S19)</f>
        <v>250</v>
      </c>
      <c r="T20" s="3">
        <f>SUM(T8:T19)</f>
        <v>151</v>
      </c>
      <c r="U20" s="24">
        <f>SUM(U8:U19)</f>
        <v>107233</v>
      </c>
      <c r="V20" s="23">
        <f>SUM(V8:V19)</f>
        <v>720</v>
      </c>
      <c r="W20" s="23">
        <f>SUM(W8:W19)</f>
        <v>107953</v>
      </c>
    </row>
    <row r="21" spans="2:23" x14ac:dyDescent="0.25">
      <c r="B21" s="20"/>
      <c r="C21" s="20"/>
      <c r="D21" s="20"/>
      <c r="E21" s="16"/>
      <c r="F21" s="16"/>
      <c r="G21" s="16"/>
      <c r="H21" s="17"/>
      <c r="P21" s="27"/>
      <c r="W21" s="28"/>
    </row>
    <row r="22" spans="2:23" x14ac:dyDescent="0.25">
      <c r="J22" s="37" t="s">
        <v>33</v>
      </c>
      <c r="K22" s="37"/>
      <c r="L22" s="37"/>
      <c r="M22" s="37"/>
      <c r="N22" s="37"/>
      <c r="P22" s="38" t="s">
        <v>34</v>
      </c>
      <c r="Q22" s="39"/>
      <c r="R22" s="39"/>
      <c r="S22" s="39"/>
      <c r="T22" s="39"/>
      <c r="U22" s="39"/>
      <c r="V22" s="39"/>
      <c r="W22" s="40"/>
    </row>
    <row r="23" spans="2:23" x14ac:dyDescent="0.25">
      <c r="J23" s="41"/>
      <c r="K23" s="42"/>
      <c r="L23" s="42"/>
      <c r="M23" s="42"/>
      <c r="N23" s="43"/>
      <c r="P23" s="44" t="s">
        <v>33</v>
      </c>
      <c r="Q23" s="45"/>
      <c r="R23" s="45"/>
      <c r="S23" s="45"/>
      <c r="T23" s="45"/>
      <c r="U23" s="45"/>
      <c r="V23" s="45"/>
      <c r="W23" s="46"/>
    </row>
    <row r="24" spans="2:23" x14ac:dyDescent="0.25">
      <c r="J24" s="21" t="s">
        <v>11</v>
      </c>
      <c r="K24" s="21" t="s">
        <v>12</v>
      </c>
      <c r="L24" s="21" t="s">
        <v>17</v>
      </c>
      <c r="M24" s="21" t="s">
        <v>18</v>
      </c>
      <c r="N24" s="4" t="s">
        <v>19</v>
      </c>
      <c r="P24" s="2" t="s">
        <v>11</v>
      </c>
      <c r="Q24" s="21" t="s">
        <v>12</v>
      </c>
      <c r="R24" s="21" t="s">
        <v>13</v>
      </c>
      <c r="S24" s="21" t="s">
        <v>17</v>
      </c>
      <c r="T24" s="21" t="s">
        <v>18</v>
      </c>
      <c r="U24" s="22" t="s">
        <v>35</v>
      </c>
      <c r="V24" s="22" t="s">
        <v>20</v>
      </c>
      <c r="W24" s="22" t="s">
        <v>19</v>
      </c>
    </row>
    <row r="25" spans="2:23" x14ac:dyDescent="0.25">
      <c r="J25" s="5">
        <v>1</v>
      </c>
      <c r="K25" s="6" t="s">
        <v>21</v>
      </c>
      <c r="L25" s="7">
        <f t="shared" ref="L25:L30" si="8">14000/2</f>
        <v>7000</v>
      </c>
      <c r="M25" s="7">
        <f t="shared" ref="M25:M30" si="9">G$2/2</f>
        <v>7840</v>
      </c>
      <c r="N25" s="7">
        <f>L25+M25</f>
        <v>14840</v>
      </c>
      <c r="P25" s="5">
        <v>1</v>
      </c>
      <c r="Q25" s="6" t="s">
        <v>21</v>
      </c>
      <c r="R25" s="6">
        <v>2025</v>
      </c>
      <c r="S25" s="7">
        <v>7000</v>
      </c>
      <c r="T25" s="7">
        <v>7840</v>
      </c>
      <c r="U25" s="7">
        <v>14840</v>
      </c>
      <c r="V25" s="7">
        <v>60</v>
      </c>
      <c r="W25" s="7">
        <f>U25+V25</f>
        <v>14900</v>
      </c>
    </row>
    <row r="26" spans="2:23" x14ac:dyDescent="0.25">
      <c r="J26" s="5">
        <v>2</v>
      </c>
      <c r="K26" s="6" t="s">
        <v>22</v>
      </c>
      <c r="L26" s="7">
        <f t="shared" si="8"/>
        <v>7000</v>
      </c>
      <c r="M26" s="7">
        <f t="shared" si="9"/>
        <v>7840</v>
      </c>
      <c r="N26" s="7">
        <f>L26+M26</f>
        <v>14840</v>
      </c>
      <c r="P26" s="5">
        <v>2</v>
      </c>
      <c r="Q26" s="6" t="s">
        <v>22</v>
      </c>
      <c r="R26" s="6">
        <v>2025</v>
      </c>
      <c r="S26" s="7">
        <v>7000</v>
      </c>
      <c r="T26" s="7">
        <v>7840</v>
      </c>
      <c r="U26" s="7">
        <v>14840</v>
      </c>
      <c r="V26" s="7">
        <v>60</v>
      </c>
      <c r="W26" s="7">
        <f t="shared" ref="W26:W35" si="10">U26+V26</f>
        <v>14900</v>
      </c>
    </row>
    <row r="27" spans="2:23" x14ac:dyDescent="0.25">
      <c r="J27" s="5">
        <v>3</v>
      </c>
      <c r="K27" s="6" t="s">
        <v>23</v>
      </c>
      <c r="L27" s="7">
        <f t="shared" si="8"/>
        <v>7000</v>
      </c>
      <c r="M27" s="7">
        <f t="shared" si="9"/>
        <v>7840</v>
      </c>
      <c r="N27" s="7">
        <f>L27+M27</f>
        <v>14840</v>
      </c>
      <c r="P27" s="5">
        <v>3</v>
      </c>
      <c r="Q27" s="6" t="s">
        <v>23</v>
      </c>
      <c r="R27" s="6">
        <v>2025</v>
      </c>
      <c r="S27" s="7">
        <v>7000</v>
      </c>
      <c r="T27" s="7">
        <v>7840</v>
      </c>
      <c r="U27" s="7">
        <v>14840</v>
      </c>
      <c r="V27" s="7">
        <v>60</v>
      </c>
      <c r="W27" s="7">
        <f t="shared" si="10"/>
        <v>14900</v>
      </c>
    </row>
    <row r="28" spans="2:23" x14ac:dyDescent="0.25">
      <c r="J28" s="5">
        <v>4</v>
      </c>
      <c r="K28" s="6" t="s">
        <v>24</v>
      </c>
      <c r="L28" s="7">
        <f t="shared" si="8"/>
        <v>7000</v>
      </c>
      <c r="M28" s="7">
        <f t="shared" si="9"/>
        <v>7840</v>
      </c>
      <c r="N28" s="7">
        <f t="shared" ref="N28:N36" si="11">L28+M28</f>
        <v>14840</v>
      </c>
      <c r="P28" s="5">
        <v>4</v>
      </c>
      <c r="Q28" s="6" t="s">
        <v>24</v>
      </c>
      <c r="R28" s="6">
        <v>2025</v>
      </c>
      <c r="S28" s="7">
        <v>7000</v>
      </c>
      <c r="T28" s="7">
        <v>7840</v>
      </c>
      <c r="U28" s="7">
        <v>14840</v>
      </c>
      <c r="V28" s="7">
        <v>60</v>
      </c>
      <c r="W28" s="7">
        <f t="shared" si="10"/>
        <v>14900</v>
      </c>
    </row>
    <row r="29" spans="2:23" x14ac:dyDescent="0.25">
      <c r="J29" s="5">
        <v>5</v>
      </c>
      <c r="K29" s="6" t="s">
        <v>25</v>
      </c>
      <c r="L29" s="7">
        <f t="shared" si="8"/>
        <v>7000</v>
      </c>
      <c r="M29" s="7">
        <f t="shared" si="9"/>
        <v>7840</v>
      </c>
      <c r="N29" s="7">
        <f t="shared" si="11"/>
        <v>14840</v>
      </c>
      <c r="P29" s="5">
        <v>5</v>
      </c>
      <c r="Q29" s="6" t="s">
        <v>25</v>
      </c>
      <c r="R29" s="6">
        <v>2025</v>
      </c>
      <c r="S29" s="7">
        <v>7000</v>
      </c>
      <c r="T29" s="7">
        <v>7840</v>
      </c>
      <c r="U29" s="7">
        <v>14840</v>
      </c>
      <c r="V29" s="7">
        <v>60</v>
      </c>
      <c r="W29" s="7">
        <f t="shared" si="10"/>
        <v>14900</v>
      </c>
    </row>
    <row r="30" spans="2:23" x14ac:dyDescent="0.25">
      <c r="J30" s="5">
        <v>6</v>
      </c>
      <c r="K30" s="6" t="s">
        <v>26</v>
      </c>
      <c r="L30" s="7">
        <f t="shared" si="8"/>
        <v>7000</v>
      </c>
      <c r="M30" s="7">
        <f t="shared" si="9"/>
        <v>7840</v>
      </c>
      <c r="N30" s="7">
        <f t="shared" si="11"/>
        <v>14840</v>
      </c>
      <c r="P30" s="5">
        <v>6</v>
      </c>
      <c r="Q30" s="6" t="s">
        <v>26</v>
      </c>
      <c r="R30" s="6">
        <v>2025</v>
      </c>
      <c r="S30" s="7">
        <v>7000</v>
      </c>
      <c r="T30" s="7">
        <v>7840</v>
      </c>
      <c r="U30" s="7">
        <v>14840</v>
      </c>
      <c r="V30" s="7">
        <v>60</v>
      </c>
      <c r="W30" s="7">
        <f t="shared" si="10"/>
        <v>14900</v>
      </c>
    </row>
    <row r="31" spans="2:23" x14ac:dyDescent="0.25">
      <c r="J31" s="5">
        <v>7</v>
      </c>
      <c r="K31" s="6" t="s">
        <v>27</v>
      </c>
      <c r="L31" s="7">
        <f>D3/2</f>
        <v>7210</v>
      </c>
      <c r="M31" s="7">
        <f t="shared" ref="M31:M36" si="12">G$3/2</f>
        <v>8075.2</v>
      </c>
      <c r="N31" s="7">
        <f t="shared" si="11"/>
        <v>15285.2</v>
      </c>
      <c r="P31" s="5">
        <v>7</v>
      </c>
      <c r="Q31" s="6" t="s">
        <v>27</v>
      </c>
      <c r="R31" s="6">
        <v>2026</v>
      </c>
      <c r="S31" s="7">
        <v>7210</v>
      </c>
      <c r="T31" s="7">
        <v>8075.2</v>
      </c>
      <c r="U31" s="7">
        <v>15285.2</v>
      </c>
      <c r="V31" s="7">
        <v>60</v>
      </c>
      <c r="W31" s="7">
        <f t="shared" si="10"/>
        <v>15345.2</v>
      </c>
    </row>
    <row r="32" spans="2:23" x14ac:dyDescent="0.25">
      <c r="J32" s="5">
        <v>8</v>
      </c>
      <c r="K32" s="6" t="s">
        <v>28</v>
      </c>
      <c r="L32" s="7">
        <f>14420/2</f>
        <v>7210</v>
      </c>
      <c r="M32" s="7">
        <f t="shared" si="12"/>
        <v>8075.2</v>
      </c>
      <c r="N32" s="7">
        <f t="shared" si="11"/>
        <v>15285.2</v>
      </c>
      <c r="P32" s="5">
        <v>8</v>
      </c>
      <c r="Q32" s="6" t="s">
        <v>28</v>
      </c>
      <c r="R32" s="6">
        <v>2026</v>
      </c>
      <c r="S32" s="7">
        <v>7210</v>
      </c>
      <c r="T32" s="7">
        <v>8075.2</v>
      </c>
      <c r="U32" s="7">
        <v>15285.2</v>
      </c>
      <c r="V32" s="7">
        <v>60</v>
      </c>
      <c r="W32" s="7">
        <f t="shared" si="10"/>
        <v>15345.2</v>
      </c>
    </row>
    <row r="33" spans="2:23" x14ac:dyDescent="0.25">
      <c r="J33" s="5">
        <v>9</v>
      </c>
      <c r="K33" s="6" t="s">
        <v>29</v>
      </c>
      <c r="L33" s="7">
        <f>14420/2</f>
        <v>7210</v>
      </c>
      <c r="M33" s="7">
        <f t="shared" si="12"/>
        <v>8075.2</v>
      </c>
      <c r="N33" s="7">
        <f t="shared" si="11"/>
        <v>15285.2</v>
      </c>
      <c r="P33" s="5">
        <v>9</v>
      </c>
      <c r="Q33" s="6" t="s">
        <v>29</v>
      </c>
      <c r="R33" s="6">
        <v>2026</v>
      </c>
      <c r="S33" s="7">
        <v>7210</v>
      </c>
      <c r="T33" s="7">
        <v>8075.2</v>
      </c>
      <c r="U33" s="7">
        <v>15285.2</v>
      </c>
      <c r="V33" s="7">
        <v>60</v>
      </c>
      <c r="W33" s="7">
        <f t="shared" si="10"/>
        <v>15345.2</v>
      </c>
    </row>
    <row r="34" spans="2:23" x14ac:dyDescent="0.25">
      <c r="J34" s="5">
        <v>10</v>
      </c>
      <c r="K34" s="6" t="s">
        <v>30</v>
      </c>
      <c r="L34" s="7">
        <f>14420/2</f>
        <v>7210</v>
      </c>
      <c r="M34" s="7">
        <f t="shared" si="12"/>
        <v>8075.2</v>
      </c>
      <c r="N34" s="7">
        <f t="shared" si="11"/>
        <v>15285.2</v>
      </c>
      <c r="P34" s="5">
        <v>10</v>
      </c>
      <c r="Q34" s="6" t="s">
        <v>30</v>
      </c>
      <c r="R34" s="6">
        <v>2026</v>
      </c>
      <c r="S34" s="7">
        <v>7210</v>
      </c>
      <c r="T34" s="7">
        <v>8075.2</v>
      </c>
      <c r="U34" s="7">
        <v>15285.2</v>
      </c>
      <c r="V34" s="7">
        <v>60</v>
      </c>
      <c r="W34" s="7">
        <f>U34+V34</f>
        <v>15345.2</v>
      </c>
    </row>
    <row r="35" spans="2:23" x14ac:dyDescent="0.25">
      <c r="J35" s="5">
        <v>11</v>
      </c>
      <c r="K35" s="6" t="s">
        <v>31</v>
      </c>
      <c r="L35" s="7">
        <f>14420/2</f>
        <v>7210</v>
      </c>
      <c r="M35" s="7">
        <f t="shared" si="12"/>
        <v>8075.2</v>
      </c>
      <c r="N35" s="7">
        <f t="shared" si="11"/>
        <v>15285.2</v>
      </c>
      <c r="P35" s="5">
        <v>11</v>
      </c>
      <c r="Q35" s="6" t="s">
        <v>31</v>
      </c>
      <c r="R35" s="6">
        <v>2026</v>
      </c>
      <c r="S35" s="7">
        <v>7210</v>
      </c>
      <c r="T35" s="7">
        <v>8075.2</v>
      </c>
      <c r="U35" s="7">
        <v>15285.2</v>
      </c>
      <c r="V35" s="7">
        <v>60</v>
      </c>
      <c r="W35" s="7">
        <f t="shared" si="10"/>
        <v>15345.2</v>
      </c>
    </row>
    <row r="36" spans="2:23" x14ac:dyDescent="0.25">
      <c r="J36" s="5">
        <v>12</v>
      </c>
      <c r="K36" s="6" t="s">
        <v>32</v>
      </c>
      <c r="L36" s="7">
        <f>14420/2</f>
        <v>7210</v>
      </c>
      <c r="M36" s="7">
        <f t="shared" si="12"/>
        <v>8075.2</v>
      </c>
      <c r="N36" s="7">
        <f t="shared" si="11"/>
        <v>15285.2</v>
      </c>
      <c r="P36" s="5">
        <v>12</v>
      </c>
      <c r="Q36" s="6" t="s">
        <v>32</v>
      </c>
      <c r="R36" s="6">
        <v>2026</v>
      </c>
      <c r="S36" s="7">
        <v>7210</v>
      </c>
      <c r="T36" s="7">
        <v>8075.2</v>
      </c>
      <c r="U36" s="7">
        <v>15285.2</v>
      </c>
      <c r="V36" s="7">
        <v>60</v>
      </c>
      <c r="W36" s="7">
        <f>U36+V36</f>
        <v>15345.2</v>
      </c>
    </row>
    <row r="37" spans="2:23" x14ac:dyDescent="0.25">
      <c r="J37" s="36" t="s">
        <v>19</v>
      </c>
      <c r="K37" s="36"/>
      <c r="L37" s="24">
        <f>SUM(L25:L36)</f>
        <v>85260</v>
      </c>
      <c r="M37" s="23">
        <f>SUM(M25:M36)</f>
        <v>95491.199999999983</v>
      </c>
      <c r="N37" s="23">
        <f>SUM(N25:N36)</f>
        <v>180751.20000000004</v>
      </c>
      <c r="P37" s="3" t="s">
        <v>19</v>
      </c>
      <c r="Q37" s="3"/>
      <c r="R37" s="3"/>
      <c r="S37" s="24">
        <v>85260</v>
      </c>
      <c r="T37" s="23">
        <v>95491.199999999983</v>
      </c>
      <c r="U37" s="23">
        <v>180751.20000000004</v>
      </c>
      <c r="V37" s="23">
        <f>SUM(V25:V36)</f>
        <v>720</v>
      </c>
      <c r="W37" s="23">
        <f>SUM(W25:W36)</f>
        <v>181471.20000000004</v>
      </c>
    </row>
    <row r="39" spans="2:23" x14ac:dyDescent="0.25">
      <c r="W39" s="1"/>
    </row>
    <row r="40" spans="2:23" x14ac:dyDescent="0.25">
      <c r="B40" s="10" t="s">
        <v>20</v>
      </c>
      <c r="C40" s="11"/>
      <c r="D40" s="11"/>
      <c r="E40" s="12"/>
      <c r="G40" s="59" t="s">
        <v>36</v>
      </c>
      <c r="H40" s="60"/>
      <c r="I40" s="60"/>
      <c r="J40" s="60"/>
      <c r="K40" s="61"/>
      <c r="W40" s="1"/>
    </row>
    <row r="41" spans="2:23" x14ac:dyDescent="0.25">
      <c r="B41" s="2" t="s">
        <v>11</v>
      </c>
      <c r="C41" s="3" t="s">
        <v>12</v>
      </c>
      <c r="D41" s="3" t="s">
        <v>37</v>
      </c>
      <c r="E41" s="4" t="s">
        <v>38</v>
      </c>
      <c r="G41" s="2" t="s">
        <v>11</v>
      </c>
      <c r="H41" s="3" t="s">
        <v>12</v>
      </c>
      <c r="I41" s="3" t="s">
        <v>14</v>
      </c>
      <c r="J41" s="4">
        <v>0.6</v>
      </c>
      <c r="K41" s="3" t="s">
        <v>16</v>
      </c>
    </row>
    <row r="42" spans="2:23" x14ac:dyDescent="0.25">
      <c r="B42" s="5">
        <v>1</v>
      </c>
      <c r="C42" s="6" t="s">
        <v>27</v>
      </c>
      <c r="D42" s="6">
        <v>50</v>
      </c>
      <c r="E42" s="6">
        <v>60</v>
      </c>
      <c r="F42" s="16"/>
      <c r="G42" s="5">
        <v>1</v>
      </c>
      <c r="H42" s="6" t="s">
        <v>27</v>
      </c>
      <c r="I42" s="6">
        <v>23</v>
      </c>
      <c r="J42" s="6">
        <v>14</v>
      </c>
      <c r="K42" s="7">
        <f>J42*$B$2</f>
        <v>9800</v>
      </c>
    </row>
    <row r="43" spans="2:23" x14ac:dyDescent="0.25">
      <c r="B43" s="5">
        <v>2</v>
      </c>
      <c r="C43" s="6" t="s">
        <v>28</v>
      </c>
      <c r="D43" s="6">
        <v>50</v>
      </c>
      <c r="E43" s="6">
        <v>60</v>
      </c>
      <c r="F43" s="1"/>
      <c r="G43" s="5">
        <v>2</v>
      </c>
      <c r="H43" s="6" t="s">
        <v>28</v>
      </c>
      <c r="I43" s="6">
        <v>20</v>
      </c>
      <c r="J43" s="6">
        <v>12</v>
      </c>
      <c r="K43" s="7">
        <f>J43*$B$2</f>
        <v>8400</v>
      </c>
    </row>
    <row r="44" spans="2:23" x14ac:dyDescent="0.25">
      <c r="B44" s="5">
        <v>3</v>
      </c>
      <c r="C44" s="6" t="s">
        <v>39</v>
      </c>
      <c r="D44" s="6">
        <v>50</v>
      </c>
      <c r="E44" s="6">
        <v>60</v>
      </c>
      <c r="F44" s="1"/>
      <c r="G44" s="5">
        <v>3</v>
      </c>
      <c r="H44" s="6" t="s">
        <v>39</v>
      </c>
      <c r="I44" s="6">
        <v>21</v>
      </c>
      <c r="J44" s="6">
        <v>13</v>
      </c>
      <c r="K44" s="7">
        <f t="shared" ref="K44:K47" si="13">J44*$B$2</f>
        <v>9100</v>
      </c>
    </row>
    <row r="45" spans="2:23" x14ac:dyDescent="0.25">
      <c r="B45" s="5">
        <v>4</v>
      </c>
      <c r="C45" s="6" t="s">
        <v>40</v>
      </c>
      <c r="D45" s="6">
        <v>50</v>
      </c>
      <c r="E45" s="6">
        <v>60</v>
      </c>
      <c r="F45" s="1"/>
      <c r="G45" s="5">
        <v>4</v>
      </c>
      <c r="H45" s="6" t="s">
        <v>40</v>
      </c>
      <c r="I45" s="6">
        <v>22</v>
      </c>
      <c r="J45" s="6">
        <v>13</v>
      </c>
      <c r="K45" s="7">
        <f t="shared" si="13"/>
        <v>9100</v>
      </c>
    </row>
    <row r="46" spans="2:23" x14ac:dyDescent="0.25">
      <c r="B46" s="5">
        <v>5</v>
      </c>
      <c r="C46" s="6" t="s">
        <v>31</v>
      </c>
      <c r="D46" s="6">
        <v>50</v>
      </c>
      <c r="E46" s="6">
        <v>60</v>
      </c>
      <c r="F46" s="1"/>
      <c r="G46" s="5">
        <v>5</v>
      </c>
      <c r="H46" s="6" t="s">
        <v>31</v>
      </c>
      <c r="I46" s="6">
        <v>22</v>
      </c>
      <c r="J46" s="6">
        <v>13</v>
      </c>
      <c r="K46" s="7">
        <f t="shared" si="13"/>
        <v>9100</v>
      </c>
    </row>
    <row r="47" spans="2:23" x14ac:dyDescent="0.25">
      <c r="B47" s="5">
        <v>6</v>
      </c>
      <c r="C47" s="6" t="s">
        <v>32</v>
      </c>
      <c r="D47" s="6">
        <v>50</v>
      </c>
      <c r="E47" s="6">
        <v>60</v>
      </c>
      <c r="F47" s="1"/>
      <c r="G47" s="5">
        <v>6</v>
      </c>
      <c r="H47" s="6" t="s">
        <v>32</v>
      </c>
      <c r="I47" s="6">
        <v>21</v>
      </c>
      <c r="J47" s="6">
        <v>13</v>
      </c>
      <c r="K47" s="7">
        <f t="shared" si="13"/>
        <v>9100</v>
      </c>
    </row>
    <row r="48" spans="2:23" x14ac:dyDescent="0.25">
      <c r="B48" s="36" t="s">
        <v>19</v>
      </c>
      <c r="C48" s="36"/>
      <c r="D48" s="3">
        <f>SUM(D42:D47)</f>
        <v>300</v>
      </c>
      <c r="E48" s="3">
        <f>SUM(E42:E47)</f>
        <v>360</v>
      </c>
      <c r="F48" s="1"/>
      <c r="G48" s="5"/>
      <c r="H48" s="6"/>
      <c r="I48" s="6"/>
      <c r="J48" s="6"/>
      <c r="K48" s="7"/>
    </row>
    <row r="49" spans="2:11" x14ac:dyDescent="0.25">
      <c r="B49" s="57" t="s">
        <v>41</v>
      </c>
      <c r="C49" s="57"/>
      <c r="D49" s="8">
        <f>D48/2</f>
        <v>150</v>
      </c>
      <c r="E49" s="8">
        <f>E48/2</f>
        <v>180</v>
      </c>
      <c r="F49" s="1"/>
      <c r="G49" s="5"/>
      <c r="H49" s="6"/>
      <c r="I49" s="6"/>
      <c r="J49" s="6"/>
      <c r="K49" s="7"/>
    </row>
    <row r="50" spans="2:11" x14ac:dyDescent="0.25">
      <c r="B50" s="58" t="s">
        <v>42</v>
      </c>
      <c r="C50" s="58"/>
      <c r="D50" s="6">
        <f>D48/2</f>
        <v>150</v>
      </c>
      <c r="E50" s="6">
        <f>E48/2</f>
        <v>180</v>
      </c>
      <c r="F50" s="1"/>
      <c r="G50" s="5"/>
      <c r="H50" s="6"/>
      <c r="I50" s="6"/>
      <c r="J50" s="6"/>
      <c r="K50" s="7"/>
    </row>
    <row r="51" spans="2:11" x14ac:dyDescent="0.25">
      <c r="B51" s="56" t="s">
        <v>43</v>
      </c>
      <c r="C51" s="56"/>
      <c r="D51" s="56"/>
      <c r="E51" s="9">
        <f>E49+H20</f>
        <v>107413</v>
      </c>
      <c r="F51" s="1"/>
      <c r="G51" s="5"/>
      <c r="H51" s="6"/>
      <c r="I51" s="6"/>
      <c r="J51" s="6"/>
      <c r="K51" s="7"/>
    </row>
    <row r="52" spans="2:11" x14ac:dyDescent="0.25">
      <c r="B52" s="1"/>
      <c r="C52" s="1"/>
      <c r="D52" s="1"/>
      <c r="E52" s="1"/>
      <c r="F52" s="1"/>
      <c r="G52" s="5"/>
      <c r="H52" s="6"/>
      <c r="I52" s="6"/>
      <c r="J52" s="6"/>
      <c r="K52" s="7"/>
    </row>
    <row r="53" spans="2:11" x14ac:dyDescent="0.25">
      <c r="B53" s="1"/>
      <c r="C53" s="1"/>
      <c r="D53" s="1"/>
      <c r="E53" s="1"/>
      <c r="F53" s="1"/>
      <c r="G53" s="5"/>
      <c r="H53" s="6"/>
      <c r="I53" s="6"/>
      <c r="J53" s="6"/>
      <c r="K53" s="7"/>
    </row>
    <row r="54" spans="2:11" x14ac:dyDescent="0.25">
      <c r="B54" s="1"/>
      <c r="C54" s="1"/>
      <c r="D54" s="1"/>
      <c r="E54" s="1"/>
      <c r="F54" s="1"/>
      <c r="G54" s="36" t="s">
        <v>19</v>
      </c>
      <c r="H54" s="36"/>
      <c r="I54" s="3">
        <f>SUM(I42:I47)</f>
        <v>129</v>
      </c>
      <c r="J54" s="3">
        <f>SUM(J42:J47)</f>
        <v>78</v>
      </c>
      <c r="K54" s="9">
        <f>SUM(K42:K47)</f>
        <v>54600</v>
      </c>
    </row>
    <row r="55" spans="2:11" x14ac:dyDescent="0.25">
      <c r="B55" s="17"/>
      <c r="C55" s="17"/>
      <c r="D55" s="17"/>
      <c r="E55" s="17"/>
      <c r="F55" s="17"/>
    </row>
    <row r="56" spans="2:11" x14ac:dyDescent="0.25">
      <c r="B56" s="17"/>
      <c r="C56" s="17"/>
      <c r="D56" s="17"/>
      <c r="E56" s="17"/>
      <c r="F56" s="17"/>
    </row>
    <row r="57" spans="2:11" x14ac:dyDescent="0.25">
      <c r="G57" s="62" t="s">
        <v>20</v>
      </c>
      <c r="H57" s="62"/>
      <c r="I57" s="62"/>
      <c r="J57" s="62"/>
      <c r="K57" s="62"/>
    </row>
    <row r="58" spans="2:11" x14ac:dyDescent="0.25">
      <c r="B58" s="16"/>
      <c r="C58" s="16"/>
      <c r="D58" s="16"/>
      <c r="E58" s="16"/>
      <c r="F58" s="16"/>
      <c r="G58" s="2" t="s">
        <v>11</v>
      </c>
      <c r="H58" s="3" t="s">
        <v>12</v>
      </c>
      <c r="I58" s="2"/>
      <c r="J58" s="3"/>
      <c r="K58" s="4" t="s">
        <v>38</v>
      </c>
    </row>
    <row r="59" spans="2:11" x14ac:dyDescent="0.25">
      <c r="B59" s="18"/>
      <c r="C59" s="18"/>
      <c r="D59" s="18"/>
      <c r="E59" s="18"/>
      <c r="F59" s="18"/>
      <c r="G59" s="5">
        <v>1</v>
      </c>
      <c r="H59" s="6" t="s">
        <v>27</v>
      </c>
      <c r="I59" s="5"/>
      <c r="J59" s="6"/>
      <c r="K59" s="6">
        <v>60</v>
      </c>
    </row>
    <row r="60" spans="2:11" x14ac:dyDescent="0.25">
      <c r="G60" s="5">
        <v>2</v>
      </c>
      <c r="H60" s="6" t="s">
        <v>28</v>
      </c>
      <c r="I60" s="5"/>
      <c r="J60" s="6"/>
      <c r="K60" s="6">
        <v>60</v>
      </c>
    </row>
    <row r="61" spans="2:11" x14ac:dyDescent="0.25">
      <c r="G61" s="5">
        <v>3</v>
      </c>
      <c r="H61" s="6" t="s">
        <v>39</v>
      </c>
      <c r="I61" s="5"/>
      <c r="J61" s="6"/>
      <c r="K61" s="6">
        <v>60</v>
      </c>
    </row>
    <row r="62" spans="2:11" x14ac:dyDescent="0.25">
      <c r="G62" s="5">
        <v>4</v>
      </c>
      <c r="H62" s="6" t="s">
        <v>40</v>
      </c>
      <c r="I62" s="5"/>
      <c r="J62" s="6"/>
      <c r="K62" s="6">
        <v>60</v>
      </c>
    </row>
    <row r="63" spans="2:11" x14ac:dyDescent="0.25">
      <c r="G63" s="5">
        <v>5</v>
      </c>
      <c r="H63" s="6" t="s">
        <v>31</v>
      </c>
      <c r="I63" s="5"/>
      <c r="J63" s="6"/>
      <c r="K63" s="6">
        <v>60</v>
      </c>
    </row>
    <row r="64" spans="2:11" x14ac:dyDescent="0.25">
      <c r="G64" s="5">
        <v>6</v>
      </c>
      <c r="H64" s="6" t="s">
        <v>32</v>
      </c>
      <c r="I64" s="5"/>
      <c r="J64" s="6"/>
      <c r="K64" s="6">
        <v>60</v>
      </c>
    </row>
    <row r="65" spans="2:11" x14ac:dyDescent="0.25">
      <c r="G65" s="36" t="s">
        <v>19</v>
      </c>
      <c r="H65" s="36"/>
      <c r="I65" s="36"/>
      <c r="J65" s="36"/>
      <c r="K65" s="3">
        <f>SUM(K59:K64)</f>
        <v>360</v>
      </c>
    </row>
    <row r="66" spans="2:11" x14ac:dyDescent="0.25">
      <c r="B66" s="16"/>
      <c r="C66" s="16"/>
      <c r="D66" s="16"/>
      <c r="E66" s="16"/>
      <c r="F66" s="16"/>
      <c r="G66" s="57" t="s">
        <v>41</v>
      </c>
      <c r="H66" s="57"/>
      <c r="I66" s="57"/>
      <c r="J66" s="57"/>
      <c r="K66" s="8">
        <f>K65/2</f>
        <v>180</v>
      </c>
    </row>
    <row r="67" spans="2:11" x14ac:dyDescent="0.25">
      <c r="B67" s="19"/>
      <c r="C67" s="19"/>
      <c r="D67" s="19"/>
      <c r="E67" s="19"/>
      <c r="F67" s="19"/>
      <c r="G67" s="58" t="s">
        <v>42</v>
      </c>
      <c r="H67" s="58"/>
      <c r="I67" s="58"/>
      <c r="J67" s="58"/>
      <c r="K67" s="6">
        <f>K65/2</f>
        <v>180</v>
      </c>
    </row>
    <row r="69" spans="2:11" x14ac:dyDescent="0.25">
      <c r="B69" s="17"/>
      <c r="C69" s="17"/>
      <c r="D69" s="17"/>
      <c r="E69" s="17"/>
      <c r="F69" s="17"/>
      <c r="G69" s="56" t="s">
        <v>43</v>
      </c>
      <c r="H69" s="56"/>
      <c r="I69" s="56"/>
      <c r="J69" s="56"/>
      <c r="K69" s="9">
        <f>K54+K66</f>
        <v>54780</v>
      </c>
    </row>
  </sheetData>
  <mergeCells count="27">
    <mergeCell ref="G69:J69"/>
    <mergeCell ref="J20:K20"/>
    <mergeCell ref="G65:J65"/>
    <mergeCell ref="G66:J66"/>
    <mergeCell ref="G67:J67"/>
    <mergeCell ref="G57:K57"/>
    <mergeCell ref="J37:K37"/>
    <mergeCell ref="P22:W22"/>
    <mergeCell ref="B48:C48"/>
    <mergeCell ref="B49:C49"/>
    <mergeCell ref="B50:C50"/>
    <mergeCell ref="J22:N22"/>
    <mergeCell ref="J23:N23"/>
    <mergeCell ref="P23:W23"/>
    <mergeCell ref="G40:K40"/>
    <mergeCell ref="G54:H54"/>
    <mergeCell ref="B5:H5"/>
    <mergeCell ref="J5:N5"/>
    <mergeCell ref="J6:N6"/>
    <mergeCell ref="B51:D51"/>
    <mergeCell ref="F1:G1"/>
    <mergeCell ref="P20:Q20"/>
    <mergeCell ref="P6:W6"/>
    <mergeCell ref="P5:W5"/>
    <mergeCell ref="P3:W3"/>
    <mergeCell ref="B6:H6"/>
    <mergeCell ref="B20:C20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D35A-66C3-49FE-902B-AEFEB5D65DEB}">
  <dimension ref="A1:P25"/>
  <sheetViews>
    <sheetView workbookViewId="0">
      <selection activeCell="E28" sqref="E28"/>
    </sheetView>
  </sheetViews>
  <sheetFormatPr defaultRowHeight="15" x14ac:dyDescent="0.25"/>
  <cols>
    <col min="2" max="2" width="17.85546875" bestFit="1" customWidth="1"/>
    <col min="3" max="3" width="6.7109375" bestFit="1" customWidth="1"/>
    <col min="4" max="4" width="6.42578125" bestFit="1" customWidth="1"/>
    <col min="5" max="5" width="15.140625" bestFit="1" customWidth="1"/>
    <col min="6" max="7" width="12.5703125" bestFit="1" customWidth="1"/>
    <col min="10" max="10" width="6.42578125" bestFit="1" customWidth="1"/>
    <col min="11" max="11" width="12.5703125" customWidth="1"/>
    <col min="12" max="12" width="17.85546875" bestFit="1" customWidth="1"/>
    <col min="13" max="14" width="12.5703125" bestFit="1" customWidth="1"/>
  </cols>
  <sheetData>
    <row r="1" spans="1:16" x14ac:dyDescent="0.25">
      <c r="A1" t="s">
        <v>44</v>
      </c>
      <c r="B1" s="1">
        <v>700</v>
      </c>
    </row>
    <row r="2" spans="1:16" x14ac:dyDescent="0.25">
      <c r="B2" s="1"/>
      <c r="J2" s="63" t="s">
        <v>7</v>
      </c>
      <c r="K2" s="63"/>
      <c r="L2" s="63"/>
      <c r="M2" s="63"/>
      <c r="N2" s="63"/>
    </row>
    <row r="3" spans="1:16" x14ac:dyDescent="0.25">
      <c r="B3" s="62" t="s">
        <v>36</v>
      </c>
      <c r="C3" s="62"/>
      <c r="D3" s="62"/>
      <c r="E3" s="62"/>
      <c r="F3" s="62"/>
      <c r="G3" s="62"/>
      <c r="J3" s="59" t="s">
        <v>36</v>
      </c>
      <c r="K3" s="60"/>
      <c r="L3" s="60"/>
      <c r="M3" s="60"/>
      <c r="N3" s="61"/>
    </row>
    <row r="4" spans="1:16" x14ac:dyDescent="0.25">
      <c r="B4" s="2" t="s">
        <v>11</v>
      </c>
      <c r="C4" s="3" t="s">
        <v>12</v>
      </c>
      <c r="D4" s="3" t="s">
        <v>14</v>
      </c>
      <c r="E4" s="4">
        <v>0.6</v>
      </c>
      <c r="F4" s="4" t="s">
        <v>15</v>
      </c>
      <c r="G4" s="3" t="s">
        <v>16</v>
      </c>
      <c r="J4" s="2" t="s">
        <v>11</v>
      </c>
      <c r="K4" s="3" t="s">
        <v>12</v>
      </c>
      <c r="L4" s="3" t="s">
        <v>14</v>
      </c>
      <c r="M4" s="4">
        <v>0.6</v>
      </c>
      <c r="N4" s="3" t="s">
        <v>16</v>
      </c>
      <c r="P4" s="14" t="s">
        <v>45</v>
      </c>
    </row>
    <row r="5" spans="1:16" x14ac:dyDescent="0.25">
      <c r="B5" s="5">
        <v>1</v>
      </c>
      <c r="C5" s="6" t="s">
        <v>27</v>
      </c>
      <c r="D5" s="6">
        <v>23</v>
      </c>
      <c r="E5" s="6">
        <f t="shared" ref="E5:E10" si="0">D5*0.6</f>
        <v>13.799999999999999</v>
      </c>
      <c r="F5" s="6">
        <v>14</v>
      </c>
      <c r="G5" s="7">
        <f>F5*$B$1</f>
        <v>9800</v>
      </c>
      <c r="J5" s="5">
        <v>1</v>
      </c>
      <c r="K5" s="6" t="s">
        <v>27</v>
      </c>
      <c r="L5" s="6">
        <v>23</v>
      </c>
      <c r="M5" s="6">
        <v>14</v>
      </c>
      <c r="N5" s="7">
        <f>M5*$B$1</f>
        <v>9800</v>
      </c>
      <c r="P5">
        <f t="shared" ref="P5:P10" si="1">M5*8</f>
        <v>112</v>
      </c>
    </row>
    <row r="6" spans="1:16" x14ac:dyDescent="0.25">
      <c r="B6" s="5">
        <v>2</v>
      </c>
      <c r="C6" s="6" t="s">
        <v>28</v>
      </c>
      <c r="D6" s="6">
        <v>20</v>
      </c>
      <c r="E6" s="6">
        <f t="shared" si="0"/>
        <v>12</v>
      </c>
      <c r="F6" s="6">
        <v>12</v>
      </c>
      <c r="G6" s="7">
        <f>F6*$B$1</f>
        <v>8400</v>
      </c>
      <c r="J6" s="5">
        <v>2</v>
      </c>
      <c r="K6" s="6" t="s">
        <v>28</v>
      </c>
      <c r="L6" s="6">
        <v>20</v>
      </c>
      <c r="M6" s="6">
        <v>12</v>
      </c>
      <c r="N6" s="7">
        <f>M6*$B$1</f>
        <v>8400</v>
      </c>
      <c r="P6">
        <f t="shared" si="1"/>
        <v>96</v>
      </c>
    </row>
    <row r="7" spans="1:16" x14ac:dyDescent="0.25">
      <c r="B7" s="5">
        <v>3</v>
      </c>
      <c r="C7" s="6" t="s">
        <v>39</v>
      </c>
      <c r="D7" s="6">
        <v>21</v>
      </c>
      <c r="E7" s="6">
        <f t="shared" si="0"/>
        <v>12.6</v>
      </c>
      <c r="F7" s="6">
        <v>13</v>
      </c>
      <c r="G7" s="7">
        <f t="shared" ref="G7:G10" si="2">F7*$B$1</f>
        <v>9100</v>
      </c>
      <c r="J7" s="5">
        <v>3</v>
      </c>
      <c r="K7" s="6" t="s">
        <v>39</v>
      </c>
      <c r="L7" s="6">
        <v>21</v>
      </c>
      <c r="M7" s="6">
        <v>13</v>
      </c>
      <c r="N7" s="7">
        <f t="shared" ref="N7:N10" si="3">M7*$B$1</f>
        <v>9100</v>
      </c>
      <c r="P7">
        <f t="shared" si="1"/>
        <v>104</v>
      </c>
    </row>
    <row r="8" spans="1:16" x14ac:dyDescent="0.25">
      <c r="B8" s="5">
        <v>4</v>
      </c>
      <c r="C8" s="6" t="s">
        <v>40</v>
      </c>
      <c r="D8" s="6">
        <v>22</v>
      </c>
      <c r="E8" s="6">
        <f t="shared" si="0"/>
        <v>13.2</v>
      </c>
      <c r="F8" s="6">
        <v>13</v>
      </c>
      <c r="G8" s="7">
        <f t="shared" si="2"/>
        <v>9100</v>
      </c>
      <c r="J8" s="5">
        <v>4</v>
      </c>
      <c r="K8" s="6" t="s">
        <v>40</v>
      </c>
      <c r="L8" s="6">
        <v>22</v>
      </c>
      <c r="M8" s="6">
        <v>13</v>
      </c>
      <c r="N8" s="7">
        <f t="shared" si="3"/>
        <v>9100</v>
      </c>
      <c r="P8">
        <f t="shared" si="1"/>
        <v>104</v>
      </c>
    </row>
    <row r="9" spans="1:16" x14ac:dyDescent="0.25">
      <c r="B9" s="5">
        <v>5</v>
      </c>
      <c r="C9" s="6" t="s">
        <v>31</v>
      </c>
      <c r="D9" s="6">
        <v>22</v>
      </c>
      <c r="E9" s="6">
        <f t="shared" si="0"/>
        <v>13.2</v>
      </c>
      <c r="F9" s="6">
        <v>13</v>
      </c>
      <c r="G9" s="7">
        <f t="shared" si="2"/>
        <v>9100</v>
      </c>
      <c r="J9" s="5">
        <v>5</v>
      </c>
      <c r="K9" s="6" t="s">
        <v>31</v>
      </c>
      <c r="L9" s="6">
        <v>22</v>
      </c>
      <c r="M9" s="6">
        <v>13</v>
      </c>
      <c r="N9" s="7">
        <f t="shared" si="3"/>
        <v>9100</v>
      </c>
      <c r="P9">
        <f t="shared" si="1"/>
        <v>104</v>
      </c>
    </row>
    <row r="10" spans="1:16" x14ac:dyDescent="0.25">
      <c r="B10" s="5">
        <v>6</v>
      </c>
      <c r="C10" s="6" t="s">
        <v>32</v>
      </c>
      <c r="D10" s="6">
        <v>21</v>
      </c>
      <c r="E10" s="6">
        <f t="shared" si="0"/>
        <v>12.6</v>
      </c>
      <c r="F10" s="6">
        <v>13</v>
      </c>
      <c r="G10" s="7">
        <f t="shared" si="2"/>
        <v>9100</v>
      </c>
      <c r="J10" s="5">
        <v>6</v>
      </c>
      <c r="K10" s="6" t="s">
        <v>32</v>
      </c>
      <c r="L10" s="6">
        <v>21</v>
      </c>
      <c r="M10" s="6">
        <v>13</v>
      </c>
      <c r="N10" s="7">
        <f t="shared" si="3"/>
        <v>9100</v>
      </c>
      <c r="P10">
        <f t="shared" si="1"/>
        <v>104</v>
      </c>
    </row>
    <row r="11" spans="1:16" x14ac:dyDescent="0.25">
      <c r="B11" s="36" t="s">
        <v>19</v>
      </c>
      <c r="C11" s="36"/>
      <c r="D11" s="3">
        <f>SUM(D5:D10)</f>
        <v>129</v>
      </c>
      <c r="E11" s="3">
        <f>SUM(E5:E10)</f>
        <v>77.399999999999991</v>
      </c>
      <c r="F11" s="3">
        <f>SUM(F5:F10)</f>
        <v>78</v>
      </c>
      <c r="G11" s="9">
        <f>SUM(G5:G10)</f>
        <v>54600</v>
      </c>
      <c r="J11" s="36" t="s">
        <v>19</v>
      </c>
      <c r="K11" s="36"/>
      <c r="L11" s="3">
        <f>SUM(L5:L10)</f>
        <v>129</v>
      </c>
      <c r="M11" s="3">
        <f>SUM(M5:M10)</f>
        <v>78</v>
      </c>
      <c r="N11" s="9">
        <f>SUM(N5:N10)</f>
        <v>54600</v>
      </c>
    </row>
    <row r="13" spans="1:16" x14ac:dyDescent="0.25">
      <c r="D13" s="10" t="s">
        <v>20</v>
      </c>
      <c r="E13" s="11"/>
      <c r="F13" s="11"/>
      <c r="G13" s="12"/>
      <c r="J13" s="62" t="s">
        <v>20</v>
      </c>
      <c r="K13" s="62"/>
      <c r="L13" s="62"/>
      <c r="M13" s="62"/>
      <c r="N13" s="62"/>
    </row>
    <row r="14" spans="1:16" x14ac:dyDescent="0.25">
      <c r="D14" s="2" t="s">
        <v>11</v>
      </c>
      <c r="E14" s="3" t="s">
        <v>12</v>
      </c>
      <c r="F14" s="3" t="s">
        <v>37</v>
      </c>
      <c r="G14" s="4" t="s">
        <v>38</v>
      </c>
      <c r="J14" s="2" t="s">
        <v>11</v>
      </c>
      <c r="K14" s="3" t="s">
        <v>12</v>
      </c>
      <c r="L14" s="2"/>
      <c r="M14" s="3"/>
      <c r="N14" s="4" t="s">
        <v>38</v>
      </c>
    </row>
    <row r="15" spans="1:16" x14ac:dyDescent="0.25">
      <c r="D15" s="5">
        <v>1</v>
      </c>
      <c r="E15" s="6" t="s">
        <v>27</v>
      </c>
      <c r="F15" s="6">
        <v>50</v>
      </c>
      <c r="G15" s="6">
        <v>60</v>
      </c>
      <c r="J15" s="5">
        <v>1</v>
      </c>
      <c r="K15" s="6" t="s">
        <v>27</v>
      </c>
      <c r="L15" s="5"/>
      <c r="M15" s="6"/>
      <c r="N15" s="6">
        <v>60</v>
      </c>
    </row>
    <row r="16" spans="1:16" x14ac:dyDescent="0.25">
      <c r="D16" s="5">
        <v>2</v>
      </c>
      <c r="E16" s="6" t="s">
        <v>28</v>
      </c>
      <c r="F16" s="6">
        <v>50</v>
      </c>
      <c r="G16" s="6">
        <v>60</v>
      </c>
      <c r="J16" s="5">
        <v>2</v>
      </c>
      <c r="K16" s="6" t="s">
        <v>28</v>
      </c>
      <c r="L16" s="5"/>
      <c r="M16" s="6"/>
      <c r="N16" s="6">
        <v>60</v>
      </c>
    </row>
    <row r="17" spans="4:14" x14ac:dyDescent="0.25">
      <c r="D17" s="5">
        <v>3</v>
      </c>
      <c r="E17" s="6" t="s">
        <v>39</v>
      </c>
      <c r="F17" s="6">
        <v>50</v>
      </c>
      <c r="G17" s="6">
        <v>60</v>
      </c>
      <c r="J17" s="5">
        <v>3</v>
      </c>
      <c r="K17" s="6" t="s">
        <v>39</v>
      </c>
      <c r="L17" s="5"/>
      <c r="M17" s="6"/>
      <c r="N17" s="6">
        <v>60</v>
      </c>
    </row>
    <row r="18" spans="4:14" x14ac:dyDescent="0.25">
      <c r="D18" s="5">
        <v>4</v>
      </c>
      <c r="E18" s="6" t="s">
        <v>40</v>
      </c>
      <c r="F18" s="6">
        <v>50</v>
      </c>
      <c r="G18" s="6">
        <v>60</v>
      </c>
      <c r="J18" s="5">
        <v>4</v>
      </c>
      <c r="K18" s="6" t="s">
        <v>40</v>
      </c>
      <c r="L18" s="5"/>
      <c r="M18" s="6"/>
      <c r="N18" s="6">
        <v>60</v>
      </c>
    </row>
    <row r="19" spans="4:14" x14ac:dyDescent="0.25">
      <c r="D19" s="5">
        <v>5</v>
      </c>
      <c r="E19" s="6" t="s">
        <v>31</v>
      </c>
      <c r="F19" s="6">
        <v>50</v>
      </c>
      <c r="G19" s="6">
        <v>60</v>
      </c>
      <c r="J19" s="5">
        <v>5</v>
      </c>
      <c r="K19" s="6" t="s">
        <v>31</v>
      </c>
      <c r="L19" s="5"/>
      <c r="M19" s="6"/>
      <c r="N19" s="6">
        <v>60</v>
      </c>
    </row>
    <row r="20" spans="4:14" x14ac:dyDescent="0.25">
      <c r="D20" s="5">
        <v>6</v>
      </c>
      <c r="E20" s="6" t="s">
        <v>32</v>
      </c>
      <c r="F20" s="6">
        <v>50</v>
      </c>
      <c r="G20" s="6">
        <v>60</v>
      </c>
      <c r="J20" s="5">
        <v>6</v>
      </c>
      <c r="K20" s="6" t="s">
        <v>32</v>
      </c>
      <c r="L20" s="5"/>
      <c r="M20" s="6"/>
      <c r="N20" s="6">
        <v>60</v>
      </c>
    </row>
    <row r="21" spans="4:14" x14ac:dyDescent="0.25">
      <c r="D21" s="36" t="s">
        <v>19</v>
      </c>
      <c r="E21" s="36"/>
      <c r="F21" s="3">
        <f>SUM(F15:F20)</f>
        <v>300</v>
      </c>
      <c r="G21" s="3">
        <f>SUM(G15:G20)</f>
        <v>360</v>
      </c>
      <c r="J21" s="36" t="s">
        <v>19</v>
      </c>
      <c r="K21" s="36"/>
      <c r="L21" s="36"/>
      <c r="M21" s="36"/>
      <c r="N21" s="3">
        <f>SUM(N15:N20)</f>
        <v>360</v>
      </c>
    </row>
    <row r="22" spans="4:14" x14ac:dyDescent="0.25">
      <c r="D22" s="57" t="s">
        <v>41</v>
      </c>
      <c r="E22" s="57"/>
      <c r="F22" s="8">
        <f>F21/2</f>
        <v>150</v>
      </c>
      <c r="G22" s="8">
        <f>G21/2</f>
        <v>180</v>
      </c>
      <c r="J22" s="57" t="s">
        <v>41</v>
      </c>
      <c r="K22" s="57"/>
      <c r="L22" s="57"/>
      <c r="M22" s="57"/>
      <c r="N22" s="8">
        <f>N21/2</f>
        <v>180</v>
      </c>
    </row>
    <row r="23" spans="4:14" x14ac:dyDescent="0.25">
      <c r="D23" s="58" t="s">
        <v>42</v>
      </c>
      <c r="E23" s="58"/>
      <c r="F23" s="6">
        <f>F21/2</f>
        <v>150</v>
      </c>
      <c r="G23" s="6">
        <f>G21/2</f>
        <v>180</v>
      </c>
      <c r="J23" s="58" t="s">
        <v>42</v>
      </c>
      <c r="K23" s="58"/>
      <c r="L23" s="58"/>
      <c r="M23" s="58"/>
      <c r="N23" s="6">
        <f>N21/2</f>
        <v>180</v>
      </c>
    </row>
    <row r="24" spans="4:14" x14ac:dyDescent="0.25">
      <c r="D24" s="56" t="s">
        <v>43</v>
      </c>
      <c r="E24" s="56"/>
      <c r="F24" s="56"/>
      <c r="G24" s="9">
        <f>G22+G11</f>
        <v>54780</v>
      </c>
    </row>
    <row r="25" spans="4:14" x14ac:dyDescent="0.25">
      <c r="J25" s="56" t="s">
        <v>43</v>
      </c>
      <c r="K25" s="56"/>
      <c r="L25" s="56"/>
      <c r="M25" s="56"/>
      <c r="N25" s="9">
        <f>N11+N22</f>
        <v>54780</v>
      </c>
    </row>
  </sheetData>
  <mergeCells count="14">
    <mergeCell ref="D22:E22"/>
    <mergeCell ref="D23:E23"/>
    <mergeCell ref="J25:M25"/>
    <mergeCell ref="J21:M21"/>
    <mergeCell ref="J22:M22"/>
    <mergeCell ref="J23:M23"/>
    <mergeCell ref="D24:F24"/>
    <mergeCell ref="B11:C11"/>
    <mergeCell ref="B3:G3"/>
    <mergeCell ref="D21:E21"/>
    <mergeCell ref="J3:N3"/>
    <mergeCell ref="J2:N2"/>
    <mergeCell ref="J13:N13"/>
    <mergeCell ref="J11:K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858CB5-CDD4-4B5E-9799-5FA735778FD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E63EDEC-2D71-4C60-8683-F517F32B8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A1419D-ADE3-479C-95DB-299CF65E502E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1ffbd5dc-7a64-4097-8396-87f6c90b212f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B1F10D19-3CC0-49E9-B151-11D3E0749B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Oct</vt:lpstr>
      <vt:lpstr>2025 June Estimates</vt:lpstr>
      <vt:lpstr>2025 Jan - June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Barrett</dc:creator>
  <cp:keywords/>
  <dc:description/>
  <cp:lastModifiedBy>Shaun Barrett</cp:lastModifiedBy>
  <cp:revision/>
  <dcterms:created xsi:type="dcterms:W3CDTF">2024-11-25T14:27:32Z</dcterms:created>
  <dcterms:modified xsi:type="dcterms:W3CDTF">2025-10-01T12:08:16Z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Client_x0020_Project">
    <vt:lpwstr/>
  </property>
</Properties>
</file>