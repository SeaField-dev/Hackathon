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1 Sales/"/>
    </mc:Choice>
  </mc:AlternateContent>
  <xr:revisionPtr revIDLastSave="128" documentId="8_{E911D06C-5027-AF40-9CCC-E1FA5567E744}" xr6:coauthVersionLast="47" xr6:coauthVersionMax="47" xr10:uidLastSave="{BB88566D-2738-48D2-B0B8-9E60C51B0D1E}"/>
  <bookViews>
    <workbookView minimized="1" xWindow="29085" yWindow="1635" windowWidth="26970" windowHeight="8985" xr2:uid="{9EAF6B78-77CD-F141-B055-8668464387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/>
  <c r="D26" i="1"/>
  <c r="C26" i="1"/>
  <c r="D25" i="1"/>
  <c r="C25" i="1"/>
  <c r="D23" i="1"/>
  <c r="C23" i="1"/>
  <c r="D24" i="1"/>
  <c r="C24" i="1"/>
  <c r="D22" i="1"/>
  <c r="C22" i="1"/>
  <c r="C10" i="1"/>
  <c r="D3" i="1" s="1"/>
  <c r="C11" i="1"/>
  <c r="D4" i="1" s="1"/>
  <c r="C12" i="1"/>
  <c r="D5" i="1" s="1"/>
  <c r="C13" i="1"/>
  <c r="D6" i="1" s="1"/>
  <c r="C9" i="1"/>
  <c r="B10" i="1"/>
  <c r="C3" i="1" s="1"/>
  <c r="B11" i="1"/>
  <c r="C4" i="1" s="1"/>
  <c r="B12" i="1"/>
  <c r="C5" i="1" s="1"/>
  <c r="B13" i="1"/>
  <c r="C6" i="1" s="1"/>
  <c r="B9" i="1"/>
  <c r="C7" i="1" l="1"/>
  <c r="B15" i="1"/>
  <c r="D7" i="1"/>
  <c r="C15" i="1"/>
  <c r="B7" i="1" l="1"/>
</calcChain>
</file>

<file path=xl/sharedStrings.xml><?xml version="1.0" encoding="utf-8"?>
<sst xmlns="http://schemas.openxmlformats.org/spreadsheetml/2006/main" count="33" uniqueCount="30">
  <si>
    <t>Phase</t>
  </si>
  <si>
    <t>Hours</t>
  </si>
  <si>
    <t>Lower Bound</t>
  </si>
  <si>
    <t>Upper Bound</t>
  </si>
  <si>
    <t>200 - 260</t>
  </si>
  <si>
    <t>Project Management</t>
  </si>
  <si>
    <t>12 - 15.6</t>
  </si>
  <si>
    <t>UAT</t>
  </si>
  <si>
    <t>40 - 52</t>
  </si>
  <si>
    <t>Production</t>
  </si>
  <si>
    <t>5 - 6.5</t>
  </si>
  <si>
    <t>Total</t>
  </si>
  <si>
    <t>Analysis &amp; Solution Architecture billed on a Time &amp; Materials (T&amp;M) basis @ £120/hour.</t>
  </si>
  <si>
    <t>80 - 120</t>
  </si>
  <si>
    <r>
      <t xml:space="preserve">Delivery </t>
    </r>
    <r>
      <rPr>
        <sz val="9"/>
        <color theme="1"/>
        <rFont val="Verdana"/>
        <family val="2"/>
      </rPr>
      <t>billed</t>
    </r>
    <r>
      <rPr>
        <b/>
        <sz val="9"/>
        <color theme="1"/>
        <rFont val="Verdana"/>
        <family val="2"/>
      </rPr>
      <t xml:space="preserve"> </t>
    </r>
    <r>
      <rPr>
        <sz val="9"/>
        <color theme="1"/>
        <rFont val="Verdana"/>
        <family val="2"/>
      </rPr>
      <t>@ £18 900 per sprint.</t>
    </r>
  </si>
  <si>
    <t>80–120 hours</t>
  </si>
  <si>
    <t>4 – 5 weeks</t>
  </si>
  <si>
    <r>
      <t xml:space="preserve">Delivery </t>
    </r>
    <r>
      <rPr>
        <sz val="9"/>
        <color theme="1"/>
        <rFont val="Verdana"/>
        <family val="2"/>
      </rPr>
      <t>billed</t>
    </r>
    <r>
      <rPr>
        <b/>
        <sz val="9"/>
        <color theme="1"/>
        <rFont val="Verdana"/>
        <family val="2"/>
      </rPr>
      <t xml:space="preserve"> </t>
    </r>
    <r>
      <rPr>
        <sz val="9"/>
        <color theme="1"/>
        <rFont val="Verdana"/>
        <family val="2"/>
      </rPr>
      <t>@ £35 100 per sprint.</t>
    </r>
  </si>
  <si>
    <t>40 hours</t>
  </si>
  <si>
    <t>2 weeks</t>
  </si>
  <si>
    <t>20 hours</t>
  </si>
  <si>
    <t xml:space="preserve">Total </t>
  </si>
  <si>
    <r>
      <t xml:space="preserve">UAT </t>
    </r>
    <r>
      <rPr>
        <sz val="9"/>
        <color theme="1"/>
        <rFont val="Verdana"/>
        <family val="2"/>
      </rPr>
      <t>billed on a T&amp;M basis @ £120/hour.</t>
    </r>
  </si>
  <si>
    <t>3-4 sprints</t>
  </si>
  <si>
    <t>9 - 12 weeks</t>
  </si>
  <si>
    <t>Estimated Duration</t>
  </si>
  <si>
    <t>Project Phase</t>
  </si>
  <si>
    <r>
      <t>Post Go-Live Support</t>
    </r>
    <r>
      <rPr>
        <sz val="9"/>
        <color theme="1"/>
        <rFont val="Verdana"/>
        <family val="2"/>
      </rPr>
      <t xml:space="preserve"> billed on a T&amp;M basis @ £120/hour.</t>
    </r>
  </si>
  <si>
    <t>17-21 weeks</t>
  </si>
  <si>
    <r>
      <t xml:space="preserve">Analysis &amp; Solution Architecture </t>
    </r>
    <r>
      <rPr>
        <sz val="9"/>
        <color theme="1"/>
        <rFont val="Verdana"/>
        <family val="2"/>
      </rPr>
      <t>billed on a Time &amp; Materials (T&amp;M) basis @ £120/hour.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</si>
</sst>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7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1" fillId="0" borderId="4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  <xf numFmtId="164" fontId="2" fillId="3" borderId="6" xfId="0" applyNumberFormat="1" applyFont="1" applyFill="1" applyBorder="1" applyAlignment="1">
      <alignment horizontal="right" vertical="center"/>
    </xf>
    <xf numFmtId="0" fontId="3" fillId="0" borderId="0" xfId="0" applyFont="1"/>
    <xf numFmtId="0" fontId="2" fillId="2" borderId="1" xfId="0" applyFont="1" applyFill="1" applyBorder="1" applyAlignment="1">
      <alignment horizontal="justify" vertical="center" wrapText="1"/>
    </xf>
    <xf numFmtId="0" fontId="4" fillId="0" borderId="0" xfId="0" applyFont="1" applyAlignment="1">
      <alignment wrapText="1"/>
    </xf>
    <xf numFmtId="0" fontId="1" fillId="0" borderId="3" xfId="0" applyFont="1" applyBorder="1" applyAlignment="1">
      <alignment horizontal="justify" vertical="center" wrapText="1"/>
    </xf>
    <xf numFmtId="0" fontId="2" fillId="3" borderId="5" xfId="0" applyFont="1" applyFill="1" applyBorder="1" applyAlignment="1">
      <alignment horizontal="justify" vertical="center"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right" vertical="center" wrapText="1"/>
    </xf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right" vertical="center" wrapText="1"/>
    </xf>
    <xf numFmtId="0" fontId="5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right" vertical="center" wrapText="1"/>
    </xf>
    <xf numFmtId="164" fontId="4" fillId="0" borderId="10" xfId="0" applyNumberFormat="1" applyFont="1" applyBorder="1" applyAlignment="1">
      <alignment horizontal="right" vertical="center" wrapText="1"/>
    </xf>
    <xf numFmtId="164" fontId="5" fillId="3" borderId="10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A2B8-57E8-1A4D-877A-D826225CD4C7}">
  <dimension ref="A1:E26"/>
  <sheetViews>
    <sheetView tabSelected="1" workbookViewId="0">
      <selection activeCell="D3" sqref="D3"/>
    </sheetView>
  </sheetViews>
  <sheetFormatPr defaultColWidth="11" defaultRowHeight="15.75" x14ac:dyDescent="0.25"/>
  <cols>
    <col min="1" max="1" width="45" style="12" customWidth="1"/>
    <col min="2" max="2" width="13.5" customWidth="1"/>
    <col min="3" max="4" width="14" bestFit="1" customWidth="1"/>
    <col min="5" max="5" width="16.875" customWidth="1"/>
  </cols>
  <sheetData>
    <row r="1" spans="1:4" ht="16.5" thickBot="1" x14ac:dyDescent="0.3">
      <c r="A1" s="8" t="s">
        <v>0</v>
      </c>
      <c r="B1" s="1" t="s">
        <v>1</v>
      </c>
      <c r="C1" s="2" t="s">
        <v>2</v>
      </c>
      <c r="D1" s="2" t="s">
        <v>3</v>
      </c>
    </row>
    <row r="2" spans="1:4" ht="24.75" thickBot="1" x14ac:dyDescent="0.3">
      <c r="A2" s="9" t="s">
        <v>12</v>
      </c>
      <c r="B2" s="3" t="s">
        <v>13</v>
      </c>
      <c r="C2" s="5">
        <f>B9*120</f>
        <v>9600</v>
      </c>
      <c r="D2" s="5">
        <f>C9*120</f>
        <v>14400</v>
      </c>
    </row>
    <row r="3" spans="1:4" ht="16.5" thickBot="1" x14ac:dyDescent="0.3">
      <c r="A3" s="7" t="s">
        <v>14</v>
      </c>
      <c r="B3" s="3" t="s">
        <v>4</v>
      </c>
      <c r="C3" s="5">
        <f t="shared" ref="C3:D6" si="0">B10*120</f>
        <v>24000</v>
      </c>
      <c r="D3" s="5">
        <f t="shared" si="0"/>
        <v>31200</v>
      </c>
    </row>
    <row r="4" spans="1:4" ht="16.5" thickBot="1" x14ac:dyDescent="0.3">
      <c r="A4" s="10" t="s">
        <v>5</v>
      </c>
      <c r="B4" s="3" t="s">
        <v>6</v>
      </c>
      <c r="C4" s="5">
        <f t="shared" si="0"/>
        <v>1440</v>
      </c>
      <c r="D4" s="5">
        <f t="shared" si="0"/>
        <v>1872</v>
      </c>
    </row>
    <row r="5" spans="1:4" ht="16.5" thickBot="1" x14ac:dyDescent="0.3">
      <c r="A5" s="10" t="s">
        <v>7</v>
      </c>
      <c r="B5" s="3" t="s">
        <v>8</v>
      </c>
      <c r="C5" s="5">
        <f t="shared" si="0"/>
        <v>4800</v>
      </c>
      <c r="D5" s="5">
        <f t="shared" si="0"/>
        <v>6240</v>
      </c>
    </row>
    <row r="6" spans="1:4" ht="16.5" thickBot="1" x14ac:dyDescent="0.3">
      <c r="A6" s="10" t="s">
        <v>9</v>
      </c>
      <c r="B6" s="3" t="s">
        <v>10</v>
      </c>
      <c r="C6" s="5">
        <f t="shared" si="0"/>
        <v>600</v>
      </c>
      <c r="D6" s="5">
        <f t="shared" si="0"/>
        <v>780</v>
      </c>
    </row>
    <row r="7" spans="1:4" ht="16.5" thickBot="1" x14ac:dyDescent="0.3">
      <c r="A7" s="11" t="s">
        <v>11</v>
      </c>
      <c r="B7" s="4" t="str">
        <f>ROUND(B15,0)&amp;" - "&amp;ROUND(C15,0)</f>
        <v>337 - 454</v>
      </c>
      <c r="C7" s="6">
        <f>SUM(C2:C6)</f>
        <v>40440</v>
      </c>
      <c r="D7" s="6">
        <f>SUM(D2:D6)</f>
        <v>54492</v>
      </c>
    </row>
    <row r="8" spans="1:4" ht="16.5" thickTop="1" x14ac:dyDescent="0.25"/>
    <row r="9" spans="1:4" x14ac:dyDescent="0.25">
      <c r="B9">
        <f>LEFT(B2,FIND("-",B2)-1)*1</f>
        <v>80</v>
      </c>
      <c r="C9">
        <f>MID(B2,FIND("-",B2)+1,LEN(B2)-FIND("-",B2)+1)*1</f>
        <v>120</v>
      </c>
    </row>
    <row r="10" spans="1:4" x14ac:dyDescent="0.25">
      <c r="B10">
        <f t="shared" ref="B10:B13" si="1">LEFT(B3,FIND("-",B3)-1)*1</f>
        <v>200</v>
      </c>
      <c r="C10">
        <f t="shared" ref="C10:C13" si="2">MID(B3,FIND("-",B3)+1,LEN(B3)-FIND("-",B3)+1)*1</f>
        <v>260</v>
      </c>
    </row>
    <row r="11" spans="1:4" x14ac:dyDescent="0.25">
      <c r="B11">
        <f t="shared" si="1"/>
        <v>12</v>
      </c>
      <c r="C11">
        <f t="shared" si="2"/>
        <v>15.6</v>
      </c>
    </row>
    <row r="12" spans="1:4" x14ac:dyDescent="0.25">
      <c r="B12">
        <f t="shared" si="1"/>
        <v>40</v>
      </c>
      <c r="C12">
        <f t="shared" si="2"/>
        <v>52</v>
      </c>
    </row>
    <row r="13" spans="1:4" x14ac:dyDescent="0.25">
      <c r="B13">
        <f t="shared" si="1"/>
        <v>5</v>
      </c>
      <c r="C13">
        <f t="shared" si="2"/>
        <v>6.5</v>
      </c>
    </row>
    <row r="15" spans="1:4" x14ac:dyDescent="0.25">
      <c r="B15">
        <f>SUM(B9:B13)</f>
        <v>337</v>
      </c>
      <c r="C15">
        <f>SUM(C9:C13)</f>
        <v>454.1</v>
      </c>
    </row>
    <row r="21" spans="1:5" ht="16.5" thickBot="1" x14ac:dyDescent="0.3">
      <c r="A21" s="25" t="s">
        <v>26</v>
      </c>
      <c r="C21" s="24" t="s">
        <v>2</v>
      </c>
      <c r="D21" s="24" t="s">
        <v>3</v>
      </c>
      <c r="E21" s="24" t="s">
        <v>25</v>
      </c>
    </row>
    <row r="22" spans="1:5" ht="23.25" thickBot="1" x14ac:dyDescent="0.3">
      <c r="A22" s="13" t="s">
        <v>29</v>
      </c>
      <c r="B22" s="14" t="s">
        <v>15</v>
      </c>
      <c r="C22" s="22">
        <f>80*120</f>
        <v>9600</v>
      </c>
      <c r="D22" s="22">
        <f>120*120</f>
        <v>14400</v>
      </c>
      <c r="E22" s="15" t="s">
        <v>16</v>
      </c>
    </row>
    <row r="23" spans="1:5" ht="16.5" thickBot="1" x14ac:dyDescent="0.3">
      <c r="A23" s="16" t="s">
        <v>17</v>
      </c>
      <c r="B23" s="17" t="s">
        <v>23</v>
      </c>
      <c r="C23" s="22">
        <f>3*35100</f>
        <v>105300</v>
      </c>
      <c r="D23" s="22">
        <f>4*35100</f>
        <v>140400</v>
      </c>
      <c r="E23" s="18" t="s">
        <v>24</v>
      </c>
    </row>
    <row r="24" spans="1:5" ht="16.5" thickBot="1" x14ac:dyDescent="0.3">
      <c r="A24" s="16" t="s">
        <v>22</v>
      </c>
      <c r="B24" s="17" t="s">
        <v>18</v>
      </c>
      <c r="C24" s="22">
        <f>40*120</f>
        <v>4800</v>
      </c>
      <c r="D24" s="22">
        <f>40*120</f>
        <v>4800</v>
      </c>
      <c r="E24" s="18" t="s">
        <v>19</v>
      </c>
    </row>
    <row r="25" spans="1:5" ht="23.25" thickBot="1" x14ac:dyDescent="0.3">
      <c r="A25" s="13" t="s">
        <v>27</v>
      </c>
      <c r="B25" s="17" t="s">
        <v>20</v>
      </c>
      <c r="C25" s="22">
        <f>20*120</f>
        <v>2400</v>
      </c>
      <c r="D25" s="22">
        <f>20*120</f>
        <v>2400</v>
      </c>
      <c r="E25" s="18" t="s">
        <v>19</v>
      </c>
    </row>
    <row r="26" spans="1:5" ht="16.5" thickBot="1" x14ac:dyDescent="0.3">
      <c r="A26" s="19" t="s">
        <v>21</v>
      </c>
      <c r="B26" s="20"/>
      <c r="C26" s="23">
        <f>SUM(C22:C25)</f>
        <v>122100</v>
      </c>
      <c r="D26" s="23">
        <f>SUM(D22:D25)</f>
        <v>162000</v>
      </c>
      <c r="E26" s="2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284B3C-4CFD-4B43-9A59-20BF79A817E8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1ffbd5dc-7a64-4097-8396-87f6c90b212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138198A-42A1-4FFC-82D3-639BF68C8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3BD7AA-2820-4504-B6DF-A86021CC2FB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74F859F-6960-42A3-9637-8FB553FA60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2024-03-22T20:08:59Z</dcterms:created>
  <dcterms:modified xsi:type="dcterms:W3CDTF">2025-08-08T15:01:36Z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Client_x0020_Project">
    <vt:lpwstr/>
  </property>
  <property fmtid="{D5CDD505-2E9C-101B-9397-08002B2CF9AE}" pid="15" name="MediaServiceImageTags">
    <vt:lpwstr/>
  </property>
  <property fmtid="{D5CDD505-2E9C-101B-9397-08002B2CF9AE}" pid="17" name="Project_x0020_Document_x0020_Type">
    <vt:lpwstr>4;#Generic Project Document|258c2ed6-b93b-4ffe-8901-a23f2dc98ec9</vt:lpwstr>
  </property>
  <property fmtid="{D5CDD505-2E9C-101B-9397-08002B2CF9AE}" pid="18" name="lcf76f155ced4ddcb4097134ff3c332f">
    <vt:lpwstr/>
  </property>
</Properties>
</file>