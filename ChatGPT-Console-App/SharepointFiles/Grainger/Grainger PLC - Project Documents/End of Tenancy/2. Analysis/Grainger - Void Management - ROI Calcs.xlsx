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Void Process/2. Analysis/"/>
    </mc:Choice>
  </mc:AlternateContent>
  <xr:revisionPtr revIDLastSave="410" documentId="13_ncr:1_{28E6251C-0223-4AE4-AE94-AD5492B24523}" xr6:coauthVersionLast="47" xr6:coauthVersionMax="47" xr10:uidLastSave="{EAAB5852-75C7-4CAF-8FDA-061621E7FBCC}"/>
  <bookViews>
    <workbookView xWindow="9480" yWindow="1935" windowWidth="17580" windowHeight="12420" xr2:uid="{7D857519-F6DB-43A8-A87D-69D43C5B756E}"/>
  </bookViews>
  <sheets>
    <sheet name="ROI Calcs" sheetId="1" r:id="rId1"/>
    <sheet name="ROI Summary" sheetId="3" r:id="rId2"/>
    <sheet name="Other Stat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3" l="1"/>
  <c r="E15" i="1"/>
  <c r="I9" i="1"/>
  <c r="E10" i="1" s="1"/>
  <c r="J9" i="1"/>
  <c r="B31" i="1"/>
  <c r="B23" i="1"/>
  <c r="B12" i="1"/>
  <c r="E8" i="1"/>
  <c r="E5" i="1"/>
  <c r="B25" i="1"/>
  <c r="B29" i="1" s="1"/>
  <c r="B32" i="1" s="1"/>
  <c r="B10" i="3" s="1"/>
  <c r="B4" i="1"/>
  <c r="B6" i="1" s="1"/>
  <c r="K8" i="1" s="1"/>
  <c r="K7" i="1" l="1"/>
  <c r="B16" i="1"/>
  <c r="B4" i="3" s="1"/>
  <c r="K6" i="1"/>
  <c r="K9" i="1" s="1"/>
  <c r="B7" i="1"/>
  <c r="E6" i="1"/>
  <c r="E7" i="1" s="1"/>
  <c r="E9" i="1" l="1"/>
  <c r="B5" i="3" s="1"/>
  <c r="B6" i="3" s="1"/>
  <c r="E17" i="1"/>
  <c r="E11" i="1"/>
  <c r="B9" i="3" s="1"/>
  <c r="B22" i="1"/>
  <c r="B24" i="1" s="1"/>
  <c r="E30" i="1"/>
  <c r="E18" i="1" l="1"/>
  <c r="B11" i="3" s="1"/>
  <c r="B12" i="3" s="1"/>
  <c r="B14" i="3" s="1"/>
  <c r="E19" i="1"/>
  <c r="E25" i="1"/>
  <c r="E26" i="1" s="1"/>
  <c r="E27" i="1" s="1"/>
  <c r="E31" i="1" l="1"/>
  <c r="E32" i="1" s="1"/>
  <c r="B1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Duncan</author>
    <author>Nikki Papenfus</author>
  </authors>
  <commentList>
    <comment ref="B3" authorId="0" shapeId="0" xr:uid="{E105CCC6-1E65-40FB-B8F5-8F8F798EE720}">
      <text>
        <r>
          <rPr>
            <sz val="11"/>
            <color theme="1"/>
            <rFont val="Calibri"/>
            <family val="2"/>
            <scheme val="minor"/>
          </rPr>
          <t>Sam Duncan:
800 renewals/month as per Jacob Smycz</t>
        </r>
      </text>
    </comment>
    <comment ref="E4" authorId="0" shapeId="0" xr:uid="{06093546-84EE-40DC-8F07-13968C54B31C}">
      <text>
        <r>
          <rPr>
            <sz val="11"/>
            <color theme="1"/>
            <rFont val="Calibri"/>
            <family val="2"/>
            <scheme val="minor"/>
          </rPr>
          <t>Sam Duncan:
Improvement goal as stated by Jon Pitt</t>
        </r>
      </text>
    </comment>
    <comment ref="B5" authorId="0" shapeId="0" xr:uid="{E2D599DA-DB5B-4A51-A9C5-CE2E6A75D515}">
      <text>
        <r>
          <rPr>
            <sz val="11"/>
            <color theme="1"/>
            <rFont val="Calibri"/>
            <family val="2"/>
            <scheme val="minor"/>
          </rPr>
          <t>Sam Duncan:
40% renewals are lost according to Jacob Smycz</t>
        </r>
      </text>
    </comment>
    <comment ref="I6" authorId="1" shapeId="0" xr:uid="{72C88759-8FDD-46A8-8732-207B2FFF8580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Average refurb cost for the North per Embracent presentation</t>
        </r>
      </text>
    </comment>
    <comment ref="J6" authorId="0" shapeId="0" xr:uid="{EBD2C948-ED75-4C8F-805E-CE4E6C12AC4C}">
      <text>
        <r>
          <rPr>
            <sz val="11"/>
            <color theme="1"/>
            <rFont val="Calibri"/>
            <family val="2"/>
            <scheme val="minor"/>
          </rPr>
          <t>Sam Duncan:
TBC by Grainger. Current figures are extrapolated/guestimated from South figures in Embracent presentation</t>
        </r>
      </text>
    </comment>
    <comment ref="K6" authorId="1" shapeId="0" xr:uid="{D2171D95-51DE-49D5-A358-430009DED7C1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Average annual refurbs in the SOUTH only is 50-80 per Embracent presentation</t>
        </r>
      </text>
    </comment>
    <comment ref="I7" authorId="1" shapeId="0" xr:uid="{EC9F6BC1-FAD0-442A-A9CD-CAF0787EA23A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Average refresh cost for the North per Embracent presentation</t>
        </r>
      </text>
    </comment>
    <comment ref="J7" authorId="0" shapeId="0" xr:uid="{6D6C6AC3-0A76-42F3-81A7-A7E98C631397}">
      <text>
        <r>
          <rPr>
            <sz val="11"/>
            <color theme="1"/>
            <rFont val="Calibri"/>
            <family val="2"/>
            <scheme val="minor"/>
          </rPr>
          <t xml:space="preserve">Sam Duncan:
TBC by Grainger. </t>
        </r>
      </text>
    </comment>
    <comment ref="I8" authorId="0" shapeId="0" xr:uid="{CF43823D-C5D4-4A91-BD71-C4503030B368}">
      <text>
        <r>
          <rPr>
            <sz val="11"/>
            <color theme="1"/>
            <rFont val="Calibri"/>
            <family val="2"/>
            <scheme val="minor"/>
          </rPr>
          <t>Sam Duncan:
Guestimate for cleaning fee - TBC by Grainger</t>
        </r>
      </text>
    </comment>
    <comment ref="J8" authorId="0" shapeId="0" xr:uid="{86514644-01CB-4A28-B6C3-26FCB916FC5E}">
      <text>
        <r>
          <rPr>
            <sz val="11"/>
            <color theme="1"/>
            <rFont val="Calibri"/>
            <family val="2"/>
            <scheme val="minor"/>
          </rPr>
          <t xml:space="preserve">Sam Duncan:
TBC by Grainger. </t>
        </r>
      </text>
    </comment>
    <comment ref="B11" authorId="0" shapeId="0" xr:uid="{EBF1D194-E2C1-42D6-81B0-9A3D2DBA51FC}">
      <text>
        <r>
          <rPr>
            <sz val="11"/>
            <color theme="1"/>
            <rFont val="Calibri"/>
            <family val="2"/>
            <scheme val="minor"/>
          </rPr>
          <t>Sam Duncan:
Average on 2 bedroom unit in Leeds, London &amp; Manchester as per Grainger website</t>
        </r>
      </text>
    </comment>
    <comment ref="B13" authorId="0" shapeId="0" xr:uid="{99B2B7BB-9A6F-490C-BDF2-659DCD8E081B}">
      <text>
        <r>
          <rPr>
            <sz val="11"/>
            <color theme="1"/>
            <rFont val="Calibri"/>
            <family val="2"/>
            <scheme val="minor"/>
          </rPr>
          <t>Sam Duncan:
TBC</t>
        </r>
      </text>
    </comment>
    <comment ref="E13" authorId="1" shapeId="0" xr:uid="{7773EF43-7D3B-4CE6-945D-2423615DE98C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NOT ACCURATE - to be updated by Grainger</t>
        </r>
      </text>
    </comment>
    <comment ref="B14" authorId="1" shapeId="0" xr:uid="{D4DD0D51-A02F-40CC-BA0C-349C9D0DF591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Stated goal per Jon Pitt</t>
        </r>
      </text>
    </comment>
    <comment ref="E14" authorId="0" shapeId="0" xr:uid="{B046017B-BAF3-4C83-BE75-78F67114F826}">
      <text>
        <r>
          <rPr>
            <sz val="11"/>
            <color theme="1"/>
            <rFont val="Calibri"/>
            <family val="2"/>
            <scheme val="minor"/>
          </rPr>
          <t>NOT ACCURATE -  to be updated by Grainger</t>
        </r>
      </text>
    </comment>
    <comment ref="E16" authorId="0" shapeId="0" xr:uid="{3D4500DE-A782-4696-9A4B-5B280000D8F2}">
      <text>
        <r>
          <rPr>
            <sz val="11"/>
            <color theme="1"/>
            <rFont val="Calibri"/>
            <family val="2"/>
            <scheme val="minor"/>
          </rPr>
          <t>UNKNOWN - to be updated by Grainger</t>
        </r>
      </text>
    </comment>
    <comment ref="B20" authorId="0" shapeId="0" xr:uid="{3C020B8A-BBCB-4200-A6AF-F17A974C02A6}">
      <text>
        <r>
          <rPr>
            <sz val="11"/>
            <color theme="1"/>
            <rFont val="Calibri"/>
            <family val="2"/>
            <scheme val="minor"/>
          </rPr>
          <t>Sam Duncan:
TBC by Grainger - current figure is NOT accurate</t>
        </r>
      </text>
    </comment>
    <comment ref="B21" authorId="0" shapeId="0" xr:uid="{1AE6B8E9-2C8C-4BC0-902D-99FC1C7ECD41}">
      <text>
        <r>
          <rPr>
            <sz val="11"/>
            <color theme="1"/>
            <rFont val="Calibri"/>
            <family val="2"/>
            <scheme val="minor"/>
          </rPr>
          <t>Sam Duncan:
TBC by Grainger - current figure is NOT accurate</t>
        </r>
      </text>
    </comment>
    <comment ref="B26" authorId="0" shapeId="0" xr:uid="{78F883BB-EC3B-4E02-8EE4-0B10CC6BA5BB}">
      <text>
        <r>
          <rPr>
            <sz val="11"/>
            <color theme="1"/>
            <rFont val="Calibri"/>
            <family val="2"/>
            <scheme val="minor"/>
          </rPr>
          <t>Sam Duncan:
TBC by Grainger</t>
        </r>
      </text>
    </comment>
    <comment ref="E29" authorId="0" shapeId="0" xr:uid="{0C432FE4-B172-46E3-9728-D7756C5421D5}">
      <text>
        <r>
          <rPr>
            <sz val="11"/>
            <color theme="1"/>
            <rFont val="Calibri"/>
            <family val="2"/>
            <scheme val="minor"/>
          </rPr>
          <t>Sam Duncan:
Goal as stated by Jon Pitt</t>
        </r>
      </text>
    </comment>
    <comment ref="B30" authorId="0" shapeId="0" xr:uid="{EF9722D2-F31E-457D-A32D-C6BBFDDD7A2B}">
      <text>
        <r>
          <rPr>
            <sz val="11"/>
            <color theme="1"/>
            <rFont val="Calibri"/>
            <family val="2"/>
            <scheme val="minor"/>
          </rPr>
          <t>Sam Duncan:
Average temp salary per Google. TBC by Grainger</t>
        </r>
      </text>
    </comment>
  </commentList>
</comments>
</file>

<file path=xl/sharedStrings.xml><?xml version="1.0" encoding="utf-8"?>
<sst xmlns="http://schemas.openxmlformats.org/spreadsheetml/2006/main" count="71" uniqueCount="70">
  <si>
    <t>ROI Calcs</t>
  </si>
  <si>
    <t>Renewals per month</t>
  </si>
  <si>
    <t>Ave cost per refresh / refurb / clean</t>
  </si>
  <si>
    <t>Renewals p.a.</t>
  </si>
  <si>
    <t>Goal: Improvement in retention rate</t>
  </si>
  <si>
    <t>Ave Cost</t>
  </si>
  <si>
    <t>% of Voids</t>
  </si>
  <si>
    <t>Annual # Voids</t>
  </si>
  <si>
    <t>Current renewals lost</t>
  </si>
  <si>
    <t xml:space="preserve">Goal: Renewals lost </t>
  </si>
  <si>
    <t xml:space="preserve">Refurb </t>
  </si>
  <si>
    <t>Voids p.a.</t>
  </si>
  <si>
    <t>New total voids p.a.</t>
  </si>
  <si>
    <t>Refresh</t>
  </si>
  <si>
    <t>Voids p.m.</t>
  </si>
  <si>
    <t>Fewer voids p.a.</t>
  </si>
  <si>
    <t>Clean</t>
  </si>
  <si>
    <t>Ave unit rent per day</t>
  </si>
  <si>
    <t>Days rent gained if tenant retained</t>
  </si>
  <si>
    <t>Average</t>
  </si>
  <si>
    <t>Ave unit rent per month</t>
  </si>
  <si>
    <t>Current average void turn around time (days)</t>
  </si>
  <si>
    <t>Refresh costs saved p.a.</t>
  </si>
  <si>
    <t>Rent gained from faster void turnaround p.a.</t>
  </si>
  <si>
    <t># Portfolio managers</t>
  </si>
  <si>
    <t>Time spent on voids</t>
  </si>
  <si>
    <t xml:space="preserve">Per Ptf Mgr: Voids to be completed per month </t>
  </si>
  <si>
    <t xml:space="preserve">Per Ptf Mgr: Hours spent on voids per month </t>
  </si>
  <si>
    <t>Hours per void</t>
  </si>
  <si>
    <t>Goal: hours per void</t>
  </si>
  <si>
    <t>FTEs (full time equivalent) working on voids</t>
  </si>
  <si>
    <t># Voids Ptf Mgrs can now complete in the same time</t>
  </si>
  <si>
    <t>Increase in # voids Ptf Mgrs are able to process</t>
  </si>
  <si>
    <t>FTEs gained</t>
  </si>
  <si>
    <t>Monthly cost per temp</t>
  </si>
  <si>
    <t>New # voids per month</t>
  </si>
  <si>
    <t>Annual cost per temp</t>
  </si>
  <si>
    <t>FTEs required to process increased number of voids p.m.</t>
  </si>
  <si>
    <t>Monthly temp cost savings</t>
  </si>
  <si>
    <t xml:space="preserve">% increase in number of FTEs required </t>
  </si>
  <si>
    <t>Goal = Reduction in human effort (hours) to complete a void</t>
  </si>
  <si>
    <t>Summary</t>
  </si>
  <si>
    <t xml:space="preserve">Increased Annual Revenue </t>
  </si>
  <si>
    <t>Annual Cost Savings</t>
  </si>
  <si>
    <t>Months per year temps are hired</t>
  </si>
  <si>
    <t>Rent gained from faster void turnaround</t>
  </si>
  <si>
    <t>Goal: Target turnaround days</t>
  </si>
  <si>
    <t>Reduction in void turnaround days</t>
  </si>
  <si>
    <t>Support for Grainger's Growth Plans</t>
  </si>
  <si>
    <t>TOTAL</t>
  </si>
  <si>
    <t xml:space="preserve">Improving Speed &amp; Efficiency </t>
  </si>
  <si>
    <t>Immediate Gains</t>
  </si>
  <si>
    <t>Future Gains</t>
  </si>
  <si>
    <t xml:space="preserve">Improving Turnaround Times </t>
  </si>
  <si>
    <t xml:space="preserve">Improving Tenant Retention </t>
  </si>
  <si>
    <t>Employee hours spent on: Move out + marketing + leasing + move in activities for 1 void</t>
  </si>
  <si>
    <t>Average hourly salary</t>
  </si>
  <si>
    <t>Average annual salary</t>
  </si>
  <si>
    <t>Employee hours saved p.a.</t>
  </si>
  <si>
    <t>Additional costs per void e.g. marketing a unit</t>
  </si>
  <si>
    <t xml:space="preserve">Temp cost savings </t>
  </si>
  <si>
    <t>Refresh/ refurb / cleaning costs saved</t>
  </si>
  <si>
    <t>Equivalent value p.a.</t>
  </si>
  <si>
    <t xml:space="preserve">TOTAL </t>
  </si>
  <si>
    <t># FTE'S</t>
  </si>
  <si>
    <t>FTE savings from improved retention</t>
  </si>
  <si>
    <t>OVERALL ANNUAL ESTIMATED BENEFIT</t>
  </si>
  <si>
    <t>Additional rental income from improved retention</t>
  </si>
  <si>
    <t>Additional rental income p.a. from improved retention</t>
  </si>
  <si>
    <t>Target Portfolio / Unit increase over next 3-4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</si>
</sst>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£-809]#,##0.00"/>
    <numFmt numFmtId="165" formatCode="[$£-809]#,##0.00;\-[$£-809]#,##0.00"/>
    <numFmt numFmtId="166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008080"/>
      <name val="Calibri"/>
      <family val="2"/>
      <scheme val="minor"/>
    </font>
    <font>
      <sz val="9"/>
      <color indexed="81"/>
      <name val="Tahoma"/>
      <family val="2"/>
    </font>
    <font>
      <sz val="11"/>
      <color rgb="FF444444"/>
      <name val="Calibri"/>
      <family val="2"/>
    </font>
    <font>
      <b/>
      <sz val="11"/>
      <name val="Calibri"/>
      <family val="2"/>
      <scheme val="minor"/>
    </font>
    <font>
      <sz val="9"/>
      <color theme="1"/>
      <name val="Segoe UI"/>
      <family val="2"/>
    </font>
    <font>
      <b/>
      <sz val="9"/>
      <color indexed="81"/>
      <name val="Tahoma"/>
      <family val="2"/>
    </font>
    <font>
      <u/>
      <sz val="11"/>
      <color rgb="FF008080"/>
      <name val="Calibri"/>
      <family val="2"/>
      <scheme val="minor"/>
    </font>
    <font>
      <i/>
      <sz val="11"/>
      <color rgb="FF00808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43" fontId="0" fillId="0" borderId="0" xfId="1" applyFont="1"/>
    <xf numFmtId="43" fontId="0" fillId="0" borderId="0" xfId="0" applyNumberFormat="1"/>
    <xf numFmtId="0" fontId="2" fillId="0" borderId="0" xfId="0" applyFont="1"/>
    <xf numFmtId="9" fontId="0" fillId="2" borderId="1" xfId="1" applyNumberFormat="1" applyFont="1" applyFill="1" applyBorder="1"/>
    <xf numFmtId="0" fontId="3" fillId="0" borderId="0" xfId="0" applyFont="1"/>
    <xf numFmtId="164" fontId="0" fillId="2" borderId="1" xfId="1" applyNumberFormat="1" applyFont="1" applyFill="1" applyBorder="1"/>
    <xf numFmtId="165" fontId="0" fillId="0" borderId="0" xfId="1" applyNumberFormat="1" applyFont="1"/>
    <xf numFmtId="166" fontId="0" fillId="2" borderId="1" xfId="1" applyNumberFormat="1" applyFont="1" applyFill="1" applyBorder="1"/>
    <xf numFmtId="43" fontId="0" fillId="2" borderId="1" xfId="1" applyFont="1" applyFill="1" applyBorder="1"/>
    <xf numFmtId="43" fontId="5" fillId="0" borderId="0" xfId="1" applyFont="1"/>
    <xf numFmtId="165" fontId="0" fillId="0" borderId="3" xfId="1" applyNumberFormat="1" applyFont="1" applyBorder="1"/>
    <xf numFmtId="9" fontId="0" fillId="0" borderId="3" xfId="0" applyNumberFormat="1" applyBorder="1"/>
    <xf numFmtId="43" fontId="2" fillId="0" borderId="0" xfId="1" applyFont="1"/>
    <xf numFmtId="0" fontId="0" fillId="0" borderId="3" xfId="0" applyBorder="1" applyAlignment="1">
      <alignment horizontal="right"/>
    </xf>
    <xf numFmtId="164" fontId="0" fillId="3" borderId="1" xfId="1" applyNumberFormat="1" applyFont="1" applyFill="1" applyBorder="1"/>
    <xf numFmtId="43" fontId="0" fillId="3" borderId="1" xfId="1" applyFont="1" applyFill="1" applyBorder="1"/>
    <xf numFmtId="166" fontId="4" fillId="3" borderId="1" xfId="1" applyNumberFormat="1" applyFont="1" applyFill="1" applyBorder="1"/>
    <xf numFmtId="9" fontId="4" fillId="3" borderId="1" xfId="1" applyNumberFormat="1" applyFont="1" applyFill="1" applyBorder="1"/>
    <xf numFmtId="9" fontId="0" fillId="3" borderId="1" xfId="1" applyNumberFormat="1" applyFont="1" applyFill="1" applyBorder="1"/>
    <xf numFmtId="164" fontId="0" fillId="3" borderId="2" xfId="1" applyNumberFormat="1" applyFont="1" applyFill="1" applyBorder="1"/>
    <xf numFmtId="0" fontId="7" fillId="0" borderId="0" xfId="0" applyFont="1"/>
    <xf numFmtId="165" fontId="1" fillId="0" borderId="0" xfId="1" applyNumberFormat="1" applyFont="1"/>
    <xf numFmtId="9" fontId="0" fillId="0" borderId="0" xfId="1" applyNumberFormat="1" applyFont="1"/>
    <xf numFmtId="165" fontId="2" fillId="0" borderId="0" xfId="0" applyNumberFormat="1" applyFont="1" applyAlignment="1">
      <alignment horizontal="left"/>
    </xf>
    <xf numFmtId="165" fontId="2" fillId="0" borderId="3" xfId="1" applyNumberFormat="1" applyFont="1" applyBorder="1"/>
    <xf numFmtId="43" fontId="0" fillId="0" borderId="4" xfId="1" applyFont="1" applyBorder="1"/>
    <xf numFmtId="0" fontId="0" fillId="0" borderId="5" xfId="0" applyBorder="1"/>
    <xf numFmtId="0" fontId="0" fillId="0" borderId="6" xfId="0" applyBorder="1"/>
    <xf numFmtId="43" fontId="0" fillId="0" borderId="7" xfId="1" applyFont="1" applyBorder="1"/>
    <xf numFmtId="0" fontId="0" fillId="0" borderId="8" xfId="0" applyBorder="1"/>
    <xf numFmtId="9" fontId="0" fillId="0" borderId="0" xfId="2" applyFont="1" applyBorder="1"/>
    <xf numFmtId="43" fontId="4" fillId="0" borderId="0" xfId="1" applyFont="1" applyBorder="1"/>
    <xf numFmtId="43" fontId="8" fillId="0" borderId="0" xfId="1" applyFont="1" applyBorder="1"/>
    <xf numFmtId="43" fontId="0" fillId="0" borderId="0" xfId="1" applyFont="1" applyBorder="1"/>
    <xf numFmtId="9" fontId="2" fillId="0" borderId="0" xfId="2" applyFont="1" applyBorder="1"/>
    <xf numFmtId="0" fontId="2" fillId="0" borderId="8" xfId="0" applyFont="1" applyBorder="1"/>
    <xf numFmtId="43" fontId="2" fillId="0" borderId="0" xfId="1" applyFont="1" applyBorder="1"/>
    <xf numFmtId="166" fontId="0" fillId="0" borderId="0" xfId="0" applyNumberFormat="1"/>
    <xf numFmtId="165" fontId="0" fillId="0" borderId="0" xfId="1" applyNumberFormat="1" applyFont="1" applyBorder="1"/>
    <xf numFmtId="165" fontId="2" fillId="0" borderId="0" xfId="1" applyNumberFormat="1" applyFont="1" applyBorder="1"/>
    <xf numFmtId="43" fontId="0" fillId="0" borderId="9" xfId="1" applyFont="1" applyBorder="1"/>
    <xf numFmtId="43" fontId="0" fillId="0" borderId="10" xfId="1" applyFont="1" applyBorder="1"/>
    <xf numFmtId="0" fontId="0" fillId="0" borderId="10" xfId="0" applyBorder="1"/>
    <xf numFmtId="0" fontId="0" fillId="0" borderId="11" xfId="0" applyBorder="1"/>
    <xf numFmtId="0" fontId="0" fillId="0" borderId="4" xfId="0" applyBorder="1"/>
    <xf numFmtId="0" fontId="0" fillId="0" borderId="7" xfId="0" applyBorder="1"/>
    <xf numFmtId="166" fontId="0" fillId="0" borderId="0" xfId="1" applyNumberFormat="1" applyFont="1" applyBorder="1"/>
    <xf numFmtId="0" fontId="0" fillId="0" borderId="9" xfId="0" applyBorder="1"/>
    <xf numFmtId="0" fontId="9" fillId="0" borderId="0" xfId="0" applyFont="1" applyAlignment="1">
      <alignment vertical="center"/>
    </xf>
    <xf numFmtId="43" fontId="0" fillId="0" borderId="5" xfId="1" applyFont="1" applyBorder="1"/>
    <xf numFmtId="165" fontId="2" fillId="0" borderId="5" xfId="1" applyNumberFormat="1" applyFont="1" applyBorder="1"/>
    <xf numFmtId="0" fontId="2" fillId="0" borderId="5" xfId="0" applyFont="1" applyBorder="1"/>
    <xf numFmtId="164" fontId="0" fillId="0" borderId="0" xfId="0" applyNumberFormat="1"/>
    <xf numFmtId="166" fontId="0" fillId="0" borderId="1" xfId="0" applyNumberFormat="1" applyBorder="1"/>
    <xf numFmtId="166" fontId="0" fillId="0" borderId="3" xfId="1" applyNumberFormat="1" applyFont="1" applyBorder="1"/>
    <xf numFmtId="165" fontId="2" fillId="0" borderId="3" xfId="0" applyNumberFormat="1" applyFont="1" applyBorder="1"/>
    <xf numFmtId="0" fontId="4" fillId="0" borderId="0" xfId="0" applyFont="1"/>
    <xf numFmtId="43" fontId="2" fillId="0" borderId="0" xfId="0" applyNumberFormat="1" applyFont="1"/>
    <xf numFmtId="0" fontId="11" fillId="0" borderId="0" xfId="0" applyFont="1"/>
    <xf numFmtId="0" fontId="12" fillId="0" borderId="0" xfId="0" applyFont="1"/>
    <xf numFmtId="43" fontId="5" fillId="0" borderId="0" xfId="1" applyFont="1" applyBorder="1"/>
    <xf numFmtId="43" fontId="3" fillId="0" borderId="0" xfId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1</xdr:rowOff>
    </xdr:from>
    <xdr:to>
      <xdr:col>11</xdr:col>
      <xdr:colOff>600076</xdr:colOff>
      <xdr:row>15</xdr:row>
      <xdr:rowOff>33484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8B81BD-201F-3265-EC43-507D31F0F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6" y="1"/>
          <a:ext cx="7277100" cy="28909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142875</xdr:rowOff>
    </xdr:from>
    <xdr:to>
      <xdr:col>12</xdr:col>
      <xdr:colOff>142019</xdr:colOff>
      <xdr:row>39</xdr:row>
      <xdr:rowOff>77174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D39899-A9EA-4F5B-D2FE-90D0B1959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0375"/>
          <a:ext cx="7457219" cy="4506299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142875</xdr:colOff>
      <xdr:row>0</xdr:row>
      <xdr:rowOff>114300</xdr:rowOff>
    </xdr:from>
    <xdr:to>
      <xdr:col>26</xdr:col>
      <xdr:colOff>28575</xdr:colOff>
      <xdr:row>25</xdr:row>
      <xdr:rowOff>160599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10FEEB-B8EF-C5E4-E0CA-EF159BD261B9}"/>
            </a:ext>
            <a:ext uri="{147F2762-F138-4A5C-976F-8EAC2B608ADB}">
              <a16:predDERef xmlns:a16="http://schemas.microsoft.com/office/drawing/2014/main" pred="{9DD39899-A9EA-4F5B-D2FE-90D0B1959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58075" y="114300"/>
          <a:ext cx="8420100" cy="48087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12</xdr:col>
      <xdr:colOff>247650</xdr:colOff>
      <xdr:row>63</xdr:row>
      <xdr:rowOff>64791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2AC2273-21F8-97AD-E533-7786DE215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620000"/>
          <a:ext cx="7562850" cy="4446291"/>
        </a:xfrm>
        <a:prstGeom prst="rect">
          <a:avLst/>
        </a:prstGeom>
      </xdr:spPr>
    </xdr:pic>
    <xdr:clientData/>
  </xdr:twoCellAnchor>
  <xdr:twoCellAnchor editAs="oneCell">
    <xdr:from>
      <xdr:col>12</xdr:col>
      <xdr:colOff>314324</xdr:colOff>
      <xdr:row>26</xdr:row>
      <xdr:rowOff>8938</xdr:rowOff>
    </xdr:from>
    <xdr:to>
      <xdr:col>25</xdr:col>
      <xdr:colOff>590549</xdr:colOff>
      <xdr:row>51</xdr:row>
      <xdr:rowOff>78228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AAD8281-2610-14FE-C697-B8A2B63B9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9524" y="4961938"/>
          <a:ext cx="8201025" cy="4831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D1BF-D623-4272-A54F-44FD81D9E7DF}">
  <dimension ref="A1:N34"/>
  <sheetViews>
    <sheetView tabSelected="1" topLeftCell="A9" workbookViewId="0">
      <selection activeCell="H22" sqref="H22"/>
    </sheetView>
  </sheetViews>
  <sheetFormatPr defaultRowHeight="15" x14ac:dyDescent="0.25"/>
  <cols>
    <col min="1" max="1" width="4" style="1" customWidth="1"/>
    <col min="2" max="2" width="14.28515625" style="1" customWidth="1"/>
    <col min="3" max="3" width="43.140625" bestFit="1" customWidth="1"/>
    <col min="4" max="4" width="3.140625" customWidth="1"/>
    <col min="5" max="5" width="12.5703125" customWidth="1"/>
    <col min="6" max="6" width="51" bestFit="1" customWidth="1"/>
    <col min="7" max="7" width="1.28515625" customWidth="1"/>
    <col min="8" max="8" width="12" customWidth="1"/>
    <col min="9" max="9" width="13.28515625" customWidth="1"/>
    <col min="10" max="10" width="11.140625" customWidth="1"/>
    <col min="11" max="11" width="14.28515625" customWidth="1"/>
    <col min="12" max="12" width="1.28515625" customWidth="1"/>
  </cols>
  <sheetData>
    <row r="1" spans="1:14" s="5" customFormat="1" ht="21" x14ac:dyDescent="0.35">
      <c r="A1" s="61" t="s">
        <v>0</v>
      </c>
      <c r="B1" s="62"/>
      <c r="D1"/>
      <c r="E1"/>
      <c r="F1"/>
      <c r="G1"/>
      <c r="H1"/>
      <c r="I1"/>
      <c r="J1"/>
      <c r="K1"/>
    </row>
    <row r="2" spans="1:14" x14ac:dyDescent="0.25">
      <c r="A2" s="26"/>
      <c r="B2" s="50"/>
      <c r="C2" s="28"/>
      <c r="D2" s="45"/>
      <c r="E2" s="27"/>
      <c r="F2" s="27"/>
      <c r="G2" s="27"/>
      <c r="H2" s="27"/>
      <c r="I2" s="27"/>
      <c r="J2" s="27"/>
      <c r="K2" s="27"/>
      <c r="L2" s="28"/>
    </row>
    <row r="3" spans="1:14" x14ac:dyDescent="0.25">
      <c r="A3" s="29"/>
      <c r="B3" s="8">
        <v>800</v>
      </c>
      <c r="C3" s="30" t="s">
        <v>1</v>
      </c>
      <c r="D3" s="46"/>
      <c r="E3" s="59" t="s">
        <v>54</v>
      </c>
      <c r="L3" s="30"/>
    </row>
    <row r="4" spans="1:14" x14ac:dyDescent="0.25">
      <c r="A4" s="29"/>
      <c r="B4" s="47">
        <f>B3*12</f>
        <v>9600</v>
      </c>
      <c r="C4" s="30" t="s">
        <v>3</v>
      </c>
      <c r="D4" s="46"/>
      <c r="E4" s="4">
        <v>0.01</v>
      </c>
      <c r="F4" t="s">
        <v>4</v>
      </c>
      <c r="H4" s="60" t="s">
        <v>2</v>
      </c>
      <c r="L4" s="30"/>
      <c r="N4" s="49"/>
    </row>
    <row r="5" spans="1:14" x14ac:dyDescent="0.25">
      <c r="A5" s="29"/>
      <c r="B5" s="4">
        <v>0.4</v>
      </c>
      <c r="C5" s="30" t="s">
        <v>8</v>
      </c>
      <c r="D5" s="46"/>
      <c r="E5" s="31">
        <f>B5-E4</f>
        <v>0.39</v>
      </c>
      <c r="F5" t="s">
        <v>9</v>
      </c>
      <c r="I5" t="s">
        <v>5</v>
      </c>
      <c r="J5" t="s">
        <v>6</v>
      </c>
      <c r="K5" t="s">
        <v>7</v>
      </c>
      <c r="L5" s="30"/>
      <c r="N5" s="49"/>
    </row>
    <row r="6" spans="1:14" x14ac:dyDescent="0.25">
      <c r="A6" s="29"/>
      <c r="B6" s="47">
        <f>B4*B5</f>
        <v>3840</v>
      </c>
      <c r="C6" s="30" t="s">
        <v>11</v>
      </c>
      <c r="D6" s="46"/>
      <c r="E6" s="47">
        <f>B4*E5</f>
        <v>3744</v>
      </c>
      <c r="F6" t="s">
        <v>12</v>
      </c>
      <c r="H6" t="s">
        <v>10</v>
      </c>
      <c r="I6" s="6">
        <v>18000</v>
      </c>
      <c r="J6" s="19">
        <v>0.02</v>
      </c>
      <c r="K6" s="54">
        <f>J6*$B$6</f>
        <v>76.8</v>
      </c>
      <c r="L6" s="30"/>
      <c r="N6" s="49"/>
    </row>
    <row r="7" spans="1:14" x14ac:dyDescent="0.25">
      <c r="A7" s="29"/>
      <c r="B7" s="47">
        <f>B6/12</f>
        <v>320</v>
      </c>
      <c r="C7" s="30" t="s">
        <v>14</v>
      </c>
      <c r="D7" s="46"/>
      <c r="E7" s="38">
        <f>B6-E6</f>
        <v>96</v>
      </c>
      <c r="F7" t="s">
        <v>15</v>
      </c>
      <c r="H7" t="s">
        <v>13</v>
      </c>
      <c r="I7" s="6">
        <v>3000</v>
      </c>
      <c r="J7" s="19">
        <v>0.66</v>
      </c>
      <c r="K7" s="54">
        <f t="shared" ref="K7:K8" si="0">J7*$B$6</f>
        <v>2534.4</v>
      </c>
      <c r="L7" s="30"/>
      <c r="N7" s="49"/>
    </row>
    <row r="8" spans="1:14" x14ac:dyDescent="0.25">
      <c r="A8" s="41"/>
      <c r="B8" s="42"/>
      <c r="C8" s="44"/>
      <c r="D8" s="46"/>
      <c r="E8" s="34">
        <f>B13</f>
        <v>7</v>
      </c>
      <c r="F8" t="s">
        <v>18</v>
      </c>
      <c r="H8" t="s">
        <v>16</v>
      </c>
      <c r="I8" s="20">
        <v>250</v>
      </c>
      <c r="J8" s="19">
        <v>0.32</v>
      </c>
      <c r="K8" s="54">
        <f t="shared" si="0"/>
        <v>1228.8</v>
      </c>
      <c r="L8" s="30"/>
      <c r="N8" s="49"/>
    </row>
    <row r="9" spans="1:14" ht="15.75" thickBot="1" x14ac:dyDescent="0.3">
      <c r="A9" s="26"/>
      <c r="B9" s="50"/>
      <c r="C9" s="27"/>
      <c r="D9" s="46"/>
      <c r="E9" s="40">
        <f>E7*B11*E8</f>
        <v>36960</v>
      </c>
      <c r="F9" s="3" t="s">
        <v>68</v>
      </c>
      <c r="H9" s="14" t="s">
        <v>19</v>
      </c>
      <c r="I9" s="11">
        <f>(I6*J6)+(I7*J7)+(I8*J8)</f>
        <v>2420</v>
      </c>
      <c r="J9" s="12">
        <f>SUM(J6:J8)</f>
        <v>1</v>
      </c>
      <c r="K9" s="55">
        <f>SUM(K6:K8)</f>
        <v>3840</v>
      </c>
      <c r="L9" s="30"/>
      <c r="N9" s="49"/>
    </row>
    <row r="10" spans="1:14" ht="15.75" thickTop="1" x14ac:dyDescent="0.25">
      <c r="A10" s="29"/>
      <c r="B10" s="59" t="s">
        <v>53</v>
      </c>
      <c r="D10" s="46"/>
      <c r="E10" s="39">
        <f>I9</f>
        <v>2420</v>
      </c>
      <c r="F10" t="s">
        <v>2</v>
      </c>
      <c r="L10" s="30"/>
    </row>
    <row r="11" spans="1:14" x14ac:dyDescent="0.25">
      <c r="A11" s="29"/>
      <c r="B11" s="15">
        <v>55</v>
      </c>
      <c r="C11" t="s">
        <v>17</v>
      </c>
      <c r="D11" s="46"/>
      <c r="E11" s="40">
        <f>E10*E7</f>
        <v>232320</v>
      </c>
      <c r="F11" s="3" t="s">
        <v>22</v>
      </c>
      <c r="L11" s="30"/>
      <c r="N11" s="49"/>
    </row>
    <row r="12" spans="1:14" x14ac:dyDescent="0.25">
      <c r="A12" s="29"/>
      <c r="B12" s="39">
        <f>B11*30</f>
        <v>1650</v>
      </c>
      <c r="C12" t="s">
        <v>20</v>
      </c>
      <c r="D12" s="46"/>
      <c r="L12" s="30"/>
      <c r="N12" s="49"/>
    </row>
    <row r="13" spans="1:14" x14ac:dyDescent="0.25">
      <c r="A13" s="29"/>
      <c r="B13" s="16">
        <v>7</v>
      </c>
      <c r="C13" t="s">
        <v>21</v>
      </c>
      <c r="D13" s="46"/>
      <c r="E13" s="16">
        <v>20</v>
      </c>
      <c r="F13" t="s">
        <v>55</v>
      </c>
      <c r="L13" s="30"/>
      <c r="N13" s="49"/>
    </row>
    <row r="14" spans="1:14" x14ac:dyDescent="0.25">
      <c r="A14" s="29"/>
      <c r="B14" s="9">
        <v>5</v>
      </c>
      <c r="C14" s="57" t="s">
        <v>46</v>
      </c>
      <c r="D14" s="46"/>
      <c r="E14" s="15">
        <v>18</v>
      </c>
      <c r="F14" t="s">
        <v>56</v>
      </c>
      <c r="L14" s="30"/>
      <c r="N14" s="49"/>
    </row>
    <row r="15" spans="1:14" x14ac:dyDescent="0.25">
      <c r="A15" s="29"/>
      <c r="B15" s="32">
        <v>2</v>
      </c>
      <c r="C15" t="s">
        <v>47</v>
      </c>
      <c r="D15" s="46"/>
      <c r="E15" s="53">
        <f>E14*40*4*12</f>
        <v>34560</v>
      </c>
      <c r="F15" t="s">
        <v>57</v>
      </c>
      <c r="L15" s="30"/>
    </row>
    <row r="16" spans="1:14" x14ac:dyDescent="0.25">
      <c r="A16" s="29"/>
      <c r="B16" s="40">
        <f>B6*B11*B15</f>
        <v>422400</v>
      </c>
      <c r="C16" s="3" t="s">
        <v>23</v>
      </c>
      <c r="D16" s="46"/>
      <c r="E16" s="15">
        <v>0</v>
      </c>
      <c r="F16" t="s">
        <v>59</v>
      </c>
      <c r="L16" s="30"/>
    </row>
    <row r="17" spans="1:12" x14ac:dyDescent="0.25">
      <c r="A17" s="29"/>
      <c r="B17" s="40"/>
      <c r="C17" s="3"/>
      <c r="D17" s="46"/>
      <c r="E17" s="33">
        <f>E13*E7</f>
        <v>1920</v>
      </c>
      <c r="F17" s="3" t="s">
        <v>58</v>
      </c>
      <c r="L17" s="30"/>
    </row>
    <row r="18" spans="1:12" x14ac:dyDescent="0.25">
      <c r="A18" s="26"/>
      <c r="B18" s="51"/>
      <c r="C18" s="52"/>
      <c r="D18" s="46"/>
      <c r="E18" s="53">
        <f>E17*E14+E16*E7</f>
        <v>34560</v>
      </c>
      <c r="F18" t="s">
        <v>62</v>
      </c>
      <c r="L18" s="30"/>
    </row>
    <row r="19" spans="1:12" x14ac:dyDescent="0.25">
      <c r="A19" s="29"/>
      <c r="B19" s="59" t="s">
        <v>50</v>
      </c>
      <c r="D19" s="46"/>
      <c r="E19" s="58">
        <f>E17/(40*4*12)</f>
        <v>1</v>
      </c>
      <c r="F19" s="3" t="s">
        <v>64</v>
      </c>
      <c r="L19" s="30"/>
    </row>
    <row r="20" spans="1:12" x14ac:dyDescent="0.25">
      <c r="A20" s="29"/>
      <c r="B20" s="17">
        <v>20</v>
      </c>
      <c r="C20" t="s">
        <v>24</v>
      </c>
      <c r="D20" s="48"/>
      <c r="E20" s="43"/>
      <c r="F20" s="43"/>
      <c r="G20" s="43"/>
      <c r="H20" s="43"/>
      <c r="I20" s="43"/>
      <c r="J20" s="43"/>
      <c r="K20" s="43"/>
      <c r="L20" s="44"/>
    </row>
    <row r="21" spans="1:12" x14ac:dyDescent="0.25">
      <c r="A21" s="29"/>
      <c r="B21" s="18">
        <v>0.3</v>
      </c>
      <c r="C21" t="s">
        <v>25</v>
      </c>
      <c r="F21" s="30"/>
    </row>
    <row r="22" spans="1:12" x14ac:dyDescent="0.25">
      <c r="A22" s="29"/>
      <c r="B22" s="32">
        <f>B7/B20</f>
        <v>16</v>
      </c>
      <c r="C22" t="s">
        <v>26</v>
      </c>
      <c r="D22" s="31"/>
      <c r="F22" s="30"/>
    </row>
    <row r="23" spans="1:12" x14ac:dyDescent="0.25">
      <c r="A23" s="29"/>
      <c r="B23" s="32">
        <f>4*40*B21</f>
        <v>48</v>
      </c>
      <c r="C23" t="s">
        <v>27</v>
      </c>
      <c r="D23" s="31"/>
      <c r="F23" s="30"/>
    </row>
    <row r="24" spans="1:12" x14ac:dyDescent="0.25">
      <c r="A24" s="29"/>
      <c r="B24" s="32">
        <f>B23/B22</f>
        <v>3</v>
      </c>
      <c r="C24" t="s">
        <v>28</v>
      </c>
      <c r="D24" s="31"/>
      <c r="E24" s="60" t="s">
        <v>52</v>
      </c>
      <c r="F24" s="30"/>
    </row>
    <row r="25" spans="1:12" x14ac:dyDescent="0.25">
      <c r="A25" s="29"/>
      <c r="B25" s="33">
        <f>B21*B20</f>
        <v>6</v>
      </c>
      <c r="C25" s="3" t="s">
        <v>30</v>
      </c>
      <c r="D25" s="2"/>
      <c r="E25" s="2">
        <f>B24*(1-B26)</f>
        <v>2.0000000001</v>
      </c>
      <c r="F25" s="30" t="s">
        <v>29</v>
      </c>
      <c r="H25" s="2"/>
    </row>
    <row r="26" spans="1:12" x14ac:dyDescent="0.25">
      <c r="A26" s="29"/>
      <c r="B26" s="18">
        <v>0.33333333329999998</v>
      </c>
      <c r="C26" t="s">
        <v>40</v>
      </c>
      <c r="E26" s="34">
        <f>B23/E25</f>
        <v>23.9999999988</v>
      </c>
      <c r="F26" s="30" t="s">
        <v>31</v>
      </c>
    </row>
    <row r="27" spans="1:12" x14ac:dyDescent="0.25">
      <c r="A27" s="29"/>
      <c r="B27" s="34"/>
      <c r="E27" s="35">
        <f>(E26-B22)/B22</f>
        <v>0.49999999992499999</v>
      </c>
      <c r="F27" s="36" t="s">
        <v>32</v>
      </c>
    </row>
    <row r="28" spans="1:12" x14ac:dyDescent="0.25">
      <c r="A28" s="29"/>
      <c r="B28" s="60" t="s">
        <v>51</v>
      </c>
      <c r="C28" s="3"/>
      <c r="F28" s="30"/>
    </row>
    <row r="29" spans="1:12" x14ac:dyDescent="0.25">
      <c r="A29" s="29"/>
      <c r="B29" s="37">
        <f>B26*B25</f>
        <v>1.9999999998</v>
      </c>
      <c r="C29" s="3" t="s">
        <v>33</v>
      </c>
      <c r="E29" s="4">
        <v>1</v>
      </c>
      <c r="F29" s="30" t="s">
        <v>69</v>
      </c>
    </row>
    <row r="30" spans="1:12" x14ac:dyDescent="0.25">
      <c r="A30" s="29"/>
      <c r="B30" s="15">
        <v>2000</v>
      </c>
      <c r="C30" t="s">
        <v>34</v>
      </c>
      <c r="E30" s="38">
        <f>B7*(1+E29)</f>
        <v>640</v>
      </c>
      <c r="F30" s="30" t="s">
        <v>35</v>
      </c>
    </row>
    <row r="31" spans="1:12" x14ac:dyDescent="0.25">
      <c r="A31" s="29"/>
      <c r="B31" s="39">
        <f>B30*12</f>
        <v>24000</v>
      </c>
      <c r="C31" t="s">
        <v>36</v>
      </c>
      <c r="E31" s="34">
        <f>E30*E25/(40*4)</f>
        <v>8.0000000004</v>
      </c>
      <c r="F31" s="30" t="s">
        <v>37</v>
      </c>
    </row>
    <row r="32" spans="1:12" x14ac:dyDescent="0.25">
      <c r="A32" s="29"/>
      <c r="B32" s="40">
        <f>B30*B29</f>
        <v>3999.9999996000001</v>
      </c>
      <c r="C32" s="3" t="s">
        <v>38</v>
      </c>
      <c r="E32" s="35">
        <f>(E31-B25)/B25</f>
        <v>0.33333333339999999</v>
      </c>
      <c r="F32" s="36" t="s">
        <v>39</v>
      </c>
    </row>
    <row r="33" spans="1:6" x14ac:dyDescent="0.25">
      <c r="A33" s="29"/>
      <c r="B33">
        <v>4</v>
      </c>
      <c r="C33" t="s">
        <v>44</v>
      </c>
      <c r="F33" s="30"/>
    </row>
    <row r="34" spans="1:6" x14ac:dyDescent="0.25">
      <c r="A34" s="41"/>
      <c r="B34" s="42"/>
      <c r="C34" s="43"/>
      <c r="D34" s="43"/>
      <c r="E34" s="43"/>
      <c r="F34" s="44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9E10-9DF1-4D6C-B0D7-34AA914E6671}">
  <dimension ref="A1:C17"/>
  <sheetViews>
    <sheetView workbookViewId="0">
      <selection activeCell="B17" sqref="B17"/>
    </sheetView>
  </sheetViews>
  <sheetFormatPr defaultRowHeight="15" x14ac:dyDescent="0.25"/>
  <cols>
    <col min="1" max="1" width="1.42578125" customWidth="1"/>
    <col min="2" max="2" width="17" customWidth="1"/>
    <col min="3" max="3" width="81" bestFit="1" customWidth="1"/>
  </cols>
  <sheetData>
    <row r="1" spans="1:3" ht="21" x14ac:dyDescent="0.35">
      <c r="A1" s="10" t="s">
        <v>41</v>
      </c>
      <c r="B1" s="1"/>
    </row>
    <row r="2" spans="1:3" x14ac:dyDescent="0.25">
      <c r="A2" s="1"/>
      <c r="B2" s="1"/>
    </row>
    <row r="3" spans="1:3" x14ac:dyDescent="0.25">
      <c r="A3" s="1"/>
      <c r="B3" s="13" t="s">
        <v>42</v>
      </c>
    </row>
    <row r="4" spans="1:3" x14ac:dyDescent="0.25">
      <c r="A4" s="1"/>
      <c r="B4" s="7">
        <f>'ROI Calcs'!B16</f>
        <v>422400</v>
      </c>
      <c r="C4" s="21" t="s">
        <v>45</v>
      </c>
    </row>
    <row r="5" spans="1:3" x14ac:dyDescent="0.25">
      <c r="A5" s="1"/>
      <c r="B5" s="22">
        <f>'ROI Calcs'!E9</f>
        <v>36960</v>
      </c>
      <c r="C5" t="s">
        <v>67</v>
      </c>
    </row>
    <row r="6" spans="1:3" ht="15.75" thickBot="1" x14ac:dyDescent="0.3">
      <c r="A6" s="1"/>
      <c r="B6" s="25">
        <f>SUM(B4:B5)</f>
        <v>459360</v>
      </c>
      <c r="C6" s="24" t="s">
        <v>63</v>
      </c>
    </row>
    <row r="7" spans="1:3" ht="15.75" thickTop="1" x14ac:dyDescent="0.25">
      <c r="A7" s="1"/>
      <c r="B7" s="1"/>
    </row>
    <row r="8" spans="1:3" x14ac:dyDescent="0.25">
      <c r="A8" s="1"/>
      <c r="B8" s="13" t="s">
        <v>43</v>
      </c>
    </row>
    <row r="9" spans="1:3" x14ac:dyDescent="0.25">
      <c r="A9" s="1"/>
      <c r="B9" s="22">
        <f>'ROI Calcs'!E11</f>
        <v>232320</v>
      </c>
      <c r="C9" t="s">
        <v>61</v>
      </c>
    </row>
    <row r="10" spans="1:3" x14ac:dyDescent="0.25">
      <c r="A10" s="1"/>
      <c r="B10" s="22">
        <f>'ROI Calcs'!B33*'ROI Calcs'!B32</f>
        <v>15999.999998400001</v>
      </c>
      <c r="C10" t="s">
        <v>60</v>
      </c>
    </row>
    <row r="11" spans="1:3" x14ac:dyDescent="0.25">
      <c r="A11" s="1"/>
      <c r="B11" s="22">
        <f>'ROI Calcs'!E18</f>
        <v>34560</v>
      </c>
      <c r="C11" t="s">
        <v>65</v>
      </c>
    </row>
    <row r="12" spans="1:3" ht="15.75" thickBot="1" x14ac:dyDescent="0.3">
      <c r="A12" s="1"/>
      <c r="B12" s="25">
        <f>SUM(B9:B11)</f>
        <v>282879.99999839999</v>
      </c>
      <c r="C12" s="24" t="s">
        <v>49</v>
      </c>
    </row>
    <row r="13" spans="1:3" ht="15.75" thickTop="1" x14ac:dyDescent="0.25">
      <c r="A13" s="1"/>
      <c r="B13" s="1"/>
    </row>
    <row r="14" spans="1:3" ht="15.75" thickBot="1" x14ac:dyDescent="0.3">
      <c r="A14" s="1"/>
      <c r="B14" s="56">
        <f>B6+B12</f>
        <v>742239.99999839999</v>
      </c>
      <c r="C14" s="3" t="s">
        <v>66</v>
      </c>
    </row>
    <row r="15" spans="1:3" ht="15.75" thickTop="1" x14ac:dyDescent="0.25">
      <c r="A15" s="1"/>
    </row>
    <row r="16" spans="1:3" x14ac:dyDescent="0.25">
      <c r="B16" s="13" t="s">
        <v>48</v>
      </c>
    </row>
    <row r="17" spans="2:3" x14ac:dyDescent="0.25">
      <c r="B17" s="23">
        <f>'ROI Calcs'!E32</f>
        <v>0.33333333339999999</v>
      </c>
      <c r="C17" t="str">
        <f>"Headcount increase required for "&amp;'ROI Calcs'!E29*100&amp;"% "&amp;'ROI Calcs'!F29</f>
        <v>Headcount increase required for 100% Target Portfolio / Unit increase over next 3-4 years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ECF02-F7C0-41B4-9F89-A05B829CFAC5}">
  <dimension ref="A1"/>
  <sheetViews>
    <sheetView topLeftCell="A13" workbookViewId="0">
      <selection activeCell="P60" sqref="P60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General Information</TermName>
          <TermId xmlns="http://schemas.microsoft.com/office/infopath/2007/PartnerControls">daa73be0-193e-45ef-b7b0-ef595ceacf72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11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58948918-9B05-4F34-A9B0-AAD268F39FD3}"/>
</file>

<file path=customXml/itemProps2.xml><?xml version="1.0" encoding="utf-8"?>
<ds:datastoreItem xmlns:ds="http://schemas.openxmlformats.org/officeDocument/2006/customXml" ds:itemID="{91733EC2-CF75-448F-A01B-94D9F6591B1C}">
  <ds:schemaRefs>
    <ds:schemaRef ds:uri="http://www.w3.org/XML/1998/namespace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1ffbd5dc-7a64-4097-8396-87f6c90b212f"/>
    <ds:schemaRef ds:uri="http://purl.org/dc/terms/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A74E734-2092-4F31-AA82-11DFECC5B56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1AC1AC3-F49E-49BF-B8B7-EF82772ED065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ROI Calcs</vt:lpstr>
      <vt:lpstr>ROI Summary</vt:lpstr>
      <vt:lpstr>Other Stats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Nikki Papenfus</dc:creator>
  <cp:keywords/>
  <dc:description/>
  <cp:lastModifiedBy>Nikki Papenfus</cp:lastModifiedBy>
  <cp:revision/>
  <dcterms:created xsi:type="dcterms:W3CDTF">2023-06-22T07:21:02Z</dcterms:created>
  <dcterms:modified xsi:type="dcterms:W3CDTF">2023-06-26T10:28:26Z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11;#General Information|daa73be0-193e-45ef-b7b0-ef595ceacf72</vt:lpwstr>
  </property>
  <property fmtid="{D5CDD505-2E9C-101B-9397-08002B2CF9AE}" pid="4" name="Client Project">
    <vt:lpwstr/>
  </property>
  <property fmtid="{D5CDD505-2E9C-101B-9397-08002B2CF9AE}" pid="5" name="Division">
    <vt:lpwstr>5;#Enterprise Solutions|08c57b01-67e8-4a4f-abc6-ffb3392ace7f</vt:lpwstr>
  </property>
  <property fmtid="{D5CDD505-2E9C-101B-9397-08002B2CF9AE}" pid="6" name="Client">
    <vt:lpwstr>6;#Grainger PLC|a74f1cb5-e995-4f9e-8521-6d52e2c6bf08</vt:lpwstr>
  </property>
  <property fmtid="{D5CDD505-2E9C-101B-9397-08002B2CF9AE}" pid="7" name="MediaServiceImageTags">
    <vt:lpwstr/>
  </property>
  <property fmtid="{D5CDD505-2E9C-101B-9397-08002B2CF9AE}" pid="8" name="Project_x0020_Document_x0020_Type">
    <vt:lpwstr>11;#General Information|daa73be0-193e-45ef-b7b0-ef595ceacf72</vt:lpwstr>
  </property>
  <property fmtid="{D5CDD505-2E9C-101B-9397-08002B2CF9AE}" pid="9" name="Client_x0020_Project">
    <vt:lpwstr/>
  </property>
  <property fmtid="{D5CDD505-2E9C-101B-9397-08002B2CF9AE}" pid="10" name="lcf76f155ced4ddcb4097134ff3c332f">
    <vt:lpwstr/>
  </property>
</Properties>
</file>