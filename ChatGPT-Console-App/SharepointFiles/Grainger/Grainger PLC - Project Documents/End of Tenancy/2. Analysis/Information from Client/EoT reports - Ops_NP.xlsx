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npapenfus\AppData\Local\Microsoft\Windows\INetCache\Content.Outlook\EP12PYGK\"/>
    </mc:Choice>
  </mc:AlternateContent>
  <xr:revisionPtr revIDLastSave="0" documentId="13_ncr:1_{7F0776D7-3F86-4479-B5AF-7F5E6479E8C3}" xr6:coauthVersionLast="47" xr6:coauthVersionMax="47" xr10:uidLastSave="{00000000-0000-0000-0000-000000000000}"/>
  <bookViews>
    <workbookView xWindow="-120" yWindow="-120" windowWidth="29040" windowHeight="15720" activeTab="1" xr2:uid="{E99E1C1C-B419-4475-9912-BD42F0348A6C}"/>
  </bookViews>
  <sheets>
    <sheet name="Grainger Requirements" sheetId="1" r:id="rId1"/>
    <sheet name="Task per Team Report" sheetId="4" r:id="rId2"/>
    <sheet name="Cost of Void Report" sheetId="3" r:id="rId3"/>
    <sheet name="Dashboard" sheetId="2" r:id="rId4"/>
    <sheet name="Sheet1" sheetId="5"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 i="3" l="1"/>
  <c r="M8" i="4"/>
  <c r="L22" i="4"/>
  <c r="M22" i="4" s="1"/>
  <c r="J18" i="4"/>
  <c r="J12" i="4"/>
  <c r="L11" i="4"/>
  <c r="H11" i="4"/>
  <c r="M10" i="4"/>
  <c r="H10" i="4"/>
  <c r="M9" i="4"/>
  <c r="H9" i="4"/>
  <c r="L8" i="4"/>
  <c r="H8" i="4"/>
  <c r="H24" i="4"/>
  <c r="H23" i="4"/>
  <c r="H22" i="4"/>
  <c r="H21" i="4"/>
  <c r="H16" i="4"/>
  <c r="H15" i="4"/>
  <c r="H14" i="4"/>
  <c r="I14" i="4" s="1"/>
  <c r="L14" i="4" s="1"/>
  <c r="M14" i="4" s="1"/>
  <c r="H13" i="4"/>
  <c r="I13" i="4" s="1"/>
  <c r="M13" i="4" s="1"/>
  <c r="H4" i="4"/>
  <c r="H5" i="4"/>
  <c r="H6" i="4"/>
  <c r="H3" i="4"/>
  <c r="J25" i="4"/>
  <c r="J26" i="4" s="1"/>
  <c r="L23" i="4"/>
  <c r="M23" i="4" s="1"/>
  <c r="M21" i="4"/>
  <c r="J17" i="4"/>
  <c r="J7" i="4"/>
  <c r="L6" i="4"/>
  <c r="M6" i="4" s="1"/>
  <c r="M5" i="4"/>
  <c r="L4" i="4"/>
  <c r="M4" i="4" s="1"/>
  <c r="L3" i="4"/>
  <c r="M3" i="4" s="1"/>
  <c r="S14" i="3"/>
  <c r="R13" i="3"/>
  <c r="T13" i="3" s="1"/>
  <c r="Q13" i="3"/>
  <c r="P13" i="3"/>
  <c r="O13" i="3"/>
  <c r="N13" i="3"/>
  <c r="R12" i="3"/>
  <c r="T12" i="3" s="1"/>
  <c r="Q12" i="3"/>
  <c r="P12" i="3"/>
  <c r="O12" i="3"/>
  <c r="N12" i="3"/>
  <c r="R11" i="3"/>
  <c r="Q11" i="3"/>
  <c r="P11" i="3"/>
  <c r="O11" i="3"/>
  <c r="N11" i="3"/>
  <c r="S10" i="3"/>
  <c r="R9" i="3"/>
  <c r="Q9" i="3"/>
  <c r="P9" i="3"/>
  <c r="O9" i="3"/>
  <c r="N9" i="3"/>
  <c r="T8" i="3"/>
  <c r="R8" i="3"/>
  <c r="Q8" i="3"/>
  <c r="P8" i="3"/>
  <c r="O8" i="3"/>
  <c r="N8" i="3"/>
  <c r="R7" i="3"/>
  <c r="T7" i="3" s="1"/>
  <c r="Q7" i="3"/>
  <c r="P7" i="3"/>
  <c r="P10" i="3" s="1"/>
  <c r="O7" i="3"/>
  <c r="N7" i="3"/>
  <c r="S6" i="3"/>
  <c r="R5" i="3"/>
  <c r="T5" i="3" s="1"/>
  <c r="Q5" i="3"/>
  <c r="P5" i="3"/>
  <c r="O5" i="3"/>
  <c r="N5" i="3"/>
  <c r="R4" i="3"/>
  <c r="T4" i="3" s="1"/>
  <c r="Q4" i="3"/>
  <c r="P4" i="3"/>
  <c r="O4" i="3"/>
  <c r="N4" i="3"/>
  <c r="R3" i="3"/>
  <c r="T3" i="3" s="1"/>
  <c r="Q3" i="3"/>
  <c r="P3" i="3"/>
  <c r="O3" i="3"/>
  <c r="N3" i="3"/>
  <c r="S15" i="3" l="1"/>
  <c r="O10" i="3"/>
  <c r="P14" i="3"/>
  <c r="R14" i="3"/>
  <c r="Q10" i="3"/>
  <c r="N14" i="3"/>
  <c r="Q14" i="3"/>
  <c r="O14" i="3"/>
  <c r="O6" i="3"/>
  <c r="O15" i="3" s="1"/>
  <c r="P6" i="3"/>
  <c r="P15" i="3" s="1"/>
  <c r="Q6" i="3"/>
  <c r="Q15" i="3" s="1"/>
  <c r="N6" i="3"/>
  <c r="N15" i="3" s="1"/>
  <c r="N10" i="3"/>
  <c r="L12" i="4"/>
  <c r="L18" i="4"/>
  <c r="M11" i="4"/>
  <c r="M12" i="4" s="1"/>
  <c r="L17" i="4"/>
  <c r="L7" i="4"/>
  <c r="L25" i="4"/>
  <c r="L26" i="4" s="1"/>
  <c r="M7" i="4"/>
  <c r="M25" i="4"/>
  <c r="M26" i="4" s="1"/>
  <c r="M17" i="4"/>
  <c r="T6" i="3"/>
  <c r="T10" i="3"/>
  <c r="R6" i="3"/>
  <c r="R10" i="3"/>
  <c r="T11" i="3"/>
  <c r="T14" i="3" s="1"/>
  <c r="T15" i="3" l="1"/>
  <c r="R15" i="3"/>
  <c r="M18" i="4"/>
</calcChain>
</file>

<file path=xl/sharedStrings.xml><?xml version="1.0" encoding="utf-8"?>
<sst xmlns="http://schemas.openxmlformats.org/spreadsheetml/2006/main" count="237" uniqueCount="125">
  <si>
    <t>Request</t>
  </si>
  <si>
    <t>report time of void tasks</t>
  </si>
  <si>
    <t xml:space="preserve">report cost of void </t>
  </si>
  <si>
    <t>report tasks per team/per site</t>
  </si>
  <si>
    <t>tasks per queue, grouped by task type</t>
  </si>
  <si>
    <t>as above, no need to calculate cost</t>
  </si>
  <si>
    <t>Requirements</t>
  </si>
  <si>
    <t>Notes</t>
  </si>
  <si>
    <t>Eliza/Alexa</t>
  </si>
  <si>
    <r>
      <t xml:space="preserve">Using the SF Key milestone dates on the Void process to calculate days taken to achieve eack milestone. KPI Targets in Days TBC and using everage calculated days.
 - Future Vacant Date 
 - PVI Completed </t>
    </r>
    <r>
      <rPr>
        <sz val="11"/>
        <color rgb="FFFF0000"/>
        <rFont val="Calibri"/>
        <family val="2"/>
        <scheme val="minor"/>
      </rPr>
      <t>(KPI= date PVI completed to date vacant)</t>
    </r>
    <r>
      <rPr>
        <sz val="11"/>
        <color theme="1"/>
        <rFont val="Calibri"/>
        <family val="2"/>
        <scheme val="minor"/>
      </rPr>
      <t xml:space="preserve">
 - Date Vacant 
 - Deposit Returned</t>
    </r>
    <r>
      <rPr>
        <sz val="11"/>
        <color rgb="FFFF0000"/>
        <rFont val="Calibri"/>
        <family val="2"/>
        <scheme val="minor"/>
      </rPr>
      <t xml:space="preserve"> (KPI= date Vacant to Date Deposit returned)
</t>
    </r>
    <r>
      <rPr>
        <sz val="11"/>
        <rFont val="Calibri"/>
        <family val="2"/>
        <scheme val="minor"/>
      </rPr>
      <t xml:space="preserve"> - Void Works  - Clean/Refresh/Refurd</t>
    </r>
    <r>
      <rPr>
        <sz val="11"/>
        <color theme="1"/>
        <rFont val="Calibri"/>
        <family val="2"/>
        <scheme val="minor"/>
      </rPr>
      <t xml:space="preserve">
 - Ready to Let </t>
    </r>
    <r>
      <rPr>
        <sz val="11"/>
        <color rgb="FFFF0000"/>
        <rFont val="Calibri"/>
        <family val="2"/>
        <scheme val="minor"/>
      </rPr>
      <t xml:space="preserve">(KPI= date Vacant to date RTL, variable by CLEAN/REFRESH/REFURB)
</t>
    </r>
    <r>
      <rPr>
        <sz val="11"/>
        <rFont val="Calibri"/>
        <family val="2"/>
        <scheme val="minor"/>
      </rPr>
      <t xml:space="preserve"> - Application Received </t>
    </r>
    <r>
      <rPr>
        <sz val="11"/>
        <color rgb="FFFF0000"/>
        <rFont val="Calibri"/>
        <family val="2"/>
        <scheme val="minor"/>
      </rPr>
      <t xml:space="preserve"> (KPI= Date Vacant to date application received)
</t>
    </r>
    <r>
      <rPr>
        <sz val="11"/>
        <rFont val="Calibri"/>
        <family val="2"/>
        <scheme val="minor"/>
      </rPr>
      <t xml:space="preserve"> - Move Date </t>
    </r>
    <r>
      <rPr>
        <sz val="11"/>
        <color rgb="FFFF0000"/>
        <rFont val="Calibri"/>
        <family val="2"/>
        <scheme val="minor"/>
      </rPr>
      <t>(KPI= Date Vacant to Move In Date) Days Void + Total Rent Loss</t>
    </r>
    <r>
      <rPr>
        <sz val="11"/>
        <color theme="1"/>
        <rFont val="Calibri"/>
        <family val="2"/>
        <scheme val="minor"/>
      </rPr>
      <t xml:space="preserve">
  - Void Notes </t>
    </r>
    <r>
      <rPr>
        <sz val="11"/>
        <color rgb="FFFF0000"/>
        <rFont val="Calibri"/>
        <family val="2"/>
        <scheme val="minor"/>
      </rPr>
      <t>(a field is needed to allow general notes)</t>
    </r>
    <r>
      <rPr>
        <sz val="11"/>
        <color theme="1"/>
        <rFont val="Calibri"/>
        <family val="2"/>
        <scheme val="minor"/>
      </rPr>
      <t xml:space="preserve"> to allow the Void Management report can be taken out of Qube </t>
    </r>
  </si>
  <si>
    <t>Eliza/Colette</t>
  </si>
  <si>
    <t xml:space="preserve">Using the above key fields - a focus report to analise showing where most rent was lost and any trends compared to the KPI </t>
  </si>
  <si>
    <t>Feasibility Study: Ops - Operations Scorecard/Team Performance Tracker (Anish and Ben): Ben and Anish want some key metrics and trackers build to look at the workload of each of their teams and to see how they are performing against key KPI's.</t>
  </si>
  <si>
    <t>Eliza/Ben&amp;Anish</t>
  </si>
  <si>
    <t>Mikes Notes</t>
  </si>
  <si>
    <r>
      <t xml:space="preserve">We are consolidating the pre-vacancy process, and one of the metrics which has now been introduced is for the PM’s to carry out their property void inspection (PVI) at a minimum of 6 weeks prior to void date. The PM’s create a job in FSI when the survey is booked in, complete a form on their Ipad and this automatically uploads to FSI with the info they enter.
At the moment we have no way of </t>
    </r>
    <r>
      <rPr>
        <b/>
        <u/>
        <sz val="11"/>
        <color rgb="FF000000"/>
        <rFont val="Calibri"/>
        <family val="2"/>
        <scheme val="minor"/>
      </rPr>
      <t>knowing or tracking where the delays are</t>
    </r>
    <r>
      <rPr>
        <sz val="11"/>
        <color rgb="FF000000"/>
        <rFont val="Calibri"/>
        <family val="2"/>
        <scheme val="minor"/>
      </rPr>
      <t>. Eg, surveys being done, works being confirmed, works completed, viewings, offers etc. If we can report on a breakdown of these timeframes within the process we can make improvements, and reduce vacancy days.  Our average void days is currently 33 days. And the cost of void (not including relet works) is £2211 per void. So if we can even reduce this by 1 week would save close to £500 per void unit.  If our average churn is 30%, then per annum this would save £240k in void costs.  Tis number is for PRS London alone.</t>
    </r>
  </si>
  <si>
    <r>
      <t xml:space="preserve">days void, </t>
    </r>
    <r>
      <rPr>
        <b/>
        <sz val="11"/>
        <color theme="9"/>
        <rFont val="Calibri"/>
        <family val="2"/>
        <scheme val="minor"/>
      </rPr>
      <t>each task time</t>
    </r>
    <r>
      <rPr>
        <sz val="11"/>
        <color theme="1"/>
        <rFont val="Calibri"/>
        <family val="2"/>
        <scheme val="minor"/>
      </rPr>
      <t>, rental value to calculate the cost of the void</t>
    </r>
  </si>
  <si>
    <r>
      <t xml:space="preserve">FV date, date vacant, deposit returned date, </t>
    </r>
    <r>
      <rPr>
        <sz val="11"/>
        <rFont val="Calibri"/>
        <family val="2"/>
        <scheme val="minor"/>
      </rPr>
      <t>void works date start</t>
    </r>
    <r>
      <rPr>
        <sz val="11"/>
        <color theme="1"/>
        <rFont val="Calibri"/>
        <family val="2"/>
        <scheme val="minor"/>
      </rPr>
      <t xml:space="preserve"> and complete, move in date </t>
    </r>
  </si>
  <si>
    <r>
      <rPr>
        <b/>
        <u/>
        <sz val="11"/>
        <color theme="1"/>
        <rFont val="Calibri"/>
        <family val="2"/>
        <scheme val="minor"/>
      </rPr>
      <t>Rent Lost Through Void</t>
    </r>
    <r>
      <rPr>
        <sz val="11"/>
        <color theme="1"/>
        <rFont val="Calibri"/>
        <family val="2"/>
        <scheme val="minor"/>
      </rPr>
      <t>: Report rent lost through void by status so we can see where most of the days are lost, whether it is referb or awaiting decision etc.</t>
    </r>
  </si>
  <si>
    <t>Deposits (Completed)</t>
  </si>
  <si>
    <t>Move Outs (Completed)</t>
  </si>
  <si>
    <t>Deposits (Due/Overdue)</t>
  </si>
  <si>
    <t>Future Vacants (Due)</t>
  </si>
  <si>
    <t>Works Type</t>
  </si>
  <si>
    <t>Building</t>
  </si>
  <si>
    <t>Unit</t>
  </si>
  <si>
    <t xml:space="preserve">PVI Completed </t>
  </si>
  <si>
    <t>Future Vacant Date</t>
  </si>
  <si>
    <t>Date Vacant</t>
  </si>
  <si>
    <t>Deposit Returned</t>
  </si>
  <si>
    <t>Works Start Date</t>
  </si>
  <si>
    <t>Works End Date</t>
  </si>
  <si>
    <t>Ready to Let</t>
  </si>
  <si>
    <t>Application Received</t>
  </si>
  <si>
    <t>Move In Date</t>
  </si>
  <si>
    <t>PVI Completed to Vacant (Days)</t>
  </si>
  <si>
    <t>Vacant Date to Deposit Returned (Days)</t>
  </si>
  <si>
    <t>Vacant Date to Ready to Let (Days)</t>
  </si>
  <si>
    <t>Vacant Date to Application Received (Days)</t>
  </si>
  <si>
    <t>Vacant Date to Move In (Days)</t>
  </si>
  <si>
    <t>Daily Rent</t>
  </si>
  <si>
    <t>Total Rent Loss</t>
  </si>
  <si>
    <t>Clean</t>
  </si>
  <si>
    <t>Building A</t>
  </si>
  <si>
    <t>Unit 45</t>
  </si>
  <si>
    <t>NB info about EOT</t>
  </si>
  <si>
    <t>Unit 46</t>
  </si>
  <si>
    <t>Unit 47</t>
  </si>
  <si>
    <t>Refresh</t>
  </si>
  <si>
    <t>Unit 101</t>
  </si>
  <si>
    <t>Unit 102</t>
  </si>
  <si>
    <t>Unit 103</t>
  </si>
  <si>
    <t>Refurb</t>
  </si>
  <si>
    <t>Unit 53</t>
  </si>
  <si>
    <t>Unit 54</t>
  </si>
  <si>
    <t>Ipsem Lorem</t>
  </si>
  <si>
    <t>Unit 55</t>
  </si>
  <si>
    <t>Task Team</t>
  </si>
  <si>
    <t>Start Date</t>
  </si>
  <si>
    <t>Completion Date</t>
  </si>
  <si>
    <t>Actual Duration (Days)</t>
  </si>
  <si>
    <t>Delay Reason</t>
  </si>
  <si>
    <t>Delay Detail</t>
  </si>
  <si>
    <t>Task Notes</t>
  </si>
  <si>
    <t>Onsite PM - Property A</t>
  </si>
  <si>
    <t>PVI</t>
  </si>
  <si>
    <t>NB info about this task</t>
  </si>
  <si>
    <t xml:space="preserve">Resource Unavailable </t>
  </si>
  <si>
    <t xml:space="preserve">Bob was on week-long training </t>
  </si>
  <si>
    <t>Task Owner sick</t>
  </si>
  <si>
    <t>Unit 48</t>
  </si>
  <si>
    <t>Asset Management - North</t>
  </si>
  <si>
    <t>Building B</t>
  </si>
  <si>
    <t>Book Works</t>
  </si>
  <si>
    <t>Building C</t>
  </si>
  <si>
    <t>Target End Date</t>
  </si>
  <si>
    <t>Approve CapEx</t>
  </si>
  <si>
    <t>Check Out</t>
  </si>
  <si>
    <t>Check Unit Condition</t>
  </si>
  <si>
    <t>Average</t>
  </si>
  <si>
    <t>Other</t>
  </si>
  <si>
    <t>Key lost</t>
  </si>
  <si>
    <t>Task Owner</t>
  </si>
  <si>
    <t>John Smith</t>
  </si>
  <si>
    <t>Bob Brown</t>
  </si>
  <si>
    <t>Jane Green</t>
  </si>
  <si>
    <t>Current month</t>
  </si>
  <si>
    <t>Task</t>
  </si>
  <si>
    <t>Total Average</t>
  </si>
  <si>
    <t>Overdue Days</t>
  </si>
  <si>
    <t>Days Overdue 
/ (Early)</t>
  </si>
  <si>
    <t xml:space="preserve">KPI Duration (Days) </t>
  </si>
  <si>
    <t xml:space="preserve"> Overdue</t>
  </si>
  <si>
    <t xml:space="preserve"> On Time</t>
  </si>
  <si>
    <t>Record Count</t>
  </si>
  <si>
    <t>Receive Notice</t>
  </si>
  <si>
    <t>Move Out</t>
  </si>
  <si>
    <t>Move Ins (Completed)</t>
  </si>
  <si>
    <r>
      <t>Report / Dashboard to allow users to see a count by month for the following:
 - Move Outs (Completed) 
 - Future Vacants (Due)
 - Deposits (completed)
 - Deposits (Due/Overdue)</t>
    </r>
    <r>
      <rPr>
        <sz val="11"/>
        <rFont val="Calibri"/>
        <family val="2"/>
        <scheme val="minor"/>
      </rPr>
      <t xml:space="preserve">
 - Application Received (Future Let Date)
 - Move In (Completed) </t>
    </r>
  </si>
  <si>
    <t>Will need to save on EOT.  Not relevant if no relet</t>
  </si>
  <si>
    <r>
      <t xml:space="preserve">Start date of the </t>
    </r>
    <r>
      <rPr>
        <i/>
        <sz val="11"/>
        <color theme="1" tint="0.499984740745262"/>
        <rFont val="Calibri"/>
        <family val="2"/>
        <scheme val="minor"/>
      </rPr>
      <t xml:space="preserve">Refurb / Refresh </t>
    </r>
    <r>
      <rPr>
        <sz val="11"/>
        <color theme="1" tint="0.499984740745262"/>
        <rFont val="Calibri"/>
        <family val="2"/>
        <scheme val="minor"/>
      </rPr>
      <t xml:space="preserve">or </t>
    </r>
    <r>
      <rPr>
        <i/>
        <sz val="11"/>
        <color theme="1" tint="0.499984740745262"/>
        <rFont val="Calibri"/>
        <family val="2"/>
        <scheme val="minor"/>
      </rPr>
      <t xml:space="preserve">Clean </t>
    </r>
    <r>
      <rPr>
        <sz val="11"/>
        <color theme="1" tint="0.499984740745262"/>
        <rFont val="Calibri"/>
        <family val="2"/>
        <scheme val="minor"/>
      </rPr>
      <t>task depending on works type</t>
    </r>
  </si>
  <si>
    <t>Open Box Notes</t>
  </si>
  <si>
    <t>TO DO</t>
  </si>
  <si>
    <t>Complete</t>
  </si>
  <si>
    <t>Active</t>
  </si>
  <si>
    <t>Pending</t>
  </si>
  <si>
    <t>In Progress</t>
  </si>
  <si>
    <t>Expected Delay (Days)</t>
  </si>
  <si>
    <t>Task Status</t>
  </si>
  <si>
    <t>Actual End Date</t>
  </si>
  <si>
    <t>Tenant in hospital</t>
  </si>
  <si>
    <r>
      <t xml:space="preserve">Actual Move out date: Prompt users to capture on completion of </t>
    </r>
    <r>
      <rPr>
        <i/>
        <sz val="11"/>
        <color theme="1" tint="0.499984740745262"/>
        <rFont val="Calibri"/>
        <family val="2"/>
        <scheme val="minor"/>
      </rPr>
      <t xml:space="preserve">Check Out </t>
    </r>
    <r>
      <rPr>
        <sz val="11"/>
        <color theme="1" tint="0.499984740745262"/>
        <rFont val="Calibri"/>
        <family val="2"/>
        <scheme val="minor"/>
      </rPr>
      <t>task (defaults to FV date).</t>
    </r>
  </si>
  <si>
    <r>
      <t xml:space="preserve">Actual end date of </t>
    </r>
    <r>
      <rPr>
        <i/>
        <sz val="11"/>
        <color theme="1" tint="0.499984740745262"/>
        <rFont val="Calibri"/>
        <family val="2"/>
        <scheme val="minor"/>
      </rPr>
      <t>PVI</t>
    </r>
    <r>
      <rPr>
        <sz val="11"/>
        <color theme="1" tint="0.499984740745262"/>
        <rFont val="Calibri"/>
        <family val="2"/>
        <scheme val="minor"/>
      </rPr>
      <t xml:space="preserve"> task</t>
    </r>
  </si>
  <si>
    <r>
      <rPr>
        <i/>
        <sz val="11"/>
        <color theme="1" tint="0.499984740745262"/>
        <rFont val="Calibri"/>
        <family val="2"/>
        <scheme val="minor"/>
      </rPr>
      <t xml:space="preserve">Deposit Release </t>
    </r>
    <r>
      <rPr>
        <sz val="11"/>
        <color theme="1" tint="0.499984740745262"/>
        <rFont val="Calibri"/>
        <family val="2"/>
        <scheme val="minor"/>
      </rPr>
      <t xml:space="preserve"> task completion date </t>
    </r>
  </si>
  <si>
    <t>Available Date</t>
  </si>
  <si>
    <t>This should include cleaning and is therefore the same as Available Date / Ready to Let Date</t>
  </si>
  <si>
    <t xml:space="preserve">Same as: report cost of void 
</t>
  </si>
  <si>
    <t>Not required per Jacob</t>
  </si>
  <si>
    <t xml:space="preserve">Will need to trigger an update to save this on the EOT. </t>
  </si>
  <si>
    <t>Unit To Be Relet</t>
  </si>
  <si>
    <t>Yes</t>
  </si>
  <si>
    <t>No</t>
  </si>
  <si>
    <r>
      <t>Report / Dashboard to allow users to see a count by month for the following:
 - Move Outs (Completed) 
 - Future Vacants (Due)
 - Deposits (completed)
 - Deposits (Due/Overdue)</t>
    </r>
    <r>
      <rPr>
        <sz val="11"/>
        <rFont val="Calibri"/>
        <family val="2"/>
        <scheme val="minor"/>
      </rPr>
      <t xml:space="preserve">
</t>
    </r>
    <r>
      <rPr>
        <strike/>
        <sz val="11"/>
        <rFont val="Calibri"/>
        <family val="2"/>
        <scheme val="minor"/>
      </rPr>
      <t xml:space="preserve"> - Application Received (Future Let Date)
</t>
    </r>
    <r>
      <rPr>
        <sz val="11"/>
        <rFont val="Calibri"/>
        <family val="2"/>
        <scheme val="minor"/>
      </rPr>
      <t xml:space="preserve"> - Move In (Completed) </t>
    </r>
  </si>
  <si>
    <t>* only move ins linked to an EOT</t>
  </si>
  <si>
    <t>Notify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</si>
</sst>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809]* #,##0.00_-;\-[$£-809]* #,##0.00_-;_-[$£-809]* &quot;-&quot;??_-;_-@_-"/>
    <numFmt numFmtId="165" formatCode="[$-1C09]dd\ mmmm\ yyyy;@"/>
    <numFmt numFmtId="166" formatCode="_-* #,##0_-;\-* #,##0_-;_-* &quot;-&quot;??_-;_-@_-"/>
    <numFmt numFmtId="167" formatCode="_-* #,##0.0_-;\-* #,##0.0_-;_-* &quot;-&quot;??_-;_-@_-"/>
  </numFmts>
  <fonts count="26"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00"/>
      <name val="Calibri"/>
      <family val="2"/>
      <scheme val="minor"/>
    </font>
    <font>
      <sz val="11"/>
      <name val="Calibri"/>
      <family val="2"/>
      <scheme val="minor"/>
    </font>
    <font>
      <sz val="11"/>
      <color theme="1"/>
      <name val="Calibri"/>
      <family val="2"/>
      <scheme val="minor"/>
    </font>
    <font>
      <b/>
      <u/>
      <sz val="11"/>
      <color rgb="FF000000"/>
      <name val="Calibri"/>
      <family val="2"/>
      <scheme val="minor"/>
    </font>
    <font>
      <b/>
      <sz val="11"/>
      <color theme="8"/>
      <name val="Calibri"/>
      <family val="2"/>
      <scheme val="minor"/>
    </font>
    <font>
      <b/>
      <sz val="11"/>
      <color theme="9"/>
      <name val="Calibri"/>
      <family val="2"/>
      <scheme val="minor"/>
    </font>
    <font>
      <b/>
      <u/>
      <sz val="11"/>
      <color theme="1"/>
      <name val="Calibri"/>
      <family val="2"/>
      <scheme val="minor"/>
    </font>
    <font>
      <sz val="11"/>
      <color theme="5"/>
      <name val="Calibri"/>
      <family val="2"/>
      <scheme val="minor"/>
    </font>
    <font>
      <sz val="11"/>
      <color theme="6"/>
      <name val="Calibri"/>
      <family val="2"/>
      <scheme val="minor"/>
    </font>
    <font>
      <sz val="11"/>
      <color theme="8"/>
      <name val="Calibri"/>
      <family val="2"/>
      <scheme val="minor"/>
    </font>
    <font>
      <sz val="11"/>
      <color theme="1" tint="0.499984740745262"/>
      <name val="Calibri"/>
      <family val="2"/>
      <scheme val="minor"/>
    </font>
    <font>
      <sz val="11"/>
      <color rgb="FF00B050"/>
      <name val="Calibri"/>
      <family val="2"/>
      <scheme val="minor"/>
    </font>
    <font>
      <b/>
      <sz val="11"/>
      <name val="Calibri"/>
      <family val="2"/>
      <scheme val="minor"/>
    </font>
    <font>
      <sz val="10"/>
      <color rgb="FF00B050"/>
      <name val="Calibri"/>
      <family val="2"/>
      <scheme val="minor"/>
    </font>
    <font>
      <sz val="10"/>
      <color theme="1" tint="0.499984740745262"/>
      <name val="Calibri"/>
      <family val="2"/>
      <scheme val="minor"/>
    </font>
    <font>
      <sz val="10"/>
      <color theme="5"/>
      <name val="Calibri"/>
      <family val="2"/>
      <scheme val="minor"/>
    </font>
    <font>
      <sz val="10"/>
      <color theme="1"/>
      <name val="Calibri"/>
      <family val="2"/>
      <scheme val="minor"/>
    </font>
    <font>
      <sz val="11"/>
      <color rgb="FFFF9999"/>
      <name val="Calibri"/>
      <family val="2"/>
      <scheme val="minor"/>
    </font>
    <font>
      <i/>
      <sz val="11"/>
      <color theme="1" tint="0.499984740745262"/>
      <name val="Calibri"/>
      <family val="2"/>
      <scheme val="minor"/>
    </font>
    <font>
      <b/>
      <strike/>
      <sz val="11"/>
      <color theme="1"/>
      <name val="Calibri"/>
      <family val="2"/>
      <scheme val="minor"/>
    </font>
    <font>
      <strike/>
      <sz val="11"/>
      <color theme="1"/>
      <name val="Calibri"/>
      <family val="2"/>
      <scheme val="minor"/>
    </font>
    <font>
      <strike/>
      <sz val="11"/>
      <color rgb="FF00B050"/>
      <name val="Calibri"/>
      <family val="2"/>
      <scheme val="minor"/>
    </font>
    <font>
      <strike/>
      <sz val="1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9999"/>
        <bgColor indexed="64"/>
      </patternFill>
    </fill>
    <fill>
      <patternFill patternType="solid">
        <fgColor rgb="FF00CC99"/>
        <bgColor indexed="64"/>
      </patternFill>
    </fill>
    <fill>
      <patternFill patternType="solid">
        <fgColor theme="4" tint="-0.499984740745262"/>
        <bgColor indexed="64"/>
      </patternFill>
    </fill>
    <fill>
      <patternFill patternType="solid">
        <fgColor rgb="FF66FFFF"/>
        <bgColor indexed="64"/>
      </patternFill>
    </fill>
    <fill>
      <patternFill patternType="solid">
        <fgColor theme="3" tint="0.59999389629810485"/>
        <bgColor indexed="64"/>
      </patternFill>
    </fill>
    <fill>
      <patternFill patternType="solid">
        <fgColor theme="4"/>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43" fontId="5" fillId="0" borderId="0" applyFont="0" applyFill="0" applyBorder="0" applyAlignment="0" applyProtection="0"/>
  </cellStyleXfs>
  <cellXfs count="143">
    <xf numFmtId="0" fontId="0" fillId="0" borderId="0" xfId="0"/>
    <xf numFmtId="0" fontId="0" fillId="2" borderId="0" xfId="0" applyFill="1"/>
    <xf numFmtId="0" fontId="0" fillId="0" borderId="2" xfId="0" applyBorder="1"/>
    <xf numFmtId="0" fontId="0" fillId="2" borderId="6" xfId="0" applyFill="1" applyBorder="1"/>
    <xf numFmtId="0" fontId="2" fillId="2" borderId="0" xfId="0" applyFont="1" applyFill="1" applyAlignment="1">
      <alignment horizontal="center" vertical="center"/>
    </xf>
    <xf numFmtId="0" fontId="0" fillId="2" borderId="5" xfId="0" applyFill="1" applyBorder="1"/>
    <xf numFmtId="0" fontId="0" fillId="2" borderId="5" xfId="0" applyFill="1" applyBorder="1" applyAlignment="1">
      <alignment vertical="center"/>
    </xf>
    <xf numFmtId="0" fontId="0" fillId="2" borderId="4" xfId="0" applyFill="1" applyBorder="1"/>
    <xf numFmtId="0" fontId="0" fillId="2" borderId="2" xfId="0" applyFill="1" applyBorder="1"/>
    <xf numFmtId="0" fontId="0" fillId="2" borderId="3" xfId="0" applyFill="1" applyBorder="1"/>
    <xf numFmtId="0" fontId="0" fillId="0" borderId="8" xfId="0" applyBorder="1"/>
    <xf numFmtId="0" fontId="2" fillId="2" borderId="5" xfId="0" applyFont="1" applyFill="1" applyBorder="1" applyAlignment="1">
      <alignment vertical="center"/>
    </xf>
    <xf numFmtId="0" fontId="2" fillId="2" borderId="5" xfId="0" applyFont="1" applyFill="1" applyBorder="1" applyAlignment="1">
      <alignment horizontal="center" vertical="center"/>
    </xf>
    <xf numFmtId="0" fontId="2" fillId="2" borderId="3" xfId="0" applyFont="1" applyFill="1" applyBorder="1" applyAlignment="1">
      <alignment horizontal="center" vertical="center"/>
    </xf>
    <xf numFmtId="0" fontId="0" fillId="2" borderId="0" xfId="0" applyFill="1" applyAlignment="1">
      <alignment vertical="center"/>
    </xf>
    <xf numFmtId="0" fontId="11" fillId="0" borderId="0" xfId="0" applyFont="1" applyAlignment="1">
      <alignment vertical="center" wrapText="1"/>
    </xf>
    <xf numFmtId="0" fontId="10" fillId="0" borderId="0" xfId="0" applyFont="1" applyAlignment="1">
      <alignment horizontal="left" vertical="center" wrapText="1"/>
    </xf>
    <xf numFmtId="164" fontId="11" fillId="0" borderId="0" xfId="0" applyNumberFormat="1" applyFont="1" applyAlignment="1">
      <alignment vertical="center" wrapText="1"/>
    </xf>
    <xf numFmtId="0" fontId="2" fillId="4" borderId="10" xfId="0" applyFont="1" applyFill="1" applyBorder="1" applyAlignment="1">
      <alignment horizontal="left" vertical="center" wrapText="1"/>
    </xf>
    <xf numFmtId="0" fontId="2" fillId="4" borderId="11" xfId="0" applyFont="1" applyFill="1" applyBorder="1" applyAlignment="1">
      <alignment horizontal="left" vertical="center" wrapText="1"/>
    </xf>
    <xf numFmtId="0" fontId="2" fillId="4" borderId="11" xfId="0" applyFont="1" applyFill="1" applyBorder="1" applyAlignment="1">
      <alignment horizontal="center" vertical="center" wrapText="1"/>
    </xf>
    <xf numFmtId="164" fontId="2" fillId="4" borderId="11" xfId="0" applyNumberFormat="1" applyFont="1" applyFill="1" applyBorder="1" applyAlignment="1">
      <alignment horizontal="center" vertical="center" wrapText="1"/>
    </xf>
    <xf numFmtId="0" fontId="2" fillId="4" borderId="12" xfId="0" applyFont="1" applyFill="1" applyBorder="1" applyAlignment="1">
      <alignment horizontal="left" vertical="center" wrapText="1"/>
    </xf>
    <xf numFmtId="0" fontId="2" fillId="0" borderId="0" xfId="0" applyFont="1" applyAlignment="1">
      <alignment horizontal="left" vertical="center" wrapText="1"/>
    </xf>
    <xf numFmtId="0" fontId="0" fillId="4" borderId="13" xfId="0" applyFill="1" applyBorder="1"/>
    <xf numFmtId="165" fontId="0" fillId="0" borderId="0" xfId="0" applyNumberFormat="1" applyAlignment="1">
      <alignment horizontal="left"/>
    </xf>
    <xf numFmtId="0" fontId="0" fillId="0" borderId="0" xfId="0" applyAlignment="1">
      <alignment horizontal="right"/>
    </xf>
    <xf numFmtId="164" fontId="0" fillId="0" borderId="0" xfId="0" applyNumberFormat="1" applyAlignment="1">
      <alignment horizontal="center"/>
    </xf>
    <xf numFmtId="0" fontId="4" fillId="0" borderId="5" xfId="0" applyFont="1" applyBorder="1"/>
    <xf numFmtId="0" fontId="2" fillId="4" borderId="0" xfId="0" applyFont="1" applyFill="1"/>
    <xf numFmtId="0" fontId="0" fillId="4" borderId="14" xfId="0" applyFill="1" applyBorder="1"/>
    <xf numFmtId="0" fontId="12" fillId="0" borderId="5" xfId="0" applyFont="1" applyBorder="1"/>
    <xf numFmtId="0" fontId="2" fillId="4" borderId="11" xfId="0" applyFont="1" applyFill="1" applyBorder="1"/>
    <xf numFmtId="14" fontId="2" fillId="4" borderId="11" xfId="0" applyNumberFormat="1" applyFont="1" applyFill="1" applyBorder="1" applyAlignment="1">
      <alignment horizontal="left"/>
    </xf>
    <xf numFmtId="166" fontId="2" fillId="4" borderId="11" xfId="1" applyNumberFormat="1" applyFont="1" applyFill="1" applyBorder="1" applyAlignment="1">
      <alignment horizontal="right" vertical="center"/>
    </xf>
    <xf numFmtId="164" fontId="2" fillId="4" borderId="11" xfId="1" applyNumberFormat="1" applyFont="1" applyFill="1" applyBorder="1" applyAlignment="1">
      <alignment horizontal="right" vertical="center"/>
    </xf>
    <xf numFmtId="14" fontId="2" fillId="4" borderId="12" xfId="0" applyNumberFormat="1" applyFont="1" applyFill="1" applyBorder="1" applyAlignment="1">
      <alignment horizontal="left"/>
    </xf>
    <xf numFmtId="14" fontId="2" fillId="4" borderId="11" xfId="0" applyNumberFormat="1" applyFont="1" applyFill="1" applyBorder="1" applyAlignment="1">
      <alignment horizontal="center"/>
    </xf>
    <xf numFmtId="0" fontId="2" fillId="5" borderId="11" xfId="0" applyFont="1" applyFill="1" applyBorder="1"/>
    <xf numFmtId="14" fontId="2" fillId="5" borderId="11" xfId="0" applyNumberFormat="1" applyFont="1" applyFill="1" applyBorder="1" applyAlignment="1">
      <alignment horizontal="center"/>
    </xf>
    <xf numFmtId="166" fontId="2" fillId="5" borderId="11" xfId="1" applyNumberFormat="1" applyFont="1" applyFill="1" applyBorder="1" applyAlignment="1">
      <alignment horizontal="right" vertical="center"/>
    </xf>
    <xf numFmtId="164" fontId="2" fillId="5" borderId="11" xfId="1" applyNumberFormat="1" applyFont="1" applyFill="1" applyBorder="1" applyAlignment="1">
      <alignment horizontal="right" vertical="center"/>
    </xf>
    <xf numFmtId="14" fontId="2" fillId="5" borderId="12" xfId="0" applyNumberFormat="1" applyFont="1" applyFill="1" applyBorder="1" applyAlignment="1">
      <alignment horizontal="center"/>
    </xf>
    <xf numFmtId="14" fontId="0" fillId="0" borderId="0" xfId="0" applyNumberFormat="1" applyAlignment="1">
      <alignment horizontal="center"/>
    </xf>
    <xf numFmtId="0" fontId="0" fillId="0" borderId="0" xfId="0" applyAlignment="1">
      <alignment horizontal="center"/>
    </xf>
    <xf numFmtId="0" fontId="12" fillId="0" borderId="0" xfId="0" applyFont="1"/>
    <xf numFmtId="0" fontId="10" fillId="0" borderId="0" xfId="0" applyFont="1"/>
    <xf numFmtId="0" fontId="10" fillId="0" borderId="0" xfId="0" applyFont="1" applyAlignment="1">
      <alignment horizontal="left" vertical="center" indent="1"/>
    </xf>
    <xf numFmtId="0" fontId="0" fillId="4" borderId="13" xfId="0" applyFill="1" applyBorder="1" applyAlignment="1">
      <alignment horizontal="left"/>
    </xf>
    <xf numFmtId="0" fontId="7" fillId="0" borderId="0" xfId="0" applyFont="1" applyAlignment="1">
      <alignment horizontal="left" vertical="center" wrapText="1"/>
    </xf>
    <xf numFmtId="0" fontId="0" fillId="4" borderId="14" xfId="0" applyFill="1" applyBorder="1" applyAlignment="1">
      <alignment horizontal="left"/>
    </xf>
    <xf numFmtId="0" fontId="4" fillId="0" borderId="0" xfId="0" applyFont="1"/>
    <xf numFmtId="0" fontId="0" fillId="4" borderId="15" xfId="0" applyFill="1" applyBorder="1" applyAlignment="1">
      <alignment horizontal="left"/>
    </xf>
    <xf numFmtId="167" fontId="2" fillId="4" borderId="11" xfId="1" applyNumberFormat="1" applyFont="1" applyFill="1" applyBorder="1"/>
    <xf numFmtId="167" fontId="7" fillId="4" borderId="12" xfId="1" applyNumberFormat="1" applyFont="1" applyFill="1" applyBorder="1"/>
    <xf numFmtId="167" fontId="2" fillId="4" borderId="8" xfId="1" applyNumberFormat="1" applyFont="1" applyFill="1" applyBorder="1"/>
    <xf numFmtId="167" fontId="7" fillId="4" borderId="7" xfId="1" applyNumberFormat="1" applyFont="1" applyFill="1" applyBorder="1"/>
    <xf numFmtId="167" fontId="7" fillId="0" borderId="0" xfId="1" applyNumberFormat="1" applyFont="1" applyFill="1" applyBorder="1"/>
    <xf numFmtId="165" fontId="0" fillId="0" borderId="8" xfId="0" applyNumberFormat="1" applyBorder="1" applyAlignment="1">
      <alignment horizontal="left"/>
    </xf>
    <xf numFmtId="0" fontId="4" fillId="0" borderId="7" xfId="0" applyFont="1" applyBorder="1"/>
    <xf numFmtId="165" fontId="0" fillId="0" borderId="2" xfId="0" applyNumberFormat="1" applyBorder="1" applyAlignment="1">
      <alignment horizontal="left"/>
    </xf>
    <xf numFmtId="0" fontId="12" fillId="0" borderId="3" xfId="0" applyFont="1" applyBorder="1"/>
    <xf numFmtId="0" fontId="3" fillId="0" borderId="1" xfId="0" applyFont="1" applyBorder="1" applyAlignment="1">
      <alignment horizontal="left" wrapText="1"/>
    </xf>
    <xf numFmtId="0" fontId="0" fillId="0" borderId="1" xfId="0" applyBorder="1" applyAlignment="1">
      <alignment vertical="center" wrapText="1"/>
    </xf>
    <xf numFmtId="0" fontId="0" fillId="0" borderId="1" xfId="0" applyBorder="1" applyAlignment="1">
      <alignment vertical="top" wrapText="1"/>
    </xf>
    <xf numFmtId="0" fontId="0" fillId="0" borderId="1" xfId="0" applyBorder="1" applyAlignment="1">
      <alignment horizontal="left" vertical="center" wrapText="1"/>
    </xf>
    <xf numFmtId="0" fontId="0" fillId="0" borderId="1" xfId="0" applyBorder="1" applyAlignment="1">
      <alignment horizontal="left" vertical="top" wrapText="1"/>
    </xf>
    <xf numFmtId="0" fontId="13" fillId="2" borderId="0" xfId="0" applyFont="1" applyFill="1" applyAlignment="1">
      <alignment horizontal="center"/>
    </xf>
    <xf numFmtId="0" fontId="14" fillId="0" borderId="0" xfId="0" applyFont="1" applyAlignment="1">
      <alignment horizontal="left" vertical="center" wrapText="1"/>
    </xf>
    <xf numFmtId="0" fontId="4" fillId="4" borderId="14" xfId="0" applyFont="1" applyFill="1" applyBorder="1"/>
    <xf numFmtId="167" fontId="15" fillId="4" borderId="10" xfId="1" applyNumberFormat="1" applyFont="1" applyFill="1" applyBorder="1" applyAlignment="1">
      <alignment horizontal="left"/>
    </xf>
    <xf numFmtId="0" fontId="4" fillId="4" borderId="13" xfId="0" applyFont="1" applyFill="1" applyBorder="1" applyAlignment="1">
      <alignment horizontal="left"/>
    </xf>
    <xf numFmtId="0" fontId="4" fillId="4" borderId="14" xfId="0" applyFont="1" applyFill="1" applyBorder="1" applyAlignment="1">
      <alignment horizontal="left"/>
    </xf>
    <xf numFmtId="167" fontId="15" fillId="4" borderId="10" xfId="1" applyNumberFormat="1" applyFont="1" applyFill="1" applyBorder="1"/>
    <xf numFmtId="167" fontId="15" fillId="4" borderId="11" xfId="1" applyNumberFormat="1" applyFont="1" applyFill="1" applyBorder="1" applyAlignment="1">
      <alignment horizontal="left"/>
    </xf>
    <xf numFmtId="0" fontId="4" fillId="0" borderId="0" xfId="0" applyFont="1" applyAlignment="1">
      <alignment horizontal="left"/>
    </xf>
    <xf numFmtId="0" fontId="4" fillId="4" borderId="6" xfId="0" applyFont="1" applyFill="1" applyBorder="1"/>
    <xf numFmtId="0" fontId="4" fillId="4" borderId="13" xfId="0" applyFont="1" applyFill="1" applyBorder="1"/>
    <xf numFmtId="0" fontId="4" fillId="4" borderId="15" xfId="0" applyFont="1" applyFill="1" applyBorder="1"/>
    <xf numFmtId="167" fontId="15" fillId="4" borderId="11" xfId="1" applyNumberFormat="1" applyFont="1" applyFill="1" applyBorder="1"/>
    <xf numFmtId="0" fontId="15" fillId="5" borderId="10" xfId="0" applyFont="1" applyFill="1" applyBorder="1"/>
    <xf numFmtId="0" fontId="16" fillId="0" borderId="0" xfId="0" applyFont="1" applyAlignment="1">
      <alignment horizontal="left" vertical="center" wrapText="1"/>
    </xf>
    <xf numFmtId="0" fontId="17" fillId="0" borderId="0" xfId="0" quotePrefix="1" applyFont="1" applyAlignment="1">
      <alignment horizontal="left" vertical="center" wrapText="1"/>
    </xf>
    <xf numFmtId="0" fontId="18" fillId="0" borderId="0" xfId="0" applyFont="1" applyAlignment="1">
      <alignment horizontal="left" vertical="center" wrapText="1"/>
    </xf>
    <xf numFmtId="0" fontId="19" fillId="0" borderId="0" xfId="0" applyFont="1"/>
    <xf numFmtId="0" fontId="19" fillId="0" borderId="0" xfId="0" applyFont="1" applyAlignment="1">
      <alignment horizontal="center"/>
    </xf>
    <xf numFmtId="0" fontId="2" fillId="3" borderId="0" xfId="0" applyFont="1" applyFill="1" applyAlignment="1">
      <alignment horizontal="center" vertical="center"/>
    </xf>
    <xf numFmtId="0" fontId="2" fillId="6" borderId="0" xfId="0" applyFont="1" applyFill="1" applyAlignment="1">
      <alignment horizontal="center" vertical="center"/>
    </xf>
    <xf numFmtId="0" fontId="0" fillId="2" borderId="0" xfId="0" applyFill="1" applyAlignment="1">
      <alignment horizontal="left"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3" borderId="0" xfId="0" applyFill="1"/>
    <xf numFmtId="0" fontId="0" fillId="6" borderId="0" xfId="0" applyFill="1" applyAlignment="1">
      <alignment horizontal="center" vertical="center"/>
    </xf>
    <xf numFmtId="17" fontId="0" fillId="2" borderId="0" xfId="0" applyNumberFormat="1" applyFill="1" applyAlignment="1">
      <alignment horizontal="center"/>
    </xf>
    <xf numFmtId="0" fontId="0" fillId="2" borderId="0" xfId="0" applyFill="1" applyAlignment="1">
      <alignment horizontal="left"/>
    </xf>
    <xf numFmtId="0" fontId="0" fillId="2" borderId="2" xfId="0" applyFill="1" applyBorder="1" applyAlignment="1">
      <alignment horizontal="left"/>
    </xf>
    <xf numFmtId="0" fontId="0" fillId="6" borderId="0" xfId="0" applyFill="1"/>
    <xf numFmtId="0" fontId="2" fillId="2" borderId="0" xfId="0" applyFont="1" applyFill="1" applyAlignment="1">
      <alignment vertical="center"/>
    </xf>
    <xf numFmtId="0" fontId="0" fillId="8" borderId="0" xfId="0" applyFill="1"/>
    <xf numFmtId="0" fontId="0" fillId="8" borderId="0" xfId="0" applyFill="1" applyAlignment="1">
      <alignment horizontal="center" vertical="center"/>
    </xf>
    <xf numFmtId="0" fontId="0" fillId="7" borderId="0" xfId="0" applyFill="1" applyAlignment="1">
      <alignment horizontal="center" vertical="center"/>
    </xf>
    <xf numFmtId="0" fontId="0" fillId="9" borderId="0" xfId="0" applyFill="1" applyAlignment="1">
      <alignment horizontal="center" vertical="center"/>
    </xf>
    <xf numFmtId="0" fontId="0" fillId="9" borderId="0" xfId="0" applyFill="1"/>
    <xf numFmtId="0" fontId="0" fillId="10" borderId="0" xfId="0" applyFill="1" applyAlignment="1">
      <alignment horizontal="center" vertical="center"/>
    </xf>
    <xf numFmtId="0" fontId="0" fillId="10" borderId="0" xfId="0" applyFill="1"/>
    <xf numFmtId="0" fontId="0" fillId="11" borderId="0" xfId="0" applyFill="1" applyAlignment="1">
      <alignment horizontal="center" vertical="center"/>
    </xf>
    <xf numFmtId="0" fontId="20" fillId="11" borderId="0" xfId="0" applyFont="1" applyFill="1" applyAlignment="1">
      <alignment horizontal="center" vertical="center"/>
    </xf>
    <xf numFmtId="0" fontId="0" fillId="11" borderId="0" xfId="0" applyFill="1"/>
    <xf numFmtId="0" fontId="0" fillId="12" borderId="1" xfId="0" applyFill="1" applyBorder="1" applyAlignment="1">
      <alignment horizontal="left" vertical="center" wrapText="1"/>
    </xf>
    <xf numFmtId="0" fontId="0" fillId="12" borderId="1" xfId="0" applyFill="1" applyBorder="1" applyAlignment="1">
      <alignment vertical="center" wrapText="1"/>
    </xf>
    <xf numFmtId="0" fontId="0" fillId="12" borderId="1" xfId="0" applyFill="1" applyBorder="1" applyAlignment="1">
      <alignment horizontal="left" vertical="top" wrapText="1"/>
    </xf>
    <xf numFmtId="0" fontId="10" fillId="0" borderId="0" xfId="0" applyFont="1" applyAlignment="1">
      <alignment vertical="center" wrapText="1"/>
    </xf>
    <xf numFmtId="0" fontId="13" fillId="0" borderId="0" xfId="0" applyFont="1" applyAlignment="1">
      <alignment vertical="center" wrapText="1"/>
    </xf>
    <xf numFmtId="0" fontId="13" fillId="0" borderId="0" xfId="0" applyFont="1" applyAlignment="1">
      <alignment horizontal="left" vertical="center" wrapText="1"/>
    </xf>
    <xf numFmtId="0" fontId="22" fillId="4" borderId="11" xfId="0" applyFont="1" applyFill="1" applyBorder="1" applyAlignment="1">
      <alignment horizontal="left" vertical="center" wrapText="1"/>
    </xf>
    <xf numFmtId="165" fontId="23" fillId="0" borderId="0" xfId="0" applyNumberFormat="1" applyFont="1" applyAlignment="1">
      <alignment horizontal="left"/>
    </xf>
    <xf numFmtId="14" fontId="22" fillId="4" borderId="11" xfId="0" applyNumberFormat="1" applyFont="1" applyFill="1" applyBorder="1" applyAlignment="1">
      <alignment horizontal="left"/>
    </xf>
    <xf numFmtId="14" fontId="22" fillId="4" borderId="11" xfId="0" applyNumberFormat="1" applyFont="1" applyFill="1" applyBorder="1" applyAlignment="1">
      <alignment horizontal="center"/>
    </xf>
    <xf numFmtId="14" fontId="22" fillId="5" borderId="11" xfId="0" applyNumberFormat="1" applyFont="1" applyFill="1" applyBorder="1" applyAlignment="1">
      <alignment horizontal="center"/>
    </xf>
    <xf numFmtId="14" fontId="23" fillId="0" borderId="0" xfId="0" applyNumberFormat="1" applyFont="1" applyAlignment="1">
      <alignment horizontal="center"/>
    </xf>
    <xf numFmtId="0" fontId="24" fillId="0" borderId="0" xfId="0" applyFont="1" applyAlignment="1">
      <alignment horizontal="left" vertical="center" wrapText="1"/>
    </xf>
    <xf numFmtId="0" fontId="23" fillId="0" borderId="0" xfId="0" applyFont="1" applyAlignment="1">
      <alignment horizontal="center"/>
    </xf>
    <xf numFmtId="0" fontId="23" fillId="0" borderId="0" xfId="0" applyFont="1"/>
    <xf numFmtId="0" fontId="2" fillId="0" borderId="0" xfId="0" applyFont="1" applyAlignment="1">
      <alignment wrapText="1"/>
    </xf>
    <xf numFmtId="0" fontId="0" fillId="0" borderId="0" xfId="0" applyAlignment="1">
      <alignment wrapText="1"/>
    </xf>
    <xf numFmtId="0" fontId="0" fillId="12" borderId="0" xfId="0" applyFill="1" applyAlignment="1">
      <alignment wrapText="1"/>
    </xf>
    <xf numFmtId="0" fontId="0" fillId="0" borderId="13" xfId="0" applyBorder="1" applyAlignment="1">
      <alignment vertical="center" wrapText="1"/>
    </xf>
    <xf numFmtId="0" fontId="0" fillId="0" borderId="15" xfId="0" applyBorder="1" applyAlignment="1">
      <alignment vertical="center" wrapText="1"/>
    </xf>
    <xf numFmtId="0" fontId="14" fillId="0" borderId="2" xfId="0" applyFont="1" applyBorder="1" applyAlignment="1">
      <alignment vertical="center" wrapText="1"/>
    </xf>
    <xf numFmtId="0" fontId="2" fillId="2" borderId="8" xfId="0" applyFont="1" applyFill="1" applyBorder="1" applyAlignment="1">
      <alignment horizontal="center" vertical="center"/>
    </xf>
    <xf numFmtId="0" fontId="0" fillId="2" borderId="9" xfId="0" applyFill="1" applyBorder="1" applyAlignment="1">
      <alignment vertical="center"/>
    </xf>
    <xf numFmtId="0" fontId="0" fillId="2" borderId="8" xfId="0" applyFill="1" applyBorder="1" applyAlignment="1">
      <alignment horizontal="left" vertical="center"/>
    </xf>
    <xf numFmtId="0" fontId="0" fillId="2" borderId="7" xfId="0" applyFill="1" applyBorder="1" applyAlignment="1">
      <alignment vertical="center"/>
    </xf>
    <xf numFmtId="0" fontId="0" fillId="2" borderId="8" xfId="0" applyFill="1" applyBorder="1" applyAlignment="1">
      <alignment vertical="center"/>
    </xf>
    <xf numFmtId="0" fontId="0" fillId="2" borderId="0" xfId="0" applyFill="1" applyAlignment="1">
      <alignment vertical="top" wrapText="1"/>
    </xf>
    <xf numFmtId="0" fontId="19" fillId="2" borderId="0" xfId="0" applyFont="1" applyFill="1"/>
    <xf numFmtId="0" fontId="2" fillId="0" borderId="1" xfId="0" applyFont="1" applyBorder="1" applyAlignment="1">
      <alignment vertical="center" wrapText="1"/>
    </xf>
    <xf numFmtId="0" fontId="2" fillId="12" borderId="0" xfId="0" applyFont="1" applyFill="1" applyAlignment="1">
      <alignment wrapText="1"/>
    </xf>
    <xf numFmtId="0" fontId="0" fillId="0" borderId="2" xfId="0" applyBorder="1" applyAlignment="1">
      <alignment horizontal="center" wrapText="1"/>
    </xf>
    <xf numFmtId="0" fontId="0" fillId="2" borderId="0" xfId="0" applyFill="1" applyAlignment="1">
      <alignment horizontal="left" vertical="top" wrapText="1"/>
    </xf>
    <xf numFmtId="0" fontId="0" fillId="2" borderId="6" xfId="0" applyFill="1" applyBorder="1" applyAlignment="1">
      <alignment horizontal="right" vertical="center" textRotation="90"/>
    </xf>
    <xf numFmtId="0" fontId="0" fillId="2" borderId="6" xfId="0" applyFill="1" applyBorder="1" applyAlignment="1">
      <alignment horizontal="center" vertical="center" textRotation="90"/>
    </xf>
    <xf numFmtId="0" fontId="2" fillId="2" borderId="8" xfId="0" applyFont="1" applyFill="1" applyBorder="1" applyAlignment="1">
      <alignment horizontal="center" vertical="center"/>
    </xf>
  </cellXfs>
  <cellStyles count="2">
    <cellStyle name="Comma" xfId="1" builtinId="3"/>
    <cellStyle name="Normal" xfId="0" builtinId="0"/>
  </cellStyles>
  <dxfs count="6">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i val="0"/>
        <strike val="0"/>
        <condense val="0"/>
        <extend val="0"/>
        <outline val="0"/>
        <shadow val="0"/>
        <u val="none"/>
        <vertAlign val="baseline"/>
        <sz val="11"/>
        <color theme="1"/>
        <name val="Calibri"/>
        <family val="2"/>
        <scheme val="minor"/>
      </font>
      <alignment textRotation="0" wrapText="1" indent="0" justifyLastLine="0" shrinkToFit="0" readingOrder="0"/>
    </dxf>
  </dxfs>
  <tableStyles count="0" defaultTableStyle="TableStyleMedium2" defaultPivotStyle="PivotStyleLight16"/>
  <colors>
    <mruColors>
      <color rgb="FF66FFFF"/>
      <color rgb="FF33CCCC"/>
      <color rgb="FF00CC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28</xdr:col>
      <xdr:colOff>573962</xdr:colOff>
      <xdr:row>14</xdr:row>
      <xdr:rowOff>19425</xdr:rowOff>
    </xdr:to>
    <xdr:pic>
      <xdr:nvPicPr>
        <xdr:cNvPr id="2" name="Picture 1">
          <a:extLst>
            <a:ext uri="{FF2B5EF4-FFF2-40B4-BE49-F238E27FC236}">
              <a16:creationId xmlns:a16="http://schemas.microsoft.com/office/drawing/2014/main" id="{A2238CE2-E7DC-41DB-9813-44C02B9DB9C8}"/>
            </a:ext>
          </a:extLst>
        </xdr:cNvPr>
        <xdr:cNvPicPr>
          <a:picLocks noChangeAspect="1"/>
        </xdr:cNvPicPr>
      </xdr:nvPicPr>
      <xdr:blipFill>
        <a:blip xmlns:r="http://schemas.openxmlformats.org/officeDocument/2006/relationships" r:embed="rId1"/>
        <a:stretch>
          <a:fillRect/>
        </a:stretch>
      </xdr:blipFill>
      <xdr:spPr>
        <a:xfrm>
          <a:off x="0" y="0"/>
          <a:ext cx="17642762" cy="2686425"/>
        </a:xfrm>
        <a:prstGeom prst="rect">
          <a:avLst/>
        </a:prstGeom>
      </xdr:spPr>
    </xdr:pic>
    <xdr:clientData/>
  </xdr:twoCellAnchor>
  <xdr:twoCellAnchor editAs="oneCell">
    <xdr:from>
      <xdr:col>1</xdr:col>
      <xdr:colOff>323850</xdr:colOff>
      <xdr:row>14</xdr:row>
      <xdr:rowOff>38100</xdr:rowOff>
    </xdr:from>
    <xdr:to>
      <xdr:col>23</xdr:col>
      <xdr:colOff>601985</xdr:colOff>
      <xdr:row>39</xdr:row>
      <xdr:rowOff>659</xdr:rowOff>
    </xdr:to>
    <xdr:pic>
      <xdr:nvPicPr>
        <xdr:cNvPr id="3" name="Picture 2">
          <a:extLst>
            <a:ext uri="{FF2B5EF4-FFF2-40B4-BE49-F238E27FC236}">
              <a16:creationId xmlns:a16="http://schemas.microsoft.com/office/drawing/2014/main" id="{C4DC5BA7-2EB7-417A-B089-65DD52EF07AF}"/>
            </a:ext>
          </a:extLst>
        </xdr:cNvPr>
        <xdr:cNvPicPr>
          <a:picLocks noChangeAspect="1"/>
        </xdr:cNvPicPr>
      </xdr:nvPicPr>
      <xdr:blipFill>
        <a:blip xmlns:r="http://schemas.openxmlformats.org/officeDocument/2006/relationships" r:embed="rId2"/>
        <a:stretch>
          <a:fillRect/>
        </a:stretch>
      </xdr:blipFill>
      <xdr:spPr>
        <a:xfrm>
          <a:off x="933450" y="2705100"/>
          <a:ext cx="13689335" cy="472505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85B50-81EC-4014-A029-587734681D0B}" name="Table1" displayName="Table1" ref="A2:D5" totalsRowShown="0" headerRowDxfId="5" dataDxfId="4">
  <autoFilter ref="A2:D5" xr:uid="{AF485B50-81EC-4014-A029-587734681D0B}"/>
  <tableColumns count="4">
    <tableColumn id="1" xr3:uid="{6C08271E-0AD6-4016-8D26-D726CD6B9F0A}" name="Request" dataDxfId="3"/>
    <tableColumn id="2" xr3:uid="{AC7487A5-969F-432C-B5AF-861D93CD1DCA}" name="Requirements" dataDxfId="2"/>
    <tableColumn id="3" xr3:uid="{E338C134-F6B4-4AF9-95CA-D155B36DCA25}" name="Notes" dataDxfId="1"/>
    <tableColumn id="4" xr3:uid="{1C564010-D556-4876-B7A3-DCF6123D0089}" name="Open Box Note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79D5F-29A4-456F-A2FB-C072FE3DDF00}">
  <dimension ref="A2:D17"/>
  <sheetViews>
    <sheetView workbookViewId="0">
      <selection activeCell="C15" sqref="C15"/>
    </sheetView>
  </sheetViews>
  <sheetFormatPr defaultRowHeight="15" x14ac:dyDescent="0.25"/>
  <cols>
    <col min="1" max="1" width="82" style="124" customWidth="1"/>
    <col min="2" max="2" width="52.5703125" style="124" customWidth="1"/>
    <col min="3" max="3" width="71.42578125" style="124" customWidth="1"/>
    <col min="4" max="4" width="20" style="124" customWidth="1"/>
    <col min="5" max="16384" width="9.140625" style="124"/>
  </cols>
  <sheetData>
    <row r="2" spans="1:4" x14ac:dyDescent="0.25">
      <c r="A2" s="123" t="s">
        <v>0</v>
      </c>
      <c r="B2" s="123" t="s">
        <v>6</v>
      </c>
      <c r="C2" s="123" t="s">
        <v>7</v>
      </c>
      <c r="D2" s="123" t="s">
        <v>101</v>
      </c>
    </row>
    <row r="3" spans="1:4" ht="30" x14ac:dyDescent="0.25">
      <c r="A3" s="124" t="s">
        <v>2</v>
      </c>
      <c r="B3" s="124" t="s">
        <v>16</v>
      </c>
      <c r="C3" s="124" t="s">
        <v>17</v>
      </c>
    </row>
    <row r="4" spans="1:4" s="125" customFormat="1" x14ac:dyDescent="0.25">
      <c r="A4" s="125" t="s">
        <v>1</v>
      </c>
      <c r="B4" s="125" t="s">
        <v>5</v>
      </c>
      <c r="D4" s="137" t="s">
        <v>102</v>
      </c>
    </row>
    <row r="5" spans="1:4" x14ac:dyDescent="0.25">
      <c r="A5" s="124" t="s">
        <v>3</v>
      </c>
      <c r="B5" s="124" t="s">
        <v>4</v>
      </c>
    </row>
    <row r="6" spans="1:4" hidden="1" x14ac:dyDescent="0.25"/>
    <row r="7" spans="1:4" hidden="1" x14ac:dyDescent="0.25"/>
    <row r="8" spans="1:4" hidden="1" x14ac:dyDescent="0.25"/>
    <row r="9" spans="1:4" hidden="1" x14ac:dyDescent="0.25"/>
    <row r="10" spans="1:4" hidden="1" x14ac:dyDescent="0.25"/>
    <row r="11" spans="1:4" hidden="1" x14ac:dyDescent="0.25"/>
    <row r="12" spans="1:4" hidden="1" x14ac:dyDescent="0.25"/>
    <row r="14" spans="1:4" x14ac:dyDescent="0.25">
      <c r="A14" s="138" t="s">
        <v>14</v>
      </c>
      <c r="B14" s="138"/>
      <c r="C14" s="138"/>
    </row>
    <row r="15" spans="1:4" ht="225" x14ac:dyDescent="0.25">
      <c r="A15" s="62" t="s">
        <v>15</v>
      </c>
      <c r="B15" s="63" t="s">
        <v>8</v>
      </c>
      <c r="C15" s="64" t="s">
        <v>9</v>
      </c>
      <c r="D15" s="126" t="s">
        <v>116</v>
      </c>
    </row>
    <row r="16" spans="1:4" ht="30" x14ac:dyDescent="0.25">
      <c r="A16" s="108" t="s">
        <v>18</v>
      </c>
      <c r="B16" s="109" t="s">
        <v>10</v>
      </c>
      <c r="C16" s="110" t="s">
        <v>11</v>
      </c>
      <c r="D16" s="136" t="s">
        <v>102</v>
      </c>
    </row>
    <row r="17" spans="1:4" ht="120" x14ac:dyDescent="0.25">
      <c r="A17" s="65" t="s">
        <v>12</v>
      </c>
      <c r="B17" s="65" t="s">
        <v>13</v>
      </c>
      <c r="C17" s="66" t="s">
        <v>98</v>
      </c>
      <c r="D17" s="127"/>
    </row>
  </sheetData>
  <mergeCells count="1">
    <mergeCell ref="A14:C14"/>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432C4-7B51-495F-A88D-CDAB185A8894}">
  <dimension ref="A1:Q27"/>
  <sheetViews>
    <sheetView tabSelected="1" topLeftCell="A2" workbookViewId="0">
      <selection activeCell="F23" sqref="F23"/>
    </sheetView>
  </sheetViews>
  <sheetFormatPr defaultRowHeight="15" x14ac:dyDescent="0.25"/>
  <cols>
    <col min="1" max="1" width="25.7109375" customWidth="1"/>
    <col min="2" max="2" width="20.140625" customWidth="1"/>
    <col min="3" max="3" width="11.28515625" customWidth="1"/>
    <col min="4" max="4" width="8.7109375" customWidth="1"/>
    <col min="5" max="5" width="12" customWidth="1"/>
    <col min="6" max="6" width="11.42578125" customWidth="1"/>
    <col min="7" max="9" width="13.7109375" customWidth="1"/>
    <col min="10" max="11" width="12" customWidth="1"/>
    <col min="12" max="12" width="14.7109375" customWidth="1"/>
    <col min="13" max="13" width="13.5703125" customWidth="1"/>
    <col min="14" max="14" width="20.28515625" customWidth="1"/>
    <col min="15" max="15" width="28.28515625" customWidth="1"/>
    <col min="16" max="17" width="24.140625" customWidth="1"/>
  </cols>
  <sheetData>
    <row r="1" spans="1:17" s="84" customFormat="1" ht="32.25" hidden="1" customHeight="1" x14ac:dyDescent="0.2">
      <c r="A1" s="81"/>
      <c r="B1" s="82"/>
      <c r="C1" s="83"/>
      <c r="D1" s="83"/>
      <c r="E1" s="83"/>
      <c r="F1" s="83"/>
      <c r="G1" s="83"/>
      <c r="H1" s="83"/>
      <c r="I1" s="83"/>
      <c r="J1" s="82"/>
      <c r="K1" s="82"/>
      <c r="L1" s="82"/>
      <c r="M1" s="82" t="s">
        <v>89</v>
      </c>
      <c r="O1" s="85"/>
      <c r="P1" s="82" t="s">
        <v>63</v>
      </c>
      <c r="Q1" s="85"/>
    </row>
    <row r="2" spans="1:17" ht="40.5" customHeight="1" x14ac:dyDescent="0.25">
      <c r="A2" s="18" t="s">
        <v>57</v>
      </c>
      <c r="B2" s="19" t="s">
        <v>87</v>
      </c>
      <c r="C2" s="19" t="s">
        <v>24</v>
      </c>
      <c r="D2" s="19" t="s">
        <v>25</v>
      </c>
      <c r="E2" s="19" t="s">
        <v>82</v>
      </c>
      <c r="F2" s="19" t="s">
        <v>108</v>
      </c>
      <c r="G2" s="19" t="s">
        <v>58</v>
      </c>
      <c r="H2" s="19" t="s">
        <v>75</v>
      </c>
      <c r="I2" s="19" t="s">
        <v>109</v>
      </c>
      <c r="J2" s="20" t="s">
        <v>91</v>
      </c>
      <c r="K2" s="20" t="s">
        <v>107</v>
      </c>
      <c r="L2" s="20" t="s">
        <v>60</v>
      </c>
      <c r="M2" s="20" t="s">
        <v>90</v>
      </c>
      <c r="N2" s="19" t="s">
        <v>61</v>
      </c>
      <c r="O2" s="19" t="s">
        <v>62</v>
      </c>
      <c r="P2" s="22" t="s">
        <v>7</v>
      </c>
      <c r="Q2" s="23"/>
    </row>
    <row r="3" spans="1:17" x14ac:dyDescent="0.25">
      <c r="A3" s="24" t="s">
        <v>64</v>
      </c>
      <c r="B3" s="48" t="s">
        <v>65</v>
      </c>
      <c r="C3" t="s">
        <v>43</v>
      </c>
      <c r="D3" t="s">
        <v>44</v>
      </c>
      <c r="E3" t="s">
        <v>83</v>
      </c>
      <c r="F3" t="s">
        <v>103</v>
      </c>
      <c r="G3" s="25">
        <v>45056</v>
      </c>
      <c r="H3" s="25">
        <f>G3+J3</f>
        <v>45057</v>
      </c>
      <c r="I3" s="25">
        <v>45057</v>
      </c>
      <c r="J3">
        <v>1</v>
      </c>
      <c r="L3">
        <f>I3-G3</f>
        <v>1</v>
      </c>
      <c r="M3">
        <f>L3-J3</f>
        <v>0</v>
      </c>
      <c r="P3" s="28" t="s">
        <v>66</v>
      </c>
      <c r="Q3" s="49"/>
    </row>
    <row r="4" spans="1:17" x14ac:dyDescent="0.25">
      <c r="A4" s="30"/>
      <c r="B4" s="50"/>
      <c r="C4" t="s">
        <v>43</v>
      </c>
      <c r="D4" t="s">
        <v>46</v>
      </c>
      <c r="E4" t="s">
        <v>84</v>
      </c>
      <c r="F4" t="s">
        <v>103</v>
      </c>
      <c r="G4" s="25">
        <v>45056</v>
      </c>
      <c r="H4" s="25">
        <f t="shared" ref="H4:H16" si="0">G4+J4</f>
        <v>45057</v>
      </c>
      <c r="I4" s="25">
        <v>45059</v>
      </c>
      <c r="J4">
        <v>1</v>
      </c>
      <c r="K4">
        <v>2</v>
      </c>
      <c r="L4">
        <f t="shared" ref="L4:L6" si="1">I4-G4</f>
        <v>3</v>
      </c>
      <c r="M4">
        <f>L4-J4</f>
        <v>2</v>
      </c>
      <c r="N4" t="s">
        <v>67</v>
      </c>
      <c r="O4" t="s">
        <v>68</v>
      </c>
      <c r="P4" s="31"/>
      <c r="Q4" s="45"/>
    </row>
    <row r="5" spans="1:17" x14ac:dyDescent="0.25">
      <c r="A5" s="30"/>
      <c r="B5" s="50"/>
      <c r="C5" t="s">
        <v>43</v>
      </c>
      <c r="D5" t="s">
        <v>47</v>
      </c>
      <c r="E5" t="s">
        <v>84</v>
      </c>
      <c r="F5" t="s">
        <v>103</v>
      </c>
      <c r="G5" s="25">
        <v>45057</v>
      </c>
      <c r="H5" s="25">
        <f t="shared" si="0"/>
        <v>45058</v>
      </c>
      <c r="I5" s="25">
        <v>45059</v>
      </c>
      <c r="J5">
        <v>1</v>
      </c>
      <c r="L5">
        <v>4</v>
      </c>
      <c r="M5">
        <f t="shared" ref="M5:M6" si="2">L5-J5</f>
        <v>3</v>
      </c>
      <c r="N5" t="s">
        <v>69</v>
      </c>
      <c r="P5" s="31"/>
      <c r="Q5" s="51"/>
    </row>
    <row r="6" spans="1:17" x14ac:dyDescent="0.25">
      <c r="A6" s="30"/>
      <c r="B6" s="52"/>
      <c r="C6" t="s">
        <v>43</v>
      </c>
      <c r="D6" t="s">
        <v>70</v>
      </c>
      <c r="E6" t="s">
        <v>83</v>
      </c>
      <c r="F6" t="s">
        <v>103</v>
      </c>
      <c r="G6" s="25">
        <v>45058</v>
      </c>
      <c r="H6" s="25">
        <f t="shared" si="0"/>
        <v>45059</v>
      </c>
      <c r="I6" s="25">
        <v>45058</v>
      </c>
      <c r="J6">
        <v>1</v>
      </c>
      <c r="L6">
        <f t="shared" si="1"/>
        <v>0</v>
      </c>
      <c r="M6">
        <f t="shared" si="2"/>
        <v>-1</v>
      </c>
      <c r="P6" s="31"/>
      <c r="Q6" s="45"/>
    </row>
    <row r="7" spans="1:17" x14ac:dyDescent="0.25">
      <c r="A7" s="69"/>
      <c r="B7" s="70" t="s">
        <v>79</v>
      </c>
      <c r="C7" s="53"/>
      <c r="D7" s="53"/>
      <c r="E7" s="53"/>
      <c r="F7" s="53"/>
      <c r="G7" s="53"/>
      <c r="H7" s="53"/>
      <c r="I7" s="53"/>
      <c r="J7" s="53">
        <f>AVERAGE(J3:J6)</f>
        <v>1</v>
      </c>
      <c r="K7" s="53"/>
      <c r="L7" s="53">
        <f>AVERAGE(L3:L6)</f>
        <v>2</v>
      </c>
      <c r="M7" s="53">
        <f>AVERAGE(M3:M6)</f>
        <v>1</v>
      </c>
      <c r="N7" s="53"/>
      <c r="O7" s="53"/>
      <c r="P7" s="54"/>
      <c r="Q7" s="45"/>
    </row>
    <row r="8" spans="1:17" x14ac:dyDescent="0.25">
      <c r="A8" s="69"/>
      <c r="B8" s="71" t="s">
        <v>77</v>
      </c>
      <c r="C8" t="s">
        <v>43</v>
      </c>
      <c r="D8" t="s">
        <v>44</v>
      </c>
      <c r="E8" t="s">
        <v>83</v>
      </c>
      <c r="F8" t="s">
        <v>103</v>
      </c>
      <c r="G8" s="25">
        <v>45057</v>
      </c>
      <c r="H8" s="25">
        <f t="shared" ref="H8:H11" si="3">G8+J8</f>
        <v>45059</v>
      </c>
      <c r="I8" s="25">
        <v>45062</v>
      </c>
      <c r="J8">
        <v>2</v>
      </c>
      <c r="K8">
        <v>5</v>
      </c>
      <c r="L8">
        <f>I8-G8</f>
        <v>5</v>
      </c>
      <c r="M8">
        <f>L8-J8</f>
        <v>3</v>
      </c>
      <c r="N8" t="s">
        <v>80</v>
      </c>
      <c r="O8" t="s">
        <v>110</v>
      </c>
      <c r="P8" s="31"/>
      <c r="Q8" s="45"/>
    </row>
    <row r="9" spans="1:17" x14ac:dyDescent="0.25">
      <c r="A9" s="69"/>
      <c r="B9" s="72"/>
      <c r="C9" t="s">
        <v>43</v>
      </c>
      <c r="D9" t="s">
        <v>46</v>
      </c>
      <c r="E9" t="s">
        <v>83</v>
      </c>
      <c r="F9" t="s">
        <v>103</v>
      </c>
      <c r="G9" s="25">
        <v>45057</v>
      </c>
      <c r="H9" s="25">
        <f t="shared" si="3"/>
        <v>45058</v>
      </c>
      <c r="I9" s="25">
        <v>45059</v>
      </c>
      <c r="J9">
        <v>1</v>
      </c>
      <c r="L9">
        <v>1</v>
      </c>
      <c r="M9">
        <f>L9-J9</f>
        <v>0</v>
      </c>
      <c r="P9" s="31"/>
      <c r="Q9" s="45"/>
    </row>
    <row r="10" spans="1:17" x14ac:dyDescent="0.25">
      <c r="A10" s="69"/>
      <c r="B10" s="72"/>
      <c r="C10" t="s">
        <v>43</v>
      </c>
      <c r="D10" t="s">
        <v>47</v>
      </c>
      <c r="E10" t="s">
        <v>83</v>
      </c>
      <c r="F10" t="s">
        <v>103</v>
      </c>
      <c r="G10" s="25">
        <v>45057</v>
      </c>
      <c r="H10" s="25">
        <f t="shared" si="3"/>
        <v>45058</v>
      </c>
      <c r="I10" s="25">
        <v>45060</v>
      </c>
      <c r="J10">
        <v>1</v>
      </c>
      <c r="L10">
        <v>2</v>
      </c>
      <c r="M10">
        <f t="shared" ref="M10:M11" si="4">L10-J10</f>
        <v>1</v>
      </c>
      <c r="P10" s="28" t="s">
        <v>81</v>
      </c>
      <c r="Q10" s="45"/>
    </row>
    <row r="11" spans="1:17" x14ac:dyDescent="0.25">
      <c r="A11" s="69"/>
      <c r="B11" s="72"/>
      <c r="C11" t="s">
        <v>43</v>
      </c>
      <c r="D11" t="s">
        <v>70</v>
      </c>
      <c r="E11" t="s">
        <v>84</v>
      </c>
      <c r="F11" t="s">
        <v>103</v>
      </c>
      <c r="G11" s="25">
        <v>45058</v>
      </c>
      <c r="H11" s="25">
        <f t="shared" si="3"/>
        <v>45059</v>
      </c>
      <c r="I11" s="25">
        <v>45059</v>
      </c>
      <c r="J11">
        <v>1</v>
      </c>
      <c r="L11">
        <f t="shared" ref="L11" si="5">I11-G11</f>
        <v>1</v>
      </c>
      <c r="M11">
        <f t="shared" si="4"/>
        <v>0</v>
      </c>
      <c r="P11" s="31"/>
      <c r="Q11" s="45"/>
    </row>
    <row r="12" spans="1:17" x14ac:dyDescent="0.25">
      <c r="A12" s="69"/>
      <c r="B12" s="70" t="s">
        <v>79</v>
      </c>
      <c r="C12" s="53"/>
      <c r="D12" s="53"/>
      <c r="E12" s="53"/>
      <c r="F12" s="53"/>
      <c r="G12" s="53"/>
      <c r="H12" s="53"/>
      <c r="I12" s="53"/>
      <c r="J12" s="53">
        <f>AVERAGE(J8:J11)</f>
        <v>1.25</v>
      </c>
      <c r="K12" s="53"/>
      <c r="L12" s="53">
        <f>AVERAGE(L8:L11)</f>
        <v>2.25</v>
      </c>
      <c r="M12" s="53">
        <f>AVERAGE(M8:M11)</f>
        <v>1</v>
      </c>
      <c r="N12" s="53"/>
      <c r="O12" s="53"/>
      <c r="P12" s="54"/>
      <c r="Q12" s="57"/>
    </row>
    <row r="13" spans="1:17" x14ac:dyDescent="0.25">
      <c r="A13" s="69"/>
      <c r="B13" s="71" t="s">
        <v>78</v>
      </c>
      <c r="C13" t="s">
        <v>43</v>
      </c>
      <c r="D13" t="s">
        <v>44</v>
      </c>
      <c r="E13" t="s">
        <v>84</v>
      </c>
      <c r="F13" t="s">
        <v>103</v>
      </c>
      <c r="G13" s="25">
        <v>45057</v>
      </c>
      <c r="H13" s="25">
        <f t="shared" si="0"/>
        <v>45059</v>
      </c>
      <c r="I13" s="25">
        <f>H13</f>
        <v>45059</v>
      </c>
      <c r="J13">
        <v>2</v>
      </c>
      <c r="L13">
        <v>1</v>
      </c>
      <c r="M13">
        <f>L13-J13</f>
        <v>-1</v>
      </c>
      <c r="P13" s="31"/>
      <c r="Q13" s="45"/>
    </row>
    <row r="14" spans="1:17" x14ac:dyDescent="0.25">
      <c r="A14" s="69"/>
      <c r="B14" s="72"/>
      <c r="C14" t="s">
        <v>43</v>
      </c>
      <c r="D14" t="s">
        <v>46</v>
      </c>
      <c r="E14" t="s">
        <v>84</v>
      </c>
      <c r="F14" t="s">
        <v>103</v>
      </c>
      <c r="G14" s="25">
        <v>45057</v>
      </c>
      <c r="H14" s="25">
        <f t="shared" si="0"/>
        <v>45059</v>
      </c>
      <c r="I14" s="25">
        <f>H14</f>
        <v>45059</v>
      </c>
      <c r="J14">
        <v>2</v>
      </c>
      <c r="L14">
        <f t="shared" ref="L14" si="6">I14-G14</f>
        <v>2</v>
      </c>
      <c r="M14">
        <f>L14-J14</f>
        <v>0</v>
      </c>
      <c r="P14" s="31"/>
      <c r="Q14" s="45"/>
    </row>
    <row r="15" spans="1:17" x14ac:dyDescent="0.25">
      <c r="A15" s="69"/>
      <c r="B15" s="72"/>
      <c r="C15" t="s">
        <v>43</v>
      </c>
      <c r="D15" t="s">
        <v>47</v>
      </c>
      <c r="E15" t="s">
        <v>84</v>
      </c>
      <c r="F15" t="s">
        <v>105</v>
      </c>
      <c r="G15" s="25">
        <v>45063</v>
      </c>
      <c r="H15" s="25">
        <f t="shared" si="0"/>
        <v>45065</v>
      </c>
      <c r="I15" s="25"/>
      <c r="J15">
        <v>2</v>
      </c>
      <c r="P15" s="28"/>
      <c r="Q15" s="45"/>
    </row>
    <row r="16" spans="1:17" x14ac:dyDescent="0.25">
      <c r="A16" s="69"/>
      <c r="B16" s="72"/>
      <c r="C16" t="s">
        <v>43</v>
      </c>
      <c r="D16" t="s">
        <v>70</v>
      </c>
      <c r="E16" t="s">
        <v>83</v>
      </c>
      <c r="F16" t="s">
        <v>106</v>
      </c>
      <c r="G16" s="25">
        <v>45055</v>
      </c>
      <c r="H16" s="25">
        <f t="shared" si="0"/>
        <v>45057</v>
      </c>
      <c r="I16" s="25"/>
      <c r="J16">
        <v>2</v>
      </c>
      <c r="M16">
        <v>5</v>
      </c>
      <c r="P16" s="28"/>
      <c r="Q16" s="45"/>
    </row>
    <row r="17" spans="1:17" x14ac:dyDescent="0.25">
      <c r="A17" s="69"/>
      <c r="B17" s="70" t="s">
        <v>79</v>
      </c>
      <c r="C17" s="53"/>
      <c r="D17" s="55"/>
      <c r="E17" s="55"/>
      <c r="F17" s="55"/>
      <c r="G17" s="55"/>
      <c r="H17" s="55"/>
      <c r="I17" s="55"/>
      <c r="J17" s="55">
        <f>AVERAGE(J13:J16)</f>
        <v>2</v>
      </c>
      <c r="K17" s="55"/>
      <c r="L17" s="55">
        <f>AVERAGE(L13:L16)</f>
        <v>1.5</v>
      </c>
      <c r="M17" s="55">
        <f>AVERAGE(M13:M16)</f>
        <v>1.3333333333333333</v>
      </c>
      <c r="N17" s="55"/>
      <c r="O17" s="55"/>
      <c r="P17" s="56"/>
      <c r="Q17" s="57"/>
    </row>
    <row r="18" spans="1:17" x14ac:dyDescent="0.25">
      <c r="A18" s="73" t="s">
        <v>88</v>
      </c>
      <c r="B18" s="74"/>
      <c r="C18" s="53"/>
      <c r="D18" s="53"/>
      <c r="E18" s="53"/>
      <c r="F18" s="53"/>
      <c r="G18" s="53"/>
      <c r="H18" s="53"/>
      <c r="I18" s="53"/>
      <c r="J18" s="53">
        <f>AVERAGE(J3:J6,J13:J16,J8:J11)</f>
        <v>1.4166666666666667</v>
      </c>
      <c r="K18" s="53"/>
      <c r="L18" s="53">
        <f t="shared" ref="L18:M18" si="7">AVERAGE(L3:L6,L13:L16,L8:L11)</f>
        <v>2</v>
      </c>
      <c r="M18" s="53">
        <f t="shared" si="7"/>
        <v>1.0909090909090908</v>
      </c>
      <c r="N18" s="53"/>
      <c r="O18" s="53"/>
      <c r="P18" s="54"/>
      <c r="Q18" s="57"/>
    </row>
    <row r="19" spans="1:17" ht="31.5" customHeight="1" x14ac:dyDescent="0.25">
      <c r="A19" s="51"/>
      <c r="B19" s="75"/>
      <c r="C19" s="16"/>
      <c r="D19" s="16"/>
      <c r="E19" s="16"/>
      <c r="F19" s="16"/>
      <c r="G19" s="16"/>
      <c r="H19" s="16"/>
      <c r="I19" s="16"/>
      <c r="J19" s="16"/>
      <c r="K19" s="16"/>
      <c r="L19" s="16"/>
      <c r="M19" s="16"/>
      <c r="N19" s="16"/>
      <c r="O19" s="44"/>
      <c r="P19" s="44"/>
      <c r="Q19" s="44"/>
    </row>
    <row r="20" spans="1:17" ht="40.5" customHeight="1" x14ac:dyDescent="0.25">
      <c r="A20" s="18" t="s">
        <v>57</v>
      </c>
      <c r="B20" s="19" t="s">
        <v>87</v>
      </c>
      <c r="C20" s="19" t="s">
        <v>24</v>
      </c>
      <c r="D20" s="19" t="s">
        <v>25</v>
      </c>
      <c r="E20" s="19" t="s">
        <v>82</v>
      </c>
      <c r="F20" s="19" t="s">
        <v>108</v>
      </c>
      <c r="G20" s="19" t="s">
        <v>58</v>
      </c>
      <c r="H20" s="19" t="s">
        <v>75</v>
      </c>
      <c r="I20" s="19" t="s">
        <v>59</v>
      </c>
      <c r="J20" s="20" t="s">
        <v>91</v>
      </c>
      <c r="K20" s="20" t="s">
        <v>107</v>
      </c>
      <c r="L20" s="20" t="s">
        <v>60</v>
      </c>
      <c r="M20" s="20" t="s">
        <v>90</v>
      </c>
      <c r="N20" s="19" t="s">
        <v>61</v>
      </c>
      <c r="O20" s="19" t="s">
        <v>62</v>
      </c>
      <c r="P20" s="22" t="s">
        <v>7</v>
      </c>
      <c r="Q20" s="23"/>
    </row>
    <row r="21" spans="1:17" x14ac:dyDescent="0.25">
      <c r="A21" s="76" t="s">
        <v>71</v>
      </c>
      <c r="B21" s="77" t="s">
        <v>76</v>
      </c>
      <c r="C21" s="10" t="s">
        <v>43</v>
      </c>
      <c r="D21" s="10" t="s">
        <v>44</v>
      </c>
      <c r="E21" s="10" t="s">
        <v>85</v>
      </c>
      <c r="F21" t="s">
        <v>103</v>
      </c>
      <c r="G21" s="58">
        <v>45056</v>
      </c>
      <c r="H21" s="25">
        <f t="shared" ref="H21:H24" si="8">G21+J21</f>
        <v>45059</v>
      </c>
      <c r="I21" s="58">
        <v>45058</v>
      </c>
      <c r="J21" s="10">
        <v>3</v>
      </c>
      <c r="K21" s="10"/>
      <c r="L21" s="10">
        <v>3</v>
      </c>
      <c r="M21" s="10">
        <f>L21-J21</f>
        <v>0</v>
      </c>
      <c r="N21" s="10"/>
      <c r="O21" s="10"/>
      <c r="P21" s="59"/>
      <c r="Q21" s="23"/>
    </row>
    <row r="22" spans="1:17" x14ac:dyDescent="0.25">
      <c r="A22" s="76"/>
      <c r="B22" s="69"/>
      <c r="C22" t="s">
        <v>72</v>
      </c>
      <c r="D22" t="s">
        <v>56</v>
      </c>
      <c r="E22" t="s">
        <v>85</v>
      </c>
      <c r="F22" t="s">
        <v>103</v>
      </c>
      <c r="G22" s="25">
        <v>45058</v>
      </c>
      <c r="H22" s="25">
        <f t="shared" si="8"/>
        <v>45061</v>
      </c>
      <c r="I22" s="25">
        <v>45062</v>
      </c>
      <c r="J22">
        <v>3</v>
      </c>
      <c r="L22">
        <f t="shared" ref="L22" si="9">I22-G22</f>
        <v>4</v>
      </c>
      <c r="M22">
        <f>L22-J22</f>
        <v>1</v>
      </c>
      <c r="P22" s="31"/>
      <c r="Q22" s="49"/>
    </row>
    <row r="23" spans="1:17" x14ac:dyDescent="0.25">
      <c r="A23" s="76"/>
      <c r="B23" s="69"/>
      <c r="C23" t="s">
        <v>74</v>
      </c>
      <c r="D23" t="s">
        <v>44</v>
      </c>
      <c r="E23" t="s">
        <v>85</v>
      </c>
      <c r="F23" t="s">
        <v>103</v>
      </c>
      <c r="G23" s="25">
        <v>45047</v>
      </c>
      <c r="H23" s="25">
        <f t="shared" si="8"/>
        <v>45050</v>
      </c>
      <c r="I23" s="25">
        <v>45057</v>
      </c>
      <c r="J23">
        <v>3</v>
      </c>
      <c r="L23">
        <f>I23-G23</f>
        <v>10</v>
      </c>
      <c r="M23">
        <f>L23-J23</f>
        <v>7</v>
      </c>
      <c r="N23" t="s">
        <v>69</v>
      </c>
      <c r="P23" s="28" t="s">
        <v>66</v>
      </c>
      <c r="Q23" s="51"/>
    </row>
    <row r="24" spans="1:17" x14ac:dyDescent="0.25">
      <c r="A24" s="76"/>
      <c r="B24" s="78"/>
      <c r="C24" s="2" t="s">
        <v>43</v>
      </c>
      <c r="D24" s="2" t="s">
        <v>56</v>
      </c>
      <c r="E24" t="s">
        <v>85</v>
      </c>
      <c r="F24" t="s">
        <v>104</v>
      </c>
      <c r="G24" s="60">
        <v>45060</v>
      </c>
      <c r="H24" s="25">
        <f t="shared" si="8"/>
        <v>45063</v>
      </c>
      <c r="I24" s="60"/>
      <c r="J24" s="2">
        <v>3</v>
      </c>
      <c r="K24" s="2"/>
      <c r="L24" s="2"/>
      <c r="M24" s="2"/>
      <c r="N24" s="2"/>
      <c r="O24" s="2"/>
      <c r="P24" s="61"/>
      <c r="Q24" s="45"/>
    </row>
    <row r="25" spans="1:17" x14ac:dyDescent="0.25">
      <c r="A25" s="69"/>
      <c r="B25" s="70" t="s">
        <v>79</v>
      </c>
      <c r="C25" s="53"/>
      <c r="D25" s="53"/>
      <c r="E25" s="53"/>
      <c r="F25" s="53"/>
      <c r="G25" s="53"/>
      <c r="H25" s="53"/>
      <c r="I25" s="53"/>
      <c r="J25" s="53">
        <f>AVERAGE(J21:J24)</f>
        <v>3</v>
      </c>
      <c r="K25" s="53"/>
      <c r="L25" s="53">
        <f>AVERAGE(L21:L24)</f>
        <v>5.666666666666667</v>
      </c>
      <c r="M25" s="53">
        <f>AVERAGE(M21:M24)</f>
        <v>2.6666666666666665</v>
      </c>
      <c r="N25" s="53"/>
      <c r="O25" s="53"/>
      <c r="P25" s="54"/>
      <c r="Q25" s="45"/>
    </row>
    <row r="26" spans="1:17" x14ac:dyDescent="0.25">
      <c r="A26" s="73" t="s">
        <v>88</v>
      </c>
      <c r="B26" s="79"/>
      <c r="C26" s="53"/>
      <c r="D26" s="53"/>
      <c r="E26" s="53"/>
      <c r="F26" s="53"/>
      <c r="G26" s="53"/>
      <c r="H26" s="53"/>
      <c r="I26" s="53"/>
      <c r="J26" s="53">
        <f>J25</f>
        <v>3</v>
      </c>
      <c r="K26" s="53"/>
      <c r="L26" s="53">
        <f t="shared" ref="L26:M26" si="10">L25</f>
        <v>5.666666666666667</v>
      </c>
      <c r="M26" s="53">
        <f t="shared" si="10"/>
        <v>2.6666666666666665</v>
      </c>
      <c r="N26" s="53"/>
      <c r="O26" s="53"/>
      <c r="P26" s="54"/>
      <c r="Q26" s="57"/>
    </row>
    <row r="27" spans="1:17" x14ac:dyDescent="0.25">
      <c r="A27" s="51"/>
      <c r="B27" s="51"/>
      <c r="C27" s="44"/>
      <c r="D27" s="44"/>
      <c r="E27" s="44"/>
      <c r="F27" s="44"/>
      <c r="G27" s="44"/>
      <c r="H27" s="44"/>
      <c r="I27" s="44"/>
      <c r="J27" s="44"/>
      <c r="K27" s="44"/>
      <c r="L27" s="44"/>
      <c r="M27" s="44"/>
      <c r="N27" s="44"/>
      <c r="O27" s="44"/>
      <c r="P27" s="44"/>
      <c r="Q27" s="44"/>
    </row>
  </sheetData>
  <pageMargins left="0.7" right="0.7" top="0.75" bottom="0.75" header="0.3" footer="0.3"/>
  <pageSetup paperSize="9" orientation="portrait" r:id="rId1"/>
  <ignoredErrors>
    <ignoredError sqref="L7:M7 L12:M12"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83A2-2451-4A72-8806-1C795DF3D8A4}">
  <dimension ref="A1:X22"/>
  <sheetViews>
    <sheetView topLeftCell="A2" workbookViewId="0">
      <selection activeCell="T29" sqref="T29"/>
    </sheetView>
  </sheetViews>
  <sheetFormatPr defaultRowHeight="15" x14ac:dyDescent="0.25"/>
  <cols>
    <col min="1" max="1" width="12" customWidth="1"/>
    <col min="2" max="3" width="11.85546875" customWidth="1"/>
    <col min="4" max="4" width="9" hidden="1" customWidth="1"/>
    <col min="5" max="9" width="14.42578125" customWidth="1"/>
    <col min="10" max="10" width="13.42578125" hidden="1" customWidth="1"/>
    <col min="11" max="11" width="14.42578125" customWidth="1"/>
    <col min="12" max="12" width="12.42578125" style="122" hidden="1" customWidth="1"/>
    <col min="13" max="13" width="14.42578125" customWidth="1"/>
    <col min="14" max="14" width="13.42578125" customWidth="1"/>
    <col min="15" max="15" width="15.5703125" customWidth="1"/>
    <col min="16" max="16" width="14.140625" customWidth="1"/>
    <col min="17" max="17" width="15.28515625" style="122" hidden="1" customWidth="1"/>
    <col min="18" max="18" width="15.5703125" customWidth="1"/>
    <col min="19" max="19" width="13" customWidth="1"/>
    <col min="20" max="20" width="13.7109375" customWidth="1"/>
    <col min="21" max="21" width="17.28515625" customWidth="1"/>
  </cols>
  <sheetData>
    <row r="1" spans="1:24" s="15" customFormat="1" ht="105" hidden="1" customHeight="1" x14ac:dyDescent="0.25">
      <c r="E1" s="112" t="s">
        <v>112</v>
      </c>
      <c r="G1" s="112" t="s">
        <v>111</v>
      </c>
      <c r="H1" s="112" t="s">
        <v>113</v>
      </c>
      <c r="I1" s="112" t="s">
        <v>100</v>
      </c>
      <c r="J1" s="112" t="s">
        <v>115</v>
      </c>
      <c r="K1" s="113" t="s">
        <v>114</v>
      </c>
      <c r="L1" s="112" t="s">
        <v>117</v>
      </c>
      <c r="M1" s="128" t="s">
        <v>118</v>
      </c>
      <c r="N1" s="111"/>
      <c r="Q1" s="112" t="s">
        <v>117</v>
      </c>
      <c r="S1" s="68" t="s">
        <v>99</v>
      </c>
      <c r="T1" s="17"/>
    </row>
    <row r="2" spans="1:24" s="19" customFormat="1" ht="47.25" customHeight="1" x14ac:dyDescent="0.25">
      <c r="A2" s="18" t="s">
        <v>23</v>
      </c>
      <c r="B2" s="19" t="s">
        <v>24</v>
      </c>
      <c r="C2" s="19" t="s">
        <v>25</v>
      </c>
      <c r="D2" s="19" t="s">
        <v>119</v>
      </c>
      <c r="E2" s="19" t="s">
        <v>26</v>
      </c>
      <c r="F2" s="19" t="s">
        <v>27</v>
      </c>
      <c r="G2" s="19" t="s">
        <v>28</v>
      </c>
      <c r="H2" s="19" t="s">
        <v>29</v>
      </c>
      <c r="I2" s="19" t="s">
        <v>30</v>
      </c>
      <c r="J2" s="114" t="s">
        <v>31</v>
      </c>
      <c r="K2" s="19" t="s">
        <v>32</v>
      </c>
      <c r="L2" s="114" t="s">
        <v>33</v>
      </c>
      <c r="M2" s="19" t="s">
        <v>34</v>
      </c>
      <c r="N2" s="20" t="s">
        <v>35</v>
      </c>
      <c r="O2" s="20" t="s">
        <v>36</v>
      </c>
      <c r="P2" s="20" t="s">
        <v>37</v>
      </c>
      <c r="Q2" s="114" t="s">
        <v>38</v>
      </c>
      <c r="R2" s="20" t="s">
        <v>39</v>
      </c>
      <c r="S2" s="21" t="s">
        <v>40</v>
      </c>
      <c r="T2" s="21" t="s">
        <v>41</v>
      </c>
      <c r="U2" s="22" t="s">
        <v>7</v>
      </c>
      <c r="V2" s="15"/>
      <c r="W2" s="15"/>
      <c r="X2" s="15"/>
    </row>
    <row r="3" spans="1:24" s="29" customFormat="1" x14ac:dyDescent="0.25">
      <c r="A3" s="77" t="s">
        <v>42</v>
      </c>
      <c r="B3" t="s">
        <v>43</v>
      </c>
      <c r="C3" t="s">
        <v>44</v>
      </c>
      <c r="D3" t="s">
        <v>120</v>
      </c>
      <c r="E3" s="25">
        <v>45056</v>
      </c>
      <c r="F3" s="25">
        <v>45088</v>
      </c>
      <c r="G3" s="25">
        <v>45090</v>
      </c>
      <c r="H3" s="25">
        <v>45095</v>
      </c>
      <c r="I3" s="25">
        <v>45090</v>
      </c>
      <c r="J3" s="115">
        <v>45093</v>
      </c>
      <c r="K3" s="25">
        <v>45093</v>
      </c>
      <c r="L3" s="115">
        <v>45108</v>
      </c>
      <c r="M3" s="25">
        <v>45135</v>
      </c>
      <c r="N3" s="26">
        <f>G3-E3</f>
        <v>34</v>
      </c>
      <c r="O3">
        <f>H3-G3</f>
        <v>5</v>
      </c>
      <c r="P3">
        <f>K3-G3</f>
        <v>3</v>
      </c>
      <c r="Q3" s="115">
        <f>L3-G3</f>
        <v>18</v>
      </c>
      <c r="R3">
        <f>M3-G3</f>
        <v>45</v>
      </c>
      <c r="S3" s="27">
        <v>67</v>
      </c>
      <c r="T3" s="27">
        <f>S3*R3</f>
        <v>3015</v>
      </c>
      <c r="U3" s="28" t="s">
        <v>45</v>
      </c>
      <c r="V3" s="15"/>
      <c r="W3" s="15"/>
      <c r="X3" s="15"/>
    </row>
    <row r="4" spans="1:24" x14ac:dyDescent="0.25">
      <c r="A4" s="69"/>
      <c r="B4" t="s">
        <v>43</v>
      </c>
      <c r="C4" t="s">
        <v>46</v>
      </c>
      <c r="D4" t="s">
        <v>120</v>
      </c>
      <c r="E4" s="25">
        <v>45058</v>
      </c>
      <c r="F4" s="25">
        <v>45089</v>
      </c>
      <c r="G4" s="25">
        <v>45090</v>
      </c>
      <c r="H4" s="25">
        <v>45095</v>
      </c>
      <c r="I4" s="25">
        <v>45091</v>
      </c>
      <c r="J4" s="115">
        <v>45095</v>
      </c>
      <c r="K4" s="25">
        <v>45095</v>
      </c>
      <c r="L4" s="115">
        <v>45112</v>
      </c>
      <c r="M4" s="25">
        <v>45135</v>
      </c>
      <c r="N4" s="26">
        <f>G4-E4</f>
        <v>32</v>
      </c>
      <c r="O4">
        <f>H4-G4</f>
        <v>5</v>
      </c>
      <c r="P4">
        <f>K4-G4</f>
        <v>5</v>
      </c>
      <c r="Q4" s="115">
        <f>L4-G4</f>
        <v>22</v>
      </c>
      <c r="R4">
        <f>M4-G4</f>
        <v>45</v>
      </c>
      <c r="S4" s="27">
        <v>68</v>
      </c>
      <c r="T4" s="27">
        <f t="shared" ref="T4:T5" si="0">S4*R4</f>
        <v>3060</v>
      </c>
      <c r="U4" s="31"/>
      <c r="V4" s="15"/>
      <c r="W4" s="15"/>
      <c r="X4" s="15"/>
    </row>
    <row r="5" spans="1:24" x14ac:dyDescent="0.25">
      <c r="A5" s="78"/>
      <c r="B5" t="s">
        <v>43</v>
      </c>
      <c r="C5" t="s">
        <v>47</v>
      </c>
      <c r="D5" t="s">
        <v>120</v>
      </c>
      <c r="E5" s="25">
        <v>45056</v>
      </c>
      <c r="F5" s="25">
        <v>45088</v>
      </c>
      <c r="G5" s="25">
        <v>45090</v>
      </c>
      <c r="H5" s="25">
        <v>45096</v>
      </c>
      <c r="I5" s="25">
        <v>45092</v>
      </c>
      <c r="J5" s="115">
        <v>45096</v>
      </c>
      <c r="K5" s="25">
        <v>45096</v>
      </c>
      <c r="L5" s="115">
        <v>45108</v>
      </c>
      <c r="M5" s="25">
        <v>45139</v>
      </c>
      <c r="N5" s="26">
        <f>G5-E5</f>
        <v>34</v>
      </c>
      <c r="O5" s="26">
        <f>H5-G5</f>
        <v>6</v>
      </c>
      <c r="P5" s="26">
        <f>K5-G5</f>
        <v>6</v>
      </c>
      <c r="Q5" s="115">
        <f>L5-G5</f>
        <v>18</v>
      </c>
      <c r="R5" s="26">
        <f>M5-G5</f>
        <v>49</v>
      </c>
      <c r="S5" s="27">
        <v>69</v>
      </c>
      <c r="T5" s="27">
        <f t="shared" si="0"/>
        <v>3381</v>
      </c>
      <c r="U5" s="31"/>
      <c r="V5" s="15"/>
      <c r="W5" s="15"/>
      <c r="X5" s="15"/>
    </row>
    <row r="6" spans="1:24" s="29" customFormat="1" x14ac:dyDescent="0.25">
      <c r="A6" s="70" t="s">
        <v>79</v>
      </c>
      <c r="B6" s="32"/>
      <c r="C6" s="32"/>
      <c r="D6" s="32"/>
      <c r="E6" s="33"/>
      <c r="F6" s="33"/>
      <c r="G6" s="33"/>
      <c r="H6" s="33"/>
      <c r="I6" s="33"/>
      <c r="J6" s="116"/>
      <c r="K6" s="33"/>
      <c r="L6" s="116"/>
      <c r="M6" s="33"/>
      <c r="N6" s="34">
        <f t="shared" ref="N6:T6" si="1">AVERAGE(N3:N5)</f>
        <v>33.333333333333336</v>
      </c>
      <c r="O6" s="34">
        <f t="shared" si="1"/>
        <v>5.333333333333333</v>
      </c>
      <c r="P6" s="34">
        <f t="shared" si="1"/>
        <v>4.666666666666667</v>
      </c>
      <c r="Q6" s="116">
        <f t="shared" si="1"/>
        <v>19.333333333333332</v>
      </c>
      <c r="R6" s="34">
        <f t="shared" si="1"/>
        <v>46.333333333333336</v>
      </c>
      <c r="S6" s="35">
        <f t="shared" si="1"/>
        <v>68</v>
      </c>
      <c r="T6" s="35">
        <f t="shared" si="1"/>
        <v>3152</v>
      </c>
      <c r="U6" s="36"/>
      <c r="V6" s="15"/>
      <c r="W6" s="15"/>
      <c r="X6" s="15"/>
    </row>
    <row r="7" spans="1:24" x14ac:dyDescent="0.25">
      <c r="A7" s="77" t="s">
        <v>48</v>
      </c>
      <c r="B7" t="s">
        <v>43</v>
      </c>
      <c r="C7" t="s">
        <v>49</v>
      </c>
      <c r="D7" t="s">
        <v>120</v>
      </c>
      <c r="E7" s="25">
        <v>45056</v>
      </c>
      <c r="F7" s="25">
        <v>45088</v>
      </c>
      <c r="G7" s="25">
        <v>45090</v>
      </c>
      <c r="H7" s="25">
        <v>45095</v>
      </c>
      <c r="I7" s="25">
        <v>45090</v>
      </c>
      <c r="J7" s="115">
        <v>45096</v>
      </c>
      <c r="K7" s="25">
        <v>45097</v>
      </c>
      <c r="L7" s="115">
        <v>45108</v>
      </c>
      <c r="M7" s="25">
        <v>45135</v>
      </c>
      <c r="N7" s="26">
        <f>G7-E7</f>
        <v>34</v>
      </c>
      <c r="O7" s="26">
        <f>H7-G7</f>
        <v>5</v>
      </c>
      <c r="P7" s="26">
        <f>K7-G7</f>
        <v>7</v>
      </c>
      <c r="Q7" s="115">
        <f>L7-G7</f>
        <v>18</v>
      </c>
      <c r="R7" s="26">
        <f>M7-G7</f>
        <v>45</v>
      </c>
      <c r="S7" s="27">
        <v>67</v>
      </c>
      <c r="T7" s="27">
        <f>S7*R7</f>
        <v>3015</v>
      </c>
      <c r="U7" s="31"/>
      <c r="V7" s="15"/>
      <c r="W7" s="15"/>
      <c r="X7" s="15"/>
    </row>
    <row r="8" spans="1:24" x14ac:dyDescent="0.25">
      <c r="A8" s="69"/>
      <c r="B8" t="s">
        <v>43</v>
      </c>
      <c r="C8" t="s">
        <v>50</v>
      </c>
      <c r="D8" t="s">
        <v>120</v>
      </c>
      <c r="E8" s="25">
        <v>45058</v>
      </c>
      <c r="F8" s="25">
        <v>45089</v>
      </c>
      <c r="G8" s="25">
        <v>45090</v>
      </c>
      <c r="H8" s="25">
        <v>45095</v>
      </c>
      <c r="I8" s="25">
        <v>45090</v>
      </c>
      <c r="J8" s="115">
        <v>45100</v>
      </c>
      <c r="K8" s="25">
        <v>45102</v>
      </c>
      <c r="L8" s="115">
        <v>45112</v>
      </c>
      <c r="M8" s="25">
        <v>45135</v>
      </c>
      <c r="N8" s="26">
        <f>G8-E8</f>
        <v>32</v>
      </c>
      <c r="O8" s="26">
        <f>H8-G8</f>
        <v>5</v>
      </c>
      <c r="P8" s="26">
        <f>K8-G8</f>
        <v>12</v>
      </c>
      <c r="Q8" s="115">
        <f>L8-G8</f>
        <v>22</v>
      </c>
      <c r="R8" s="26">
        <f>M8-G8</f>
        <v>45</v>
      </c>
      <c r="S8" s="27">
        <v>65</v>
      </c>
      <c r="T8" s="27">
        <f t="shared" ref="T8:T9" si="2">S8*R8</f>
        <v>2925</v>
      </c>
      <c r="U8" s="31"/>
      <c r="V8" s="15"/>
      <c r="W8" s="15"/>
      <c r="X8" s="15"/>
    </row>
    <row r="9" spans="1:24" ht="15.75" customHeight="1" x14ac:dyDescent="0.25">
      <c r="A9" s="78"/>
      <c r="B9" t="s">
        <v>43</v>
      </c>
      <c r="C9" t="s">
        <v>51</v>
      </c>
      <c r="D9" t="s">
        <v>121</v>
      </c>
      <c r="E9" s="25">
        <v>45056</v>
      </c>
      <c r="F9" s="25">
        <v>45088</v>
      </c>
      <c r="G9" s="25">
        <v>45090</v>
      </c>
      <c r="H9" s="25">
        <v>45096</v>
      </c>
      <c r="I9" s="25">
        <v>45090</v>
      </c>
      <c r="J9" s="115">
        <v>45110</v>
      </c>
      <c r="K9" s="25">
        <v>45112</v>
      </c>
      <c r="L9" s="115">
        <v>45108</v>
      </c>
      <c r="M9" s="25">
        <v>45139</v>
      </c>
      <c r="N9" s="26">
        <f>G9-E9</f>
        <v>34</v>
      </c>
      <c r="O9" s="26">
        <f>H9-G9</f>
        <v>6</v>
      </c>
      <c r="P9" s="26">
        <f>K9-G9</f>
        <v>22</v>
      </c>
      <c r="Q9" s="115">
        <f>L9-G9</f>
        <v>18</v>
      </c>
      <c r="R9" s="26">
        <f>M9-G9</f>
        <v>49</v>
      </c>
      <c r="S9" s="27">
        <v>70</v>
      </c>
      <c r="T9" s="27">
        <f t="shared" si="2"/>
        <v>3430</v>
      </c>
      <c r="U9" s="31"/>
      <c r="V9" s="15"/>
      <c r="W9" s="15"/>
      <c r="X9" s="15"/>
    </row>
    <row r="10" spans="1:24" s="29" customFormat="1" x14ac:dyDescent="0.25">
      <c r="A10" s="70" t="s">
        <v>79</v>
      </c>
      <c r="B10" s="32"/>
      <c r="C10" s="32"/>
      <c r="D10" s="32"/>
      <c r="E10" s="33"/>
      <c r="F10" s="33"/>
      <c r="G10" s="33"/>
      <c r="H10" s="33"/>
      <c r="I10" s="33"/>
      <c r="J10" s="116"/>
      <c r="K10" s="33"/>
      <c r="L10" s="116"/>
      <c r="M10" s="33"/>
      <c r="N10" s="34">
        <f>AVERAGE(N7:N9)</f>
        <v>33.333333333333336</v>
      </c>
      <c r="O10" s="34">
        <f t="shared" ref="O10:T10" si="3">AVERAGE(O7:O9)</f>
        <v>5.333333333333333</v>
      </c>
      <c r="P10" s="34">
        <f t="shared" si="3"/>
        <v>13.666666666666666</v>
      </c>
      <c r="Q10" s="116">
        <f t="shared" si="3"/>
        <v>19.333333333333332</v>
      </c>
      <c r="R10" s="34">
        <f t="shared" si="3"/>
        <v>46.333333333333336</v>
      </c>
      <c r="S10" s="35">
        <f t="shared" si="3"/>
        <v>67.333333333333329</v>
      </c>
      <c r="T10" s="35">
        <f t="shared" si="3"/>
        <v>3123.3333333333335</v>
      </c>
      <c r="U10" s="36"/>
      <c r="V10" s="15"/>
      <c r="W10" s="15"/>
      <c r="X10" s="15"/>
    </row>
    <row r="11" spans="1:24" x14ac:dyDescent="0.25">
      <c r="A11" s="77" t="s">
        <v>52</v>
      </c>
      <c r="B11" t="s">
        <v>43</v>
      </c>
      <c r="C11" t="s">
        <v>53</v>
      </c>
      <c r="D11" t="s">
        <v>120</v>
      </c>
      <c r="E11" s="25">
        <v>45056</v>
      </c>
      <c r="F11" s="25">
        <v>45088</v>
      </c>
      <c r="G11" s="25">
        <v>45090</v>
      </c>
      <c r="H11" s="25">
        <v>45095</v>
      </c>
      <c r="I11" s="25">
        <v>45090</v>
      </c>
      <c r="J11" s="115">
        <v>45126</v>
      </c>
      <c r="K11" s="25">
        <v>45127</v>
      </c>
      <c r="L11" s="115">
        <v>45108</v>
      </c>
      <c r="M11" s="25">
        <v>45135</v>
      </c>
      <c r="N11" s="26">
        <f>G11-E11</f>
        <v>34</v>
      </c>
      <c r="O11" s="26">
        <f>H11-G11</f>
        <v>5</v>
      </c>
      <c r="P11" s="26">
        <f>K11-G11</f>
        <v>37</v>
      </c>
      <c r="Q11" s="115">
        <f>L11-G11</f>
        <v>18</v>
      </c>
      <c r="R11" s="26">
        <f>M11-G11</f>
        <v>45</v>
      </c>
      <c r="S11" s="27">
        <v>71.5</v>
      </c>
      <c r="T11" s="27">
        <f>S11*R11</f>
        <v>3217.5</v>
      </c>
      <c r="U11" s="31"/>
      <c r="V11" s="15"/>
      <c r="W11" s="15"/>
      <c r="X11" s="15"/>
    </row>
    <row r="12" spans="1:24" x14ac:dyDescent="0.25">
      <c r="A12" s="69"/>
      <c r="B12" t="s">
        <v>43</v>
      </c>
      <c r="C12" t="s">
        <v>54</v>
      </c>
      <c r="D12" t="s">
        <v>120</v>
      </c>
      <c r="E12" s="25">
        <v>45058</v>
      </c>
      <c r="F12" s="25">
        <v>45089</v>
      </c>
      <c r="G12" s="25">
        <v>45090</v>
      </c>
      <c r="H12" s="25">
        <v>45095</v>
      </c>
      <c r="I12" s="25">
        <v>45090</v>
      </c>
      <c r="J12" s="115">
        <v>45124</v>
      </c>
      <c r="K12" s="25">
        <v>45125</v>
      </c>
      <c r="L12" s="115">
        <v>45112</v>
      </c>
      <c r="M12" s="25">
        <v>45135</v>
      </c>
      <c r="N12" s="26">
        <f>G12-E12</f>
        <v>32</v>
      </c>
      <c r="O12" s="26">
        <f>H12-G12</f>
        <v>5</v>
      </c>
      <c r="P12" s="26">
        <f>K12-G12</f>
        <v>35</v>
      </c>
      <c r="Q12" s="115">
        <f>L12-G12</f>
        <v>22</v>
      </c>
      <c r="R12" s="26">
        <f>M12-G12</f>
        <v>45</v>
      </c>
      <c r="S12" s="27">
        <v>70</v>
      </c>
      <c r="T12" s="27">
        <f t="shared" ref="T12:T13" si="4">S12*R12</f>
        <v>3150</v>
      </c>
      <c r="U12" s="28" t="s">
        <v>55</v>
      </c>
      <c r="V12" s="15"/>
      <c r="W12" s="15"/>
      <c r="X12" s="15"/>
    </row>
    <row r="13" spans="1:24" x14ac:dyDescent="0.25">
      <c r="A13" s="78"/>
      <c r="B13" t="s">
        <v>43</v>
      </c>
      <c r="C13" t="s">
        <v>56</v>
      </c>
      <c r="D13" t="s">
        <v>120</v>
      </c>
      <c r="E13" s="25">
        <v>45056</v>
      </c>
      <c r="F13" s="25">
        <v>45088</v>
      </c>
      <c r="G13" s="25">
        <v>45090</v>
      </c>
      <c r="H13" s="25">
        <v>45096</v>
      </c>
      <c r="I13" s="25">
        <v>45090</v>
      </c>
      <c r="J13" s="115">
        <v>45134</v>
      </c>
      <c r="K13" s="25">
        <v>45137</v>
      </c>
      <c r="L13" s="115">
        <v>45108</v>
      </c>
      <c r="M13" s="25">
        <v>45139</v>
      </c>
      <c r="N13" s="26">
        <f>G13-E13</f>
        <v>34</v>
      </c>
      <c r="O13" s="26">
        <f>H13-G13</f>
        <v>6</v>
      </c>
      <c r="P13" s="26">
        <f>K13-G13</f>
        <v>47</v>
      </c>
      <c r="Q13" s="115">
        <f>L13-G13</f>
        <v>18</v>
      </c>
      <c r="R13" s="26">
        <f>M13-G13</f>
        <v>49</v>
      </c>
      <c r="S13" s="27">
        <v>75</v>
      </c>
      <c r="T13" s="27">
        <f t="shared" si="4"/>
        <v>3675</v>
      </c>
      <c r="U13" s="28" t="s">
        <v>55</v>
      </c>
      <c r="V13" s="15"/>
      <c r="W13" s="15"/>
      <c r="X13" s="15"/>
    </row>
    <row r="14" spans="1:24" s="29" customFormat="1" x14ac:dyDescent="0.25">
      <c r="A14" s="70" t="s">
        <v>79</v>
      </c>
      <c r="B14" s="32"/>
      <c r="C14" s="32"/>
      <c r="D14" s="32"/>
      <c r="E14" s="37"/>
      <c r="F14" s="37"/>
      <c r="G14" s="37"/>
      <c r="H14" s="37"/>
      <c r="I14" s="37"/>
      <c r="J14" s="117"/>
      <c r="K14" s="37"/>
      <c r="L14" s="117"/>
      <c r="M14" s="37"/>
      <c r="N14" s="34">
        <f>AVERAGE(N11:N13)</f>
        <v>33.333333333333336</v>
      </c>
      <c r="O14" s="34">
        <f t="shared" ref="O14:T14" si="5">AVERAGE(O11:O13)</f>
        <v>5.333333333333333</v>
      </c>
      <c r="P14" s="34">
        <f t="shared" si="5"/>
        <v>39.666666666666664</v>
      </c>
      <c r="Q14" s="117">
        <f t="shared" si="5"/>
        <v>19.333333333333332</v>
      </c>
      <c r="R14" s="34">
        <f t="shared" si="5"/>
        <v>46.333333333333336</v>
      </c>
      <c r="S14" s="35">
        <f t="shared" si="5"/>
        <v>72.166666666666671</v>
      </c>
      <c r="T14" s="35">
        <f t="shared" si="5"/>
        <v>3347.5</v>
      </c>
      <c r="U14" s="36"/>
      <c r="V14" s="15"/>
      <c r="W14" s="15"/>
      <c r="X14" s="15"/>
    </row>
    <row r="15" spans="1:24" s="29" customFormat="1" x14ac:dyDescent="0.25">
      <c r="A15" s="80" t="s">
        <v>88</v>
      </c>
      <c r="B15" s="38"/>
      <c r="C15" s="38"/>
      <c r="D15" s="38"/>
      <c r="E15" s="39"/>
      <c r="F15" s="39"/>
      <c r="G15" s="39"/>
      <c r="H15" s="39"/>
      <c r="I15" s="39"/>
      <c r="J15" s="118"/>
      <c r="K15" s="39"/>
      <c r="L15" s="118"/>
      <c r="M15" s="39"/>
      <c r="N15" s="40">
        <f>AVERAGE(N11:N13:N3:N5,N7:N9)</f>
        <v>33.333333333333336</v>
      </c>
      <c r="O15" s="40">
        <f>AVERAGE(O11:O13:O3:O5,O7:O9)</f>
        <v>5.333333333333333</v>
      </c>
      <c r="P15" s="40">
        <f>AVERAGE(P11:P13:P3:P5,P7:P9)</f>
        <v>16.666666666666668</v>
      </c>
      <c r="Q15" s="118">
        <f>AVERAGE(Q11:Q13:Q3:Q5,Q7:Q9)</f>
        <v>19.333333333333332</v>
      </c>
      <c r="R15" s="40">
        <f>AVERAGE(R11:R13:R3:R5,R7:R9)</f>
        <v>46.333333333333336</v>
      </c>
      <c r="S15" s="41">
        <f>AVERAGE(S11:S13:S3:S5,S7:S9)</f>
        <v>68.55952380952381</v>
      </c>
      <c r="T15" s="41">
        <f>AVERAGE(T11:T13:T3:T5,T7:T9)</f>
        <v>3179.5595238095234</v>
      </c>
      <c r="U15" s="42"/>
      <c r="V15" s="15"/>
      <c r="W15" s="15"/>
      <c r="X15" s="15"/>
    </row>
    <row r="16" spans="1:24" x14ac:dyDescent="0.25">
      <c r="A16" s="51"/>
      <c r="E16" s="43"/>
      <c r="F16" s="43"/>
      <c r="G16" s="43"/>
      <c r="H16" s="43"/>
      <c r="I16" s="43"/>
      <c r="J16" s="119"/>
      <c r="K16" s="43"/>
      <c r="L16" s="119"/>
      <c r="M16" s="43"/>
      <c r="N16" s="44"/>
      <c r="O16" s="44"/>
      <c r="P16" s="44"/>
      <c r="Q16" s="119"/>
      <c r="R16" s="44"/>
      <c r="S16" s="27"/>
      <c r="T16" s="27"/>
      <c r="U16" s="45"/>
      <c r="V16" s="15"/>
      <c r="W16" s="15"/>
      <c r="X16" s="15"/>
    </row>
    <row r="17" spans="1:24" s="68" customFormat="1" x14ac:dyDescent="0.25">
      <c r="L17" s="120"/>
      <c r="Q17" s="120"/>
      <c r="V17" s="15"/>
      <c r="W17" s="15"/>
      <c r="X17" s="15"/>
    </row>
    <row r="18" spans="1:24" x14ac:dyDescent="0.25">
      <c r="A18" s="51"/>
      <c r="B18" s="46"/>
      <c r="E18" s="44"/>
      <c r="F18" s="44"/>
      <c r="G18" s="44"/>
      <c r="H18" s="44"/>
      <c r="I18" s="44"/>
      <c r="J18" s="44"/>
      <c r="K18" s="44"/>
      <c r="L18" s="121"/>
      <c r="M18" s="44"/>
      <c r="N18" s="44"/>
      <c r="O18" s="44"/>
      <c r="P18" s="44"/>
      <c r="Q18" s="121"/>
      <c r="R18" s="44"/>
      <c r="S18" s="27"/>
      <c r="T18" s="27"/>
      <c r="U18" s="45"/>
      <c r="V18" s="15"/>
      <c r="W18" s="15"/>
      <c r="X18" s="15"/>
    </row>
    <row r="19" spans="1:24" x14ac:dyDescent="0.25">
      <c r="A19" s="51"/>
      <c r="B19" s="47"/>
      <c r="E19" s="44"/>
      <c r="F19" s="44"/>
      <c r="G19" s="44"/>
      <c r="H19" s="44"/>
      <c r="I19" s="44"/>
      <c r="J19" s="44"/>
      <c r="K19" s="44"/>
      <c r="L19" s="121"/>
      <c r="M19" s="44"/>
      <c r="N19" s="44"/>
      <c r="O19" s="44"/>
      <c r="P19" s="44"/>
      <c r="Q19" s="121"/>
      <c r="R19" s="44"/>
      <c r="S19" s="27"/>
      <c r="T19" s="27"/>
      <c r="U19" s="45"/>
      <c r="V19" s="15"/>
      <c r="W19" s="15"/>
      <c r="X19" s="15"/>
    </row>
    <row r="20" spans="1:24" x14ac:dyDescent="0.25">
      <c r="A20" s="51"/>
      <c r="V20" s="15"/>
      <c r="W20" s="15"/>
      <c r="X20" s="15"/>
    </row>
    <row r="21" spans="1:24" x14ac:dyDescent="0.25">
      <c r="A21" s="51"/>
      <c r="V21" s="15"/>
      <c r="W21" s="15"/>
      <c r="X21" s="15"/>
    </row>
    <row r="22" spans="1:24" x14ac:dyDescent="0.25">
      <c r="V22" s="15"/>
      <c r="W22" s="15"/>
      <c r="X22" s="15"/>
    </row>
  </sheetData>
  <pageMargins left="0.7" right="0.7" top="0.75" bottom="0.75" header="0.3" footer="0.3"/>
  <ignoredErrors>
    <ignoredError sqref="N6:T6 N10:T10"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04486-9E8F-4246-A181-579466F7CC66}">
  <dimension ref="B1:AF60"/>
  <sheetViews>
    <sheetView workbookViewId="0">
      <selection activeCell="AD26" sqref="AD26"/>
    </sheetView>
  </sheetViews>
  <sheetFormatPr defaultRowHeight="15" x14ac:dyDescent="0.25"/>
  <cols>
    <col min="1" max="1" width="4.5703125" style="1" customWidth="1"/>
    <col min="2" max="2" width="5" style="1" customWidth="1"/>
    <col min="3" max="3" width="4.85546875" style="94" customWidth="1"/>
    <col min="4" max="4" width="9.140625" style="1"/>
    <col min="5" max="5" width="3" style="1" customWidth="1"/>
    <col min="6" max="6" width="9.140625" style="1"/>
    <col min="7" max="7" width="3" style="1" customWidth="1"/>
    <col min="8" max="8" width="9.140625" style="1"/>
    <col min="9" max="9" width="3" style="1" customWidth="1"/>
    <col min="10" max="10" width="9.140625" style="1"/>
    <col min="11" max="11" width="3.85546875" style="1" customWidth="1"/>
    <col min="12" max="12" width="1.85546875" style="1" customWidth="1"/>
    <col min="13" max="13" width="2.7109375" style="1" customWidth="1"/>
    <col min="14" max="14" width="5.5703125" style="1" customWidth="1"/>
    <col min="15" max="15" width="4.5703125" style="1" customWidth="1"/>
    <col min="16" max="16" width="9.140625" style="1"/>
    <col min="17" max="17" width="4.5703125" style="1" customWidth="1"/>
    <col min="18" max="18" width="9.140625" style="1"/>
    <col min="19" max="19" width="4.5703125" style="1" customWidth="1"/>
    <col min="20" max="20" width="9.140625" style="1"/>
    <col min="21" max="21" width="4.5703125" style="1" customWidth="1"/>
    <col min="22" max="22" width="9.140625" style="1"/>
    <col min="23" max="23" width="4.5703125" style="1" customWidth="1"/>
    <col min="24" max="24" width="2" style="1" customWidth="1"/>
    <col min="25" max="25" width="19.28515625" style="1" bestFit="1" customWidth="1"/>
    <col min="26" max="26" width="1.5703125" style="1" customWidth="1"/>
    <col min="27" max="27" width="7.85546875" style="1" customWidth="1"/>
    <col min="28" max="28" width="38.28515625" style="1" customWidth="1"/>
    <col min="29" max="16384" width="9.140625" style="1"/>
  </cols>
  <sheetData>
    <row r="1" spans="2:32" s="14" customFormat="1" x14ac:dyDescent="0.25">
      <c r="C1" s="88"/>
    </row>
    <row r="2" spans="2:32" s="14" customFormat="1" ht="23.25" customHeight="1" x14ac:dyDescent="0.25">
      <c r="B2" s="130"/>
      <c r="C2" s="131"/>
      <c r="D2" s="142" t="s">
        <v>20</v>
      </c>
      <c r="E2" s="142"/>
      <c r="F2" s="142"/>
      <c r="G2" s="142"/>
      <c r="H2" s="142"/>
      <c r="I2" s="142"/>
      <c r="J2" s="142"/>
      <c r="K2" s="132"/>
      <c r="N2" s="130"/>
      <c r="O2" s="131"/>
      <c r="P2" s="142" t="s">
        <v>19</v>
      </c>
      <c r="Q2" s="142"/>
      <c r="R2" s="142"/>
      <c r="S2" s="142"/>
      <c r="T2" s="142"/>
      <c r="U2" s="142"/>
      <c r="V2" s="142"/>
      <c r="W2" s="129"/>
      <c r="X2" s="129"/>
      <c r="Y2" s="129"/>
      <c r="Z2" s="132"/>
      <c r="AB2" s="139" t="s">
        <v>122</v>
      </c>
      <c r="AC2" s="134"/>
      <c r="AD2" s="134"/>
      <c r="AE2" s="134"/>
      <c r="AF2" s="134"/>
    </row>
    <row r="3" spans="2:32" x14ac:dyDescent="0.25">
      <c r="B3" s="3"/>
      <c r="D3" s="4"/>
      <c r="E3" s="4"/>
      <c r="F3" s="4"/>
      <c r="G3" s="4"/>
      <c r="H3" s="4"/>
      <c r="I3" s="4"/>
      <c r="J3" s="4"/>
      <c r="K3" s="6"/>
      <c r="L3" s="14"/>
      <c r="N3" s="3"/>
      <c r="O3" s="94"/>
      <c r="P3" s="4"/>
      <c r="Q3" s="4"/>
      <c r="R3" s="4"/>
      <c r="S3" s="4"/>
      <c r="T3" s="4"/>
      <c r="U3" s="4"/>
      <c r="V3" s="4"/>
      <c r="W3" s="4"/>
      <c r="X3" s="4"/>
      <c r="Y3" s="4"/>
      <c r="Z3" s="6"/>
      <c r="AB3" s="139"/>
      <c r="AC3" s="134"/>
      <c r="AD3" s="134"/>
      <c r="AE3" s="134"/>
      <c r="AF3" s="134"/>
    </row>
    <row r="4" spans="2:32" x14ac:dyDescent="0.25">
      <c r="B4" s="140" t="s">
        <v>94</v>
      </c>
      <c r="C4" s="94">
        <v>30</v>
      </c>
      <c r="D4" s="4"/>
      <c r="E4" s="4"/>
      <c r="G4" s="4"/>
      <c r="H4" s="86"/>
      <c r="I4" s="4"/>
      <c r="J4" s="4"/>
      <c r="K4" s="5"/>
      <c r="L4" s="14"/>
      <c r="N4" s="140" t="s">
        <v>94</v>
      </c>
      <c r="O4" s="94">
        <v>30</v>
      </c>
      <c r="P4" s="4"/>
      <c r="Q4" s="4"/>
      <c r="S4" s="4"/>
      <c r="T4" s="86"/>
      <c r="U4" s="4"/>
      <c r="V4" s="4"/>
      <c r="W4" s="4"/>
      <c r="X4" s="87"/>
      <c r="Y4" s="88" t="s">
        <v>92</v>
      </c>
      <c r="Z4" s="5"/>
      <c r="AB4" s="139"/>
      <c r="AC4" s="134"/>
      <c r="AD4" s="134"/>
      <c r="AE4" s="134"/>
      <c r="AF4" s="134"/>
    </row>
    <row r="5" spans="2:32" x14ac:dyDescent="0.25">
      <c r="B5" s="140"/>
      <c r="D5" s="89"/>
      <c r="E5" s="89"/>
      <c r="F5" s="90"/>
      <c r="G5" s="89"/>
      <c r="H5" s="90"/>
      <c r="I5" s="4"/>
      <c r="J5" s="4"/>
      <c r="K5" s="5"/>
      <c r="L5" s="14"/>
      <c r="N5" s="140"/>
      <c r="O5" s="94"/>
      <c r="P5" s="89"/>
      <c r="Q5" s="89"/>
      <c r="R5" s="90"/>
      <c r="S5" s="89"/>
      <c r="T5" s="90"/>
      <c r="U5" s="4"/>
      <c r="V5" s="4"/>
      <c r="W5" s="4"/>
      <c r="X5" s="91"/>
      <c r="Y5" s="88" t="s">
        <v>93</v>
      </c>
      <c r="Z5" s="5"/>
      <c r="AB5" s="139"/>
      <c r="AC5" s="134"/>
      <c r="AD5" s="134"/>
      <c r="AE5" s="134"/>
      <c r="AF5" s="134"/>
    </row>
    <row r="6" spans="2:32" x14ac:dyDescent="0.25">
      <c r="B6" s="140"/>
      <c r="C6" s="94">
        <v>20</v>
      </c>
      <c r="D6" s="90"/>
      <c r="E6" s="89"/>
      <c r="F6" s="90"/>
      <c r="G6" s="89"/>
      <c r="H6" s="90"/>
      <c r="I6" s="89"/>
      <c r="J6" s="89"/>
      <c r="K6" s="5"/>
      <c r="L6" s="14"/>
      <c r="N6" s="140"/>
      <c r="O6" s="94">
        <v>20</v>
      </c>
      <c r="P6" s="90"/>
      <c r="Q6" s="89"/>
      <c r="R6" s="90"/>
      <c r="S6" s="89"/>
      <c r="T6" s="90"/>
      <c r="U6" s="89"/>
      <c r="V6" s="89"/>
      <c r="W6" s="4"/>
      <c r="X6" s="89"/>
      <c r="Y6" s="89"/>
      <c r="Z6" s="5"/>
      <c r="AB6" s="139"/>
      <c r="AC6" s="134"/>
      <c r="AD6" s="134"/>
      <c r="AE6" s="134"/>
      <c r="AF6" s="134"/>
    </row>
    <row r="7" spans="2:32" x14ac:dyDescent="0.25">
      <c r="B7" s="140"/>
      <c r="D7" s="90"/>
      <c r="E7" s="89"/>
      <c r="F7" s="90"/>
      <c r="G7" s="89"/>
      <c r="H7" s="90"/>
      <c r="I7" s="89"/>
      <c r="J7" s="89"/>
      <c r="K7" s="5"/>
      <c r="L7" s="14"/>
      <c r="N7" s="140"/>
      <c r="O7" s="94"/>
      <c r="P7" s="90"/>
      <c r="Q7" s="89"/>
      <c r="R7" s="90"/>
      <c r="S7" s="89"/>
      <c r="T7" s="90"/>
      <c r="U7" s="89"/>
      <c r="V7" s="89"/>
      <c r="W7" s="4"/>
      <c r="X7" s="89"/>
      <c r="Y7" s="89"/>
      <c r="Z7" s="5"/>
      <c r="AB7" s="139"/>
      <c r="AC7" s="134"/>
      <c r="AD7" s="134"/>
      <c r="AE7" s="134"/>
      <c r="AF7" s="134"/>
    </row>
    <row r="8" spans="2:32" x14ac:dyDescent="0.25">
      <c r="B8" s="140"/>
      <c r="C8" s="94">
        <v>10</v>
      </c>
      <c r="D8" s="90"/>
      <c r="E8" s="89"/>
      <c r="F8" s="90"/>
      <c r="G8" s="89"/>
      <c r="H8" s="90"/>
      <c r="I8" s="89"/>
      <c r="J8" s="89"/>
      <c r="K8" s="5"/>
      <c r="L8" s="14"/>
      <c r="N8" s="140"/>
      <c r="O8" s="94">
        <v>10</v>
      </c>
      <c r="P8" s="90"/>
      <c r="Q8" s="89"/>
      <c r="R8" s="90"/>
      <c r="S8" s="89"/>
      <c r="T8" s="92"/>
      <c r="U8" s="89"/>
      <c r="V8" s="89"/>
      <c r="W8" s="4"/>
      <c r="X8" s="89"/>
      <c r="Y8" s="89"/>
      <c r="Z8" s="5"/>
      <c r="AB8" s="139"/>
      <c r="AC8" s="134"/>
      <c r="AD8" s="134"/>
      <c r="AE8" s="134"/>
      <c r="AF8" s="134"/>
    </row>
    <row r="9" spans="2:32" x14ac:dyDescent="0.25">
      <c r="B9" s="140"/>
      <c r="D9" s="90"/>
      <c r="F9" s="90"/>
      <c r="H9" s="90"/>
      <c r="J9" s="91"/>
      <c r="K9" s="5"/>
      <c r="L9" s="14"/>
      <c r="N9" s="140"/>
      <c r="O9" s="94"/>
      <c r="P9" s="92"/>
      <c r="R9" s="92"/>
      <c r="T9" s="92"/>
      <c r="V9" s="91"/>
      <c r="W9" s="4"/>
      <c r="X9" s="89"/>
      <c r="Y9" s="89"/>
      <c r="Z9" s="5"/>
      <c r="AB9" s="139"/>
      <c r="AC9" s="134"/>
      <c r="AD9" s="134"/>
      <c r="AE9" s="134"/>
      <c r="AF9" s="134"/>
    </row>
    <row r="10" spans="2:32" x14ac:dyDescent="0.25">
      <c r="B10" s="3"/>
      <c r="D10" s="93">
        <v>45108</v>
      </c>
      <c r="F10" s="93">
        <v>45139</v>
      </c>
      <c r="H10" s="93">
        <v>45170</v>
      </c>
      <c r="J10" s="93">
        <v>45200</v>
      </c>
      <c r="K10" s="5"/>
      <c r="L10" s="14"/>
      <c r="N10" s="3"/>
      <c r="O10" s="94"/>
      <c r="P10" s="93">
        <v>45108</v>
      </c>
      <c r="R10" s="93">
        <v>45139</v>
      </c>
      <c r="T10" s="93">
        <v>45170</v>
      </c>
      <c r="V10" s="93">
        <v>45200</v>
      </c>
      <c r="W10" s="93"/>
      <c r="X10" s="93"/>
      <c r="Y10" s="93"/>
      <c r="Z10" s="5"/>
      <c r="AB10" s="139"/>
      <c r="AC10" s="134"/>
      <c r="AD10" s="134"/>
      <c r="AE10" s="134"/>
      <c r="AF10" s="134"/>
    </row>
    <row r="11" spans="2:32" ht="3.75" customHeight="1" x14ac:dyDescent="0.25">
      <c r="B11" s="7"/>
      <c r="C11" s="95"/>
      <c r="D11" s="8"/>
      <c r="E11" s="8"/>
      <c r="F11" s="8"/>
      <c r="G11" s="8"/>
      <c r="H11" s="8"/>
      <c r="I11" s="8"/>
      <c r="J11" s="8"/>
      <c r="K11" s="9"/>
      <c r="L11" s="14"/>
      <c r="N11" s="7"/>
      <c r="O11" s="95"/>
      <c r="P11" s="8"/>
      <c r="Q11" s="8"/>
      <c r="R11" s="8"/>
      <c r="S11" s="8"/>
      <c r="T11" s="8"/>
      <c r="U11" s="8"/>
      <c r="V11" s="8"/>
      <c r="W11" s="8"/>
      <c r="X11" s="8"/>
      <c r="Y11" s="8"/>
      <c r="Z11" s="9"/>
      <c r="AB11" s="139"/>
      <c r="AC11" s="134"/>
      <c r="AD11" s="134"/>
      <c r="AE11" s="134"/>
      <c r="AF11" s="134"/>
    </row>
    <row r="12" spans="2:32" x14ac:dyDescent="0.25">
      <c r="J12" s="67" t="s">
        <v>86</v>
      </c>
      <c r="L12" s="14"/>
      <c r="O12" s="94"/>
      <c r="V12" s="67" t="s">
        <v>86</v>
      </c>
      <c r="W12" s="67"/>
      <c r="X12" s="67"/>
      <c r="Y12" s="67"/>
      <c r="AB12" s="134"/>
      <c r="AC12" s="134"/>
      <c r="AD12" s="134"/>
      <c r="AE12" s="134"/>
      <c r="AF12" s="134"/>
    </row>
    <row r="13" spans="2:32" ht="6.75" customHeight="1" x14ac:dyDescent="0.25">
      <c r="J13" s="67"/>
      <c r="K13" s="67"/>
      <c r="M13" s="14"/>
      <c r="O13" s="94"/>
      <c r="AB13" s="134"/>
      <c r="AC13" s="134"/>
      <c r="AD13" s="134"/>
      <c r="AE13" s="134"/>
      <c r="AF13" s="134"/>
    </row>
    <row r="14" spans="2:32" ht="21" customHeight="1" x14ac:dyDescent="0.25">
      <c r="B14" s="130"/>
      <c r="C14" s="142" t="s">
        <v>97</v>
      </c>
      <c r="D14" s="142"/>
      <c r="E14" s="142"/>
      <c r="F14" s="142"/>
      <c r="G14" s="142"/>
      <c r="H14" s="142"/>
      <c r="I14" s="142"/>
      <c r="J14" s="142"/>
      <c r="K14" s="132"/>
      <c r="L14" s="67"/>
      <c r="M14" s="14"/>
      <c r="N14" s="130"/>
      <c r="O14" s="131"/>
      <c r="P14" s="142" t="s">
        <v>21</v>
      </c>
      <c r="Q14" s="142"/>
      <c r="R14" s="142"/>
      <c r="S14" s="142"/>
      <c r="T14" s="142"/>
      <c r="U14" s="142"/>
      <c r="V14" s="142"/>
      <c r="W14" s="129"/>
      <c r="X14" s="129"/>
      <c r="Y14" s="129"/>
      <c r="Z14" s="132"/>
      <c r="AB14" s="134"/>
      <c r="AC14" s="134"/>
      <c r="AD14" s="134"/>
      <c r="AE14" s="134"/>
      <c r="AF14" s="134"/>
    </row>
    <row r="15" spans="2:32" x14ac:dyDescent="0.25">
      <c r="B15" s="3"/>
      <c r="D15" s="4"/>
      <c r="E15" s="4"/>
      <c r="F15" s="4"/>
      <c r="G15" s="4"/>
      <c r="H15" s="4"/>
      <c r="I15" s="4"/>
      <c r="J15" s="4"/>
      <c r="K15" s="6"/>
      <c r="L15" s="67"/>
      <c r="M15" s="14"/>
      <c r="N15" s="140" t="s">
        <v>94</v>
      </c>
      <c r="Z15" s="5"/>
      <c r="AB15" s="134"/>
      <c r="AC15" s="134"/>
      <c r="AD15" s="134"/>
      <c r="AE15" s="134"/>
      <c r="AF15" s="134"/>
    </row>
    <row r="16" spans="2:32" x14ac:dyDescent="0.25">
      <c r="B16" s="141" t="s">
        <v>94</v>
      </c>
      <c r="C16" s="94">
        <v>30</v>
      </c>
      <c r="D16" s="4"/>
      <c r="E16" s="4"/>
      <c r="G16" s="4"/>
      <c r="H16" s="86"/>
      <c r="I16" s="4"/>
      <c r="J16" s="4"/>
      <c r="K16" s="5"/>
      <c r="L16" s="67"/>
      <c r="M16" s="14"/>
      <c r="N16" s="140"/>
      <c r="O16" s="94">
        <v>30</v>
      </c>
      <c r="R16" s="4"/>
      <c r="S16" s="4"/>
      <c r="T16" s="90"/>
      <c r="U16" s="4"/>
      <c r="V16" s="4"/>
      <c r="W16" s="4"/>
      <c r="X16" s="4"/>
      <c r="Y16" s="4"/>
      <c r="Z16" s="6"/>
      <c r="AB16" s="134"/>
      <c r="AC16" s="134"/>
      <c r="AD16" s="134"/>
      <c r="AE16" s="134"/>
      <c r="AF16" s="134"/>
    </row>
    <row r="17" spans="2:32" x14ac:dyDescent="0.25">
      <c r="B17" s="141"/>
      <c r="D17" s="89"/>
      <c r="E17" s="89"/>
      <c r="F17" s="90"/>
      <c r="G17" s="89"/>
      <c r="H17" s="90"/>
      <c r="I17" s="4"/>
      <c r="J17" s="4"/>
      <c r="K17" s="5"/>
      <c r="L17" s="67"/>
      <c r="N17" s="140"/>
      <c r="O17" s="94"/>
      <c r="R17" s="90"/>
      <c r="S17" s="89"/>
      <c r="T17" s="90"/>
      <c r="U17" s="89"/>
      <c r="V17" s="89"/>
      <c r="W17" s="4"/>
      <c r="X17" s="87"/>
      <c r="Y17" s="88" t="s">
        <v>92</v>
      </c>
      <c r="Z17" s="5"/>
      <c r="AB17" s="134"/>
      <c r="AC17" s="134"/>
      <c r="AD17" s="134"/>
      <c r="AE17" s="134"/>
      <c r="AF17" s="134"/>
    </row>
    <row r="18" spans="2:32" x14ac:dyDescent="0.25">
      <c r="B18" s="141"/>
      <c r="C18" s="94">
        <v>20</v>
      </c>
      <c r="D18" s="90"/>
      <c r="E18" s="89"/>
      <c r="F18" s="90"/>
      <c r="G18" s="89"/>
      <c r="H18" s="90"/>
      <c r="I18" s="89"/>
      <c r="J18" s="89"/>
      <c r="K18" s="5"/>
      <c r="L18" s="67"/>
      <c r="N18" s="140"/>
      <c r="O18" s="94">
        <v>20</v>
      </c>
      <c r="R18" s="90"/>
      <c r="S18" s="89"/>
      <c r="T18" s="90"/>
      <c r="U18" s="89"/>
      <c r="V18" s="90"/>
      <c r="W18" s="4"/>
      <c r="X18" s="91"/>
      <c r="Y18" s="88" t="s">
        <v>93</v>
      </c>
      <c r="Z18" s="5"/>
      <c r="AB18" s="134"/>
      <c r="AC18" s="134"/>
      <c r="AD18" s="134"/>
      <c r="AE18" s="134"/>
      <c r="AF18" s="134"/>
    </row>
    <row r="19" spans="2:32" x14ac:dyDescent="0.25">
      <c r="B19" s="141"/>
      <c r="D19" s="90"/>
      <c r="E19" s="89"/>
      <c r="F19" s="90"/>
      <c r="G19" s="89"/>
      <c r="H19" s="90"/>
      <c r="I19" s="89"/>
      <c r="J19" s="89"/>
      <c r="K19" s="5"/>
      <c r="L19" s="67"/>
      <c r="N19" s="140"/>
      <c r="O19" s="94"/>
      <c r="R19" s="90"/>
      <c r="S19" s="89"/>
      <c r="T19" s="90"/>
      <c r="U19" s="89"/>
      <c r="V19" s="90"/>
      <c r="W19" s="4"/>
      <c r="X19" s="89"/>
      <c r="Y19" s="89"/>
      <c r="Z19" s="5"/>
      <c r="AB19" s="134"/>
      <c r="AC19" s="134"/>
      <c r="AD19" s="134"/>
      <c r="AE19" s="134"/>
      <c r="AF19" s="134"/>
    </row>
    <row r="20" spans="2:32" x14ac:dyDescent="0.25">
      <c r="B20" s="141"/>
      <c r="C20" s="94">
        <v>10</v>
      </c>
      <c r="D20" s="90"/>
      <c r="E20" s="89"/>
      <c r="F20" s="90"/>
      <c r="G20" s="89"/>
      <c r="H20" s="90"/>
      <c r="I20" s="89"/>
      <c r="J20" s="89"/>
      <c r="K20" s="5"/>
      <c r="L20" s="67"/>
      <c r="N20" s="140"/>
      <c r="O20" s="94">
        <v>10</v>
      </c>
      <c r="R20" s="92"/>
      <c r="S20" s="89"/>
      <c r="T20" s="90"/>
      <c r="U20" s="89"/>
      <c r="V20" s="90"/>
      <c r="W20" s="4"/>
      <c r="X20" s="89"/>
      <c r="Y20" s="89"/>
      <c r="Z20" s="5"/>
      <c r="AB20" s="134"/>
      <c r="AC20" s="134"/>
      <c r="AD20" s="134"/>
      <c r="AE20" s="134"/>
      <c r="AF20" s="134"/>
    </row>
    <row r="21" spans="2:32" x14ac:dyDescent="0.25">
      <c r="B21" s="141"/>
      <c r="D21" s="90"/>
      <c r="F21" s="90"/>
      <c r="H21" s="90"/>
      <c r="J21" s="91"/>
      <c r="K21" s="5"/>
      <c r="L21" s="67"/>
      <c r="N21" s="3"/>
      <c r="O21" s="94"/>
      <c r="P21" s="96"/>
      <c r="R21" s="96"/>
      <c r="T21" s="91"/>
      <c r="V21" s="91"/>
      <c r="W21" s="4"/>
      <c r="X21" s="89"/>
      <c r="Y21" s="89"/>
      <c r="Z21" s="5"/>
      <c r="AB21" s="134"/>
      <c r="AC21" s="134"/>
      <c r="AD21" s="134"/>
      <c r="AE21" s="134"/>
      <c r="AF21" s="134"/>
    </row>
    <row r="22" spans="2:32" x14ac:dyDescent="0.25">
      <c r="B22" s="3"/>
      <c r="D22" s="93">
        <v>45108</v>
      </c>
      <c r="F22" s="93">
        <v>45139</v>
      </c>
      <c r="H22" s="93">
        <v>45170</v>
      </c>
      <c r="J22" s="93">
        <v>45200</v>
      </c>
      <c r="K22" s="5"/>
      <c r="L22" s="67"/>
      <c r="N22" s="3"/>
      <c r="O22" s="94"/>
      <c r="P22" s="93">
        <v>45170</v>
      </c>
      <c r="R22" s="93">
        <v>45200</v>
      </c>
      <c r="T22" s="93">
        <v>45231</v>
      </c>
      <c r="V22" s="93">
        <v>45261</v>
      </c>
      <c r="W22" s="4"/>
      <c r="X22" s="89"/>
      <c r="Y22" s="89"/>
      <c r="Z22" s="5"/>
      <c r="AB22" s="134"/>
      <c r="AC22" s="134"/>
      <c r="AD22" s="134"/>
      <c r="AE22" s="134"/>
      <c r="AF22" s="134"/>
    </row>
    <row r="23" spans="2:32" ht="3.75" customHeight="1" x14ac:dyDescent="0.25">
      <c r="B23" s="7"/>
      <c r="C23" s="95"/>
      <c r="D23" s="8"/>
      <c r="E23" s="8"/>
      <c r="F23" s="8"/>
      <c r="G23" s="8"/>
      <c r="H23" s="8"/>
      <c r="I23" s="8"/>
      <c r="J23" s="8"/>
      <c r="K23" s="9"/>
      <c r="L23" s="67"/>
      <c r="N23" s="7"/>
      <c r="O23" s="8"/>
      <c r="P23" s="8"/>
      <c r="Q23" s="8"/>
      <c r="R23" s="8"/>
      <c r="S23" s="8"/>
      <c r="T23" s="8"/>
      <c r="U23" s="8"/>
      <c r="V23" s="8"/>
      <c r="W23" s="8"/>
      <c r="X23" s="8"/>
      <c r="Y23" s="8"/>
      <c r="Z23" s="9"/>
      <c r="AB23" s="134"/>
      <c r="AC23" s="134"/>
      <c r="AD23" s="134"/>
      <c r="AE23" s="134"/>
      <c r="AF23" s="134"/>
    </row>
    <row r="24" spans="2:32" x14ac:dyDescent="0.25">
      <c r="B24" s="135" t="s">
        <v>123</v>
      </c>
      <c r="J24" s="67" t="s">
        <v>86</v>
      </c>
      <c r="L24" s="67"/>
      <c r="O24" s="94"/>
      <c r="R24" s="67" t="s">
        <v>86</v>
      </c>
      <c r="V24" s="4"/>
      <c r="AB24" s="134"/>
      <c r="AC24" s="134"/>
      <c r="AD24" s="134"/>
      <c r="AE24" s="134"/>
      <c r="AF24" s="134"/>
    </row>
    <row r="25" spans="2:32" ht="6.75" customHeight="1" x14ac:dyDescent="0.25">
      <c r="B25" s="14"/>
      <c r="C25" s="14"/>
      <c r="D25" s="14"/>
      <c r="E25" s="14"/>
      <c r="F25" s="14"/>
      <c r="G25" s="14"/>
      <c r="H25" s="14"/>
      <c r="I25" s="14"/>
      <c r="J25" s="14"/>
      <c r="K25" s="14"/>
      <c r="L25" s="14"/>
      <c r="M25" s="14"/>
      <c r="O25" s="94"/>
      <c r="AB25" s="134"/>
      <c r="AC25" s="134"/>
      <c r="AD25" s="134"/>
      <c r="AE25" s="134"/>
      <c r="AF25" s="134"/>
    </row>
    <row r="26" spans="2:32" ht="24" customHeight="1" x14ac:dyDescent="0.25">
      <c r="N26" s="130"/>
      <c r="O26" s="131"/>
      <c r="P26" s="142" t="s">
        <v>22</v>
      </c>
      <c r="Q26" s="142"/>
      <c r="R26" s="142"/>
      <c r="S26" s="142"/>
      <c r="T26" s="142"/>
      <c r="U26" s="142"/>
      <c r="V26" s="142"/>
      <c r="W26" s="133"/>
      <c r="X26" s="133"/>
      <c r="Y26" s="133"/>
      <c r="Z26" s="132"/>
      <c r="AB26" s="134"/>
      <c r="AC26" s="134"/>
      <c r="AD26" s="134"/>
      <c r="AE26" s="134"/>
      <c r="AF26" s="134"/>
    </row>
    <row r="27" spans="2:32" x14ac:dyDescent="0.25">
      <c r="N27" s="3"/>
      <c r="O27" s="94"/>
      <c r="W27" s="4"/>
      <c r="X27" s="4"/>
      <c r="Y27" s="4"/>
      <c r="Z27" s="11"/>
      <c r="AB27" s="134"/>
      <c r="AC27" s="134"/>
      <c r="AD27" s="134"/>
      <c r="AE27" s="134"/>
      <c r="AF27" s="134"/>
    </row>
    <row r="28" spans="2:32" x14ac:dyDescent="0.25">
      <c r="N28" s="141" t="s">
        <v>94</v>
      </c>
      <c r="O28" s="94">
        <v>30</v>
      </c>
      <c r="P28" s="97"/>
      <c r="Q28" s="97"/>
      <c r="R28" s="100"/>
      <c r="S28" s="97"/>
      <c r="T28" s="97"/>
      <c r="U28" s="97"/>
      <c r="Z28" s="11"/>
      <c r="AB28" s="134"/>
      <c r="AC28" s="134"/>
      <c r="AD28" s="134"/>
      <c r="AE28" s="134"/>
      <c r="AF28" s="134"/>
    </row>
    <row r="29" spans="2:32" x14ac:dyDescent="0.25">
      <c r="N29" s="141"/>
      <c r="O29" s="94"/>
      <c r="P29" s="4"/>
      <c r="Q29" s="4"/>
      <c r="R29" s="101"/>
      <c r="S29" s="4"/>
      <c r="T29" s="4"/>
      <c r="X29" s="105"/>
      <c r="Y29" s="88" t="s">
        <v>95</v>
      </c>
      <c r="Z29" s="12"/>
      <c r="AB29" s="134"/>
      <c r="AC29" s="134"/>
      <c r="AD29" s="134"/>
      <c r="AE29" s="134"/>
      <c r="AF29" s="134"/>
    </row>
    <row r="30" spans="2:32" x14ac:dyDescent="0.25">
      <c r="N30" s="141"/>
      <c r="O30" s="94">
        <v>20</v>
      </c>
      <c r="P30" s="101"/>
      <c r="Q30" s="89"/>
      <c r="R30" s="101"/>
      <c r="S30" s="89"/>
      <c r="T30" s="105"/>
      <c r="X30" s="100"/>
      <c r="Y30" s="88" t="s">
        <v>124</v>
      </c>
      <c r="Z30" s="12"/>
      <c r="AB30" s="134"/>
      <c r="AC30" s="134"/>
      <c r="AD30" s="134"/>
      <c r="AE30" s="134"/>
      <c r="AF30" s="134"/>
    </row>
    <row r="31" spans="2:32" x14ac:dyDescent="0.25">
      <c r="N31" s="141"/>
      <c r="O31" s="94"/>
      <c r="P31" s="99"/>
      <c r="Q31" s="89"/>
      <c r="R31" s="101"/>
      <c r="S31" s="89"/>
      <c r="T31" s="105"/>
      <c r="X31" s="102"/>
      <c r="Y31" s="1" t="s">
        <v>65</v>
      </c>
      <c r="Z31" s="12"/>
      <c r="AB31" s="134"/>
      <c r="AC31" s="134"/>
      <c r="AD31" s="134"/>
      <c r="AE31" s="134"/>
      <c r="AF31" s="134"/>
    </row>
    <row r="32" spans="2:32" x14ac:dyDescent="0.25">
      <c r="N32" s="141"/>
      <c r="O32" s="94">
        <v>10</v>
      </c>
      <c r="P32" s="103"/>
      <c r="Q32" s="89"/>
      <c r="R32" s="99"/>
      <c r="S32" s="89"/>
      <c r="T32" s="100"/>
      <c r="V32" s="106"/>
      <c r="X32" s="98"/>
      <c r="Y32" s="1" t="s">
        <v>73</v>
      </c>
      <c r="Z32" s="12"/>
      <c r="AB32" s="134"/>
      <c r="AC32" s="134"/>
      <c r="AD32" s="134"/>
      <c r="AE32" s="134"/>
      <c r="AF32" s="134"/>
    </row>
    <row r="33" spans="3:32" x14ac:dyDescent="0.25">
      <c r="N33" s="141"/>
      <c r="O33" s="94"/>
      <c r="P33" s="104"/>
      <c r="R33" s="99"/>
      <c r="T33" s="100"/>
      <c r="V33" s="107"/>
      <c r="X33" s="104"/>
      <c r="Y33" s="1" t="s">
        <v>96</v>
      </c>
      <c r="Z33" s="12"/>
      <c r="AB33" s="134"/>
      <c r="AC33" s="134"/>
      <c r="AD33" s="134"/>
      <c r="AE33" s="134"/>
      <c r="AF33" s="134"/>
    </row>
    <row r="34" spans="3:32" x14ac:dyDescent="0.25">
      <c r="N34" s="3"/>
      <c r="P34" s="93">
        <v>45200</v>
      </c>
      <c r="R34" s="93">
        <v>45231</v>
      </c>
      <c r="T34" s="93">
        <v>45261</v>
      </c>
      <c r="V34" s="93">
        <v>45292</v>
      </c>
      <c r="Z34" s="12"/>
      <c r="AB34" s="134"/>
      <c r="AC34" s="134"/>
      <c r="AD34" s="134"/>
      <c r="AE34" s="134"/>
      <c r="AF34" s="134"/>
    </row>
    <row r="35" spans="3:32" ht="3.75" customHeight="1" x14ac:dyDescent="0.25">
      <c r="N35" s="7"/>
      <c r="O35" s="95"/>
      <c r="P35" s="8"/>
      <c r="Q35" s="8"/>
      <c r="R35" s="8"/>
      <c r="S35" s="8"/>
      <c r="T35" s="8"/>
      <c r="U35" s="8"/>
      <c r="V35" s="8"/>
      <c r="W35" s="8"/>
      <c r="X35" s="8"/>
      <c r="Y35" s="8"/>
      <c r="Z35" s="13"/>
      <c r="AB35" s="134"/>
      <c r="AC35" s="134"/>
      <c r="AD35" s="134"/>
      <c r="AE35" s="134"/>
      <c r="AF35" s="134"/>
    </row>
    <row r="36" spans="3:32" x14ac:dyDescent="0.25">
      <c r="O36" s="94"/>
      <c r="P36" s="67" t="s">
        <v>86</v>
      </c>
      <c r="AB36" s="134"/>
      <c r="AC36" s="134"/>
      <c r="AD36" s="134"/>
      <c r="AE36" s="134"/>
      <c r="AF36" s="134"/>
    </row>
    <row r="37" spans="3:32" x14ac:dyDescent="0.25">
      <c r="J37" s="67"/>
      <c r="K37" s="67"/>
      <c r="L37" s="67"/>
      <c r="O37" s="94"/>
      <c r="AB37" s="134"/>
      <c r="AC37" s="134"/>
      <c r="AD37" s="134"/>
      <c r="AE37" s="134"/>
      <c r="AF37" s="134"/>
    </row>
    <row r="38" spans="3:32" s="14" customFormat="1" x14ac:dyDescent="0.25">
      <c r="AB38" s="134"/>
      <c r="AC38" s="134"/>
      <c r="AD38" s="134"/>
      <c r="AE38" s="134"/>
      <c r="AF38" s="134"/>
    </row>
    <row r="39" spans="3:32" x14ac:dyDescent="0.25">
      <c r="C39" s="1"/>
      <c r="AB39" s="134"/>
      <c r="AC39" s="134"/>
      <c r="AD39" s="134"/>
      <c r="AE39" s="134"/>
      <c r="AF39" s="134"/>
    </row>
    <row r="40" spans="3:32" x14ac:dyDescent="0.25">
      <c r="C40" s="1"/>
    </row>
    <row r="41" spans="3:32" ht="15" customHeight="1" x14ac:dyDescent="0.25">
      <c r="C41" s="1"/>
    </row>
    <row r="42" spans="3:32" x14ac:dyDescent="0.25">
      <c r="C42" s="1"/>
    </row>
    <row r="43" spans="3:32" x14ac:dyDescent="0.25">
      <c r="C43" s="1"/>
    </row>
    <row r="44" spans="3:32" x14ac:dyDescent="0.25">
      <c r="C44" s="1"/>
    </row>
    <row r="45" spans="3:32" x14ac:dyDescent="0.25">
      <c r="C45" s="1"/>
    </row>
    <row r="46" spans="3:32" x14ac:dyDescent="0.25">
      <c r="C46" s="1"/>
    </row>
    <row r="47" spans="3:32" x14ac:dyDescent="0.25">
      <c r="C47" s="1"/>
    </row>
    <row r="48" spans="3:32" x14ac:dyDescent="0.25">
      <c r="C48" s="1"/>
    </row>
    <row r="49" spans="3:3" ht="6" customHeight="1" x14ac:dyDescent="0.25">
      <c r="C49" s="1"/>
    </row>
    <row r="50" spans="3:3" s="14" customFormat="1" ht="23.25" customHeight="1" x14ac:dyDescent="0.25"/>
    <row r="51" spans="3:3" x14ac:dyDescent="0.25">
      <c r="C51" s="1"/>
    </row>
    <row r="52" spans="3:3" x14ac:dyDescent="0.25">
      <c r="C52" s="1"/>
    </row>
    <row r="53" spans="3:3" x14ac:dyDescent="0.25">
      <c r="C53" s="1"/>
    </row>
    <row r="54" spans="3:3" x14ac:dyDescent="0.25">
      <c r="C54" s="1"/>
    </row>
    <row r="55" spans="3:3" x14ac:dyDescent="0.25">
      <c r="C55" s="1"/>
    </row>
    <row r="56" spans="3:3" x14ac:dyDescent="0.25">
      <c r="C56" s="1"/>
    </row>
    <row r="57" spans="3:3" x14ac:dyDescent="0.25">
      <c r="C57" s="1"/>
    </row>
    <row r="58" spans="3:3" x14ac:dyDescent="0.25">
      <c r="C58" s="1"/>
    </row>
    <row r="59" spans="3:3" x14ac:dyDescent="0.25">
      <c r="C59" s="1"/>
    </row>
    <row r="60" spans="3:3" x14ac:dyDescent="0.25">
      <c r="C60" s="1"/>
    </row>
  </sheetData>
  <mergeCells count="11">
    <mergeCell ref="AB2:AB11"/>
    <mergeCell ref="B4:B9"/>
    <mergeCell ref="N4:N9"/>
    <mergeCell ref="N15:N20"/>
    <mergeCell ref="N28:N33"/>
    <mergeCell ref="B16:B21"/>
    <mergeCell ref="P26:V26"/>
    <mergeCell ref="P14:V14"/>
    <mergeCell ref="D2:J2"/>
    <mergeCell ref="P2:V2"/>
    <mergeCell ref="C14:J1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F6D76-D32E-4D76-BFAB-32CD41A8FED5}">
  <dimension ref="A1"/>
  <sheetViews>
    <sheetView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4</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7b0e0d2943322bf02f04f37f8f03e4a6">
  <xsd:schema xmlns:xsd="http://www.w3.org/2001/XMLSchema" xmlns:xs="http://www.w3.org/2001/XMLSchema" xmlns:p="http://schemas.microsoft.com/office/2006/metadata/properties" xmlns:ns2="1ffbd5dc-7a64-4097-8396-87f6c90b212f" targetNamespace="http://schemas.microsoft.com/office/2006/metadata/properties" ma:root="true" ma:fieldsID="70f92f2c0dd4bd1a529a0c1def385892"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AC6DFA-00B5-410C-B118-13A72646D6FA}">
  <ds:schemaRefs>
    <ds:schemaRef ds:uri="Microsoft.SharePoint.Taxonomy.ContentTypeSync"/>
  </ds:schemaRefs>
</ds:datastoreItem>
</file>

<file path=customXml/itemProps2.xml><?xml version="1.0" encoding="utf-8"?>
<ds:datastoreItem xmlns:ds="http://schemas.openxmlformats.org/officeDocument/2006/customXml" ds:itemID="{A04E6F63-1F51-4588-A532-663E795BF72E}">
  <ds:schemaRefs>
    <ds:schemaRef ds:uri="http://schemas.microsoft.com/sharepoint/v3/contenttype/forms"/>
  </ds:schemaRefs>
</ds:datastoreItem>
</file>

<file path=customXml/itemProps3.xml><?xml version="1.0" encoding="utf-8"?>
<ds:datastoreItem xmlns:ds="http://schemas.openxmlformats.org/officeDocument/2006/customXml" ds:itemID="{225CD4EF-AA39-4B25-80D3-6A86B98477EF}">
  <ds:schemaRefs>
    <ds:schemaRef ds:uri="http://purl.org/dc/dcmitype/"/>
    <ds:schemaRef ds:uri="1ffbd5dc-7a64-4097-8396-87f6c90b212f"/>
    <ds:schemaRef ds:uri="http://www.w3.org/XML/1998/namespace"/>
    <ds:schemaRef ds:uri="http://schemas.microsoft.com/office/2006/documentManagement/types"/>
    <ds:schemaRef ds:uri="http://purl.org/dc/elements/1.1/"/>
    <ds:schemaRef ds:uri="http://schemas.microsoft.com/office/2006/metadata/properties"/>
    <ds:schemaRef ds:uri="http://purl.org/dc/terms/"/>
    <ds:schemaRef ds:uri="http://schemas.microsoft.com/office/infopath/2007/PartnerControls"/>
    <ds:schemaRef ds:uri="http://schemas.openxmlformats.org/package/2006/metadata/core-properties"/>
  </ds:schemaRefs>
</ds:datastoreItem>
</file>

<file path=customXml/itemProps4.xml><?xml version="1.0" encoding="utf-8"?>
<ds:datastoreItem xmlns:ds="http://schemas.openxmlformats.org/officeDocument/2006/customXml" ds:itemID="{5DE4BBE9-6887-4342-BA43-01FF52FD45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fbd5dc-7a64-4097-8396-87f6c90b21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Grainger Requirements</vt:lpstr>
      <vt:lpstr>Task per Team Report</vt:lpstr>
      <vt:lpstr>Cost of Void Report</vt:lpstr>
      <vt:lpstr>Dashboard</vt:lpstr>
      <vt:lpstr>Sheet1</vt:lpstr>
    </vt:vector>
  </TitlesOfParts>
  <Company>Grainger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Jacob Smycz</dc:creator>
  <cp:lastModifiedBy>Nikki Papenfus</cp:lastModifiedBy>
  <dcterms:created xsi:type="dcterms:W3CDTF">2023-10-18T08:54:19Z</dcterms:created>
  <dcterms:modified xsi:type="dcterms:W3CDTF">2023-10-23T15:23:09Z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y fmtid="{D5CDD505-2E9C-101B-9397-08002B2CF9AE}" pid="7" name="Client_x0020_Project">
    <vt:lpwstr/>
  </property>
</Properties>
</file>