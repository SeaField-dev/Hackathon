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2. Analysis/Information from Client/"/>
    </mc:Choice>
  </mc:AlternateContent>
  <xr:revisionPtr revIDLastSave="35" documentId="8_{C2F709A1-51F2-47B7-97D8-0C0C0D9FE5DE}" xr6:coauthVersionLast="47" xr6:coauthVersionMax="47" xr10:uidLastSave="{7D126FD7-D009-498D-BC02-73512D7D4AC9}"/>
  <bookViews>
    <workbookView xWindow="-120" yWindow="-120" windowWidth="29040" windowHeight="15720" activeTab="1" xr2:uid="{B1E2F3BF-D19A-44C8-A997-A4922F242308}"/>
  </bookViews>
  <sheets>
    <sheet name="Apportioned Schedule in SF" sheetId="3" r:id="rId1"/>
    <sheet name="Apportioned Charge at EoT" sheetId="1" r:id="rId2"/>
    <sheet name="Uplift at Mid Tenanc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D25" i="1"/>
  <c r="E23" i="1"/>
  <c r="E22" i="1"/>
  <c r="F22" i="1"/>
  <c r="B23" i="1"/>
  <c r="B22" i="1"/>
  <c r="D23" i="1"/>
  <c r="D22" i="1"/>
  <c r="C25" i="1"/>
  <c r="C23" i="1"/>
  <c r="C22" i="1"/>
</calcChain>
</file>

<file path=xl/sharedStrings.xml><?xml version="1.0" encoding="utf-8"?>
<sst xmlns="http://schemas.openxmlformats.org/spreadsheetml/2006/main" count="35" uniqueCount="32">
  <si>
    <t>Example - Flat 224, Dibdin House - 317353067003</t>
  </si>
  <si>
    <t>Example - 71 Poppy Apartments - 127483071001</t>
  </si>
  <si>
    <t>Qube charge end date populated as per future vac date - 27/10/23</t>
  </si>
  <si>
    <t>Qube has ran charge based on following calculation:</t>
  </si>
  <si>
    <t xml:space="preserve"> </t>
  </si>
  <si>
    <t>Salesforce collection as per future vac date - 27/10/23</t>
  </si>
  <si>
    <t>Salesforce has collected based on following calculation:</t>
  </si>
  <si>
    <t>Example - 110 Gilders Yard - 222686110001</t>
  </si>
  <si>
    <t>PS had end date of 10/10/2023</t>
  </si>
  <si>
    <t>Qube has ran two apportioned charges based on the old and new rates:</t>
  </si>
  <si>
    <t>(£1,400.00 x 12 Months) / 365 Days x 6 Days = £276.16</t>
  </si>
  <si>
    <t>(£1,463.00 x 12 Months) / 365 Days x 25 Days = £1,202.46</t>
  </si>
  <si>
    <t>(£1,400.00 / 31 Days ) x 6 Days = £270.97</t>
  </si>
  <si>
    <t>(£1,463.00 / 31 Days ) x 25 Days = £1,179.84</t>
  </si>
  <si>
    <t>Scenario: 4.5% Rental uplift effective from anniversary of tenancy start date for 24/36 month tenancies:</t>
  </si>
  <si>
    <t>Scenario: Monthly rent of £1,320.00 due to end during part of a month</t>
  </si>
  <si>
    <t>Scenario: SF calculation for Payment Schedule ending during part of a month</t>
  </si>
  <si>
    <t>Final collection has calculated as:</t>
  </si>
  <si>
    <t>(Monthly Rent / Days in Month) x Days Occupied</t>
  </si>
  <si>
    <t>(Monthly Rent / Days of Month) x Days Occupied</t>
  </si>
  <si>
    <t>(Monthly Rent x 12 Months) / 365 Days x Days Occupied</t>
  </si>
  <si>
    <t>(Monthly Rent x 12 Months) / 365 Days x Days Occupied (at that rent)</t>
  </si>
  <si>
    <t>(Monthly Rent / Days of Month) x Days Occupied (at that rent)</t>
  </si>
  <si>
    <t>Total Collected = £270.97 + £1,179.84 = £1,450.81</t>
  </si>
  <si>
    <t>Total Charged = (1,320 x 12 Months) / 365 Days x 27 Days = £1,171.72</t>
  </si>
  <si>
    <t>Total Collected = (1,320 Months / 31 Days) x 27 Days Occupied = £1,149.68</t>
  </si>
  <si>
    <t>Total Collected = (£1,275.00 / 31 Days) x 10 Days Occupied = £411.29</t>
  </si>
  <si>
    <r>
      <t>Total Charged = £276.16 + £1,202.46 = £1,478.62</t>
    </r>
    <r>
      <rPr>
        <b/>
        <sz val="11"/>
        <color rgb="FFFF0000"/>
        <rFont val="Calibri"/>
        <family val="2"/>
        <scheme val="minor"/>
      </rPr>
      <t>**</t>
    </r>
  </si>
  <si>
    <t>Void 28 Oct -&gt;  6 Nov  = 4/31 + 6/30</t>
  </si>
  <si>
    <t>Qube 's Rent Billing</t>
  </si>
  <si>
    <t xml:space="preserve">1320 x 12/365 x 27 </t>
  </si>
  <si>
    <t xml:space="preserve">1320 x 12/365 x 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</si>
</sst>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£-809]* #,##0.00_-;\-[$£-809]* #,##0.00_-;_-[$£-809]* &quot;-&quot;??_-;_-@_-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1"/>
    </xf>
    <xf numFmtId="0" fontId="1" fillId="2" borderId="0" xfId="0" applyFont="1" applyFill="1" applyAlignment="1">
      <alignment horizontal="left" indent="1"/>
    </xf>
    <xf numFmtId="164" fontId="0" fillId="0" borderId="0" xfId="0" applyNumberFormat="1"/>
    <xf numFmtId="43" fontId="0" fillId="0" borderId="0" xfId="1" applyFont="1"/>
    <xf numFmtId="165" fontId="0" fillId="0" borderId="0" xfId="0" applyNumberFormat="1"/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164" fontId="1" fillId="3" borderId="0" xfId="0" applyNumberFormat="1" applyFont="1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504825</xdr:colOff>
      <xdr:row>0</xdr:row>
      <xdr:rowOff>0</xdr:rowOff>
    </xdr:from>
    <xdr:to>
      <xdr:col>27</xdr:col>
      <xdr:colOff>570730</xdr:colOff>
      <xdr:row>28</xdr:row>
      <xdr:rowOff>56476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4752F4-3F25-BBF9-D8B3-8CB6A2DE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0"/>
          <a:ext cx="6161905" cy="5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123825</xdr:rowOff>
    </xdr:from>
    <xdr:to>
      <xdr:col>17</xdr:col>
      <xdr:colOff>113071</xdr:colOff>
      <xdr:row>23</xdr:row>
      <xdr:rowOff>123349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A0DBB-E25B-881D-321B-92523F8C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4875" y="695325"/>
          <a:ext cx="9828571" cy="38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5</xdr:row>
      <xdr:rowOff>0</xdr:rowOff>
    </xdr:from>
    <xdr:to>
      <xdr:col>19</xdr:col>
      <xdr:colOff>331943</xdr:colOff>
      <xdr:row>7</xdr:row>
      <xdr:rowOff>77549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932BC-208C-756B-8777-95D6D13B4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952500"/>
          <a:ext cx="11266643" cy="4585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4810125</xdr:colOff>
      <xdr:row>5</xdr:row>
      <xdr:rowOff>38100</xdr:rowOff>
    </xdr:from>
    <xdr:to>
      <xdr:col>18</xdr:col>
      <xdr:colOff>398518</xdr:colOff>
      <xdr:row>8</xdr:row>
      <xdr:rowOff>85648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0A6DB-3117-3A9F-3364-C6D46D8F4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990600"/>
          <a:ext cx="12257143" cy="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4857749</xdr:colOff>
      <xdr:row>8</xdr:row>
      <xdr:rowOff>47626</xdr:rowOff>
    </xdr:from>
    <xdr:to>
      <xdr:col>17</xdr:col>
      <xdr:colOff>560162</xdr:colOff>
      <xdr:row>27</xdr:row>
      <xdr:rowOff>121968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665033-8E6A-BBCE-6214-08A885DF3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49" y="1571626"/>
          <a:ext cx="11761563" cy="3693842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</xdr:row>
      <xdr:rowOff>142875</xdr:rowOff>
    </xdr:from>
    <xdr:to>
      <xdr:col>0</xdr:col>
      <xdr:colOff>4705350</xdr:colOff>
      <xdr:row>23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1BE32D-41E8-298A-B8C8-582216084ABC}"/>
            </a:ext>
          </a:extLst>
        </xdr:cNvPr>
        <xdr:cNvSpPr txBox="1"/>
      </xdr:nvSpPr>
      <xdr:spPr>
        <a:xfrm>
          <a:off x="38100" y="3571875"/>
          <a:ext cx="4667250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rgbClr val="FF0000"/>
              </a:solidFill>
            </a:rPr>
            <a:t>**Qube</a:t>
          </a:r>
          <a:r>
            <a:rPr lang="en-GB" sz="1100" b="1" baseline="0">
              <a:solidFill>
                <a:srgbClr val="FF0000"/>
              </a:solidFill>
            </a:rPr>
            <a:t> calculations for the apportioned month total charges of £1,478.62.</a:t>
          </a:r>
          <a:br>
            <a:rPr lang="en-GB" sz="1100" b="1" baseline="0">
              <a:solidFill>
                <a:srgbClr val="FF0000"/>
              </a:solidFill>
            </a:rPr>
          </a:br>
          <a:r>
            <a:rPr lang="en-GB" sz="1100" b="1" baseline="0">
              <a:solidFill>
                <a:srgbClr val="FF0000"/>
              </a:solidFill>
            </a:rPr>
            <a:t>Rent was increasing from £1,400.00 to £1,463.00 - Qube has calculated a total higher than both old and new rent, therefore SF Calculations may make more sense basing it on day's of month rather than 365 days of year?</a:t>
          </a:r>
        </a:p>
        <a:p>
          <a:endParaRPr lang="en-GB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50E2-0D59-451B-BA97-B2964D02315D}">
  <dimension ref="A2:A23"/>
  <sheetViews>
    <sheetView workbookViewId="0">
      <selection activeCell="A29" sqref="A29"/>
    </sheetView>
  </sheetViews>
  <sheetFormatPr defaultRowHeight="15" x14ac:dyDescent="0.25"/>
  <cols>
    <col min="1" max="1" width="70.140625" bestFit="1" customWidth="1"/>
  </cols>
  <sheetData>
    <row r="2" spans="1:1" x14ac:dyDescent="0.25">
      <c r="A2" s="1" t="s">
        <v>7</v>
      </c>
    </row>
    <row r="3" spans="1:1" x14ac:dyDescent="0.25">
      <c r="A3" t="s">
        <v>16</v>
      </c>
    </row>
    <row r="5" spans="1:1" x14ac:dyDescent="0.25">
      <c r="A5" t="s">
        <v>8</v>
      </c>
    </row>
    <row r="6" spans="1:1" x14ac:dyDescent="0.25">
      <c r="A6" t="s">
        <v>17</v>
      </c>
    </row>
    <row r="7" spans="1:1" x14ac:dyDescent="0.25">
      <c r="A7" s="3" t="s">
        <v>18</v>
      </c>
    </row>
    <row r="8" spans="1:1" x14ac:dyDescent="0.25">
      <c r="A8" s="4" t="s">
        <v>26</v>
      </c>
    </row>
    <row r="23" spans="1:1" x14ac:dyDescent="0.25">
      <c r="A23" s="5"/>
    </row>
  </sheetData>
  <pageMargins left="0.7" right="0.7" top="0.75" bottom="0.75" header="0.3" footer="0.3"/>
  <customProperties>
    <customPr name="layoutContexts" r:id="rId1"/>
    <customPr name="screen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A260-8DBB-4FEC-A9A7-CC3BF5671BCF}">
  <dimension ref="A2:G32"/>
  <sheetViews>
    <sheetView tabSelected="1" workbookViewId="0">
      <selection activeCell="N24" sqref="N24"/>
    </sheetView>
  </sheetViews>
  <sheetFormatPr defaultRowHeight="15" x14ac:dyDescent="0.25"/>
  <cols>
    <col min="1" max="1" width="67.85546875" customWidth="1"/>
    <col min="2" max="2" width="10.42578125" bestFit="1" customWidth="1"/>
  </cols>
  <sheetData>
    <row r="2" spans="1:1" x14ac:dyDescent="0.25">
      <c r="A2" s="1" t="s">
        <v>1</v>
      </c>
    </row>
    <row r="3" spans="1:1" x14ac:dyDescent="0.25">
      <c r="A3" t="s">
        <v>15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s="3" t="s">
        <v>20</v>
      </c>
    </row>
    <row r="8" spans="1:1" x14ac:dyDescent="0.25">
      <c r="A8" s="4" t="s">
        <v>24</v>
      </c>
    </row>
    <row r="9" spans="1:1" x14ac:dyDescent="0.25">
      <c r="A9" s="2" t="s">
        <v>4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 s="3" t="s">
        <v>19</v>
      </c>
    </row>
    <row r="13" spans="1:1" x14ac:dyDescent="0.25">
      <c r="A13" s="4" t="s">
        <v>25</v>
      </c>
    </row>
    <row r="17" spans="1:7" x14ac:dyDescent="0.25">
      <c r="B17" s="7"/>
      <c r="C17" s="7"/>
    </row>
    <row r="18" spans="1:7" x14ac:dyDescent="0.25">
      <c r="A18" s="8"/>
      <c r="B18" s="9"/>
      <c r="C18" s="9"/>
      <c r="D18" s="8"/>
      <c r="E18" s="8"/>
      <c r="F18" s="8"/>
      <c r="G18" s="8"/>
    </row>
    <row r="19" spans="1:7" x14ac:dyDescent="0.25">
      <c r="A19" s="8" t="s">
        <v>28</v>
      </c>
      <c r="B19" s="10"/>
      <c r="C19" s="10"/>
      <c r="D19" s="8"/>
      <c r="E19" s="8"/>
      <c r="F19" s="8"/>
      <c r="G19" s="8"/>
    </row>
    <row r="20" spans="1:7" x14ac:dyDescent="0.25">
      <c r="A20" s="8"/>
      <c r="B20" s="10"/>
      <c r="C20" s="10"/>
      <c r="D20" s="8"/>
      <c r="E20" s="8"/>
      <c r="F20" s="8"/>
      <c r="G20" s="8"/>
    </row>
    <row r="21" spans="1:7" x14ac:dyDescent="0.25">
      <c r="A21" s="8" t="s">
        <v>29</v>
      </c>
      <c r="B21" s="10"/>
      <c r="C21" s="10"/>
      <c r="D21" s="8"/>
      <c r="E21" s="8"/>
      <c r="F21" s="8"/>
      <c r="G21" s="8"/>
    </row>
    <row r="22" spans="1:7" x14ac:dyDescent="0.25">
      <c r="A22" s="8" t="s">
        <v>30</v>
      </c>
      <c r="B22" s="10">
        <f>1320*12/365*27</f>
        <v>1171.7260273972604</v>
      </c>
      <c r="C22" s="10">
        <f>1320-B22</f>
        <v>148.2739726027396</v>
      </c>
      <c r="D22" s="11">
        <f>1320*12/365*4</f>
        <v>173.58904109589042</v>
      </c>
      <c r="E22" s="11">
        <f>1320/31*4</f>
        <v>170.32258064516128</v>
      </c>
      <c r="F22" s="12">
        <f>365/12</f>
        <v>30.416666666666668</v>
      </c>
      <c r="G22" s="8"/>
    </row>
    <row r="23" spans="1:7" x14ac:dyDescent="0.25">
      <c r="A23" s="8" t="s">
        <v>31</v>
      </c>
      <c r="B23" s="10">
        <f>1320*12/365*24</f>
        <v>1041.5342465753424</v>
      </c>
      <c r="C23" s="10">
        <f>1320-B23</f>
        <v>278.46575342465758</v>
      </c>
      <c r="D23" s="11">
        <f>1320*12/365*6</f>
        <v>260.38356164383561</v>
      </c>
      <c r="E23" s="11">
        <f>1320/33*6</f>
        <v>240</v>
      </c>
      <c r="F23" s="8"/>
      <c r="G23" s="8"/>
    </row>
    <row r="24" spans="1:7" x14ac:dyDescent="0.25">
      <c r="A24" s="8"/>
      <c r="B24" s="10"/>
      <c r="C24" s="10"/>
      <c r="D24" s="8"/>
      <c r="E24" s="11"/>
      <c r="F24" s="8"/>
      <c r="G24" s="8"/>
    </row>
    <row r="25" spans="1:7" x14ac:dyDescent="0.25">
      <c r="A25" s="8" t="s">
        <v>30</v>
      </c>
      <c r="B25" s="10"/>
      <c r="C25" s="11">
        <f>SUM(C22:C24)</f>
        <v>426.73972602739718</v>
      </c>
      <c r="D25" s="11">
        <f>SUM(D22:D24)</f>
        <v>433.97260273972603</v>
      </c>
      <c r="E25" s="11">
        <f>SUM(E22:E24)</f>
        <v>410.32258064516128</v>
      </c>
      <c r="F25" s="8"/>
      <c r="G25" s="8"/>
    </row>
    <row r="26" spans="1:7" x14ac:dyDescent="0.25">
      <c r="A26" s="8"/>
      <c r="B26" s="10"/>
      <c r="C26" s="10"/>
      <c r="D26" s="8"/>
      <c r="E26" s="11"/>
      <c r="F26" s="8"/>
      <c r="G26" s="8"/>
    </row>
    <row r="27" spans="1:7" x14ac:dyDescent="0.25">
      <c r="A27" s="8"/>
      <c r="B27" s="10"/>
      <c r="C27" s="10"/>
      <c r="D27" s="8"/>
      <c r="E27" s="11"/>
      <c r="F27" s="8"/>
      <c r="G27" s="8"/>
    </row>
    <row r="28" spans="1:7" x14ac:dyDescent="0.25">
      <c r="A28" s="8"/>
      <c r="B28" s="10"/>
      <c r="C28" s="10"/>
      <c r="D28" s="8"/>
      <c r="E28" s="11"/>
      <c r="F28" s="8"/>
      <c r="G28" s="8"/>
    </row>
    <row r="29" spans="1:7" x14ac:dyDescent="0.25">
      <c r="A29" s="8"/>
      <c r="B29" s="10"/>
      <c r="C29" s="10"/>
      <c r="D29" s="8"/>
      <c r="E29" s="8"/>
      <c r="F29" s="8"/>
      <c r="G29" s="8"/>
    </row>
    <row r="30" spans="1:7" x14ac:dyDescent="0.25">
      <c r="A30" s="8"/>
      <c r="B30" s="10"/>
      <c r="C30" s="10"/>
      <c r="D30" s="8"/>
      <c r="E30" s="8"/>
      <c r="F30" s="8"/>
      <c r="G30" s="8"/>
    </row>
    <row r="31" spans="1:7" x14ac:dyDescent="0.25">
      <c r="A31" s="8"/>
      <c r="B31" s="10"/>
      <c r="C31" s="10"/>
      <c r="D31" s="8"/>
      <c r="E31" s="8"/>
      <c r="F31" s="8"/>
      <c r="G31" s="8"/>
    </row>
    <row r="32" spans="1:7" x14ac:dyDescent="0.25">
      <c r="B32" s="7"/>
      <c r="C32" s="7"/>
    </row>
  </sheetData>
  <phoneticPr fontId="4" type="noConversion"/>
  <pageMargins left="0.7" right="0.7" top="0.75" bottom="0.75" header="0.3" footer="0.3"/>
  <pageSetup paperSize="9" orientation="portrait" r:id="rId1"/>
  <customProperties>
    <customPr name="layoutContexts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86A7-98F5-49FB-85AE-36F95CEE0D68}">
  <dimension ref="A2:A29"/>
  <sheetViews>
    <sheetView workbookViewId="0">
      <selection activeCell="A29" sqref="A29"/>
    </sheetView>
  </sheetViews>
  <sheetFormatPr defaultRowHeight="15" x14ac:dyDescent="0.25"/>
  <cols>
    <col min="1" max="1" width="94.5703125" bestFit="1" customWidth="1"/>
  </cols>
  <sheetData>
    <row r="2" spans="1:1" x14ac:dyDescent="0.25">
      <c r="A2" s="1" t="s">
        <v>0</v>
      </c>
    </row>
    <row r="3" spans="1:1" x14ac:dyDescent="0.25">
      <c r="A3" t="s">
        <v>14</v>
      </c>
    </row>
    <row r="4" spans="1:1" x14ac:dyDescent="0.25">
      <c r="A4" s="1"/>
    </row>
    <row r="6" spans="1:1" x14ac:dyDescent="0.25">
      <c r="A6" t="s">
        <v>9</v>
      </c>
    </row>
    <row r="7" spans="1:1" x14ac:dyDescent="0.25">
      <c r="A7" t="s">
        <v>3</v>
      </c>
    </row>
    <row r="8" spans="1:1" x14ac:dyDescent="0.25">
      <c r="A8" s="3" t="s">
        <v>21</v>
      </c>
    </row>
    <row r="9" spans="1:1" x14ac:dyDescent="0.25">
      <c r="A9" s="3" t="s">
        <v>10</v>
      </c>
    </row>
    <row r="10" spans="1:1" x14ac:dyDescent="0.25">
      <c r="A10" s="3" t="s">
        <v>11</v>
      </c>
    </row>
    <row r="11" spans="1:1" x14ac:dyDescent="0.25">
      <c r="A11" s="4" t="s">
        <v>27</v>
      </c>
    </row>
    <row r="13" spans="1:1" x14ac:dyDescent="0.25">
      <c r="A13" t="s">
        <v>6</v>
      </c>
    </row>
    <row r="14" spans="1:1" x14ac:dyDescent="0.25">
      <c r="A14" s="3" t="s">
        <v>22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4" t="s">
        <v>23</v>
      </c>
    </row>
    <row r="29" spans="1:1" x14ac:dyDescent="0.25">
      <c r="A29" s="6"/>
    </row>
  </sheetData>
  <pageMargins left="0.7" right="0.7" top="0.75" bottom="0.75" header="0.3" footer="0.3"/>
  <customProperties>
    <customPr name="layoutContexts" r:id="rId1"/>
    <customPr name="screen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7b0e0d2943322bf02f04f37f8f03e4a6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70f92f2c0dd4bd1a529a0c1def385892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8715E65-99C8-4324-BFC4-0125BC1284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2E6E4D-3C95-488E-B334-58CB766B0B5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996F133-A8B3-4A4E-831B-634D09DAD8A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0D636C-25F2-4B0E-9FED-A80824315D1D}">
  <ds:schemaRefs>
    <ds:schemaRef ds:uri="http://purl.org/dc/terms/"/>
    <ds:schemaRef ds:uri="1ffbd5dc-7a64-4097-8396-87f6c90b212f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Apportioned Schedule in SF</vt:lpstr>
      <vt:lpstr>Apportioned Charge at EoT</vt:lpstr>
      <vt:lpstr>Uplift at Mid Tenancy</vt:lpstr>
    </vt:vector>
  </TitlesOfParts>
  <Company>Grainger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Robertson</dc:creator>
  <cp:lastModifiedBy>Nikki Papenfus</cp:lastModifiedBy>
  <dcterms:created xsi:type="dcterms:W3CDTF">2023-11-15T12:01:10Z</dcterms:created>
  <dcterms:modified xsi:type="dcterms:W3CDTF">2023-11-20T11:29:58Z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2023-11-15T13:43:41Z</vt:filetime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Project Document 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">
    <vt:lpwstr>6;#Grainger PLC|a74f1cb5-e995-4f9e-8521-6d52e2c6bf08</vt:lpwstr>
  </property>
  <property fmtid="{D5CDD505-2E9C-101B-9397-08002B2CF9AE}" pid="7" name="Client Project">
    <vt:lpwstr/>
  </property>
</Properties>
</file>