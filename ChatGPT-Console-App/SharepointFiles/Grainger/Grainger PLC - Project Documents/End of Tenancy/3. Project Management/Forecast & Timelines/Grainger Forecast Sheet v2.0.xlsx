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3. Project Management/Forecast &amp; Timelines/"/>
    </mc:Choice>
  </mc:AlternateContent>
  <xr:revisionPtr revIDLastSave="51" documentId="8_{55A8EDB1-CCC4-4DA8-9063-89EB76C8D0B6}" xr6:coauthVersionLast="47" xr6:coauthVersionMax="47" xr10:uidLastSave="{BB634457-2680-1346-837A-282B3800F7A5}"/>
  <bookViews>
    <workbookView xWindow="0" yWindow="500" windowWidth="37580" windowHeight="21100" activeTab="1" xr2:uid="{82DBA3FB-BAAE-4513-8EBD-08C2C1522918}"/>
  </bookViews>
  <sheets>
    <sheet name="BI Forecasting" sheetId="2" r:id="rId1"/>
    <sheet name="BI Burnup " sheetId="3" r:id="rId2"/>
    <sheet name="Sheet2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2" l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G6" i="2"/>
  <c r="F6" i="2"/>
  <c r="E6" i="2"/>
  <c r="F9" i="2"/>
  <c r="G4" i="2"/>
  <c r="H4" i="2" s="1"/>
  <c r="F5" i="2" l="1"/>
  <c r="G5" i="2" s="1"/>
  <c r="H5" i="2" s="1"/>
  <c r="I5" i="2" s="1"/>
  <c r="J5" i="2" s="1"/>
  <c r="K5" i="2" s="1"/>
  <c r="J14" i="2"/>
  <c r="F8" i="2" l="1"/>
  <c r="G8" i="2" l="1"/>
  <c r="G14" i="2"/>
  <c r="H14" i="2"/>
  <c r="I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F14" i="2"/>
  <c r="F16" i="2" s="1"/>
  <c r="AT4" i="2"/>
  <c r="AU4" i="2"/>
  <c r="AV4" i="2"/>
  <c r="AW4" i="2"/>
  <c r="AX4" i="2"/>
  <c r="AY4" i="2"/>
  <c r="AZ4" i="2"/>
  <c r="BA4" i="2"/>
  <c r="BB4" i="2"/>
  <c r="BC4" i="2"/>
  <c r="D25" i="2"/>
  <c r="I4" i="2" l="1"/>
  <c r="H8" i="2"/>
  <c r="D27" i="2"/>
  <c r="G16" i="2" s="1"/>
  <c r="H16" i="2" s="1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AG16" i="2" s="1"/>
  <c r="AH16" i="2" s="1"/>
  <c r="AI16" i="2" s="1"/>
  <c r="AJ16" i="2" s="1"/>
  <c r="AK16" i="2" s="1"/>
  <c r="AL16" i="2" s="1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AN4" i="2"/>
  <c r="AO4" i="2"/>
  <c r="AP4" i="2"/>
  <c r="AQ4" i="2"/>
  <c r="AR4" i="2"/>
  <c r="AS4" i="2"/>
  <c r="F10" i="2"/>
  <c r="G10" i="2" s="1"/>
  <c r="H10" i="2" s="1"/>
  <c r="AH4" i="2"/>
  <c r="AI4" i="2"/>
  <c r="AJ4" i="2"/>
  <c r="AK4" i="2"/>
  <c r="AL4" i="2"/>
  <c r="AM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I10" i="2" l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I8" i="2"/>
  <c r="G9" i="2"/>
  <c r="H9" i="2" s="1"/>
  <c r="I9" i="2" s="1"/>
  <c r="J9" i="2" s="1"/>
  <c r="L5" i="2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J5" i="2" s="1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K9" i="2" l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BA9" i="2" s="1"/>
  <c r="BB9" i="2" s="1"/>
  <c r="BC9" i="2" s="1"/>
  <c r="J8" i="2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EAEC71-99D6-45F0-B5F6-7CA824947569}" keepAlive="1" name="Query - Reporting Backlog Items" description="Connection to the 'Reporting Backlog Items' query in the workbook." type="5" refreshedVersion="7" background="1" saveData="1">
    <dbPr connection="Provider=Microsoft.Mashup.OleDb.1;Data Source=$Workbook$;Location=&quot;Reporting Backlog Items&quot;;Extended Properties=&quot;&quot;" command="SELECT * FROM [Reporting Backlog Items]"/>
  </connection>
</connections>
</file>

<file path=xl/sharedStrings.xml><?xml version="1.0" encoding="utf-8"?>
<sst xmlns="http://schemas.openxmlformats.org/spreadsheetml/2006/main" count="73" uniqueCount="73">
  <si>
    <t>Sprint 1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</si>
  <si>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</si>
  <si>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</si>
  <si>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</si>
  <si>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</si>
  <si>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</si>
  <si>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</si>
  <si>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</si>
  <si>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</si>
  <si>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</si>
  <si>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</si>
  <si>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</si>
  <si>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</si>
  <si>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</si>
  <si>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</si>
  <si>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</si>
  <si>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</si>
  <si>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</si>
  <si>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</si>
  <si>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Sprint 21</t>
  </si>
  <si>
    <t>Sprint 22</t>
  </si>
  <si>
    <t>Sprint 23</t>
  </si>
  <si>
    <t>Sprint 24</t>
  </si>
  <si>
    <t>Sprint 25</t>
  </si>
  <si>
    <t>Sprint 26</t>
  </si>
  <si>
    <t>Sprint 27</t>
  </si>
  <si>
    <t>Sprint 28</t>
  </si>
  <si>
    <t>Sprint 29</t>
  </si>
  <si>
    <t>Sprint 30</t>
  </si>
  <si>
    <t>Sprint 31</t>
  </si>
  <si>
    <t>Sprint 32</t>
  </si>
  <si>
    <t>Sprint 33</t>
  </si>
  <si>
    <t>Sprint 34</t>
  </si>
  <si>
    <t>Sprint 35</t>
  </si>
  <si>
    <t>Sprint 36</t>
  </si>
  <si>
    <t>Sprint 37</t>
  </si>
  <si>
    <t>Sprint 38</t>
  </si>
  <si>
    <t>Sprint 39</t>
  </si>
  <si>
    <t>Sprint 40</t>
  </si>
  <si>
    <t>Sprint 41</t>
  </si>
  <si>
    <t>Sprint 42</t>
  </si>
  <si>
    <t>Sprint 43</t>
  </si>
  <si>
    <t>Sprint 44</t>
  </si>
  <si>
    <t>Sprint 45</t>
  </si>
  <si>
    <t>Sprint 46</t>
  </si>
  <si>
    <t>Sprint 47</t>
  </si>
  <si>
    <t>Sprint 48</t>
  </si>
  <si>
    <t>Sprint 49</t>
  </si>
  <si>
    <t>Sprint 50</t>
  </si>
  <si>
    <t>Scheduling</t>
  </si>
  <si>
    <t>Velocity</t>
  </si>
  <si>
    <t xml:space="preserve">Total Velocity Done </t>
  </si>
  <si>
    <t>Total Backlog Size</t>
  </si>
  <si>
    <t>Optimistic Forecast</t>
  </si>
  <si>
    <t>Likely Forecast</t>
  </si>
  <si>
    <t>Pessimistic Forecast</t>
  </si>
  <si>
    <t>Costing</t>
  </si>
  <si>
    <t>Team Sprint Cost (Actual)</t>
  </si>
  <si>
    <t>Cumulative Team Cost (Actual)</t>
  </si>
  <si>
    <t>Cumulative Team Cost (Forecast)</t>
  </si>
  <si>
    <t>Team Metrics</t>
  </si>
  <si>
    <t>Optimistic Velocity ( Best Velocity in last 3 sprints)</t>
  </si>
  <si>
    <t>Likely Velocity (Avg Velocity over last 3 sprints)</t>
  </si>
  <si>
    <t>Pessimistic Velocity (Worst Velocity in last 3 sprints)</t>
  </si>
  <si>
    <t>Team Costing</t>
  </si>
  <si>
    <t>Hourly Rate</t>
  </si>
  <si>
    <t>Allocation</t>
  </si>
  <si>
    <t>Cost Per Sprint</t>
  </si>
  <si>
    <t>PM/BI Consultant</t>
  </si>
  <si>
    <t>Total</t>
  </si>
  <si>
    <t>Sprint 2</t>
  </si>
  <si>
    <t>Sprint 51</t>
  </si>
  <si>
    <t>Release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</si>
</sst>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9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4719213096073032E-2"/>
          <c:y val="2.1348788567415962E-2"/>
          <c:w val="0.96380553348262643"/>
          <c:h val="0.91117110260924428"/>
        </c:manualLayout>
      </c:layout>
      <c:lineChart>
        <c:grouping val="standard"/>
        <c:varyColors val="0"/>
        <c:ser>
          <c:idx val="1"/>
          <c:order val="0"/>
          <c:tx>
            <c:v>Total Backlog Size</c:v>
          </c:tx>
          <c:marker>
            <c:symbol val="none"/>
          </c:marker>
          <c:cat>
            <c:strRef>
              <c:f>'BI Forecasting'!$E$1:$T$1</c:f>
              <c:strCache>
                <c:ptCount val="1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</c:strCache>
            </c:strRef>
          </c:cat>
          <c:val>
            <c:numRef>
              <c:f>'BI Forecasting'!$E$6:$T$6</c:f>
              <c:numCache>
                <c:formatCode>General</c:formatCode>
                <c:ptCount val="16"/>
                <c:pt idx="0">
                  <c:v>754</c:v>
                </c:pt>
                <c:pt idx="1">
                  <c:v>754</c:v>
                </c:pt>
                <c:pt idx="2">
                  <c:v>754</c:v>
                </c:pt>
                <c:pt idx="3">
                  <c:v>754</c:v>
                </c:pt>
                <c:pt idx="4">
                  <c:v>754</c:v>
                </c:pt>
                <c:pt idx="5">
                  <c:v>754</c:v>
                </c:pt>
                <c:pt idx="6">
                  <c:v>754</c:v>
                </c:pt>
                <c:pt idx="7">
                  <c:v>754</c:v>
                </c:pt>
                <c:pt idx="8">
                  <c:v>754</c:v>
                </c:pt>
                <c:pt idx="9">
                  <c:v>754</c:v>
                </c:pt>
                <c:pt idx="10">
                  <c:v>754</c:v>
                </c:pt>
                <c:pt idx="11">
                  <c:v>754</c:v>
                </c:pt>
                <c:pt idx="12">
                  <c:v>754</c:v>
                </c:pt>
                <c:pt idx="13">
                  <c:v>754</c:v>
                </c:pt>
                <c:pt idx="14">
                  <c:v>754</c:v>
                </c:pt>
                <c:pt idx="15">
                  <c:v>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96-9F4D-B22D-DC38B4A3775B}"/>
            </c:ext>
          </c:extLst>
        </c:ser>
        <c:ser>
          <c:idx val="0"/>
          <c:order val="1"/>
          <c:tx>
            <c:strRef>
              <c:f>'BI Forecasting'!$B$5</c:f>
              <c:strCache>
                <c:ptCount val="1"/>
                <c:pt idx="0">
                  <c:v>Release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 Forecasting'!$E$1:$T$1</c:f>
              <c:strCache>
                <c:ptCount val="1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</c:strCache>
            </c:strRef>
          </c:cat>
          <c:val>
            <c:numRef>
              <c:f>'BI Forecasting'!$E$5:$T$5</c:f>
              <c:numCache>
                <c:formatCode>General</c:formatCode>
                <c:ptCount val="16"/>
                <c:pt idx="0">
                  <c:v>185</c:v>
                </c:pt>
                <c:pt idx="1">
                  <c:v>185</c:v>
                </c:pt>
                <c:pt idx="2">
                  <c:v>185</c:v>
                </c:pt>
                <c:pt idx="3">
                  <c:v>185</c:v>
                </c:pt>
                <c:pt idx="4">
                  <c:v>185</c:v>
                </c:pt>
                <c:pt idx="5">
                  <c:v>185</c:v>
                </c:pt>
                <c:pt idx="6">
                  <c:v>185</c:v>
                </c:pt>
                <c:pt idx="7">
                  <c:v>185</c:v>
                </c:pt>
                <c:pt idx="8">
                  <c:v>185</c:v>
                </c:pt>
                <c:pt idx="9">
                  <c:v>185</c:v>
                </c:pt>
                <c:pt idx="10">
                  <c:v>185</c:v>
                </c:pt>
                <c:pt idx="11">
                  <c:v>185</c:v>
                </c:pt>
                <c:pt idx="12">
                  <c:v>185</c:v>
                </c:pt>
                <c:pt idx="13">
                  <c:v>185</c:v>
                </c:pt>
                <c:pt idx="14">
                  <c:v>185</c:v>
                </c:pt>
                <c:pt idx="15">
                  <c:v>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9C-4C93-9AED-AC7BA0509009}"/>
            </c:ext>
          </c:extLst>
        </c:ser>
        <c:ser>
          <c:idx val="6"/>
          <c:order val="2"/>
          <c:tx>
            <c:strRef>
              <c:f>'BI Forecasting'!$B$9</c:f>
              <c:strCache>
                <c:ptCount val="1"/>
                <c:pt idx="0">
                  <c:v>Likely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'BI Forecasting'!$E$1:$T$1</c:f>
              <c:strCache>
                <c:ptCount val="1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</c:strCache>
            </c:strRef>
          </c:cat>
          <c:val>
            <c:numRef>
              <c:f>'BI Forecasting'!$E$9:$T$9</c:f>
              <c:numCache>
                <c:formatCode>General</c:formatCode>
                <c:ptCount val="16"/>
                <c:pt idx="0">
                  <c:v>0</c:v>
                </c:pt>
                <c:pt idx="1">
                  <c:v>60</c:v>
                </c:pt>
                <c:pt idx="2">
                  <c:v>105</c:v>
                </c:pt>
                <c:pt idx="3">
                  <c:v>150</c:v>
                </c:pt>
                <c:pt idx="4">
                  <c:v>195</c:v>
                </c:pt>
                <c:pt idx="5">
                  <c:v>240</c:v>
                </c:pt>
                <c:pt idx="6">
                  <c:v>285</c:v>
                </c:pt>
                <c:pt idx="7">
                  <c:v>330</c:v>
                </c:pt>
                <c:pt idx="8">
                  <c:v>375</c:v>
                </c:pt>
                <c:pt idx="9">
                  <c:v>420</c:v>
                </c:pt>
                <c:pt idx="10">
                  <c:v>465</c:v>
                </c:pt>
                <c:pt idx="11">
                  <c:v>510</c:v>
                </c:pt>
                <c:pt idx="12">
                  <c:v>555</c:v>
                </c:pt>
                <c:pt idx="13">
                  <c:v>600</c:v>
                </c:pt>
                <c:pt idx="14">
                  <c:v>645</c:v>
                </c:pt>
                <c:pt idx="15">
                  <c:v>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9C-4C93-9AED-AC7BA0509009}"/>
            </c:ext>
          </c:extLst>
        </c:ser>
        <c:ser>
          <c:idx val="7"/>
          <c:order val="3"/>
          <c:tx>
            <c:strRef>
              <c:f>'BI Forecasting'!$B$8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>
              <a:solidFill>
                <a:schemeClr val="accent6"/>
              </a:solidFill>
              <a:prstDash val="sysDash"/>
            </a:ln>
          </c:spPr>
          <c:marker>
            <c:symbol val="none"/>
          </c:marker>
          <c:cat>
            <c:strRef>
              <c:f>'BI Forecasting'!$E$1:$T$1</c:f>
              <c:strCache>
                <c:ptCount val="1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</c:strCache>
            </c:strRef>
          </c:cat>
          <c:val>
            <c:numRef>
              <c:f>'BI Forecasting'!$E$8:$T$8</c:f>
              <c:numCache>
                <c:formatCode>General</c:formatCode>
                <c:ptCount val="16"/>
                <c:pt idx="0">
                  <c:v>0</c:v>
                </c:pt>
                <c:pt idx="1">
                  <c:v>60</c:v>
                </c:pt>
                <c:pt idx="2">
                  <c:v>110</c:v>
                </c:pt>
                <c:pt idx="3">
                  <c:v>160</c:v>
                </c:pt>
                <c:pt idx="4">
                  <c:v>210</c:v>
                </c:pt>
                <c:pt idx="5">
                  <c:v>260</c:v>
                </c:pt>
                <c:pt idx="6">
                  <c:v>310</c:v>
                </c:pt>
                <c:pt idx="7">
                  <c:v>360</c:v>
                </c:pt>
                <c:pt idx="8">
                  <c:v>410</c:v>
                </c:pt>
                <c:pt idx="9">
                  <c:v>460</c:v>
                </c:pt>
                <c:pt idx="10">
                  <c:v>510</c:v>
                </c:pt>
                <c:pt idx="11">
                  <c:v>560</c:v>
                </c:pt>
                <c:pt idx="12">
                  <c:v>610</c:v>
                </c:pt>
                <c:pt idx="13">
                  <c:v>660</c:v>
                </c:pt>
                <c:pt idx="14">
                  <c:v>710</c:v>
                </c:pt>
                <c:pt idx="15">
                  <c:v>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B9C-4C93-9AED-AC7BA0509009}"/>
            </c:ext>
          </c:extLst>
        </c:ser>
        <c:ser>
          <c:idx val="8"/>
          <c:order val="4"/>
          <c:tx>
            <c:strRef>
              <c:f>'BI Forecasting'!$B$10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strRef>
              <c:f>'BI Forecasting'!$E$1:$T$1</c:f>
              <c:strCache>
                <c:ptCount val="1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</c:strCache>
            </c:strRef>
          </c:cat>
          <c:val>
            <c:numRef>
              <c:f>'BI Forecasting'!$E$10:$T$10</c:f>
              <c:numCache>
                <c:formatCode>General</c:formatCode>
                <c:ptCount val="16"/>
                <c:pt idx="0">
                  <c:v>0</c:v>
                </c:pt>
                <c:pt idx="1">
                  <c:v>60</c:v>
                </c:pt>
                <c:pt idx="2">
                  <c:v>95</c:v>
                </c:pt>
                <c:pt idx="3">
                  <c:v>130</c:v>
                </c:pt>
                <c:pt idx="4">
                  <c:v>165</c:v>
                </c:pt>
                <c:pt idx="5">
                  <c:v>200</c:v>
                </c:pt>
                <c:pt idx="6">
                  <c:v>235</c:v>
                </c:pt>
                <c:pt idx="7">
                  <c:v>270</c:v>
                </c:pt>
                <c:pt idx="8">
                  <c:v>305</c:v>
                </c:pt>
                <c:pt idx="9">
                  <c:v>340</c:v>
                </c:pt>
                <c:pt idx="10">
                  <c:v>375</c:v>
                </c:pt>
                <c:pt idx="11">
                  <c:v>410</c:v>
                </c:pt>
                <c:pt idx="12">
                  <c:v>445</c:v>
                </c:pt>
                <c:pt idx="13">
                  <c:v>480</c:v>
                </c:pt>
                <c:pt idx="14">
                  <c:v>515</c:v>
                </c:pt>
                <c:pt idx="15">
                  <c:v>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9C-4C93-9AED-AC7BA0509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162160"/>
        <c:axId val="1198162992"/>
      </c:lineChart>
      <c:catAx>
        <c:axId val="11981621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992"/>
        <c:crosses val="autoZero"/>
        <c:auto val="1"/>
        <c:lblAlgn val="ctr"/>
        <c:lblOffset val="100"/>
        <c:noMultiLvlLbl val="0"/>
      </c:catAx>
      <c:valAx>
        <c:axId val="11981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1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019165440379878"/>
          <c:y val="0.5046997045331103"/>
          <c:w val="0.14960141329596702"/>
          <c:h val="0.197562370505081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0</xdr:row>
      <xdr:rowOff>114300</xdr:rowOff>
    </xdr:from>
    <xdr:to>
      <xdr:col>14</xdr:col>
      <xdr:colOff>0</xdr:colOff>
      <xdr:row>28</xdr:row>
      <xdr:rowOff>85725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F243A69-66CB-F2CC-7DFC-C845B2328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0.28168</cdr:x>
      <cdr:y>0.72351</cdr:y>
    </cdr:from>
    <cdr:to>
      <cdr:x>0.28168</cdr:x>
      <cdr:y>0.93112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18748E7C-8901-4143-B498-2ED99C44012B}"/>
            </a:ext>
          </a:extLst>
        </cdr:cNvPr>
        <cdr:cNvCxnSpPr/>
      </cdr:nvCxnSpPr>
      <cdr:spPr>
        <a:xfrm xmlns:a="http://schemas.openxmlformats.org/drawingml/2006/main">
          <a:off x="2644251" y="3924303"/>
          <a:ext cx="0" cy="1126064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5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0.3401</cdr:x>
      <cdr:y>0.72039</cdr:y>
    </cdr:from>
    <cdr:to>
      <cdr:x>0.3407</cdr:x>
      <cdr:y>0.94049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1250AF6A-E28D-4154-9987-66E25F1395BD}"/>
            </a:ext>
          </a:extLst>
        </cdr:cNvPr>
        <cdr:cNvCxnSpPr/>
      </cdr:nvCxnSpPr>
      <cdr:spPr>
        <a:xfrm xmlns:a="http://schemas.openxmlformats.org/drawingml/2006/main">
          <a:off x="3192686" y="3907343"/>
          <a:ext cx="5598" cy="1193824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2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0.26223</cdr:x>
      <cdr:y>0.72039</cdr:y>
    </cdr:from>
    <cdr:to>
      <cdr:x>0.26326</cdr:x>
      <cdr:y>0.928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FDF20E0A-0D77-4C5D-9DFC-FBE32E5728CB}"/>
            </a:ext>
          </a:extLst>
        </cdr:cNvPr>
        <cdr:cNvCxnSpPr/>
      </cdr:nvCxnSpPr>
      <cdr:spPr>
        <a:xfrm xmlns:a="http://schemas.openxmlformats.org/drawingml/2006/main" flipH="1">
          <a:off x="2461684" y="3907349"/>
          <a:ext cx="9651" cy="1126084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6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6177-A4DD-4543-8DEC-552B5EC861AC}">
  <dimension ref="A1:BC27"/>
  <sheetViews>
    <sheetView workbookViewId="0">
      <pane xSplit="4" topLeftCell="E1" activePane="topRight" state="frozen"/>
      <selection pane="topRight" activeCell="E5" sqref="E5"/>
    </sheetView>
  </sheetViews>
  <sheetFormatPr baseColWidth="10" defaultColWidth="8.83203125" defaultRowHeight="15" x14ac:dyDescent="0.2"/>
  <cols>
    <col min="1" max="1" width="26.33203125" style="1" customWidth="1"/>
    <col min="2" max="2" width="31.6640625" style="1" customWidth="1"/>
    <col min="3" max="4" width="12.83203125" style="1" customWidth="1"/>
    <col min="5" max="5" width="9.5" customWidth="1"/>
  </cols>
  <sheetData>
    <row r="1" spans="2:55" x14ac:dyDescent="0.2">
      <c r="E1" t="s">
        <v>0</v>
      </c>
      <c r="F1" t="s">
        <v>70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71</v>
      </c>
    </row>
    <row r="2" spans="2:55" ht="16" x14ac:dyDescent="0.2">
      <c r="B2" s="2" t="s">
        <v>49</v>
      </c>
      <c r="C2" s="2"/>
      <c r="D2" s="2"/>
    </row>
    <row r="3" spans="2:55" ht="16" x14ac:dyDescent="0.2">
      <c r="B3" s="1" t="s">
        <v>50</v>
      </c>
    </row>
    <row r="4" spans="2:55" ht="16" x14ac:dyDescent="0.2">
      <c r="B4" s="1" t="s">
        <v>51</v>
      </c>
      <c r="E4">
        <v>61</v>
      </c>
      <c r="F4">
        <v>60</v>
      </c>
      <c r="G4" t="e">
        <f t="shared" ref="G4" si="0">IF(COUNTBLANK(G3),NA(),G3+F4)</f>
        <v>#N/A</v>
      </c>
      <c r="H4" t="e">
        <f t="shared" ref="H4" si="1">IF(COUNTBLANK(H3),NA(),H3+G4)</f>
        <v>#N/A</v>
      </c>
      <c r="I4" t="e">
        <f t="shared" ref="I4" si="2">IF(COUNTBLANK(I3),NA(),I3+H4)</f>
        <v>#N/A</v>
      </c>
      <c r="J4" t="e">
        <f t="shared" ref="J4:AG4" si="3">IF(COUNTBLANK(J3),NA(),J3+I4)</f>
        <v>#N/A</v>
      </c>
      <c r="K4" t="e">
        <f t="shared" si="3"/>
        <v>#N/A</v>
      </c>
      <c r="L4" t="e">
        <f t="shared" si="3"/>
        <v>#N/A</v>
      </c>
      <c r="M4" t="e">
        <f t="shared" si="3"/>
        <v>#N/A</v>
      </c>
      <c r="N4" t="e">
        <f t="shared" si="3"/>
        <v>#N/A</v>
      </c>
      <c r="O4" t="e">
        <f t="shared" si="3"/>
        <v>#N/A</v>
      </c>
      <c r="P4" t="e">
        <f t="shared" si="3"/>
        <v>#N/A</v>
      </c>
      <c r="Q4" t="e">
        <f t="shared" si="3"/>
        <v>#N/A</v>
      </c>
      <c r="R4" t="e">
        <f t="shared" si="3"/>
        <v>#N/A</v>
      </c>
      <c r="S4" t="e">
        <f t="shared" si="3"/>
        <v>#N/A</v>
      </c>
      <c r="T4" t="e">
        <f t="shared" si="3"/>
        <v>#N/A</v>
      </c>
      <c r="U4" t="e">
        <f t="shared" si="3"/>
        <v>#N/A</v>
      </c>
      <c r="V4" t="e">
        <f t="shared" si="3"/>
        <v>#N/A</v>
      </c>
      <c r="W4" t="e">
        <f t="shared" si="3"/>
        <v>#N/A</v>
      </c>
      <c r="X4" t="e">
        <f t="shared" si="3"/>
        <v>#N/A</v>
      </c>
      <c r="Y4" t="e">
        <f t="shared" si="3"/>
        <v>#N/A</v>
      </c>
      <c r="Z4" t="e">
        <f t="shared" si="3"/>
        <v>#N/A</v>
      </c>
      <c r="AA4" t="e">
        <f t="shared" si="3"/>
        <v>#N/A</v>
      </c>
      <c r="AB4" t="e">
        <f t="shared" si="3"/>
        <v>#N/A</v>
      </c>
      <c r="AC4" t="e">
        <f t="shared" si="3"/>
        <v>#N/A</v>
      </c>
      <c r="AD4" t="e">
        <f t="shared" si="3"/>
        <v>#N/A</v>
      </c>
      <c r="AE4" t="e">
        <f t="shared" si="3"/>
        <v>#N/A</v>
      </c>
      <c r="AF4" t="e">
        <f t="shared" si="3"/>
        <v>#N/A</v>
      </c>
      <c r="AG4" t="e">
        <f t="shared" si="3"/>
        <v>#N/A</v>
      </c>
      <c r="AH4" t="e">
        <f t="shared" ref="AH4" si="4">IF(COUNTBLANK(AH3),NA(),AH3+AG4)</f>
        <v>#N/A</v>
      </c>
      <c r="AI4" t="e">
        <f t="shared" ref="AI4" si="5">IF(COUNTBLANK(AI3),NA(),AI3+AH4)</f>
        <v>#N/A</v>
      </c>
      <c r="AJ4" t="e">
        <f t="shared" ref="AJ4" si="6">IF(COUNTBLANK(AJ3),NA(),AJ3+AI4)</f>
        <v>#N/A</v>
      </c>
      <c r="AK4" t="e">
        <f t="shared" ref="AK4" si="7">IF(COUNTBLANK(AK3),NA(),AK3+AJ4)</f>
        <v>#N/A</v>
      </c>
      <c r="AL4" t="e">
        <f t="shared" ref="AL4" si="8">IF(COUNTBLANK(AL3),NA(),AL3+AK4)</f>
        <v>#N/A</v>
      </c>
      <c r="AM4" t="e">
        <f t="shared" ref="AM4" si="9">IF(COUNTBLANK(AM3),NA(),AM3+AL4)</f>
        <v>#N/A</v>
      </c>
      <c r="AN4" t="e">
        <f t="shared" ref="AN4" si="10">IF(COUNTBLANK(AN3),NA(),AN3+AM4)</f>
        <v>#N/A</v>
      </c>
      <c r="AO4" t="e">
        <f t="shared" ref="AO4" si="11">IF(COUNTBLANK(AO3),NA(),AO3+AN4)</f>
        <v>#N/A</v>
      </c>
      <c r="AP4" t="e">
        <f t="shared" ref="AP4" si="12">IF(COUNTBLANK(AP3),NA(),AP3+AO4)</f>
        <v>#N/A</v>
      </c>
      <c r="AQ4" t="e">
        <f t="shared" ref="AQ4" si="13">IF(COUNTBLANK(AQ3),NA(),AQ3+AP4)</f>
        <v>#N/A</v>
      </c>
      <c r="AR4" t="e">
        <f t="shared" ref="AR4" si="14">IF(COUNTBLANK(AR3),NA(),AR3+AQ4)</f>
        <v>#N/A</v>
      </c>
      <c r="AS4" t="e">
        <f t="shared" ref="AS4" si="15">IF(COUNTBLANK(AS3),NA(),AS3+AR4)</f>
        <v>#N/A</v>
      </c>
      <c r="AT4" t="e">
        <f t="shared" ref="AT4" si="16">IF(COUNTBLANK(AT3),NA(),AT3+AS4)</f>
        <v>#N/A</v>
      </c>
      <c r="AU4" t="e">
        <f t="shared" ref="AU4" si="17">IF(COUNTBLANK(AU3),NA(),AU3+AT4)</f>
        <v>#N/A</v>
      </c>
      <c r="AV4" t="e">
        <f t="shared" ref="AV4" si="18">IF(COUNTBLANK(AV3),NA(),AV3+AU4)</f>
        <v>#N/A</v>
      </c>
      <c r="AW4" t="e">
        <f t="shared" ref="AW4" si="19">IF(COUNTBLANK(AW3),NA(),AW3+AV4)</f>
        <v>#N/A</v>
      </c>
      <c r="AX4" t="e">
        <f t="shared" ref="AX4" si="20">IF(COUNTBLANK(AX3),NA(),AX3+AW4)</f>
        <v>#N/A</v>
      </c>
      <c r="AY4" t="e">
        <f t="shared" ref="AY4" si="21">IF(COUNTBLANK(AY3),NA(),AY3+AX4)</f>
        <v>#N/A</v>
      </c>
      <c r="AZ4" t="e">
        <f t="shared" ref="AZ4" si="22">IF(COUNTBLANK(AZ3),NA(),AZ3+AY4)</f>
        <v>#N/A</v>
      </c>
      <c r="BA4" t="e">
        <f t="shared" ref="BA4" si="23">IF(COUNTBLANK(BA3),NA(),BA3+AZ4)</f>
        <v>#N/A</v>
      </c>
      <c r="BB4" t="e">
        <f t="shared" ref="BB4" si="24">IF(COUNTBLANK(BB3),NA(),BB3+BA4)</f>
        <v>#N/A</v>
      </c>
      <c r="BC4" t="e">
        <f t="shared" ref="BC4" si="25">IF(COUNTBLANK(BC3),NA(),BC3+BB4)</f>
        <v>#N/A</v>
      </c>
    </row>
    <row r="5" spans="2:55" ht="16" x14ac:dyDescent="0.2">
      <c r="B5" s="1" t="s">
        <v>72</v>
      </c>
      <c r="E5">
        <v>185</v>
      </c>
      <c r="F5">
        <f t="shared" ref="F5:F6" si="26">E5</f>
        <v>185</v>
      </c>
      <c r="G5">
        <f t="shared" ref="G5:G6" si="27">F5</f>
        <v>185</v>
      </c>
      <c r="H5">
        <f t="shared" ref="H5:H6" si="28">G5</f>
        <v>185</v>
      </c>
      <c r="I5">
        <f t="shared" ref="I5:I6" si="29">H5</f>
        <v>185</v>
      </c>
      <c r="J5">
        <f t="shared" ref="J5:J6" si="30">I5</f>
        <v>185</v>
      </c>
      <c r="K5">
        <f t="shared" ref="K5:K6" si="31">J5</f>
        <v>185</v>
      </c>
      <c r="L5">
        <f t="shared" ref="L5:AD6" si="32">K5</f>
        <v>185</v>
      </c>
      <c r="M5">
        <f t="shared" si="32"/>
        <v>185</v>
      </c>
      <c r="N5">
        <f t="shared" si="32"/>
        <v>185</v>
      </c>
      <c r="O5">
        <f t="shared" si="32"/>
        <v>185</v>
      </c>
      <c r="P5">
        <f t="shared" si="32"/>
        <v>185</v>
      </c>
      <c r="Q5">
        <f t="shared" si="32"/>
        <v>185</v>
      </c>
      <c r="R5">
        <f t="shared" si="32"/>
        <v>185</v>
      </c>
      <c r="S5">
        <f t="shared" si="32"/>
        <v>185</v>
      </c>
      <c r="T5">
        <f t="shared" si="32"/>
        <v>185</v>
      </c>
      <c r="U5">
        <f t="shared" si="32"/>
        <v>185</v>
      </c>
      <c r="V5">
        <f t="shared" si="32"/>
        <v>185</v>
      </c>
      <c r="W5">
        <f t="shared" si="32"/>
        <v>185</v>
      </c>
      <c r="X5">
        <f t="shared" si="32"/>
        <v>185</v>
      </c>
      <c r="Y5">
        <f t="shared" si="32"/>
        <v>185</v>
      </c>
      <c r="Z5">
        <f t="shared" si="32"/>
        <v>185</v>
      </c>
      <c r="AA5">
        <f t="shared" si="32"/>
        <v>185</v>
      </c>
      <c r="AB5">
        <f t="shared" si="32"/>
        <v>185</v>
      </c>
      <c r="AC5">
        <f t="shared" si="32"/>
        <v>185</v>
      </c>
      <c r="AD5">
        <f t="shared" si="32"/>
        <v>185</v>
      </c>
      <c r="AE5">
        <f t="shared" ref="AE5:AG6" si="33">AD5</f>
        <v>185</v>
      </c>
      <c r="AF5">
        <f t="shared" si="33"/>
        <v>185</v>
      </c>
      <c r="AG5">
        <f t="shared" si="33"/>
        <v>185</v>
      </c>
      <c r="AH5">
        <f t="shared" ref="AH5:AH6" si="34">AG5</f>
        <v>185</v>
      </c>
      <c r="AI5">
        <f t="shared" ref="AI5:AI6" si="35">AH5</f>
        <v>185</v>
      </c>
      <c r="AJ5">
        <f t="shared" ref="AJ5:AJ6" si="36">AI5</f>
        <v>185</v>
      </c>
      <c r="AK5">
        <f t="shared" ref="AK5:AK6" si="37">AJ5</f>
        <v>185</v>
      </c>
      <c r="AL5">
        <f t="shared" ref="AL5:AL6" si="38">AK5</f>
        <v>185</v>
      </c>
      <c r="AM5">
        <f t="shared" ref="AM5:AM6" si="39">AL5</f>
        <v>185</v>
      </c>
      <c r="AN5">
        <f t="shared" ref="AN5:AN6" si="40">AM5</f>
        <v>185</v>
      </c>
      <c r="AO5">
        <f t="shared" ref="AO5:AO6" si="41">AN5</f>
        <v>185</v>
      </c>
      <c r="AP5">
        <f t="shared" ref="AP5:AP6" si="42">AO5</f>
        <v>185</v>
      </c>
      <c r="AQ5">
        <f t="shared" ref="AQ5:AQ6" si="43">AP5</f>
        <v>185</v>
      </c>
      <c r="AR5">
        <f t="shared" ref="AR5:AR6" si="44">AQ5</f>
        <v>185</v>
      </c>
      <c r="AS5">
        <f t="shared" ref="AS5:AS6" si="45">AR5</f>
        <v>185</v>
      </c>
      <c r="AT5">
        <f t="shared" ref="AT5:AT6" si="46">AS5</f>
        <v>185</v>
      </c>
      <c r="AU5">
        <f t="shared" ref="AU5:AU6" si="47">AT5</f>
        <v>185</v>
      </c>
      <c r="AV5">
        <f t="shared" ref="AV5:AV6" si="48">AU5</f>
        <v>185</v>
      </c>
      <c r="AW5">
        <f t="shared" ref="AW5:AW6" si="49">AV5</f>
        <v>185</v>
      </c>
      <c r="AX5">
        <f t="shared" ref="AX5:AX6" si="50">AW5</f>
        <v>185</v>
      </c>
      <c r="AY5">
        <f t="shared" ref="AY5:AY6" si="51">AX5</f>
        <v>185</v>
      </c>
      <c r="AZ5">
        <f t="shared" ref="AZ5:AZ6" si="52">AY5</f>
        <v>185</v>
      </c>
      <c r="BA5">
        <f t="shared" ref="BA5:BA6" si="53">AZ5</f>
        <v>185</v>
      </c>
      <c r="BB5">
        <f t="shared" ref="BB5:BB6" si="54">BA5</f>
        <v>185</v>
      </c>
      <c r="BC5">
        <f t="shared" ref="BC5:BC6" si="55">BB5</f>
        <v>185</v>
      </c>
    </row>
    <row r="6" spans="2:55" ht="16" x14ac:dyDescent="0.2">
      <c r="B6" s="1" t="s">
        <v>52</v>
      </c>
      <c r="E6">
        <f>139+615</f>
        <v>754</v>
      </c>
      <c r="F6">
        <f t="shared" si="26"/>
        <v>754</v>
      </c>
      <c r="G6">
        <f t="shared" si="27"/>
        <v>754</v>
      </c>
      <c r="H6">
        <f t="shared" si="28"/>
        <v>754</v>
      </c>
      <c r="I6">
        <f t="shared" si="29"/>
        <v>754</v>
      </c>
      <c r="J6">
        <f t="shared" si="30"/>
        <v>754</v>
      </c>
      <c r="K6">
        <f t="shared" si="31"/>
        <v>754</v>
      </c>
      <c r="L6">
        <f t="shared" si="32"/>
        <v>754</v>
      </c>
      <c r="M6">
        <f t="shared" si="32"/>
        <v>754</v>
      </c>
      <c r="N6">
        <f t="shared" si="32"/>
        <v>754</v>
      </c>
      <c r="O6">
        <f t="shared" si="32"/>
        <v>754</v>
      </c>
      <c r="P6">
        <f t="shared" si="32"/>
        <v>754</v>
      </c>
      <c r="Q6">
        <f t="shared" si="32"/>
        <v>754</v>
      </c>
      <c r="R6">
        <f t="shared" si="32"/>
        <v>754</v>
      </c>
      <c r="S6">
        <f t="shared" si="32"/>
        <v>754</v>
      </c>
      <c r="T6">
        <f t="shared" si="32"/>
        <v>754</v>
      </c>
      <c r="U6">
        <f t="shared" si="32"/>
        <v>754</v>
      </c>
      <c r="V6">
        <f t="shared" si="32"/>
        <v>754</v>
      </c>
      <c r="W6">
        <f t="shared" si="32"/>
        <v>754</v>
      </c>
      <c r="X6">
        <f t="shared" si="32"/>
        <v>754</v>
      </c>
      <c r="Y6">
        <f t="shared" si="32"/>
        <v>754</v>
      </c>
      <c r="Z6">
        <f t="shared" si="32"/>
        <v>754</v>
      </c>
      <c r="AA6">
        <f t="shared" si="32"/>
        <v>754</v>
      </c>
      <c r="AB6">
        <f t="shared" si="32"/>
        <v>754</v>
      </c>
      <c r="AC6">
        <f t="shared" si="32"/>
        <v>754</v>
      </c>
      <c r="AD6">
        <f t="shared" si="32"/>
        <v>754</v>
      </c>
      <c r="AE6">
        <f t="shared" si="33"/>
        <v>754</v>
      </c>
      <c r="AF6">
        <f t="shared" si="33"/>
        <v>754</v>
      </c>
      <c r="AG6">
        <f t="shared" si="33"/>
        <v>754</v>
      </c>
      <c r="AH6">
        <f t="shared" si="34"/>
        <v>754</v>
      </c>
      <c r="AI6">
        <f t="shared" si="35"/>
        <v>754</v>
      </c>
      <c r="AJ6">
        <f t="shared" si="36"/>
        <v>754</v>
      </c>
      <c r="AK6">
        <f t="shared" si="37"/>
        <v>754</v>
      </c>
      <c r="AL6">
        <f t="shared" si="38"/>
        <v>754</v>
      </c>
      <c r="AM6">
        <f t="shared" si="39"/>
        <v>754</v>
      </c>
      <c r="AN6">
        <f t="shared" si="40"/>
        <v>754</v>
      </c>
      <c r="AO6">
        <f t="shared" si="41"/>
        <v>754</v>
      </c>
      <c r="AP6">
        <f t="shared" si="42"/>
        <v>754</v>
      </c>
      <c r="AQ6">
        <f t="shared" si="43"/>
        <v>754</v>
      </c>
      <c r="AR6">
        <f t="shared" si="44"/>
        <v>754</v>
      </c>
      <c r="AS6">
        <f t="shared" si="45"/>
        <v>754</v>
      </c>
      <c r="AT6">
        <f t="shared" si="46"/>
        <v>754</v>
      </c>
      <c r="AU6">
        <f t="shared" si="47"/>
        <v>754</v>
      </c>
      <c r="AV6">
        <f t="shared" si="48"/>
        <v>754</v>
      </c>
      <c r="AW6">
        <f t="shared" si="49"/>
        <v>754</v>
      </c>
      <c r="AX6">
        <f t="shared" si="50"/>
        <v>754</v>
      </c>
      <c r="AY6">
        <f t="shared" si="51"/>
        <v>754</v>
      </c>
      <c r="AZ6">
        <f t="shared" si="52"/>
        <v>754</v>
      </c>
      <c r="BA6">
        <f t="shared" si="53"/>
        <v>754</v>
      </c>
      <c r="BB6">
        <f t="shared" si="54"/>
        <v>754</v>
      </c>
      <c r="BC6">
        <f t="shared" si="55"/>
        <v>754</v>
      </c>
    </row>
    <row r="8" spans="2:55" ht="16" x14ac:dyDescent="0.2">
      <c r="B8" s="1" t="s">
        <v>53</v>
      </c>
      <c r="E8">
        <v>0</v>
      </c>
      <c r="F8">
        <f>IF(ISNA(F4),E8+$B$20,F4)</f>
        <v>60</v>
      </c>
      <c r="G8">
        <f t="shared" ref="G8:I8" si="56">IF(ISNA(G4),F8+$B$20,G4)</f>
        <v>110</v>
      </c>
      <c r="H8">
        <f t="shared" si="56"/>
        <v>160</v>
      </c>
      <c r="I8">
        <f t="shared" si="56"/>
        <v>210</v>
      </c>
      <c r="J8">
        <f t="shared" ref="J8:AM8" si="57">IF(ISNA(J4),I8+$B$20,J4)</f>
        <v>260</v>
      </c>
      <c r="K8">
        <f t="shared" si="57"/>
        <v>310</v>
      </c>
      <c r="L8">
        <f t="shared" si="57"/>
        <v>360</v>
      </c>
      <c r="M8">
        <f t="shared" si="57"/>
        <v>410</v>
      </c>
      <c r="N8">
        <f t="shared" si="57"/>
        <v>460</v>
      </c>
      <c r="O8">
        <f t="shared" si="57"/>
        <v>510</v>
      </c>
      <c r="P8">
        <f t="shared" si="57"/>
        <v>560</v>
      </c>
      <c r="Q8">
        <f t="shared" si="57"/>
        <v>610</v>
      </c>
      <c r="R8">
        <f t="shared" si="57"/>
        <v>660</v>
      </c>
      <c r="S8">
        <f t="shared" si="57"/>
        <v>710</v>
      </c>
      <c r="T8">
        <f t="shared" si="57"/>
        <v>760</v>
      </c>
      <c r="U8">
        <f t="shared" si="57"/>
        <v>810</v>
      </c>
      <c r="V8">
        <f t="shared" si="57"/>
        <v>860</v>
      </c>
      <c r="W8">
        <f t="shared" si="57"/>
        <v>910</v>
      </c>
      <c r="X8">
        <f t="shared" si="57"/>
        <v>960</v>
      </c>
      <c r="Y8">
        <f t="shared" si="57"/>
        <v>1010</v>
      </c>
      <c r="Z8">
        <f t="shared" si="57"/>
        <v>1060</v>
      </c>
      <c r="AA8">
        <f t="shared" si="57"/>
        <v>1110</v>
      </c>
      <c r="AB8">
        <f t="shared" si="57"/>
        <v>1160</v>
      </c>
      <c r="AC8">
        <f t="shared" si="57"/>
        <v>1210</v>
      </c>
      <c r="AD8">
        <f t="shared" si="57"/>
        <v>1260</v>
      </c>
      <c r="AE8">
        <f t="shared" si="57"/>
        <v>1310</v>
      </c>
      <c r="AF8">
        <f t="shared" si="57"/>
        <v>1360</v>
      </c>
      <c r="AG8">
        <f t="shared" si="57"/>
        <v>1410</v>
      </c>
      <c r="AH8">
        <f t="shared" si="57"/>
        <v>1460</v>
      </c>
      <c r="AI8">
        <f t="shared" si="57"/>
        <v>1510</v>
      </c>
      <c r="AJ8">
        <f t="shared" si="57"/>
        <v>1560</v>
      </c>
      <c r="AK8">
        <f t="shared" si="57"/>
        <v>1610</v>
      </c>
      <c r="AL8">
        <f t="shared" si="57"/>
        <v>1660</v>
      </c>
      <c r="AM8">
        <f t="shared" si="57"/>
        <v>1710</v>
      </c>
      <c r="AN8">
        <f t="shared" ref="AN8:AS8" si="58">IF(ISNA(AN4),AM8+$B$20,AN4)</f>
        <v>1760</v>
      </c>
      <c r="AO8">
        <f t="shared" si="58"/>
        <v>1810</v>
      </c>
      <c r="AP8">
        <f t="shared" si="58"/>
        <v>1860</v>
      </c>
      <c r="AQ8">
        <f t="shared" si="58"/>
        <v>1910</v>
      </c>
      <c r="AR8">
        <f t="shared" si="58"/>
        <v>1960</v>
      </c>
      <c r="AS8">
        <f t="shared" si="58"/>
        <v>2010</v>
      </c>
      <c r="AT8">
        <f t="shared" ref="AT8" si="59">IF(ISNA(AT4),AS8+$B$20,AT4)</f>
        <v>2060</v>
      </c>
      <c r="AU8">
        <f t="shared" ref="AU8" si="60">IF(ISNA(AU4),AT8+$B$20,AU4)</f>
        <v>2110</v>
      </c>
      <c r="AV8">
        <f t="shared" ref="AV8" si="61">IF(ISNA(AV4),AU8+$B$20,AV4)</f>
        <v>2160</v>
      </c>
      <c r="AW8">
        <f t="shared" ref="AW8" si="62">IF(ISNA(AW4),AV8+$B$20,AW4)</f>
        <v>2210</v>
      </c>
      <c r="AX8">
        <f t="shared" ref="AX8" si="63">IF(ISNA(AX4),AW8+$B$20,AX4)</f>
        <v>2260</v>
      </c>
      <c r="AY8">
        <f t="shared" ref="AY8" si="64">IF(ISNA(AY4),AX8+$B$20,AY4)</f>
        <v>2310</v>
      </c>
      <c r="AZ8">
        <f t="shared" ref="AZ8" si="65">IF(ISNA(AZ4),AY8+$B$20,AZ4)</f>
        <v>2360</v>
      </c>
      <c r="BA8">
        <f t="shared" ref="BA8" si="66">IF(ISNA(BA4),AZ8+$B$20,BA4)</f>
        <v>2410</v>
      </c>
      <c r="BB8">
        <f t="shared" ref="BB8" si="67">IF(ISNA(BB4),BA8+$B$20,BB4)</f>
        <v>2460</v>
      </c>
      <c r="BC8">
        <f t="shared" ref="BC8" si="68">IF(ISNA(BC4),BB8+$B$20,BC4)</f>
        <v>2510</v>
      </c>
    </row>
    <row r="9" spans="2:55" ht="16" x14ac:dyDescent="0.2">
      <c r="B9" s="1" t="s">
        <v>54</v>
      </c>
      <c r="E9">
        <v>0</v>
      </c>
      <c r="F9">
        <f>IF(ISNA(F4),E9+$B$21,F4)</f>
        <v>60</v>
      </c>
      <c r="G9">
        <f t="shared" ref="G9:J9" si="69">IF(ISNA(G4),F9+$B$21,G4)</f>
        <v>105</v>
      </c>
      <c r="H9">
        <f t="shared" si="69"/>
        <v>150</v>
      </c>
      <c r="I9">
        <f t="shared" si="69"/>
        <v>195</v>
      </c>
      <c r="J9">
        <f t="shared" si="69"/>
        <v>240</v>
      </c>
      <c r="K9">
        <f t="shared" ref="K9:AG9" si="70">IF(ISNA(K4),J9+$B$21,K4)</f>
        <v>285</v>
      </c>
      <c r="L9">
        <f t="shared" si="70"/>
        <v>330</v>
      </c>
      <c r="M9">
        <f t="shared" si="70"/>
        <v>375</v>
      </c>
      <c r="N9">
        <f t="shared" si="70"/>
        <v>420</v>
      </c>
      <c r="O9">
        <f t="shared" si="70"/>
        <v>465</v>
      </c>
      <c r="P9">
        <f t="shared" si="70"/>
        <v>510</v>
      </c>
      <c r="Q9">
        <f t="shared" si="70"/>
        <v>555</v>
      </c>
      <c r="R9">
        <f t="shared" si="70"/>
        <v>600</v>
      </c>
      <c r="S9">
        <f t="shared" si="70"/>
        <v>645</v>
      </c>
      <c r="T9">
        <f t="shared" si="70"/>
        <v>690</v>
      </c>
      <c r="U9">
        <f t="shared" si="70"/>
        <v>735</v>
      </c>
      <c r="V9">
        <f t="shared" si="70"/>
        <v>780</v>
      </c>
      <c r="W9">
        <f t="shared" si="70"/>
        <v>825</v>
      </c>
      <c r="X9">
        <f t="shared" si="70"/>
        <v>870</v>
      </c>
      <c r="Y9">
        <f t="shared" si="70"/>
        <v>915</v>
      </c>
      <c r="Z9">
        <f t="shared" si="70"/>
        <v>960</v>
      </c>
      <c r="AA9">
        <f t="shared" si="70"/>
        <v>1005</v>
      </c>
      <c r="AB9">
        <f t="shared" si="70"/>
        <v>1050</v>
      </c>
      <c r="AC9">
        <f t="shared" si="70"/>
        <v>1095</v>
      </c>
      <c r="AD9">
        <f t="shared" si="70"/>
        <v>1140</v>
      </c>
      <c r="AE9">
        <f t="shared" si="70"/>
        <v>1185</v>
      </c>
      <c r="AF9">
        <f t="shared" si="70"/>
        <v>1230</v>
      </c>
      <c r="AG9">
        <f t="shared" si="70"/>
        <v>1275</v>
      </c>
      <c r="AH9">
        <f t="shared" ref="AH9" si="71">IF(ISNA(AH4),AG9+$B$21,AH4)</f>
        <v>1320</v>
      </c>
      <c r="AI9">
        <f t="shared" ref="AI9" si="72">IF(ISNA(AI4),AH9+$B$21,AI4)</f>
        <v>1365</v>
      </c>
      <c r="AJ9">
        <f t="shared" ref="AJ9" si="73">IF(ISNA(AJ4),AI9+$B$21,AJ4)</f>
        <v>1410</v>
      </c>
      <c r="AK9">
        <f t="shared" ref="AK9" si="74">IF(ISNA(AK4),AJ9+$B$21,AK4)</f>
        <v>1455</v>
      </c>
      <c r="AL9">
        <f t="shared" ref="AL9" si="75">IF(ISNA(AL4),AK9+$B$21,AL4)</f>
        <v>1500</v>
      </c>
      <c r="AM9">
        <f t="shared" ref="AM9" si="76">IF(ISNA(AM4),AL9+$B$21,AM4)</f>
        <v>1545</v>
      </c>
      <c r="AN9">
        <f t="shared" ref="AN9" si="77">IF(ISNA(AN4),AM9+$B$21,AN4)</f>
        <v>1590</v>
      </c>
      <c r="AO9">
        <f t="shared" ref="AO9" si="78">IF(ISNA(AO4),AN9+$B$21,AO4)</f>
        <v>1635</v>
      </c>
      <c r="AP9">
        <f t="shared" ref="AP9" si="79">IF(ISNA(AP4),AO9+$B$21,AP4)</f>
        <v>1680</v>
      </c>
      <c r="AQ9">
        <f t="shared" ref="AQ9" si="80">IF(ISNA(AQ4),AP9+$B$21,AQ4)</f>
        <v>1725</v>
      </c>
      <c r="AR9">
        <f t="shared" ref="AR9" si="81">IF(ISNA(AR4),AQ9+$B$21,AR4)</f>
        <v>1770</v>
      </c>
      <c r="AS9">
        <f t="shared" ref="AS9" si="82">IF(ISNA(AS4),AR9+$B$21,AS4)</f>
        <v>1815</v>
      </c>
      <c r="AT9">
        <f t="shared" ref="AT9" si="83">IF(ISNA(AT4),AS9+$B$21,AT4)</f>
        <v>1860</v>
      </c>
      <c r="AU9">
        <f t="shared" ref="AU9" si="84">IF(ISNA(AU4),AT9+$B$21,AU4)</f>
        <v>1905</v>
      </c>
      <c r="AV9">
        <f t="shared" ref="AV9" si="85">IF(ISNA(AV4),AU9+$B$21,AV4)</f>
        <v>1950</v>
      </c>
      <c r="AW9">
        <f t="shared" ref="AW9" si="86">IF(ISNA(AW4),AV9+$B$21,AW4)</f>
        <v>1995</v>
      </c>
      <c r="AX9">
        <f t="shared" ref="AX9" si="87">IF(ISNA(AX4),AW9+$B$21,AX4)</f>
        <v>2040</v>
      </c>
      <c r="AY9">
        <f t="shared" ref="AY9" si="88">IF(ISNA(AY4),AX9+$B$21,AY4)</f>
        <v>2085</v>
      </c>
      <c r="AZ9">
        <f t="shared" ref="AZ9" si="89">IF(ISNA(AZ4),AY9+$B$21,AZ4)</f>
        <v>2130</v>
      </c>
      <c r="BA9">
        <f t="shared" ref="BA9" si="90">IF(ISNA(BA4),AZ9+$B$21,BA4)</f>
        <v>2175</v>
      </c>
      <c r="BB9">
        <f t="shared" ref="BB9" si="91">IF(ISNA(BB4),BA9+$B$21,BB4)</f>
        <v>2220</v>
      </c>
      <c r="BC9">
        <f t="shared" ref="BC9" si="92">IF(ISNA(BC4),BB9+$B$21,BC4)</f>
        <v>2265</v>
      </c>
    </row>
    <row r="10" spans="2:55" ht="16" x14ac:dyDescent="0.2">
      <c r="B10" s="1" t="s">
        <v>55</v>
      </c>
      <c r="E10">
        <v>0</v>
      </c>
      <c r="F10">
        <f>IF(ISNA(F4),E10+$B$22,F4)</f>
        <v>60</v>
      </c>
      <c r="G10">
        <f t="shared" ref="G10:J10" si="93">IF(ISNA(G4),F10+$B$22,G4)</f>
        <v>95</v>
      </c>
      <c r="H10">
        <f t="shared" si="93"/>
        <v>130</v>
      </c>
      <c r="I10">
        <f t="shared" si="93"/>
        <v>165</v>
      </c>
      <c r="J10">
        <f t="shared" si="93"/>
        <v>200</v>
      </c>
      <c r="K10">
        <f t="shared" ref="K10:AM10" si="94">IF(ISNA(K4),J10+$B$22,K4)</f>
        <v>235</v>
      </c>
      <c r="L10">
        <f t="shared" si="94"/>
        <v>270</v>
      </c>
      <c r="M10">
        <f t="shared" si="94"/>
        <v>305</v>
      </c>
      <c r="N10">
        <f t="shared" si="94"/>
        <v>340</v>
      </c>
      <c r="O10">
        <f t="shared" si="94"/>
        <v>375</v>
      </c>
      <c r="P10">
        <f t="shared" si="94"/>
        <v>410</v>
      </c>
      <c r="Q10">
        <f t="shared" si="94"/>
        <v>445</v>
      </c>
      <c r="R10">
        <f t="shared" si="94"/>
        <v>480</v>
      </c>
      <c r="S10">
        <f t="shared" si="94"/>
        <v>515</v>
      </c>
      <c r="T10">
        <f t="shared" si="94"/>
        <v>550</v>
      </c>
      <c r="U10">
        <f t="shared" si="94"/>
        <v>585</v>
      </c>
      <c r="V10">
        <f t="shared" si="94"/>
        <v>620</v>
      </c>
      <c r="W10">
        <f t="shared" si="94"/>
        <v>655</v>
      </c>
      <c r="X10">
        <f t="shared" si="94"/>
        <v>690</v>
      </c>
      <c r="Y10">
        <f t="shared" si="94"/>
        <v>725</v>
      </c>
      <c r="Z10">
        <f t="shared" si="94"/>
        <v>760</v>
      </c>
      <c r="AA10">
        <f t="shared" si="94"/>
        <v>795</v>
      </c>
      <c r="AB10">
        <f t="shared" si="94"/>
        <v>830</v>
      </c>
      <c r="AC10">
        <f t="shared" si="94"/>
        <v>865</v>
      </c>
      <c r="AD10">
        <f t="shared" si="94"/>
        <v>900</v>
      </c>
      <c r="AE10">
        <f t="shared" si="94"/>
        <v>935</v>
      </c>
      <c r="AF10">
        <f t="shared" si="94"/>
        <v>970</v>
      </c>
      <c r="AG10">
        <f t="shared" si="94"/>
        <v>1005</v>
      </c>
      <c r="AH10">
        <f t="shared" si="94"/>
        <v>1040</v>
      </c>
      <c r="AI10">
        <f t="shared" si="94"/>
        <v>1075</v>
      </c>
      <c r="AJ10">
        <f t="shared" si="94"/>
        <v>1110</v>
      </c>
      <c r="AK10">
        <f t="shared" si="94"/>
        <v>1145</v>
      </c>
      <c r="AL10">
        <f t="shared" si="94"/>
        <v>1180</v>
      </c>
      <c r="AM10">
        <f t="shared" si="94"/>
        <v>1215</v>
      </c>
      <c r="AN10">
        <f t="shared" ref="AN10:AS10" si="95">IF(ISNA(AN4),AM10+$B$22,AN4)</f>
        <v>1250</v>
      </c>
      <c r="AO10">
        <f t="shared" si="95"/>
        <v>1285</v>
      </c>
      <c r="AP10">
        <f t="shared" si="95"/>
        <v>1320</v>
      </c>
      <c r="AQ10">
        <f t="shared" si="95"/>
        <v>1355</v>
      </c>
      <c r="AR10">
        <f t="shared" si="95"/>
        <v>1390</v>
      </c>
      <c r="AS10">
        <f t="shared" si="95"/>
        <v>1425</v>
      </c>
      <c r="AT10">
        <f t="shared" ref="AT10" si="96">IF(ISNA(AT4),AS10+$B$22,AT4)</f>
        <v>1460</v>
      </c>
      <c r="AU10">
        <f t="shared" ref="AU10" si="97">IF(ISNA(AU4),AT10+$B$22,AU4)</f>
        <v>1495</v>
      </c>
      <c r="AV10">
        <f t="shared" ref="AV10" si="98">IF(ISNA(AV4),AU10+$B$22,AV4)</f>
        <v>1530</v>
      </c>
      <c r="AW10">
        <f t="shared" ref="AW10" si="99">IF(ISNA(AW4),AV10+$B$22,AW4)</f>
        <v>1565</v>
      </c>
      <c r="AX10">
        <f t="shared" ref="AX10" si="100">IF(ISNA(AX4),AW10+$B$22,AX4)</f>
        <v>1600</v>
      </c>
      <c r="AY10">
        <f t="shared" ref="AY10" si="101">IF(ISNA(AY4),AX10+$B$22,AY4)</f>
        <v>1635</v>
      </c>
      <c r="AZ10">
        <f t="shared" ref="AZ10" si="102">IF(ISNA(AZ4),AY10+$B$22,AZ4)</f>
        <v>1670</v>
      </c>
      <c r="BA10">
        <f t="shared" ref="BA10" si="103">IF(ISNA(BA4),AZ10+$B$22,BA4)</f>
        <v>1705</v>
      </c>
      <c r="BB10">
        <f t="shared" ref="BB10" si="104">IF(ISNA(BB4),BA10+$B$22,BB4)</f>
        <v>1740</v>
      </c>
      <c r="BC10">
        <f t="shared" ref="BC10" si="105">IF(ISNA(BC4),BB10+$B$22,BC4)</f>
        <v>1775</v>
      </c>
    </row>
    <row r="12" spans="2:55" ht="16" x14ac:dyDescent="0.2">
      <c r="B12" s="2" t="s">
        <v>56</v>
      </c>
      <c r="C12" s="2"/>
      <c r="D12" s="2"/>
    </row>
    <row r="13" spans="2:55" ht="16" x14ac:dyDescent="0.2">
      <c r="B13" s="1" t="s">
        <v>57</v>
      </c>
      <c r="F13">
        <v>140000</v>
      </c>
    </row>
    <row r="14" spans="2:55" ht="16" x14ac:dyDescent="0.2">
      <c r="B14" s="1" t="s">
        <v>58</v>
      </c>
      <c r="E14">
        <v>0</v>
      </c>
      <c r="F14">
        <f>IF(COUNTBLANK(F13),NA(),F13+E14)</f>
        <v>140000</v>
      </c>
      <c r="G14" t="e">
        <f t="shared" ref="G14:BC14" si="106">IF(COUNTBLANK(G13),NA(),G13+F14)</f>
        <v>#N/A</v>
      </c>
      <c r="H14" t="e">
        <f t="shared" si="106"/>
        <v>#N/A</v>
      </c>
      <c r="I14" t="e">
        <f t="shared" si="106"/>
        <v>#N/A</v>
      </c>
      <c r="J14" t="e">
        <f>IF(COUNTBLANK(J13),NA(),J13+I14)</f>
        <v>#N/A</v>
      </c>
      <c r="K14" t="e">
        <f t="shared" si="106"/>
        <v>#N/A</v>
      </c>
      <c r="L14" t="e">
        <f t="shared" si="106"/>
        <v>#N/A</v>
      </c>
      <c r="M14" t="e">
        <f t="shared" si="106"/>
        <v>#N/A</v>
      </c>
      <c r="N14" t="e">
        <f t="shared" si="106"/>
        <v>#N/A</v>
      </c>
      <c r="O14" t="e">
        <f t="shared" si="106"/>
        <v>#N/A</v>
      </c>
      <c r="P14" t="e">
        <f t="shared" si="106"/>
        <v>#N/A</v>
      </c>
      <c r="Q14" t="e">
        <f t="shared" si="106"/>
        <v>#N/A</v>
      </c>
      <c r="R14" t="e">
        <f t="shared" si="106"/>
        <v>#N/A</v>
      </c>
      <c r="S14" t="e">
        <f t="shared" si="106"/>
        <v>#N/A</v>
      </c>
      <c r="T14" t="e">
        <f t="shared" si="106"/>
        <v>#N/A</v>
      </c>
      <c r="U14" t="e">
        <f t="shared" si="106"/>
        <v>#N/A</v>
      </c>
      <c r="V14" t="e">
        <f t="shared" si="106"/>
        <v>#N/A</v>
      </c>
      <c r="W14" t="e">
        <f t="shared" si="106"/>
        <v>#N/A</v>
      </c>
      <c r="X14" t="e">
        <f t="shared" si="106"/>
        <v>#N/A</v>
      </c>
      <c r="Y14" t="e">
        <f t="shared" si="106"/>
        <v>#N/A</v>
      </c>
      <c r="Z14" t="e">
        <f t="shared" si="106"/>
        <v>#N/A</v>
      </c>
      <c r="AA14" t="e">
        <f t="shared" si="106"/>
        <v>#N/A</v>
      </c>
      <c r="AB14" t="e">
        <f t="shared" si="106"/>
        <v>#N/A</v>
      </c>
      <c r="AC14" t="e">
        <f t="shared" si="106"/>
        <v>#N/A</v>
      </c>
      <c r="AD14" t="e">
        <f t="shared" si="106"/>
        <v>#N/A</v>
      </c>
      <c r="AE14" t="e">
        <f t="shared" si="106"/>
        <v>#N/A</v>
      </c>
      <c r="AF14" t="e">
        <f t="shared" si="106"/>
        <v>#N/A</v>
      </c>
      <c r="AG14" t="e">
        <f t="shared" si="106"/>
        <v>#N/A</v>
      </c>
      <c r="AH14" t="e">
        <f t="shared" si="106"/>
        <v>#N/A</v>
      </c>
      <c r="AI14" t="e">
        <f t="shared" si="106"/>
        <v>#N/A</v>
      </c>
      <c r="AJ14" t="e">
        <f t="shared" si="106"/>
        <v>#N/A</v>
      </c>
      <c r="AK14" t="e">
        <f t="shared" si="106"/>
        <v>#N/A</v>
      </c>
      <c r="AL14" t="e">
        <f t="shared" si="106"/>
        <v>#N/A</v>
      </c>
      <c r="AM14" t="e">
        <f t="shared" si="106"/>
        <v>#N/A</v>
      </c>
      <c r="AN14" t="e">
        <f t="shared" si="106"/>
        <v>#N/A</v>
      </c>
      <c r="AO14" t="e">
        <f t="shared" si="106"/>
        <v>#N/A</v>
      </c>
      <c r="AP14" t="e">
        <f t="shared" si="106"/>
        <v>#N/A</v>
      </c>
      <c r="AQ14" t="e">
        <f t="shared" si="106"/>
        <v>#N/A</v>
      </c>
      <c r="AR14" t="e">
        <f t="shared" si="106"/>
        <v>#N/A</v>
      </c>
      <c r="AS14" t="e">
        <f t="shared" si="106"/>
        <v>#N/A</v>
      </c>
      <c r="AT14" t="e">
        <f t="shared" si="106"/>
        <v>#N/A</v>
      </c>
      <c r="AU14" t="e">
        <f t="shared" si="106"/>
        <v>#N/A</v>
      </c>
      <c r="AV14" t="e">
        <f t="shared" si="106"/>
        <v>#N/A</v>
      </c>
      <c r="AW14" t="e">
        <f t="shared" si="106"/>
        <v>#N/A</v>
      </c>
      <c r="AX14" t="e">
        <f t="shared" si="106"/>
        <v>#N/A</v>
      </c>
      <c r="AY14" t="e">
        <f t="shared" si="106"/>
        <v>#N/A</v>
      </c>
      <c r="AZ14" t="e">
        <f t="shared" si="106"/>
        <v>#N/A</v>
      </c>
      <c r="BA14" t="e">
        <f t="shared" si="106"/>
        <v>#N/A</v>
      </c>
      <c r="BB14" t="e">
        <f t="shared" si="106"/>
        <v>#N/A</v>
      </c>
      <c r="BC14" t="e">
        <f t="shared" si="106"/>
        <v>#N/A</v>
      </c>
    </row>
    <row r="16" spans="2:55" ht="16" x14ac:dyDescent="0.2">
      <c r="B16" s="1" t="s">
        <v>59</v>
      </c>
      <c r="E16">
        <v>0</v>
      </c>
      <c r="F16">
        <f>IF(ISNA(F14),E16+$D$27,F14)</f>
        <v>140000</v>
      </c>
      <c r="G16">
        <f>IF(ISNA(G14),F16+$D$27,G14)</f>
        <v>288000</v>
      </c>
      <c r="H16">
        <f t="shared" ref="H16:BC16" si="107">IF(ISNA(H14),G16+$D$27,H14)</f>
        <v>436000</v>
      </c>
      <c r="I16">
        <f t="shared" si="107"/>
        <v>584000</v>
      </c>
      <c r="J16">
        <f t="shared" si="107"/>
        <v>732000</v>
      </c>
      <c r="K16">
        <f t="shared" si="107"/>
        <v>880000</v>
      </c>
      <c r="L16">
        <f t="shared" si="107"/>
        <v>1028000</v>
      </c>
      <c r="M16">
        <f t="shared" si="107"/>
        <v>1176000</v>
      </c>
      <c r="N16">
        <f t="shared" si="107"/>
        <v>1324000</v>
      </c>
      <c r="O16">
        <f t="shared" si="107"/>
        <v>1472000</v>
      </c>
      <c r="P16">
        <f t="shared" si="107"/>
        <v>1620000</v>
      </c>
      <c r="Q16">
        <f t="shared" si="107"/>
        <v>1768000</v>
      </c>
      <c r="R16">
        <f t="shared" si="107"/>
        <v>1916000</v>
      </c>
      <c r="S16">
        <f t="shared" si="107"/>
        <v>2064000</v>
      </c>
      <c r="T16">
        <f t="shared" si="107"/>
        <v>2212000</v>
      </c>
      <c r="U16">
        <f t="shared" si="107"/>
        <v>2360000</v>
      </c>
      <c r="V16">
        <f t="shared" si="107"/>
        <v>2508000</v>
      </c>
      <c r="W16">
        <f t="shared" si="107"/>
        <v>2656000</v>
      </c>
      <c r="X16">
        <f t="shared" si="107"/>
        <v>2804000</v>
      </c>
      <c r="Y16">
        <f t="shared" si="107"/>
        <v>2952000</v>
      </c>
      <c r="Z16">
        <f t="shared" si="107"/>
        <v>3100000</v>
      </c>
      <c r="AA16">
        <f t="shared" si="107"/>
        <v>3248000</v>
      </c>
      <c r="AB16">
        <f t="shared" si="107"/>
        <v>3396000</v>
      </c>
      <c r="AC16">
        <f t="shared" si="107"/>
        <v>3544000</v>
      </c>
      <c r="AD16">
        <f t="shared" si="107"/>
        <v>3692000</v>
      </c>
      <c r="AE16">
        <f t="shared" si="107"/>
        <v>3840000</v>
      </c>
      <c r="AF16">
        <f t="shared" si="107"/>
        <v>3988000</v>
      </c>
      <c r="AG16">
        <f t="shared" si="107"/>
        <v>4136000</v>
      </c>
      <c r="AH16">
        <f t="shared" si="107"/>
        <v>4284000</v>
      </c>
      <c r="AI16">
        <f t="shared" si="107"/>
        <v>4432000</v>
      </c>
      <c r="AJ16">
        <f t="shared" si="107"/>
        <v>4580000</v>
      </c>
      <c r="AK16">
        <f t="shared" si="107"/>
        <v>4728000</v>
      </c>
      <c r="AL16">
        <f t="shared" si="107"/>
        <v>4876000</v>
      </c>
      <c r="AM16">
        <f t="shared" si="107"/>
        <v>5024000</v>
      </c>
      <c r="AN16">
        <f t="shared" si="107"/>
        <v>5172000</v>
      </c>
      <c r="AO16">
        <f t="shared" si="107"/>
        <v>5320000</v>
      </c>
      <c r="AP16">
        <f t="shared" si="107"/>
        <v>5468000</v>
      </c>
      <c r="AQ16">
        <f t="shared" si="107"/>
        <v>5616000</v>
      </c>
      <c r="AR16">
        <f t="shared" si="107"/>
        <v>5764000</v>
      </c>
      <c r="AS16">
        <f t="shared" si="107"/>
        <v>5912000</v>
      </c>
      <c r="AT16">
        <f t="shared" si="107"/>
        <v>6060000</v>
      </c>
      <c r="AU16">
        <f t="shared" si="107"/>
        <v>6208000</v>
      </c>
      <c r="AV16">
        <f t="shared" si="107"/>
        <v>6356000</v>
      </c>
      <c r="AW16">
        <f t="shared" si="107"/>
        <v>6504000</v>
      </c>
      <c r="AX16">
        <f t="shared" si="107"/>
        <v>6652000</v>
      </c>
      <c r="AY16">
        <f t="shared" si="107"/>
        <v>6800000</v>
      </c>
      <c r="AZ16">
        <f t="shared" si="107"/>
        <v>6948000</v>
      </c>
      <c r="BA16">
        <f t="shared" si="107"/>
        <v>7096000</v>
      </c>
      <c r="BB16">
        <f t="shared" si="107"/>
        <v>7244000</v>
      </c>
      <c r="BC16">
        <f t="shared" si="107"/>
        <v>7392000</v>
      </c>
    </row>
    <row r="19" spans="1:4" ht="16" x14ac:dyDescent="0.2">
      <c r="A19" s="2" t="s">
        <v>60</v>
      </c>
    </row>
    <row r="20" spans="1:4" ht="32" x14ac:dyDescent="0.2">
      <c r="A20" s="1" t="s">
        <v>61</v>
      </c>
      <c r="B20" s="1">
        <v>50</v>
      </c>
    </row>
    <row r="21" spans="1:4" ht="32" x14ac:dyDescent="0.2">
      <c r="A21" s="1" t="s">
        <v>62</v>
      </c>
      <c r="B21" s="1">
        <v>45</v>
      </c>
    </row>
    <row r="22" spans="1:4" ht="32" x14ac:dyDescent="0.2">
      <c r="A22" s="1" t="s">
        <v>63</v>
      </c>
      <c r="B22" s="1">
        <v>35</v>
      </c>
    </row>
    <row r="24" spans="1:4" ht="16" x14ac:dyDescent="0.2">
      <c r="A24" s="2" t="s">
        <v>64</v>
      </c>
      <c r="B24" s="2" t="s">
        <v>65</v>
      </c>
      <c r="C24" s="2" t="s">
        <v>66</v>
      </c>
      <c r="D24" s="2" t="s">
        <v>67</v>
      </c>
    </row>
    <row r="25" spans="1:4" ht="16" x14ac:dyDescent="0.2">
      <c r="A25" s="1" t="s">
        <v>68</v>
      </c>
      <c r="B25" s="1">
        <v>1850</v>
      </c>
      <c r="C25" s="3">
        <v>1</v>
      </c>
      <c r="D25" s="1">
        <f>B25*(80*C25)</f>
        <v>148000</v>
      </c>
    </row>
    <row r="27" spans="1:4" ht="16" x14ac:dyDescent="0.2">
      <c r="A27" s="1" t="s">
        <v>69</v>
      </c>
      <c r="D27" s="4">
        <f>SUM(D25:D26)</f>
        <v>148000</v>
      </c>
    </row>
  </sheetData>
  <phoneticPr fontId="1" type="noConversion"/>
  <conditionalFormatting sqref="E4:BC4">
    <cfRule type="expression" dxfId="0" priority="1">
      <formula>"ISNA()"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070C-09DD-422D-AC25-BE55E6715C93}">
  <dimension ref="A1"/>
  <sheetViews>
    <sheetView tabSelected="1" topLeftCell="A3" zoomScale="150" zoomScaleNormal="150" workbookViewId="0">
      <selection activeCell="R12" sqref="R12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6829-9AE4-4F14-B8ED-65EE8EB1B16E}">
  <dimension ref="A1:A19"/>
  <sheetViews>
    <sheetView workbookViewId="0">
      <selection sqref="A1:A19"/>
    </sheetView>
  </sheetViews>
  <sheetFormatPr baseColWidth="10" defaultColWidth="8.83203125" defaultRowHeight="15" x14ac:dyDescent="0.2"/>
  <sheetData>
    <row r="1" spans="1:1" ht="16" thickBot="1" x14ac:dyDescent="0.25">
      <c r="A1" s="5">
        <v>5</v>
      </c>
    </row>
    <row r="2" spans="1:1" ht="16" thickBot="1" x14ac:dyDescent="0.25">
      <c r="A2" s="5">
        <v>3</v>
      </c>
    </row>
    <row r="3" spans="1:1" ht="16" thickBot="1" x14ac:dyDescent="0.25">
      <c r="A3" s="5">
        <v>2</v>
      </c>
    </row>
    <row r="4" spans="1:1" ht="16" thickBot="1" x14ac:dyDescent="0.25">
      <c r="A4" s="5">
        <v>5</v>
      </c>
    </row>
    <row r="5" spans="1:1" ht="16" thickBot="1" x14ac:dyDescent="0.25">
      <c r="A5" s="5">
        <v>2</v>
      </c>
    </row>
    <row r="6" spans="1:1" ht="16" thickBot="1" x14ac:dyDescent="0.25">
      <c r="A6" s="5">
        <v>1</v>
      </c>
    </row>
    <row r="7" spans="1:1" ht="16" thickBot="1" x14ac:dyDescent="0.25">
      <c r="A7" s="5">
        <v>5</v>
      </c>
    </row>
    <row r="8" spans="1:1" ht="16" thickBot="1" x14ac:dyDescent="0.25">
      <c r="A8" s="5">
        <v>2</v>
      </c>
    </row>
    <row r="9" spans="1:1" ht="16" thickBot="1" x14ac:dyDescent="0.25">
      <c r="A9" s="5">
        <v>2</v>
      </c>
    </row>
    <row r="10" spans="1:1" ht="16" thickBot="1" x14ac:dyDescent="0.25">
      <c r="A10" s="5">
        <v>1</v>
      </c>
    </row>
    <row r="11" spans="1:1" ht="16" thickBot="1" x14ac:dyDescent="0.25">
      <c r="A11" s="5">
        <v>2</v>
      </c>
    </row>
    <row r="12" spans="1:1" ht="16" thickBot="1" x14ac:dyDescent="0.25">
      <c r="A12" s="5">
        <v>1</v>
      </c>
    </row>
    <row r="13" spans="1:1" ht="16" thickBot="1" x14ac:dyDescent="0.25">
      <c r="A13" s="5">
        <v>3</v>
      </c>
    </row>
    <row r="14" spans="1:1" ht="16" thickBot="1" x14ac:dyDescent="0.25">
      <c r="A14" s="5">
        <v>5</v>
      </c>
    </row>
    <row r="15" spans="1:1" ht="16" thickBot="1" x14ac:dyDescent="0.25">
      <c r="A15" s="5">
        <v>2</v>
      </c>
    </row>
    <row r="16" spans="1:1" ht="16" thickBot="1" x14ac:dyDescent="0.25">
      <c r="A16" s="5">
        <v>1</v>
      </c>
    </row>
    <row r="17" spans="1:1" ht="16" thickBot="1" x14ac:dyDescent="0.25">
      <c r="A17" s="5">
        <v>3</v>
      </c>
    </row>
    <row r="18" spans="1:1" ht="16" thickBot="1" x14ac:dyDescent="0.25">
      <c r="A18" s="5">
        <v>5</v>
      </c>
    </row>
    <row r="19" spans="1:1" ht="16" thickBot="1" x14ac:dyDescent="0.25">
      <c r="A19" s="5">
        <v>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783FCD-20F1-4CF0-B3F0-7863DDDF883E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BDBFD69-9E8D-4F73-AD1C-B6F780DDDA11}"/>
</file>

<file path=customXml/itemProps3.xml><?xml version="1.0" encoding="utf-8"?>
<ds:datastoreItem xmlns:ds="http://schemas.openxmlformats.org/officeDocument/2006/customXml" ds:itemID="{43EC73B4-88A6-4256-B10D-3BE936A451D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8195739-F48A-45FA-B14B-AA6F1092D482}">
  <ds:schemaRefs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1ffbd5dc-7a64-4097-8396-87f6c90b212f"/>
    <ds:schemaRef ds:uri="http://schemas.microsoft.com/office/2006/metadata/properties"/>
  </ds:schemaRefs>
</ds:datastoreItem>
</file>

<file path=customXml/itemProps5.xml><?xml version="1.0" encoding="utf-8"?>
<ds:datastoreItem xmlns:ds="http://schemas.openxmlformats.org/officeDocument/2006/customXml" ds:itemID="{1DCBB8FA-0BE6-4FFA-B672-F251BED2EE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 Forecasting</vt:lpstr>
      <vt:lpstr>BI Burnup 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Benkenstein</dc:creator>
  <cp:keywords/>
  <dc:description/>
  <cp:lastModifiedBy>Sam Duncan</cp:lastModifiedBy>
  <cp:revision/>
  <dcterms:created xsi:type="dcterms:W3CDTF">2020-08-13T15:11:43Z</dcterms:created>
  <dcterms:modified xsi:type="dcterms:W3CDTF">2023-10-10T09:25:25Z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">
    <vt:lpwstr>6;#Grainger PLC|a74f1cb5-e995-4f9e-8521-6d52e2c6bf08</vt:lpwstr>
  </property>
  <property fmtid="{D5CDD505-2E9C-101B-9397-08002B2CF9AE}" pid="8" name="Client Project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Client_x0020_Project">
    <vt:lpwstr/>
  </property>
</Properties>
</file>