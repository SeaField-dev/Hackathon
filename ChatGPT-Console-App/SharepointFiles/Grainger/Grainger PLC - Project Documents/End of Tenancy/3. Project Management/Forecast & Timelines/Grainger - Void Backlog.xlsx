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openboxsoftwareweb.sharepoint.com/sites/GraingerPLC/Project Documents/Salesforce - End of Tenancy/3. Project Management/Forecast &amp; Timelines/"/>
    </mc:Choice>
  </mc:AlternateContent>
  <xr:revisionPtr revIDLastSave="28" documentId="8_{23CB40BE-6E47-406B-9415-B0E98D5A15A1}" xr6:coauthVersionLast="47" xr6:coauthVersionMax="47" xr10:uidLastSave="{453F748D-0793-465A-A368-CD8035618690}"/>
  <bookViews>
    <workbookView xWindow="-120" yWindow="-120" windowWidth="29040" windowHeight="15720" xr2:uid="{9AB07CA3-AF9F-4A42-9210-8800D3327B96}"/>
  </bookViews>
  <sheets>
    <sheet name="FVVP Backlog (Sprints) (Jira)" sheetId="2" r:id="rId1"/>
    <sheet name="Client Facing" sheetId="1" r:id="rId2"/>
  </sheets>
  <definedNames>
    <definedName name="ExternalData_1" localSheetId="0" hidden="1">'FVVP Backlog (Sprints) (Jira)'!$A$1:$J$60</definedName>
    <definedName name="ExternalData_2" localSheetId="1" hidden="1">'Client Facing'!$A$1:$G$60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1" i="1" l="1"/>
  <c r="J6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1E178B7-28FB-43DF-9110-F313426644AF}" keepAlive="1" name="Query - FVVP Backlog (Sprints) (Jira)" description="Connection to the 'FVVP Backlog (Sprints) (Jira)' query in the workbook." type="5" refreshedVersion="8" background="1" saveData="1">
    <dbPr connection="Provider=Microsoft.Mashup.OleDb.1;Data Source=$Workbook$;Location=&quot;FVVP Backlog (Sprints) (Jira)&quot;;Extended Properties=&quot;&quot;" command="SELECT * FROM [FVVP Backlog (Sprints) (Jira)]"/>
  </connection>
  <connection id="2" xr16:uid="{D9EDE5EE-1B31-4C7C-9E2F-D3A9171EA56F}" keepAlive="1" name="Query - FVVP Backlog (Sprints) (Jira) (2)" description="Connection to the 'FVVP Backlog (Sprints) (Jira) (2)' query in the workbook." type="5" refreshedVersion="8" background="1" saveData="1">
    <dbPr connection="Provider=Microsoft.Mashup.OleDb.1;Data Source=$Workbook$;Location=&quot;FVVP Backlog (Sprints) (Jira) (2)&quot;;Extended Properties=&quot;&quot;" command="SELECT * FROM [FVVP Backlog (Sprints) (Jira) (2)]"/>
  </connection>
  <connection id="3" xr16:uid="{E6C5598F-87E0-4816-A43C-0CF351326D1B}" keepAlive="1" name="Query - FVVP Backlog (Sprints) (Jira) (3)" description="Connection to the 'FVVP Backlog (Sprints) (Jira) (3)' query in the workbook." type="5" refreshedVersion="8" background="1" saveData="1">
    <dbPr connection="Provider=Microsoft.Mashup.OleDb.1;Data Source=$Workbook$;Location=&quot;FVVP Backlog (Sprints) (Jira) (3)&quot;;Extended Properties=&quot;&quot;" command="SELECT * FROM [FVVP Backlog (Sprints) (Jira) (3)]"/>
  </connection>
</connections>
</file>

<file path=xl/sharedStrings.xml><?xml version="1.0" encoding="utf-8"?>
<sst xmlns="http://schemas.openxmlformats.org/spreadsheetml/2006/main" count="676" uniqueCount="224">
  <si>
    <t>Summary</t>
  </si>
  <si>
    <t>Issue key</t>
  </si>
  <si>
    <t>Issue id</t>
  </si>
  <si>
    <t>Created</t>
  </si>
  <si>
    <t>Labels</t>
  </si>
  <si>
    <t>Description</t>
  </si>
  <si>
    <t>Custom field (Epic Link)</t>
  </si>
  <si>
    <t>Epic Link Summary</t>
  </si>
  <si>
    <t>Sprint</t>
  </si>
  <si>
    <t>Calculate void duration</t>
  </si>
  <si>
    <t>FVVP-197</t>
  </si>
  <si>
    <t/>
  </si>
  <si>
    <t>We need to calcualte the void duration. This should be done from the time that the move out completes until the “tenancy start date” of the new tenancy for that unit.
!image-20230914-142950.png|width=2115,height=477!</t>
  </si>
  <si>
    <t>FVVP Sprint 3</t>
  </si>
  <si>
    <t>See Tasks for a Void</t>
  </si>
  <si>
    <t>FVVP-190</t>
  </si>
  <si>
    <t>REFINED</t>
  </si>
  <si>
    <t xml:space="preserve">*As a user, I want to see a list of tasks associated to a void, so that I am aware of the tasks required.* 
+Acceptance Criteria+
WHEN a user is viewing a void 
THEN they will see a list of void tasks
AND the following details will be displayed per task: 
* Task Name
* Task Status
* Task Owner
* Start Date 
* Target End Date
_Scenario - Overdue Tasks:_
GIVEN a task is in an ‘Active’ or ‘In Progress’ status
AND the task’s _Target End Date_ has passed (i.e. is before the current date)
WHEN a user is viewing the list of void tasks 
THEN there will be a visual indication that the task is overdue (e.g. red “!” icon) .
_Scenario - Default View:_
WHEN the void’s task list first initially loads
THEN by default, only tasks is a status of ‘Pending', ‘Active’ or 'In Progress’ are displayed
AND by default, tasks will will be ordered by _Target End Date_ (showing the earliest dates at the top of the list). 
_Scenario - Filter/Search for Tasks:_
WHEN a user is viewing a void’s task list
THEN they will be able to apply filters to search for a specific set of tasks
AND the user will be able to see any void task from the list (including complete tasks).
</t>
  </si>
  <si>
    <t>FVVP-45</t>
  </si>
  <si>
    <t>Completing Tasks &amp; Saving Actual Timeline</t>
  </si>
  <si>
    <t>FVVP Sprint 1</t>
  </si>
  <si>
    <t>View / Update Task Details</t>
  </si>
  <si>
    <t>FVVP-189</t>
  </si>
  <si>
    <t xml:space="preserve">*As a user, I want to update task details, so that a task can be assigned to a responsible person and task progress can be tracked.* 
+Acceptance Criteria+
WHEN the user selects a task from a void’s task list [https://graingerplc.atlassian.net/browse/FVVP-190|https://graingerplc.atlassian.net/browse/FVVP-190|smart-link]   
THEN the user will be able to see and update the task details below:
||Field Name||Editable?||Field Type &amp; Content||Required?||Default Value||Business Rules||Comments||
|Task Name|No|Short Text| |Per [https://graingerplc.atlassian.net/browse/FVVP-49|https://graingerplc.atlassian.net/browse/FVVP-49|smart-link]| | |
|Information|No|Long Text| |Per [https://graingerplc.atlassian.net/browse/FVVP-49|https://graingerplc.atlassian.net/browse/FVVP-49|smart-link]| |Standard text that provides guidance to the user on what is expected.|
|Task Status|Yes|Single-select picklist:
* Pending 
* Active
* In Progress
* Complete
* N/A|Required|Pending| |A user can update the task status to _In Progress_ or _Complete_ regardless of whether the task is in the current phase or whether the task start date has been reached.|
|-Task Team-|-Yes-|-Single-select picklist containing all void-related Salesforce queues-|-Required-|-Per- [https://graingerplc.atlassian.net/browse/FVVP-53|https://graingerplc.atlassian.net/browse/FVVP-53|smart-link]| |E.g. 'Finance Team - North'|
|Task Owner|Yes|Single-select picklist containing the task queue &amp; all underlying users.|Required|Per [https://graingerplc.atlassian.net/browse/FVVP-53|https://graingerplc.atlassian.net/browse/FVVP-53|smart-link]| |This will initially default to the task team (e.g. 'Finance Team - North') but will be assigned to an individuals within that team.|
|Notes|Yes|Long Text|Optional| | | |
|Expected Duration (Days)|No|Integer| |Per [https://graingerplc.atlassian.net/browse/FVVP-49|https://graingerplc.atlassian.net/browse/FVVP-49|smart-link]| | |
|Start Date|No|Date| |Calculated / updated in separate stories| | |
|Target End Date|No|Date| |Calculated / updated in separate stories| | |
|Actual End Date|No|Date| | |_Actual End Date_ is saved automatically as the current date when the _Task Status_ is updated to _Complete_.
_Actual End Date_ is removed if the _Task Status_ is changed from _Complete_ to any other status.| |
+Notes:+
* Functionality that may be addressed in future - capture a reason if setting status to N/A: [https://graingerplc.atlassian.net/browse/FVVP-59|https://graingerplc.atlassian.net/browse/FVVP-59|smart-link] </t>
  </si>
  <si>
    <t>FVVP-47</t>
  </si>
  <si>
    <t>Creating Void with High Level Tasks &amp; Initial Estimated Timeline</t>
  </si>
  <si>
    <t>Replace Internal Notification Emails</t>
  </si>
  <si>
    <t>FVVP-132</t>
  </si>
  <si>
    <t>*As a user not working directly on void tasks, I want to see relevant information about new voids, so that I will be aware of new voids without being reliant on others sending me a Notice to Vacate or Future Vacant emails.*
{color:#008da6}+*To be discussed with Grainger*+{color}
What notifications are required?
* [https://graingerplc.atlassian.net/browse/FVVP-85|https://graingerplc.atlassian.net/browse/FVVP-85|smart-link] 
To be addressed through tasks &amp; dashboards.
Users can click through to the unit and see EPC &amp; Gas Safety certificates in Salesforce.
Links to marketing material e.g. floor plans is already on unit.
Remove the Future Vacant Email from the FSI MiMo task.</t>
  </si>
  <si>
    <t>FVVP-26</t>
  </si>
  <si>
    <t>FVVP-29</t>
  </si>
  <si>
    <t>Reporting v1 - KPIs &amp; Voids Behind Schedule</t>
  </si>
  <si>
    <t>FVVP Sprint 4</t>
  </si>
  <si>
    <t>Reporting - See Teams with High Number of Tasks</t>
  </si>
  <si>
    <t>FVVP-127</t>
  </si>
  <si>
    <t>As a manager, I want to see which teams have a high number of tasks assigned, so that I can manage resources and plan ahead.
Notes: 
Current &amp; future tasks by team.</t>
  </si>
  <si>
    <t>Dashboard - See Active Voids Behind Schedule</t>
  </si>
  <si>
    <t>FVVP-125</t>
  </si>
  <si>
    <t>*As a Property or Leasing Manager, I want to see which active voids are currently behind schedule, so that I can follow up.* 
{color:#008da6}+*To be discussed with Grainger*+{color}
* How do we define 'behind schedule'?
** Where we have passed _estimated available date_ &amp; Refurb/Refresh is not complete?
** Where we have passed _estimated void completion date_ &amp; void is still open?</t>
  </si>
  <si>
    <t>Property Calendar - See Onsite Void Tasks</t>
  </si>
  <si>
    <t>FVVP-117</t>
  </si>
  <si>
    <t>Refinment_Internal</t>
  </si>
  <si>
    <t>*As an Onsite PM user, I want to see upcoming void tasks which will be taking place at my property, so that I can plan ahead and coordinate resources.*
+Acceptance Criteria+
WHEN a user is viewing the _Building_ details in Salesforce 
THEN a new “Property Calendar” will display a list of all onsite void tasks 
AND the list will display all void-related tasks:
* Where the task is flagged as an onsite event (see initial configuration below)
* And the void is linked to the building and is in an _Active_ status 
* And the task is not inactive and is not in a _N/A_ or _Complete_ status
AND the following details will be displayed per task: 
* Void Name
* Task Name
* Task Status
* Task Owner
* Start Date 
* Target End Date
AND by default, tasks will will be ordered by _Target End Date_ (showing the most recent dates at the top of the list).  
_Scenario - Overdue Tasks:_
GIVEN a task is overdue (per the logic in  [https://graingerplc.atlassian.net/browse/FVVP-190|https://graingerplc.atlassian.net/browse/FVVP-190|smart-link] )
WHEN a user is viewing the Property Calendar 
THEN there will be a visual indication that the task is overdue (e.g. red “!” icon).
_Scenario - User Opens the Task Details:_
WHEN a user selects a task in the list
THEN the _Task Details_ screen will open, displaying the task information: [https://graingerplc.atlassian.net/browse/FVVP-189|https://graingerplc.atlassian.net/browse/FVVP-189|smart-link] 
|Workflow Type|Phase|Task Name|Queue Type|Expected Duration (Days)|Is Onsite Event|
|Tenant Gives NTQ|PVI|PVI|Onsite PM|1|Y|
|Tenant Gives NTQ|Move Out|Check Out|Onsite PM|1|Y|
|Tenant Gives NTQ|Move Out|Check Unit Condition|Onsite PM|3|Y|
|Tenant Gives NTQ|Refurb/Refresh|Refresh|Maintenance|5|Y|
|Tenant Gives NTQ|Refurb/Refresh|Clean Unit|Maintenance|1|Y|
|Tenant Gives NTQ|Refurb/Refresh|Refurb|Refurb Team|15|Y|</t>
  </si>
  <si>
    <t>FVVP-32</t>
  </si>
  <si>
    <t>Property Calendar v1 - Onsite Void Tasks</t>
  </si>
  <si>
    <t>Detailed Tasks - Close Down Tenancy</t>
  </si>
  <si>
    <t>FVVP-116</t>
  </si>
  <si>
    <t>*As an Onsite PM user, I want to see a detailed list of tasks required to* *_Close Down Tenancy_* *and capture related details, so that I am reminded of all tasks and others can see task outcomes.*
{color:#008da6}+*To be confirmed with Grainger*+{color}
Do additional, related details need to be captured on the void?</t>
  </si>
  <si>
    <t>FVVP-33</t>
  </si>
  <si>
    <t>Detailed Tasks</t>
  </si>
  <si>
    <t xml:space="preserve">Detailed Tasks - Deposit Release </t>
  </si>
  <si>
    <t>FVVP-115</t>
  </si>
  <si>
    <t xml:space="preserve">*As an Onsite PM user, I want to see a detailed list of tasks required to complete* *_Deposit Release_* *and capture related details, so that I am reminded of all tasks and others can see task outcomes.* 
{color:#008da6}+*To be confirmed with Grainger*+{color}
* Deposit Released
Do additional, related details need to be captured on the void?
* Deposit Resolution - Move details from MiMo task into void process?
* Amount of Deposit Stopped
* Deposit Return Date </t>
  </si>
  <si>
    <t xml:space="preserve">Detailed Tasks - Finalize Check Out </t>
  </si>
  <si>
    <t>FVVP-114</t>
  </si>
  <si>
    <t>*As an Onsite PM user, I want to see a detailed list of tasks required to* *_Finalize Check Out_* *and capture related details, so that I am reminded of all tasks and others can see task outcomes.*
{color:#008da6}+*To be confirmed with Grainger*+{color}
* Send check-out report to resident
* Notify Council Tax of the Vacancy
* Notify Water Company of the Vacancy
* Diarise Water Flushing
Do additional, related details need to be captured on the void?</t>
  </si>
  <si>
    <t xml:space="preserve">Detailed Tasks - Review Check Out </t>
  </si>
  <si>
    <t>FVVP-113</t>
  </si>
  <si>
    <t>*As an Onsite PM user, I want to see a detailed list of tasks required to* *_Review Check Out_* *and capture related details, so that I am reminded of all tasks and others can see task outcomes.* 
{color:#008da6}+*To be confirmed with Grainger*+{color}
* Update Qube?
* Review check out report &amp; compare to PVI
Do additional, related details need to be captured on the void?
* Move Out - Vacant Electric Meter Reading 1 *- should these rather be on the unit in future?*
* Move Out - Vacant Electric Meter Reading 2
* Move Out - Vacant Gas Meter Reading
* Move Out - Vacant Water Meter Reading
* Log keys / Update: Marketing &amp; viewing arrangements (access &amp; key location)</t>
  </si>
  <si>
    <t xml:space="preserve">Detailed Tasks - Check Property Condition </t>
  </si>
  <si>
    <t>FVVP-112</t>
  </si>
  <si>
    <t>*As an Onsite PM user, I want to see a detailed list of tasks required to* *_Check Property Condition_* *and capture related details, so that I am reminded of all tasks and others can see task outcomes.* 
{color:#008da6}+*To be confirmed with Grainger*+{color}
* If adjustment to original scope of PVI works required: Book works in FSI
* Complete Check Out Report &amp; upload to void 
Do additional, related details need to be captured on the void?
*  Details of adjustment to original scope of PVI works ?</t>
  </si>
  <si>
    <t xml:space="preserve">Detailed Tasks - Check Out </t>
  </si>
  <si>
    <t>FVVP-111</t>
  </si>
  <si>
    <t xml:space="preserve">*As an Onsite PM user, I want to see a detailed list of tasks required to complete* *_Check Out_* *and capture related details, so that I am reminded of all tasks and others can see task outcomes.* 
{color:#008da6}+*To be confirmed with Grainger*+{color}
* Complete check-out
* Keys returned
Do additional, related details need to be captured on the void?
*  Is a separate ‘actual move out date’ required? </t>
  </si>
  <si>
    <t xml:space="preserve">Detailed Tasks - Book Works </t>
  </si>
  <si>
    <t>FVVP-110</t>
  </si>
  <si>
    <t>*As a Centralized PM user, I want to see a detailed list of standard tasks required to* *_Book Works_* *and capture related details, so that I am reminded of all tasks and others can see task outcomes.* 
{color:#008da6}+*To be confirmed with Grainger*+{color}
* Obtain quotes for maintenance and reactive works
* Book works in FSI
* Book cleaning
Do additional, related details need to be captured on the void?
*  Details of works?</t>
  </si>
  <si>
    <t xml:space="preserve">Detailed Tasks - Cancel Direct Debit </t>
  </si>
  <si>
    <t>FVVP-109</t>
  </si>
  <si>
    <t>*As a Finance user, I want to see a detailed list of tasks required to Cancel Direct Debit and capture related details, so that I am reminded of all tasks and others can see task outcomes.*
{color:#008da6}+*To be confirmed with Grainger*+{color}
* Cancel direct debit &amp; future charges in Qube
* Capture credit note in Qube if final month's rent already billed
* Apportion final month's rent on Qube – if required 
Do additional, related details need to be captured on the void?</t>
  </si>
  <si>
    <t xml:space="preserve">Detailed Tasks - Check Compliance </t>
  </si>
  <si>
    <t>FVVP-108</t>
  </si>
  <si>
    <t>*As a Centralized PM user, I want to see a detailed list of tasks required to Check Compliance and capture related details, so that I am reminded of all tasks and others can see task outcomes.*
{color:#008da6}+*To be confirmed with Grainger*+{color}
* Check compliance certificates 
* Additional compliance action completed (if required)
Do additional, related details need to be captured on the void?</t>
  </si>
  <si>
    <t xml:space="preserve">Detailed Tasks - Notify Stakeholders </t>
  </si>
  <si>
    <t>FVVP-107</t>
  </si>
  <si>
    <t>*As a Centralized PM user, I want to see a detailed list of tasks required to* *_Notify Stakeholders_* *and capture related details, so that I am reminded of all tasks and others can see task outcomes.* 
{color:#008da6}+*To be confirmed with Grainger*+{color}
* Update Qube: Void note, FV date, diaries
* Create MiMo task in FSI
* Create inventory checkout task in FSI (PRS)
* Notify British Gas
Do additional, related details need to be captured on the void?
* 3rd Party check out arrangements</t>
  </si>
  <si>
    <t>Detailed Tasks - Validate Required Information is Captured</t>
  </si>
  <si>
    <t>FVVP-106</t>
  </si>
  <si>
    <t xml:space="preserve">*As a Centralized PM user, I want to be prompted to capture the confirmed PVI date &amp; other required details before the Confirm Notice phase can be completed, so that tasks reliant on this information can be completed.*
See [https://graingerplc.atlassian.net/browse/FVVP-105|https://graingerplc.atlassian.net/browse/FVVP-105|smart-link]  </t>
  </si>
  <si>
    <t>Detailed Tasks - Confirm Notice</t>
  </si>
  <si>
    <t>FVVP-105</t>
  </si>
  <si>
    <t xml:space="preserve">*As a Centralized PM user, I want to see a detailed list of tasks required to Confirm Notice, so that I am reminded of all tasks and others can see task outcomes.* 
{color:#008da6}+*To be confirmed with Grainger*+{color}
# Phone call to Resident to acknowledge NTQ &amp; inform of process
# Follow up/move out email sent to resident
# Deposit return instructions received from resident &amp; attached to void.
# Confirm marketing &amp; viewing arrangements (access &amp; key location) 
# Confirm inventory process (PRS / BTR)
Do additional, related details need to be captured on the void? 
* Marketing &amp; viewing arrangements (access &amp; key location)
* Inventory process?
Do we need to enforce additional details?{color:#ff991f} *Confirm functionality with Sam*{color}
* When completing 1: Prompt user to add or review/update the following 
** NTQ Date
** Reason for Vacancy - can we make the populate it, if it is optional on the main screen?
** FV Date &amp; Time - can we make them populate the time?
** FV Date is Confirmed 
** PVI Date &amp; Time - should this be confirmed by now?
** PVI Date is Confirmed </t>
  </si>
  <si>
    <t>Detailed Tasks - Validate Notice</t>
  </si>
  <si>
    <t>FVVP-104</t>
  </si>
  <si>
    <t>*As a Centralized PM user, I want to see a detailed list of tasks required to Validate Notice, so that I am reminded of all tasks and others can see task outcomes.*
{color:#008da6}+*To be confirmed with Grainger*+{color}
* Check Salesforce opportunity record
* Check parking
Do additional, related details need to be captured on the void?</t>
  </si>
  <si>
    <t>See Active Voids for a Building</t>
  </si>
  <si>
    <t>FVVP-101</t>
  </si>
  <si>
    <t>*As an Onsite PM user, I want to see a summary of active voids in my building, so that I have an overview of my building’s voids in one place.*
+Acceptance Criteria+
WHEN a user is viewing the _Building_ details in Salesforce 
THEN a new “Voids” section will display a list of all voids for the building that are in an ‘Active’ status 
AND the following will be displayed per void:
* Void Name
* Current Phase
* Void Works Type
* Estimated Available Date
* Estimated Completion Date 
AND selecting a void from the list will open the _Void Details_ screen. [https://graingerplc.atlassian.net/browse/FVVP-58|https://graingerplc.atlassian.net/browse/FVVP-58|smart-link] 
*TBD - does this make sense to view at the building-level? What about blocks &amp; estates?*  
*Should this rather be a general list on a Dashboard that users can filter by a combination of buildings?*</t>
  </si>
  <si>
    <t>FVVP-36</t>
  </si>
  <si>
    <t>See Voids by Unit &amp; Building</t>
  </si>
  <si>
    <t>See History of Voids on a Unit</t>
  </si>
  <si>
    <t>FVVP-100</t>
  </si>
  <si>
    <t xml:space="preserve">*As a user, I want to see a history of voids when viewing a unit in Salesforce, so that I can see historical turnaround times and when last a unit was refurbished or refreshed as part of the single-view of unit.*
+Acceptance Criteria+
WHEN a user is viewing the _Unit_ details in Salesforce 
THEN a new “Voids” section will display a list of all voids for the unit that are in an ‘Active’ or ‘Complete’ status 
AND the following will be displayed per void:
* Tenancy
* Current Phase - *TBD Sam: will current phase show ‘closed’ if void is complete?*
* Vacate Date (Future Vacate Date)
* Available Date (Estimated Available Date)
* Turnaround Days = Number of days between _Future Vacate Date_ &amp; _Estimated Available Date?_
* Void Works Type
AND selecting a void from the list will open the _Void Details_ screen. [https://graingerplc.atlassian.net/browse/FVVP-58|https://graingerplc.atlassian.net/browse/FVVP-58|smart-link] </t>
  </si>
  <si>
    <t>See Void &amp; Task Audit History</t>
  </si>
  <si>
    <t>FVVP-99</t>
  </si>
  <si>
    <t xml:space="preserve">*As a user, I want to be able to see a history of updates to a void or a task, so that I can see who made what changes when.*
+Acceptance Criteria+ 
GIVEN a user is viewing a task
THEN they will be able to see a _Task History_ listing all changes that users have made to the task (e.g. changes to _Task Status_ or _Task Owner_) 
AND the following will be displayed for each change:
* Date
* User
* Field updated
* Original value
* New value
GIVEN a user is viewing a void
THEN they will be able to see a _Void History_ listing all changes that users have made to the overall void (e.g. void creation, _Void Works Type_ updated, or void status changed to _Cancelled/Closed-Tenant Retained_) 
AND the same details as above will be displayed for each change.
*TBD - Do you want to see when system-updates are made e.g. task start date recalculated, etc, or will that be too much unnecessary detail?* </t>
  </si>
  <si>
    <t>FVVP-37</t>
  </si>
  <si>
    <t>Audit History</t>
  </si>
  <si>
    <t>Upload Void Documents</t>
  </si>
  <si>
    <t>FVVP-98</t>
  </si>
  <si>
    <t xml:space="preserve">*As a user, I want to be able to upload void-related documents and emails to the void, so that all users working on the void have access to the information.*
+Acceptance Criteria+
WHEN a user is viewing void details
THEN they will be able to drop or upload documents per standard Salesforce functionality
AND all users with access to view the void will be able to open the documents.
+Notes+
* Limitation: Does not include document types or expiration dates; may be addressed in future: [https://graingerplc.atlassian.net/browse/FVVP-131|https://graingerplc.atlassian.net/browse/FVVP-131|smart-link] </t>
  </si>
  <si>
    <t>FVVP-38</t>
  </si>
  <si>
    <t>Void Documents v1</t>
  </si>
  <si>
    <t>FVVP Sprint 2</t>
  </si>
  <si>
    <t>See Unit View Arrangements &amp; Key Location</t>
  </si>
  <si>
    <t>FVVP-97</t>
  </si>
  <si>
    <t>*As a Lettings user, I want to see the latest void-related marketing/viewing arrangements &amp; key location when viewing a unit in Salesforce, so that I have the information I need about the unit in one place.*
{color:#008da6}+*To be discussed with Grainger*+{color}
Does any of the existing *Void Note* in Salesforce need to be populated from the void, or are new fields required on the void &amp; on the unit?
Do any of the existing *Void Note* fields in Salesforce need to be removed?
!image-20230908-123845.png|width=1242,height=504!</t>
  </si>
  <si>
    <t>FVVP-39</t>
  </si>
  <si>
    <t>Update Salesforce Unit Details</t>
  </si>
  <si>
    <t>Update Salesforce Unit - Keep Available Date Up-to-Date</t>
  </si>
  <si>
    <t>FVVP-96</t>
  </si>
  <si>
    <t xml:space="preserve">*When a void's* *_Estimated Available Date_* *for a unit that is to be re-let changes, I want the Salesforce unit's* *_Available Date_* *to be updated, so that Marketing &amp; Lettings have access to the latest available information when viewing the unit details.*
{color:#008da6}+*To be discussed with Grainger*+{color}
Confirm fields that need to be kept updated as void information changes:
* Unit Status [https://graingerplc.atlassian.net/browse/FVVP-94|https://graingerplc.atlassian.net/browse/FVVP-94|smart-link] 
* Reason?
* Future Vacant Date [https://graingerplc.atlassian.net/browse/FVVP-95|https://graingerplc.atlassian.net/browse/FVVP-95|smart-link] 
* Available Date - Only where ‘Unit to be Relet’ is true?
* Unit Classification? </t>
  </si>
  <si>
    <t>Update Salesforce Unit - Keep FV Date Up-to-Date</t>
  </si>
  <si>
    <t>FVVP-95</t>
  </si>
  <si>
    <t>*When the* *_Future Vacate_* *date on a void is updated, I want the Salesforce unit's* *_Future Vacant Date_* *to be updated, so that the unit reflects the latest available information.*</t>
  </si>
  <si>
    <t>Update Salesforce Unit - Keep Unit Status Up-to-Date</t>
  </si>
  <si>
    <t>FVVP-94</t>
  </si>
  <si>
    <t>*When key void information is updated, I want the Salesforce* *_Unit Status_* *to be updated accordingly, so that the unit status reflects the latest available void information.* 
Notes: 
Update unit status if _Void Works Type_ is changed to 'Refurb' mid-process.</t>
  </si>
  <si>
    <t>Update Salesforce Unit - New Void</t>
  </si>
  <si>
    <t>FVVP-92</t>
  </si>
  <si>
    <t xml:space="preserve">*Once the NTQ has been confirmed, I want the Salesforce unit details (including* *_Unit Status_* *and* *_Future Vacant Date)_* *to be updated, so that users looking at the unit will see up-to-date information.*
{color:#008da6}+*To be discussed with Grainger*+{color}
Investigation required to determine if the Salesforce unit FV date updates from Qube or elsewhere.
Confirm fields that need to be updated:
* Unit Status
* Reason?
* Future Vacant Date
* Available Date - Only where ‘Unit to be Relet’ is true?
* Unit Classification? </t>
  </si>
  <si>
    <t>FVVP-40</t>
  </si>
  <si>
    <t>Refurb vs Refresh &amp; Unit Available Date</t>
  </si>
  <si>
    <t>See Estimated Available Date &amp; Void Completion Date</t>
  </si>
  <si>
    <t>FVVP-90</t>
  </si>
  <si>
    <t>*As a user, I want to see the unit's estimated available date as well as the overall void's estimated completion date based on the latest void timelines, so that users can see key target dates.* 
+Acceptance Criteria+
WHEN a user is viewing the Void Details screen 
THEN the user will see the void's _Estimated Available Date_ 
AND this date will be calculated as the last day of the 'Refurb', ‘Refresh’ &amp; 'Clean Unit' tasks
AND this dependency will be configured per workflow type and may be updated as more detailed tasks are added to the workflow type.
* _Estimated Available Date_ = Last [_Actual End Date_, or if none then _Target End Date_] for each ['Refurb', ‘Refresh’ &amp; 'Clean Unit'] task that is not in a ‘N/A’ status and is not inactive. *[+1?]*
WHEN a user is viewing the Void Details screen 
THEN the user will be able to see the void's _Estimated Completion Date_ 
AND this date will be calculated as the last end date for all tasks.
* _Estimated Completion Date_ = Last [_Actual End Date_, or if none then _Target End Date_] for each task that is not in a ‘N/A’ status and is not inactive. *[+1?]*
WHEN any of the task dates or statuses change
THEN the _Estimated Available Date_ and _Estimated Completion Date_ will update to reflect the latest void timelines.
WHEN the user viewing a completed void 
THEN the _Estimated Available Date_ will reflect the actual available date 
AND the _Estimated Completion Date_ will reflect the actual completion date.</t>
  </si>
  <si>
    <t>Create a Void with Refurb / Refresh / Clean Only-Specific Tasks</t>
  </si>
  <si>
    <t>FVVP-89</t>
  </si>
  <si>
    <t>*When a new void is created, I only want tasks relevant to the selected Void Works Type (refurb, refresh or clean only) to be included in the void workflow, so that the tasks &amp; timelines will reflect the type of works required.*
+Acceptance Criteria+
GIVEN tasks are configured as specific to one or more of the _Void Works Types_ ('Refresh', ‘Refurbishment’ and/or ‘Clean Only’)  
WHEN a user creates a new void 
THEN all tasks will be created in the void
AND tasks that are *not* specific to the void’s select _Void Works Type_ will set to _inactive_.
WHEN a user views the void’s task list [https://graingerplc.atlassian.net/browse/FVVP-190|https://graingerplc.atlassian.net/browse/FVVP-190|smart-link] 
THEN inactive tasks will not be visible.
WHEN void timelines are calculated
THEN inactive tasks will be excluded from the void timelines.
* [https://graingerplc.atlassian.net/browse/FVVP-51|https://graingerplc.atlassian.net/browse/FVVP-51|smart-link] 
* [https://graingerplc.atlassian.net/browse/FVVP-64|https://graingerplc.atlassian.net/browse/FVVP-64|smart-link]  
+Example+: Per the below setup - 
* If a new void with _Void Works Type_ of ‘Refresh’ is created, then _Approve CapEx, Refresh_ &amp; _Clean Unit_ tasks will be visible in the void &amp; incorporated into timelines. 
* If a new void with _Void Works Type_ of ‘Clean Only’ is created, then only the _Clean Unit_ task will be visible in the void &amp; incorporated into timelines. 
|Workflow Type|Phase|Task Name|Queue Type|Expected Duration (Days)|Custom Start Date Type|Preceding Tasks|Works Type|
|Tenant Gives NTQ|Book Works|Approve CapEx|Asset Management|5| |PVI|Refresh, Refurbishment|
|Tenant Gives NTQ|Refurb/Refresh|Refresh|Maintenance|5| |Check Unit Condition|Refresh|
|Tenant Gives NTQ|Refurb/Refresh|Clean Unit|Maintenance|1| |Check Unit Condition| |
|Tenant Gives NTQ|Refurb/Refresh|Refurb|Refurb Team|15| |Check Unit Condition|Refurbishment|</t>
  </si>
  <si>
    <t>FVVP-41</t>
  </si>
  <si>
    <t>Unit Re-let</t>
  </si>
  <si>
    <t>Update Relet Status - Update Tasks</t>
  </si>
  <si>
    <t>FVVP-87</t>
  </si>
  <si>
    <t>*As user, I want to be able to change the initial indication of whether the unit is due to be re-let, so that the Set Rent task(s) will be added or removed from the void workflow (as applicable) and the timeline will be updated accordingly*.
+Acceptance Criteria+
_Scenario - Change unit to be relet:_
GIVEN a task is configured as a relet-related task (i.e. ‘Set Rent’ task initially)
WHEN a user checks the ‘_Unit to be Relet_’ checkbox
THEN user will be able to see the task 
AND the task start and target end dates will be calculated
AND the task will be incorporated into the void timelines. 
_Scenario - Change unit to no longer be relet:_
GIVEN a task is configured as a relet-related task
WHEN a user unchecks the ‘_Unit to be Relet_’ checkbox
THEN the task will no longer be visible to users 
AND the void timelines will be recalculated to no longer include the task. 
|Workflow Type|Phase|Task Name|Queue Type|Expected Duration (Days)|Custom Start Date Type|Preceding Tasks|Works Type|Relet Task|
|Tenant Gives NTQ|Notify Stakeholders|Set Rent|Letting|5| |Confirm Notice| |Y|</t>
  </si>
  <si>
    <t>Create a Void with Relet Tasks</t>
  </si>
  <si>
    <t>FVVP-86</t>
  </si>
  <si>
    <t>*When a void is created for a unit that is due to be re-let, I want the* *_Set Rent_* *tasks to be included in the void workflow, so that Lettings will be prompted to start their process once the NTQ is confirmed.* 
+Acceptance Criteria+
_Scenario - Create a void for unit to be relet:_
GIVEN a task is configured as a relet-related task (i.e. ‘Set Rent’ task initially)
WHEN a user creates a new void 
AND the ‘Unit to be Relet’ box is checked
THEN the task will be created in the void
AND the task will be incorporated into the void timelines. 
_Scenario - Create a void for unit that will not be relet:_
GIVEN a task is configured as a relet-related task
WHEN a user creates a new void 
AND the ‘_Unit to be Relet_’ box is +not+ checked
THEN the task will be created in the void as +inactive+
AND per [https://graingerplc.atlassian.net/browse/FVVP-89|https://graingerplc.atlassian.net/browse/FVVP-89|smart-link]  
* Users cannot see the inactive task
* The inactive task is not incorporated into the void timelines. 
|Workflow Type|Phase|Task Name|Queue Type|Expected Duration (Days)|Custom Start Date Type|Preceding Tasks|Works Type|Relet Task|
|Tenant Gives NTQ|Notify Stakeholders|Set Rent|Letting|5| |Confirm Notice| |Y|</t>
  </si>
  <si>
    <t>Dashboard - See New Voids Confirmed for Sale</t>
  </si>
  <si>
    <t>FVVP-85</t>
  </si>
  <si>
    <t xml:space="preserve">*As an Asset Manager I want to see any new, confirmed voids where the unit is going to be sold, so that I know to start the sale process.*
+Acceptance Criteria+
WHEN a user is viewing the _Void Management Dashboard_ 
THEN they will see a list of ‘Units to be Sold'
AND the list will display all voids:
* In an ‘Active’ status
* Where ‘Unit to be Sold’ is checked 
* And the ‘Receive Notice’ phase is complete 
AND the list will be ordered by _Void Start Date_ (displaying the newest voids first)
AND the following will be displayed per void:
* Void Name
* Estimated Available Date [https://graingerplc.atlassian.net/browse/FVVP-90|https://graingerplc.atlassian.net/browse/FVVP-90|smart-link]  </t>
  </si>
  <si>
    <t>FVVP-42</t>
  </si>
  <si>
    <t>Unit Sale</t>
  </si>
  <si>
    <t xml:space="preserve">New Void - Default Unit Sale Status from Salesforce </t>
  </si>
  <si>
    <t>FVVP-84</t>
  </si>
  <si>
    <t>*When a property / unit is already flagged with a strategy to sell in Salesforce, I want a new void for this unit to automatically reflect this, so that I do not need to re-enter known information.* 
Notes: 
TBD where this is saved.</t>
  </si>
  <si>
    <t>Dashboard - Other KPIs for R1</t>
  </si>
  <si>
    <t>FVVP-82</t>
  </si>
  <si>
    <t>{color:#008da6}+*To be discussed with Grainger - what KPIs are critical for R1?*+{color}
* *Overdue Tasks* 
** As a manager, I want to see which active tasks for my team are currently behind schedule, so that I can follow up. 
** Notes: Exclude tasks in status: N/A, Complete; Exclude inactive tasks.
** Similar to  [https://graingerplc.atlassian.net/browse/FVVP-80|https://graingerplc.atlassian.net/browse/FVVP-80|smart-link]  
* *Deposit Return Timelines*
** As a manager, I want to report on the time taken from tenant move out to deposit return and see exceptions above the required timeline, so that I can ensure legal requirements to return the deposit a specified number of days after move out are met.
* *Tasks &amp; Phases that Exceeded Targets*
** As a manager, I want to see voids for which the actual duration for a set of related tasks within a phase (such as Refurb, Refresh, Deposit Release or Notify Stakeholder tasks) or for which the actual duration for a phase exceeded the target duration and where there are extreme outliers, so that I can follow up.
** Notes: Tasks in a phase are grouped by Task Type.
Actual duration for a task type = earliest actual start date to last actual end date for associated tasks.
Estimated duration = Max target duration for all tasks in the task type.
Exclude voids in 'Cancelled' or 'Closed - Tenant Retained' statuses.
Completed tasks only.
Exclude inactive tasks. 
Exclude tasks in 'N/A' status.
Add a tolerance e.g. ignore differences less than [2] days or [10]%.
** Actual duration for a phase = earliest actual task start date to last actual task end date.
Estimated duration for a phase = max target duration for all tasks in the phase.
May not make sense for certain phase where there are custom task start dates.</t>
  </si>
  <si>
    <t>FVVP-43</t>
  </si>
  <si>
    <t>Tasks Lists</t>
  </si>
  <si>
    <t>Dashboard - See Open Tasks</t>
  </si>
  <si>
    <t>FVVP-80</t>
  </si>
  <si>
    <t xml:space="preserve">*As a user, I want to see incomplete void tasks that have been assigned to me, as well as tasks for which my team is responsible &amp; have not yet been assigned to a specific person, so that I know what I need to work on.* 
+Acceptance Criteria+
WHEN a user accesses the _Void Management Dashboard_ 
THEN they will see a list of Open Tasks
AND the following details will be displayed per task: 
* Void Name
* Task Name
* Task Status
* Task Owner
* Start Date 
* Target End Date
AND the list will only display void-related tasks for voids in an _Active_ status 
AND the list will exclude tasks in a _N/A_ or _Complete_ status
AND the list will exclude inactive tasks 
_Scenario - Default View:_
WHEN user accesses the Voids Dashboard 
THEN by default, the list of Open Tasks will only display tasks where the _Task Owner_ is either:
* The user, or 
* A void-related queue (e.g. ‘Finance - North’) to which the user belongs
AND by default, tasks will will be ordered by _Target End Date_ (showing the most recent dates at the top of the list).  
_Scenario - Overdue Tasks:_
GIVEN a task is in an ‘Active’ or ‘In Progress’ status
AND the task’s _Target End Date_ is prior to the current date
WHEN a user is viewing the list of Open Tasks 
THEN there will be a visual indication that the task is overdue (e.g. red “!” icon).
_Scenario - User Filter/Search for Tasks:_
WHEN a user is viewing the list of Open Tasks
THEN they will be able to apply filter criteria to search for a specific set of open tasks
AND filter criteria will include: 
* Building 
* Start date range  
* Target end date range
_Scenario - User Opens the Task Details:_
WHEN a user selects a task in the list
THEN the a new browser tab will open the Task Details screen: [https://graingerplc.atlassian.net/browse/FVVP-189|https://graingerplc.atlassian.net/browse/FVVP-189|smart-link] </t>
  </si>
  <si>
    <t>Cancel a Void</t>
  </si>
  <si>
    <t>FVVP-78</t>
  </si>
  <si>
    <t xml:space="preserve">*As a user, I want to be able to cancel a void where it was created in error or where the tenant rescinds their NTQ, so that no further action is taken on the void.* 
+Acceptance Criteria+
GIVEN a user is the Void Owner
WHEN viewing the Void Details screen for a void in an ‘Active’ status
THEN the user will have access to buttons/menu options to:
* ‘Cancel Void' 
* ‘Close Void - Tenant Retained’
WHEN the user selects ‘Cancel Void' 
THEN the user will be asked to confirm the action
AND the _Void Status_ will be updated to ‘Cancelled’.
WHEN the user selects ‘Close Void - Tenant Retained' 
THEN the user will be asked to confirm the  action
AND the _Void Status_ will be updated to ‘Closed - Tenant Retained’.
</t>
  </si>
  <si>
    <t>FVVP-44</t>
  </si>
  <si>
    <t>Close a Void</t>
  </si>
  <si>
    <t>FVVP-77</t>
  </si>
  <si>
    <t>*When all the tasks required for a void are complete, I want the overall void to reflect as complete, so that users don't need to check if they are the last person to complete the final task and manually close the void.*
+Acceptance Criteria+
GIVEN the _Current Void Phase_ is the last phase (i.e. Close Tenancy)
WHEN the final void phase is completed (per [https://graingerplc.atlassian.net/browse/FVVP-71|https://graingerplc.atlassian.net/browse/FVVP-71|smart-link] )
THEN the overall void status will change from ‘Active’ to ‘Complete’
AND the user will see all phases reflecting as complete on the void screens.</t>
  </si>
  <si>
    <t>See Summary of Void Phases &amp; % Completion</t>
  </si>
  <si>
    <t>FVVP-76</t>
  </si>
  <si>
    <t>*As a user, I want to see the percentage completion of each void phase, so that I have a indication of the amount of work that remains in that phase.*
+Acceptance Criteria+
WHEN a user is viewing a void 
THEN they will see a list of all void phases (in order)
AND the following will be displayed per phase:
* Phase Name
* Start Date = The first _Start Date_ for each task in the phase that is not in a ‘N/A’ status &amp; is not inactive.
* Target End Date = The last _Target End Date_ for each task in the phase that is not in a ‘N/A’ status &amp; is not inactive.
* Actual End Date = The last _Actual End Date_ for each task in the phase that is not in a 'N/A' status &amp; is not inactive.
* % Complete  = [Number of tasks in the phase in a ‘Complete’ or ‘N/A’ status] / [Total number of tasks in the phase]  (excluding inactive tasks)
AND none of the above information can be directly updated by the user.</t>
  </si>
  <si>
    <t>Complete Voids are Read-Only</t>
  </si>
  <si>
    <t>FVVP-75</t>
  </si>
  <si>
    <t xml:space="preserve">*When a void is complete, I want the void details to no longer be editable, so that users cannot retroactively make updates affecting KPI and reporting.*
+Acceptance Criteria+
GIVEN a void is *not* in an ‘Active’ status
WHEN the user views the void details or any of the void’s tasks 
THEN the void and task details will be visible but cannot be edited. </t>
  </si>
  <si>
    <t>Dashboard - KPI: Vacant Days</t>
  </si>
  <si>
    <t>FVVP-72</t>
  </si>
  <si>
    <t xml:space="preserve">{color:#008da6}+*To be discussed with Grainger*+{color}
Be able to report on the time between *Actual Move Out Date* to *Move In Date* i.e. the number of days the unit stood empty and therefore no rent was received.
* *Questions* 
** Can we get move in date from the tenancy object? 
*** *Tenancy start date = move in date?*
*** Where _Tenancy Status_ = Activated 
*** Will it remain unchanged for historical reporting.  
** Do we need to record the *Actual Move Out Date* separately to the FV Date? 
* Measure against benchmark timelines e.g. Move Out to next Move in  = 10 days.
* Identify first tenancy start date for the unit &gt; Actual move out date </t>
  </si>
  <si>
    <t>Complete a Phase</t>
  </si>
  <si>
    <t>FVVP-71</t>
  </si>
  <si>
    <t xml:space="preserve">*Once all the tasks in a phase are complete, I want the phase to reflect as complete and the next phase to reflect as current, so that users do not need to check if they are the last person to complete a task in a phase and manually close the phase.* 
+Acceptance Criteria+
GIVEN that there is only one task remaining in the _Current Void Phase_ that is not _inactive_ and is in a _Task Status_ of ‘Pending’, ‘Active’ or ‘In Progress’ 
WHEN a user updates the final task’s status to ‘N/A’ or ‘Complete’
THEN then _Current Void Phase_ will be updated to the next sequential phase
AND the user will see the last phase reflecting as complete and the next phase reflecting as current on the void screens. </t>
  </si>
  <si>
    <t>Update Timelines - Tasks Dependent on a Void Date</t>
  </si>
  <si>
    <t>FVVP-66</t>
  </si>
  <si>
    <t>*When key void dates are updated or confirmed with the tenant, I want tasks dependent on those dates to reflect the correct dates &amp; status, so that users have access to up-to-date void timelines.* 
+Acceptance Criteria+
_Scenario - Updating PVI Date:_
GIVEN a task is configured to start on _PVI Date_ 
WHEN a user updates the _PVI Date_ for a void 
THEN the task’s _Start Date_ will be updated to the new _PVI Date_ 
AND the task’s _Target End Date_ will be recalculated. 
_Scenario - Updating ‘PVI Date Is Confirmed’:_
GIVEN a task is configured to start on _PVI Date_ 
WHEN a user updates the ‘_PVI Date is Confirmed’_ checkbox 
THEN the _Task Status_ will be set to ‘Active_’_ where ‘PVI Date is Confirmed’ is checked, otherwise the _Task Status_ will be set to ‘Pending’.
_Scenario - Updating FV Date:_
GIVEN a task is configured to start on _Future Vacate Date_ 
WHEN a user updates the _Future Vacate Date_ for a void 
THEN the task’s _Start Date_ will be updated to the new _Future Vacate Date_ 
AND the task’s _Target End Date_ will be recalculated. 
_Scenario - Updating ‘FV Date Is Confirmed’:_
GIVEN a task is configured to start on _Future Vacate Date_ 
WHEN a user updates the ‘_Future Vacate Date is Confirmed’_ checkbox 
THEN the _Task Status_ will be set to ‘Active_’_ where ‘Future Vacate Date is Confirmed’ is checked, otherwise the _Task Status_ will be set to ‘Pending’.</t>
  </si>
  <si>
    <t xml:space="preserve">Update Void Works Type - Update Tasks </t>
  </si>
  <si>
    <t>FVVP-65</t>
  </si>
  <si>
    <t>*As a user, I want to be able to change the Void Works Type (refurb, refresh or clean only) after the PVI and have only relevant tasks included in the void, so that the tasks and timelines reflect the type of works required.*
+Acceptance Criteria+
_Scenario - Change a Void Works Types_
GIVEN tasks are configured as specific to one or more of the _Void Works Types_ ('Refresh', ‘Refurbishment’ and/or ‘Clean Only’)  
WHEN a user changes the _Void Works Type_ for a void
THEN any tasks that are not relevant for the new _Void Works Type_ will no longer be visible to users and will be excluded from the void timelines  
AND any tasks that are relevant to the new _Void Works Type_ will become visible to users and will be included in the void timelines. 
+Example+: Per the below setup - 
* A void’s _Void Works Type_ is ‘Refresh’ &amp; the following tasks are visible in the void &amp; incorporated into timelines: _Approve CapEx, Refresh_ &amp; _Clean Unit_ 
* If _Void Works Type_ changes to ‘Refurbishment’, then the Refresh task is not longer included in the void workflow &amp; is replaced by the _Refurb_ task.
|Workflow Type|Phase|Task Name|Queue Type|Expected Duration (Days)|Custom Start Date Type|Preceding Tasks|Works Type|
|Tenant Gives NTQ|Book Works|Approve CapEx|Asset Management|5| |PVI|Refresh, Refurbishment|
|Tenant Gives NTQ|Refurb/Refresh|Refresh|Maintenance|5| |Check Unit Condition|Refresh|
|Tenant Gives NTQ|Refurb/Refresh|Clean Unit|Maintenance|1| |Check Unit Condition| |
|Tenant Gives NTQ|Refurb/Refresh|Refurb|Refurb Team|15| |Check Unit Condition|Refurbishment|</t>
  </si>
  <si>
    <t>FVVP-46</t>
  </si>
  <si>
    <t>Updating Estimated Timelines</t>
  </si>
  <si>
    <t>Update Timelines - Tasks Dependent on Completion of Prior Tasks</t>
  </si>
  <si>
    <t>FVVP-64</t>
  </si>
  <si>
    <t>*When a task is dependent on the completion of other preceding task(s) and any of those tasks are updated, I want the dependent task to be automatically updated, so that users have access to up-to-date void timelines and know when they can start working on the task.*
+Acceptance Criteria+
_Scenario - Updating a Preceding Task:_
GIVEN a task is configured to start after one or more _preceding task(s)_ are complete 
WHEN any of the following updates are made to a preceding task:
* _Target End Date_ changes,
* _Actual End Date_ changes (by changing task status to or from 'Complete’), or 
* _Task Status_ changes 
THEN the task's _Start Date_ and _Target End Date_ will be recalculated as follows:
* Start Date = Last [_Actual End Date_, or if none then _Target End Date_] for each preceding task that is not in a ‘N/A’ status and is not inactive. 
* Target End Date = [_Start Date_] + [_Expected Duration_ of the task]
_Scenario - Updating a Sequence of Dependent Tasks:_
GIVEN there is a sequence of tasks that are all configured to start once _preceding task(s)_ are complete 
WHEN any of the updates above are made to a preceding task 
THEN the update will have a cascading effect, updating start date and target end date for all of the tasks in the sequence. 
_Scenario - Closing the Final Preceding Task:_
GIVEN a task is configured to start after one or more _preceding task(s)_ are complete 
AND only one of the preceding tasks is not inactive and remains in a _Task Status_ of ‘Pending', ‘Active’ or ‘In Progress’ 
WHEN a user updates the final preceding task’s status to ‘N/A’ or ‘Complete’ 
THEN the task's _Start Date_ will be updated as above (i.e. it will update to the current date)
AND the task's _Target End Date_ will be recalculated
AND the Task Status will be set to ‘Active’.</t>
  </si>
  <si>
    <t>Detailed Tasks - PVI</t>
  </si>
  <si>
    <t>FVVP-63</t>
  </si>
  <si>
    <t>*As an Onsite PM user, I want to see a list of tasks that are not already in FSI required to complete* *_PVI_* *and capture related details, so that I am reminded of all tasks and others can see task outcomes.* 
{color:#008da6}+*To be confirmed with Grainger*+{color}
* PVI complete
* If PVI exceptions, internal stakeholders notified?
* Follow up call &amp; email to resident re move-out info, deposit release, feedback.
Do additional, related details need to be captured on the void?
* Prompt user to review the _Void Works Types_</t>
  </si>
  <si>
    <t>Rename "Void" Terminology</t>
  </si>
  <si>
    <t>FVVP-62</t>
  </si>
  <si>
    <t>Grainger to confirm terminology
“End of Tenancy”</t>
  </si>
  <si>
    <t>Set Tasks to Not Applicable [Close]</t>
  </si>
  <si>
    <t>FVVP-61</t>
  </si>
  <si>
    <t>Replaced by  [https://graingerplc.atlassian.net/browse/FVVP-189|https://graingerplc.atlassian.net/browse/FVVP-189|smart-link] 
*As a user, I want to indicate when a task is not applicable for a particular void, so that no action is taken on that task.*
+Notes+
Update task status to 'N/A'.
Requirement: The user must enter a reason.</t>
  </si>
  <si>
    <t>Capture a Reason for Updating Key Void Information</t>
  </si>
  <si>
    <t>FVVP-59</t>
  </si>
  <si>
    <t xml:space="preserve">*As a user, I want to be able to capture a reason when key void details are updated, so that other users can see why void timelines are changing or other significant updates are made.* 
+Acceptance Criteria+
WHEN a user updates the _Future Vacate Date_ or the _PVI Date_ for a void 
THEN the user will be required to enter a reason (short, free text field) before saving the changes
AND the reason will be displayed as part of the audit history in the _Void History_ [https://graingerplc.atlassian.net/browse/FVVP-99|https://graingerplc.atlassian.net/browse/FVVP-99|smart-link]  
WHEN a user updates the _Future Vacate Date_ and the _PVI Date_ at the same time  
THEN the user will be required to enter a separate reason for each change.
WHEN a user updates the void status to ‘Cancelled’ or ‘Closed Tenant Retained’  [https://graingerplc.atlassian.net/browse/FVVP-78|https://graingerplc.atlassian.net/browse/FVVP-78|smart-link] 
THEN the user will be required to enter a reason 
AND the reason will be displayed in the _Void History._
WHEN a user updates a _Task Status_ to ‘N/A’
THEN the user will be required to enter a reason before saving the changes
AND the reason will be displayed as part of the audit history in the _Task History_ [https://graingerplc.atlassian.net/browse/FVVP-99|https://graingerplc.atlassian.net/browse/FVVP-99|smart-link]  </t>
  </si>
  <si>
    <t>New End of Tenancy - Capture End of Tenancy Details</t>
  </si>
  <si>
    <t>FVVP-58</t>
  </si>
  <si>
    <t>*As a user, I want to capture key void information, so that other users looking at the void have access to relevant information.*
+Acceptance Criteria+
WHEN a user is viewing the Void Details screen 
THEN, in additional to the fields detailed in [https://graingerplc.atlassian.net/browse/FVVP-48|https://graingerplc.atlassian.net/browse/FVVP-48|smart-link] , the user will be able to add &amp; update the following void information: 
||Field Name||Editable?||Field Type &amp; Content||Required?||Default Value||Validations||Comments||
|Reason for Vacancy|Yes|Single-select picklist:
* _To be provided_|Optional| | | |
|Void Works Type|Yes|Single-select picklist:
* Clean Only
* Refresh 
* Refurbishment|Optional| | | |
|Unit to be Sold|Yes|Checkbox|Optional|Unchecked| |Can be prepopulated in future [https://graingerplc.atlassian.net/browse/FVVP-84|https://graingerplc.atlassian.net/browse/FVVP-84|smart-link]|
|Notes|Yes|Long Text|Optional| | | |</t>
  </si>
  <si>
    <t>See Salesforce Unit &amp; Building Attributes in a Void</t>
  </si>
  <si>
    <t>FVVP-57</t>
  </si>
  <si>
    <t xml:space="preserve">*As a user, I want to see relevant information about the building and unit that is available in Salesforce when working on a void, so that I do not need to navigate to other screens to find this information.* 
{color:#008da6}+*Grainger input required*+{color}
+Acceptance Criteria+
WHEN a user is viewing void details
THEN the following Salesforce unit &amp; building information will be displayed in the void:
* Live Work - from unit details
* Planned to Sell - *TBD*
* *BTR/PRS - TBD*
AND none of these details can be updated directly from the void. </t>
  </si>
  <si>
    <t>New Void - Calculate Estimated PVI Date</t>
  </si>
  <si>
    <t>FVVP-56</t>
  </si>
  <si>
    <t>*When a new void is created, I want the estimated PVI date to be automatically calculated, working back from the Future Vacate date, so that the user does not need to manually calculate and capture this date and so that timelines will be standardized across properties.*
{color:#008da6}+*Jacob to confirm logic*+{color}</t>
  </si>
  <si>
    <t>Data Migration - Void Queues</t>
  </si>
  <si>
    <t>FVVP-54</t>
  </si>
  <si>
    <t>*When the void process is initially deployed, I want the void-related building queues to be prepopulated for all existing buildings in Salesforce, so that administrators do not need to manually set up queues for each building.* 
+Acceptance Criteria+
Void-related queues will be created in Salesforce and linked to the applicable users, via a once-off data migration, based on a spreadsheet provided by Grainger in the following format: 
||*Salesforce Queue Name*||*User Name*||
|Finance - South|sduncan|
| | |
Building queue configuration (per [https://graingerplc.atlassian.net/browse/FVVP-53|https://graingerplc.atlassian.net/browse/FVVP-53|smart-link] ) will be created in Salesforce, via a once-off data migration, based on a spreadsheet provided by Grainger in the following format:  
||*Building ID*||*Queue Type*||*Salesforce Queue Name*||
| |Finance|Finance - South|
| |Centralised PM| |
| |Onsite PM| |
| |Asset Management| |
| |Letting| |
| |Maintenance| |
| |Refurb Team| |</t>
  </si>
  <si>
    <t>New End of Tenancy - Assign Tasks to Responsible Queues</t>
  </si>
  <si>
    <t>FVVP-53</t>
  </si>
  <si>
    <t>*When a task is created, I want the task to be automatically assigned to a responsible team, so that there is clear responsibility for tasks.*
+Acceptance Criteria+
_Scenario: Manage Responsible Teams_ 
WHEN an administrator is managing Building Details in Salesforce  
THEN they will be required to specify a _Task Team_ (i.e. a Salesforce queue / user group) for +each+ of the following _Queue Types_: 
Finance, Centralised PM, Onsite PM, Asset Management, Lettings, Maintenance, and Refurb Team.
Example: The building 'Eagle House' may be configured such that the 'Finance Team - South' queue are the _Task Team_ responsible for _Finance_ tasks.
_Scenario: Create Void Tasks_  
WHEN a new void and associated tasks are created   
THEN the task will be automatically assigned a _Task Team_ (i.e. Salesforce queue) based on the task's _Queue Type_ &amp; Building setup above.
* Example continued: 
** A new void is created for a unit in the building 'Eagle House' 
** When a void task with a _Queue Type_ 'Finance' is created, the _Task Team_ will default to the 'Finance Team - South' queue.
_Scenario: A Building has Incomplete Task Team Setup_
GIVEN a building is not setup with a _Task Team_ for each required _Queue Type_
WHEN the user tries to create a new void [https://graingerplc.atlassian.net/browse/FVVP-48|https://graingerplc.atlassian.net/browse/FVVP-48|smart-link] 
THEN the user will be prevented from doing so and a suitably informative message will be displayed.
+Notes+
* Initial setup is addressed in  [https://graingerplc.atlassian.net/browse/FVVP-54|https://graingerplc.atlassian.net/browse/FVVP-54|smart-link] 
h2. Implementation approach
Before trigger on Task where task is linked to template</t>
  </si>
  <si>
    <t>Calculate Estimated Timelines - Tasks Dependent on Completion of Prior Tasks</t>
  </si>
  <si>
    <t>FVVP-51</t>
  </si>
  <si>
    <t>*When a new void is created, I want certain tasks to start as soon as other preceding task(s) are complete and for estimated start &amp; end dates to be calculated accordingly, so that users can plan ahead.* 
+Acceptance Criteria+
GIVEN a task is configured with _preceding task(s)_  
WHEN a new void and associated tasks are created
THEN the task's _Start Date_ will be set to the last _Target End Date_ of all preceding tasks  
AND the task's _Target End Date_ will be calculated as [_Start Date_] + [_Expected Duration_ of the task].</t>
  </si>
  <si>
    <t>Calculate Estimated Timelines - Tasks Tied to an EOT Date</t>
  </si>
  <si>
    <t>FVVP-50</t>
  </si>
  <si>
    <t xml:space="preserve">*When a new void is created, I want all tasks that start on a specific date to have a start date &amp; target end date based on the void dates that are currently known or estimated, as well as the expected duration for each task, so that users can plan ahead.* 
+Acceptance Criteria+
GIVEN a task is configured to start on _Void Start Date_ 
WHEN a new void and associated tasks are created
THEN the task's _Start Date_ will be set to _Void Start Date_
AND the _Task Status_ will be ‘Active’_._
GIVEN a task is configured to start on _PVI Date_ 
WHEN a new void and associated tasks are created
THEN the task's _Start Date_ will be set to _PVI Date_
AND the _Task Status_ will be ‘Active_’_ where ‘_PVI Date is Confirmed’_ is checked, otherwise the _Task Status_ will be ‘Pending’.
GIVEN a task is configured to start on _Future Vacate Date_ 
WHEN a new void and associated tasks are created
THEN the task's _Start Date_ will be set to _Future Vacate Date_
AND the _Task Status_ will be ‘Active’ where ‘_Future Vacate Date is Confirmed_’ is checked, otherwise the _Task Status_ will be _‘_Pending_’_.
WHEN a task is created 
THEN the task's _Target End Date_ will be calculated as [_Start Date]_ + [_Expected Duration_ of the task].
+Notes+ 
* Limitation: Expected task duration does not account for weekends &amp; non-working days. 
This may be addressed in a future release:  [https://graingerplc.atlassian.net/browse/FVVP-140|https://graingerplc.atlassian.net/browse/FVVP-140|smart-link] </t>
  </si>
  <si>
    <t>FVVP-49</t>
  </si>
  <si>
    <t>New End of Tenancy - Generate Phases &amp; Tasks from a Template</t>
  </si>
  <si>
    <t>*When a new void is created, I want all the void phases to be prepopulated with tasks, so that users can see all the activities that will need to be completed for the void.* 
+Notes+
* Initially, only high-level tasks are visible. Detailed tasks will be addressed in future stories:  [https://graingerplc.atlassian.net/browse/FVVP-33|https://graingerplc.atlassian.net/browse/FVVP-33|smart-link] 
* Addressed in future stories:  Hiding/showing Letting’s _Set Rent_ tasks based on ‘unit to be relet’ status [https://graingerplc.atlassian.net/browse/FVVP-86|https://graingerplc.atlassian.net/browse/FVVP-86|smart-link] 
* Addressed in future stories:  Hiding/showing _Refurb &amp; Refresh_ tasks based on ‘Void Works Type’. [https://graingerplc.atlassian.net/browse/FVVP-89|https://graingerplc.atlassian.net/browse/FVVP-89|smart-link] 
+Acceptance Criteria+
WHEN a new void is created
THEN the user will see the phases applicable to the void’s workflow, displayed in order (as below) 
AND the user will see which phase is currently in progress
AND the void’s current phase will default to the first phase (i.e. _Receive Notice_).
WHEN a new void is created
THEN all tasks applicable to the void’s workflow will be created for the void (as below)
AND each task’s (un-editable) configuration will be copied into the void (including queue type, expected duration, and the dependency that determines when the task will start)
AND default task status will be ‘Pending’.
||Workflow Type||Phase 
(In Order)||Task Name||Task Information||Queue Type||Expected Duration (Days)||Custom Start Date Type||Preceding Tasks||
|Tenant Gives NTQ|Receive Notice|Validate Notice|Task Information for Validate Notice|Centralized PM|5|Void Start Date| |
|Tenant Gives NTQ|Receive Notice|Confirm Notice|Task Information for Confirm Notice|Centralized PM|5|Void Start Date| |
|Tenant Gives NTQ|Notify Stakeholders|Notify Stakeholders|Task Information for Notify Stakeholders|Centralized PM|5| |Confirm Notice|
|Tenant Gives NTQ|Notify Stakeholders|Check Compliance|Task Information for Check Compliance|Centralized PM|5| |Confirm Notice|
|Tenant Gives NTQ|Notify Stakeholders|Set Rent|Task Information for Set Rent|Lettings|5| |Confirm Notice|
|Tenant Gives NTQ|PVI|PVI|Task Information for PVI|Onsite PM|1|PVI Date| |
|Tenant Gives NTQ|Book Works|Approve Capex|Task Information for Approve Capex|Asset Management|5| |PVI|
|Tenant Gives NTQ|Book Works|Book Works|Task Information for Book Works|Centralized PM|5| |PVI|
|Tenant Gives NTQ|Move Out|Check Out|Task Information for Check Out|Onsite PM|1|FV Date| |
|Tenant Gives NTQ|Move Out|Check Unit Condition|Task Information for Check Unit Condition|Onsite PM|3|FV Date| |
|Tenant Gives NTQ|Refurb/Refresh|Finalize Check Out|Task Information for Finalize Check Out|Centralized PM|5| |Check Unit Condition|
|Tenant Gives NTQ|Refurb/Refresh|Review Check Out Report|Task Information for Review Check Out Report|Centralized PM|5| |Check Unit Condition|
|Tenant Gives NTQ|Refurb/Refresh|Refresh|Task Information for Refresh|Maintenance|5| |Check Unit Condition|
|Tenant Gives NTQ|Refurb/Refresh|Clean Unit|Task Information for Clean Unit|Maintenance|1| |Check Unit Condition|
|Tenant Gives NTQ|Refurb/Refresh|Refurb|Task Information for Refurb|Refurb Team|15| |Check Unit Condition|
|Tenant Gives NTQ|Refurb/Refresh|Cancel Direct Debit|Task Information for Cancel Direct Debit|Finance|5| |Confirm Notice|
|Tenant Gives NTQ|Close Tenancy|Deposit Release|Task Information for Deposit Release|Centralized PM|5| |Finalize Check Out|
|Tenant Gives NTQ|Close Tenancy|Close Down Tenancy|Task Information for Close Down Tenancy|Finance|5| |Refurb, Refresh, Clean Unit , Finalize Check Out, Cancel Direct Debit|
*Implementation Approach*
Create new objects as per ERD below: (End of Tenancy object already created in [https://graingerplc.atlassian.net/browse/FVVP-48|https://graingerplc.atlassian.net/browse/FVVP-48|smart-link] )
Allow in reports: Yes
OWD: Public read/write
CRUD: 
* For all objects ending with “Template__c”: 
** CRUD for End of tenancy Admin permission set
** No access for End of Tenancy User permission set (they will not need to interact with template records)
* For all other objects: CRUD for End of Tenancy User permission set
[https://lucid.app/lucidchart/f708ea2d-6970-4c92-97f3-16f37ad6c365/edit?viewport_loc=2954%2C130%2C2477%2C1224%2CXU2sCBQrCZuw&amp;invitationId=inv_87fc89a7-9849-432c-9ca1-13e310c41cc7|https://lucid.app/lucidchart/f708ea2d-6970-4c92-97f3-16f37ad6c365/edit?viewport_loc=2954%2C130%2C2477%2C1224%2CXU2sCBQrCZuw&amp;invitationId=inv_87fc89a7-9849-432c-9ca1-13e310c41cc7|smart-link] 
!XU2sCBQrCZuw_a=3871&amp;x=2594&amp;y=-20&amp;w=2530&amp;h=1507&amp;store=1&amp;accept=image%2F_&amp;auth=LCA%20bb4ad0b851d918e554f726900a1dbe2fdfc73ae80ffc414d224ce8e1f6549000-ts%3D1694409228|width=2530,height=1507!
Create after insert trigger on End_Of_Tenancy
Insert End_Of_tena</t>
  </si>
  <si>
    <t>New End of Tenancy - Create an End of Tenancy</t>
  </si>
  <si>
    <t>FVVP-48</t>
  </si>
  <si>
    <t>*As a Renewals, Onsite PM or Centralized PM user, I want to create a new void once the tenant has provided NTQ, so that the void process can begin.*
+Notes+
* Limitation: Initially only one void workflow option will be available initially - _Tenant Gives NTQ._ 
** Other void workflows may be added in future [https://graingerplc.atlassian.net/browse/FVVP-103|https://graingerplc.atlassian.net/browse/FVVP-103|smart-link] ,[https://graingerplc.atlassian.net/browse/FVVP-102|https://graingerplc.atlassian.net/browse/FVVP-102|smart-link]  , [https://graingerplc.atlassian.net/browse/FVVP-157|https://graingerplc.atlassian.net/browse/FVVP-157|smart-link] 
+Acceptance Criteria+
+AC1+
WHEN the user is viewing a Tenancy in Salesforce
THEN a 'Create Void' button will be visible (regardless of tenancy status or dates).
WHEN a user selects 'Create Void' 
THEN the user will be prompted to capture the following details required to create a void: 
||Field Name||Editable?||Field Type &amp; Content||Required?||Default Value||Validations||Comments||
|Notice to Quit Date|Yes|Date|Required|Current Date| | |
|Future Vacate Date &amp; Time|Yes|DateTime|Required| |Must be after _Void Start Date /_ Current Date|May be subsequently edited if initially estimated.|
|Future Vacate Date is Confirmed|Yes|Checkbox|Optional|Unchecked| | |
|PVI Date &amp; Time|Yes|DateTime|Required| |Must be after _Void Start Date_ / Current Date|The initial, estimated _PVI Date_ may be prepopulated in future. [https://graingerplc.atlassian.net/browse/FVVP-56|https://graingerplc.atlassian.net/browse/FVVP-56|smart-link]|
|PVI Date is Confirmed|Yes|Checkbox|Optional|Unchecked| | |
|Unit to be Relet|Yes|Checkbox|Optional|Checked| |Will affect tasks in future [https://graingerplc.atlassian.net/browse/FVVP-86|https://graingerplc.atlassian.net/browse/FVVP-86|smart-link]|
|Void Owner|Yes|Single-select Lookup/ Picklist: Active users with void module access|Required|Building's property manager| | |
+AC2+
GIVEN a user has entered all of the required fields above
AND all validations are met
WHEN the user selects _Create_
THEN a new void will be created
AND the user will be able to see the above details, as well as the following system-generated information, in the _Void Details_ screen.
||Field Name||Editable?||Default Value||Comments||
|Building|No|Building linked to tenancy| |
|Unit|No|Unit linked to tenancy| |
|Tenancy|No|Selected tenancy| |
|Name|No|EOT - [Plot No.]
Tenancy.Unit__r.Street_Name__c + ", "
+Tenancy.Unit__r.City__c + ", "
+Tenancy.Unit__r.Post_Code__c
[Note Tenancy is actually the standard Contract object which has been renamed]|E.g.: EOT - 1 Canonbury Heights East, Henshall St N1 3GA|
|Start Date|No|Date End of Tenancy is created| |
|Status|No|Active|Possible statuses:
* Active
* Complete
* Cancelled
* Closed - Tenant Retained|
*Implementation Approach*
# Create permission sets as below:
* End of Tenancy User  (desc: Permission set to grant permissions to end users of End of Tenancy functionality)
* End of Tenancy Admin (desc: Permission set to grant permissions to designated admins for End of Tenancy functionality - e.g. to adjust templates etc.)
* End of Tenancy System Administrator (desc: Permission set to grant permissions to System Administrators for End of Tenancy functionality)
2. Create new custom object
Name: End Of Tenancy 
OWD: Public Read/Write
Allow in reports: Yes
CRUD permissions: CRUD permissions for  End of Tenancy User perm set
3. Fields on object:
Create fields as per table in AC1.  Do not create “Void Owner” field, the standard “Owner” field will be used.  Use your initiative to set meaningful values in Help Text for each field.
Create additional fields as below:
* Tenancy (Lookup to Tenancy object) (note Tenancy is actually standard Contract object which has been renamed)
** Help Text: Tenancy which is being ended
** FLS:  View &amp; Edit for both permission sets above
* Unit (Lookup to Unit object) 
** FLS:  View &amp; Edit for both permission sets above
** Help Text: Unit for which tenancy is ending
* Status (Picklist values Active, Complete)
** FLS:  View &amp; Edit for both permission sets above
** Help Text: Current status of End of Tenancy process
* Start Date (Date)
** FLS:  View &amp; Edit for both permission sets above
** Help Text: Date on which End of Tenancy was initiated
* End of Tenancy Template (Lookup End Of Tenancy Template) - (object created by [https://graingerplc.atlassian.net/browse/FVVP-49|https://graingerplc.atlassian.net/browse/FVVP-49|smart-link] )
** FLS:  View &amp; Edit for both permission sets above
** Help Text: Template to be used for setup of tasks required for this End of Tenancy
4. Create screenflow to create new End of Tenancy record
* Screenflow must capture all fields as per AC1
* Additional fields must be defaulted as per AC2
* On completion, screenflow must  insert a new End_Of_Tenancy__c record with field values as captured</t>
  </si>
  <si>
    <t>Story Points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</si>
</sst>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Alignment="1">
      <alignment horizontal="center"/>
    </xf>
  </cellXfs>
  <cellStyles count="1">
    <cellStyle name="Normal" xfId="0" builtinId="0"/>
  </cellStyles>
  <dxfs count="18">
    <dxf>
      <numFmt numFmtId="0" formatCode="General"/>
    </dxf>
    <dxf>
      <numFmt numFmtId="0" formatCode="General"/>
    </dxf>
    <dxf>
      <numFmt numFmtId="0" formatCode="General"/>
    </dxf>
    <dxf>
      <numFmt numFmtId="27" formatCode="yyyy/mm/dd\ hh:mm"/>
    </dxf>
    <dxf>
      <numFmt numFmtId="27" formatCode="yyyy/mm/dd\ hh:mm"/>
    </dxf>
    <dxf>
      <numFmt numFmtId="0" formatCode="General"/>
    </dxf>
    <dxf>
      <numFmt numFmtId="0" formatCode="General"/>
    </dxf>
    <dxf>
      <numFmt numFmtId="0" formatCode="General"/>
    </dxf>
    <dxf>
      <numFmt numFmtId="0" formatCode="General"/>
    </dxf>
    <dxf>
      <numFmt numFmtId="0" formatCode="General"/>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dxf>
    <dxf>
      <numFmt numFmtId="0" formatCode="General"/>
    </dxf>
    <dxf>
      <numFmt numFmtId="27" formatCode="yyyy/mm/dd\ hh:mm"/>
    </dxf>
    <dxf>
      <numFmt numFmtId="27" formatCode="yyyy/mm/dd\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theme" Target="theme/theme1.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connections" Target="connections.xml"/><Relationship Id="rId9" Type="http://schemas.openxmlformats.org/officeDocument/2006/relationships/customXml" Target="../customXml/item2.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47F2CDE-8F46-4F98-91FC-80890A7D73B3}" autoFormatId="16" applyNumberFormats="0" applyBorderFormats="0" applyFontFormats="0" applyPatternFormats="0" applyAlignmentFormats="0" applyWidthHeightFormats="0">
  <queryTableRefresh nextId="141">
    <queryTableFields count="10">
      <queryTableField id="1" name="Summary" tableColumnId="1"/>
      <queryTableField id="2" name="Issue key" tableColumnId="2"/>
      <queryTableField id="3" name="Issue id" tableColumnId="3"/>
      <queryTableField id="21" name="Created" tableColumnId="21"/>
      <queryTableField id="27" name="Labels" tableColumnId="27"/>
      <queryTableField id="29" name="Description" tableColumnId="29"/>
      <queryTableField id="70" name="Custom field (Epic Link)" tableColumnId="70"/>
      <queryTableField id="71" name="Epic Link Summary" tableColumnId="71"/>
      <queryTableField id="111" name="Sprint" tableColumnId="111"/>
      <queryTableField id="113" name="Custom field (Story Points)" tableColumnId="113"/>
    </queryTableFields>
    <queryTableDeletedFields count="130">
      <deletedField name="Project lead"/>
      <deletedField name="Project lead id"/>
      <deletedField name="Project description"/>
      <deletedField name="Project url"/>
      <deletedField name="Resolution"/>
      <deletedField name="Assignee"/>
      <deletedField name="Assignee Id"/>
      <deletedField name="Reporter"/>
      <deletedField name="Reporter Id"/>
      <deletedField name="Creator"/>
      <deletedField name="Creator Id"/>
      <deletedField name="Last Viewed"/>
      <deletedField name="Resolved"/>
      <deletedField name="Due date"/>
      <deletedField name="Votes"/>
      <deletedField name="Custom field ([CHART] Date of First Response)"/>
      <deletedField name="Comment"/>
      <deletedField name="Comment_8"/>
      <deletedField name="Comment_9"/>
      <deletedField name="Parent"/>
      <deletedField name="Parent summary"/>
      <deletedField name="Status Category"/>
      <deletedField name="Custom field (Total Tabs)"/>
      <deletedField name="Custom field (Total forms)"/>
      <deletedField name="Custom field (Type Of Risk)"/>
      <deletedField name="Custom field (Urgency)"/>
      <deletedField name="Custom field (Workaround)"/>
      <deletedField name="Custom field (Time to first response)"/>
      <deletedField name="Custom field (Time to resolution)"/>
      <deletedField name="Custom field (Time to resolution)_7"/>
      <deletedField name="Custom field (Time to review normal change)"/>
      <deletedField name="Custom field (Total Items)"/>
      <deletedField name="Custom field (Total Mandatory Items)"/>
      <deletedField name="Custom field (Total Sections)"/>
      <deletedField name="Custom field (Story point estimate)"/>
      <deletedField name="Custom field (Submitted forms)"/>
      <deletedField name="Custom field (System/Application Detected in)"/>
      <deletedField name="Custom field (Target end)"/>
      <deletedField name="Custom field (Target start)"/>
      <deletedField name="Custom field (Team)"/>
      <deletedField name="Custom field (Test plan)"/>
      <deletedField name="Custom field (Time to close after resolution)"/>
      <deletedField name="Custom field (Start date)"/>
      <deletedField name="Custom field (Estimated Completion)"/>
      <deletedField name="Custom field (Fixed in build)"/>
      <deletedField name="Custom field (Impact)"/>
      <deletedField name="Custom field (Implementation plan)"/>
      <deletedField name="Custom field (Investigation reason)"/>
      <deletedField name="Custom field (Issue color)"/>
      <deletedField name="Custom field (Items Done)"/>
      <deletedField name="Custom field (Items Done Percentage)"/>
      <deletedField name="Custom field (Items Remaining)"/>
      <deletedField name="Custom field (L1 process)"/>
      <deletedField name="Custom field (L2 Process)"/>
      <deletedField name="Custom field (L3 Process)"/>
      <deletedField name="Custom field (Locked forms)"/>
      <deletedField name="Custom field (Mandatory Items Done)"/>
      <deletedField name="Custom field (Mandatory Items Done Percentage)"/>
      <deletedField name="Custom field (Mandatory Items Remaining)"/>
      <deletedField name="Custom field (Next Review)"/>
      <deletedField name="Custom field (Open forms)"/>
      <deletedField name="Custom field (Operational categorization)"/>
      <deletedField name="Custom field (Owner)"/>
      <deletedField name="Custom field (Pending reason)"/>
      <deletedField name="Custom field (Planned end date)"/>
      <deletedField name="Custom field (Planned start date)"/>
      <deletedField name="Custom field (Process Map)"/>
      <deletedField name="Custom field (Product categorization)"/>
      <deletedField name="Custom field (Rank)"/>
      <deletedField name="Custom field (Reference )"/>
      <deletedField name="Custom field (Request Type)"/>
      <deletedField name="Custom field (Request language)"/>
      <deletedField name="Custom field (Request participants)"/>
      <deletedField name="Custom field (Requirement)"/>
      <deletedField name="Custom field (Risk Rating)"/>
      <deletedField name="Custom field (Root Cause)"/>
      <deletedField name="Custom field (Root System)"/>
      <deletedField name="Custom field (Root cause).1"/>
      <deletedField name="Satisfaction rating"/>
      <deletedField name="Custom field (Severity)"/>
      <deletedField name="Custom field (Severity)_6"/>
      <deletedField name="Custom field (Source)"/>
      <deletedField name="Watchers Id_4"/>
      <deletedField name="Watchers Id_5"/>
      <deletedField name="Original estimate"/>
      <deletedField name="Remaining Estimate"/>
      <deletedField name="Time Spent"/>
      <deletedField name="Work Ratio"/>
      <deletedField name="Σ Original Estimate"/>
      <deletedField name="Σ Remaining Estimate"/>
      <deletedField name="Σ Time Spent"/>
      <deletedField name="Security Level"/>
      <deletedField name="Inward issue link (Blocks)"/>
      <deletedField name="Outward issue link (Blocks)"/>
      <deletedField name="Outward issue link (Relates)"/>
      <deletedField name="Attachment"/>
      <deletedField name="Custom field (Acceptance Criteria)"/>
      <deletedField name="Custom field (Affected hardware)"/>
      <deletedField name="Custom field (Affected services)"/>
      <deletedField name="Custom field (Atlas project key)"/>
      <deletedField name="Custom field (Atlas project status)"/>
      <deletedField name="Custom field (Backout plan)"/>
      <deletedField name="Custom field (Business Area)"/>
      <deletedField name="Custom field (Category)"/>
      <deletedField name="Custom field (Change completion date)"/>
      <deletedField name="Custom field (Change reason)"/>
      <deletedField name="Custom field (Change risk)"/>
      <deletedField name="Custom field (Change start date)"/>
      <deletedField name="Custom field (Change type)"/>
      <deletedField name="Custom field (Checklist Progress)"/>
      <deletedField name="Custom field (Checklist YAML)"/>
      <deletedField name="Custom field (Compass)"/>
      <deletedField name="Custom field (Component)"/>
      <deletedField name="Custom field (Critical Date)"/>
      <deletedField name="Custom field (Development)"/>
      <deletedField name="Custom field (Development effort)"/>
      <deletedField name="Custom field (Due Date)"/>
      <deletedField name="Watchers"/>
      <deletedField name="Watchers_2"/>
      <deletedField name="Watchers_3"/>
      <deletedField name="Watchers Id"/>
      <deletedField name="Environment"/>
      <deletedField name="Labels_1"/>
      <deletedField name="Issue Type"/>
      <deletedField name="Status"/>
      <deletedField name="Project key"/>
      <deletedField name="Project name"/>
      <deletedField name="Project type"/>
      <deletedField name="Priority"/>
      <deletedField name="Updated"/>
    </queryTableDeleted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3" xr16:uid="{29D350D9-0146-426B-9197-4378E35400D4}" autoFormatId="16" applyNumberFormats="0" applyBorderFormats="0" applyFontFormats="0" applyPatternFormats="0" applyAlignmentFormats="0" applyWidthHeightFormats="0">
  <queryTableRefresh nextId="141">
    <queryTableFields count="7">
      <queryTableField id="1" name="Summary" tableColumnId="1"/>
      <queryTableField id="2" name="Issue key" tableColumnId="2"/>
      <queryTableField id="3" name="Issue id" tableColumnId="3"/>
      <queryTableField id="21" name="Created" tableColumnId="21"/>
      <queryTableField id="27" name="Labels" tableColumnId="27"/>
      <queryTableField id="111" name="Sprint" tableColumnId="111"/>
      <queryTableField id="113" name="Custom field (Story Points)" tableColumnId="113"/>
    </queryTableFields>
    <queryTableDeletedFields count="133">
      <deletedField name="Project lead"/>
      <deletedField name="Project lead id"/>
      <deletedField name="Project description"/>
      <deletedField name="Project url"/>
      <deletedField name="Resolution"/>
      <deletedField name="Assignee"/>
      <deletedField name="Assignee Id"/>
      <deletedField name="Reporter"/>
      <deletedField name="Reporter Id"/>
      <deletedField name="Creator"/>
      <deletedField name="Creator Id"/>
      <deletedField name="Last Viewed"/>
      <deletedField name="Resolved"/>
      <deletedField name="Due date"/>
      <deletedField name="Votes"/>
      <deletedField name="Custom field ([CHART] Date of First Response)"/>
      <deletedField name="Comment"/>
      <deletedField name="Comment_8"/>
      <deletedField name="Comment_9"/>
      <deletedField name="Parent"/>
      <deletedField name="Parent summary"/>
      <deletedField name="Status Category"/>
      <deletedField name="Custom field (Total Tabs)"/>
      <deletedField name="Custom field (Total forms)"/>
      <deletedField name="Custom field (Type Of Risk)"/>
      <deletedField name="Custom field (Urgency)"/>
      <deletedField name="Custom field (Workaround)"/>
      <deletedField name="Custom field (Time to first response)"/>
      <deletedField name="Custom field (Time to resolution)"/>
      <deletedField name="Custom field (Time to resolution)_7"/>
      <deletedField name="Custom field (Time to review normal change)"/>
      <deletedField name="Custom field (Total Items)"/>
      <deletedField name="Custom field (Total Mandatory Items)"/>
      <deletedField name="Custom field (Total Sections)"/>
      <deletedField name="Custom field (Story point estimate)"/>
      <deletedField name="Custom field (Submitted forms)"/>
      <deletedField name="Custom field (System/Application Detected in)"/>
      <deletedField name="Custom field (Target end)"/>
      <deletedField name="Custom field (Target start)"/>
      <deletedField name="Custom field (Team)"/>
      <deletedField name="Custom field (Test plan)"/>
      <deletedField name="Custom field (Time to close after resolution)"/>
      <deletedField name="Custom field (Start date)"/>
      <deletedField name="Custom field (Estimated Completion)"/>
      <deletedField name="Custom field (Fixed in build)"/>
      <deletedField name="Custom field (Impact)"/>
      <deletedField name="Custom field (Implementation plan)"/>
      <deletedField name="Custom field (Investigation reason)"/>
      <deletedField name="Custom field (Issue color)"/>
      <deletedField name="Custom field (Items Done)"/>
      <deletedField name="Custom field (Items Done Percentage)"/>
      <deletedField name="Custom field (Items Remaining)"/>
      <deletedField name="Custom field (L1 process)"/>
      <deletedField name="Custom field (L2 Process)"/>
      <deletedField name="Custom field (L3 Process)"/>
      <deletedField name="Custom field (Locked forms)"/>
      <deletedField name="Custom field (Mandatory Items Done)"/>
      <deletedField name="Custom field (Mandatory Items Done Percentage)"/>
      <deletedField name="Custom field (Mandatory Items Remaining)"/>
      <deletedField name="Custom field (Next Review)"/>
      <deletedField name="Custom field (Open forms)"/>
      <deletedField name="Custom field (Operational categorization)"/>
      <deletedField name="Custom field (Owner)"/>
      <deletedField name="Custom field (Pending reason)"/>
      <deletedField name="Custom field (Planned end date)"/>
      <deletedField name="Custom field (Planned start date)"/>
      <deletedField name="Custom field (Process Map)"/>
      <deletedField name="Custom field (Product categorization)"/>
      <deletedField name="Custom field (Rank)"/>
      <deletedField name="Custom field (Reference )"/>
      <deletedField name="Custom field (Request Type)"/>
      <deletedField name="Custom field (Request language)"/>
      <deletedField name="Custom field (Request participants)"/>
      <deletedField name="Custom field (Requirement)"/>
      <deletedField name="Custom field (Risk Rating)"/>
      <deletedField name="Custom field (Root Cause)"/>
      <deletedField name="Custom field (Root System)"/>
      <deletedField name="Custom field (Root cause).1"/>
      <deletedField name="Satisfaction rating"/>
      <deletedField name="Custom field (Severity)"/>
      <deletedField name="Custom field (Severity)_6"/>
      <deletedField name="Custom field (Source)"/>
      <deletedField name="Watchers Id_4"/>
      <deletedField name="Watchers Id_5"/>
      <deletedField name="Original estimate"/>
      <deletedField name="Remaining Estimate"/>
      <deletedField name="Time Spent"/>
      <deletedField name="Work Ratio"/>
      <deletedField name="Σ Original Estimate"/>
      <deletedField name="Σ Remaining Estimate"/>
      <deletedField name="Σ Time Spent"/>
      <deletedField name="Security Level"/>
      <deletedField name="Inward issue link (Blocks)"/>
      <deletedField name="Outward issue link (Blocks)"/>
      <deletedField name="Outward issue link (Relates)"/>
      <deletedField name="Attachment"/>
      <deletedField name="Custom field (Acceptance Criteria)"/>
      <deletedField name="Custom field (Affected hardware)"/>
      <deletedField name="Custom field (Affected services)"/>
      <deletedField name="Custom field (Atlas project key)"/>
      <deletedField name="Custom field (Atlas project status)"/>
      <deletedField name="Custom field (Backout plan)"/>
      <deletedField name="Custom field (Business Area)"/>
      <deletedField name="Custom field (Category)"/>
      <deletedField name="Custom field (Change completion date)"/>
      <deletedField name="Custom field (Change reason)"/>
      <deletedField name="Custom field (Change risk)"/>
      <deletedField name="Custom field (Change start date)"/>
      <deletedField name="Custom field (Change type)"/>
      <deletedField name="Custom field (Checklist Progress)"/>
      <deletedField name="Custom field (Checklist YAML)"/>
      <deletedField name="Custom field (Compass)"/>
      <deletedField name="Custom field (Component)"/>
      <deletedField name="Custom field (Critical Date)"/>
      <deletedField name="Custom field (Development)"/>
      <deletedField name="Custom field (Development effort)"/>
      <deletedField name="Custom field (Due Date)"/>
      <deletedField name="Watchers"/>
      <deletedField name="Watchers_2"/>
      <deletedField name="Watchers_3"/>
      <deletedField name="Watchers Id"/>
      <deletedField name="Environment"/>
      <deletedField name="Labels_1"/>
      <deletedField name="Issue Type"/>
      <deletedField name="Status"/>
      <deletedField name="Project key"/>
      <deletedField name="Project name"/>
      <deletedField name="Project type"/>
      <deletedField name="Priority"/>
      <deletedField name="Updated"/>
      <deletedField name="Custom field (Epic Link)"/>
      <deletedField name="Epic Link Summary"/>
      <deletedField name="Description"/>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9270C9-B729-48F2-8229-3A1816E3230C}" name="FVVP_Backlog__Sprints___Jira" displayName="FVVP_Backlog__Sprints___Jira" ref="A1:J61" tableType="queryTable" totalsRowCount="1">
  <autoFilter ref="A1:J60" xr:uid="{589270C9-B729-48F2-8229-3A1816E3230C}"/>
  <tableColumns count="10">
    <tableColumn id="1" xr3:uid="{A093C34C-DC82-45AC-9FD4-DEC648A38945}" uniqueName="1" name="Summary" queryTableFieldId="1" dataDxfId="17"/>
    <tableColumn id="2" xr3:uid="{C9F59BE6-F6BE-448D-B1D9-93213D14F54C}" uniqueName="2" name="Issue key" queryTableFieldId="2" dataDxfId="16"/>
    <tableColumn id="3" xr3:uid="{27B7637D-82C6-4889-839E-695FB41A6577}" uniqueName="3" name="Issue id" queryTableFieldId="3"/>
    <tableColumn id="21" xr3:uid="{FC987EC2-3AA7-44C4-9518-3595B03E5A6F}" uniqueName="21" name="Created" queryTableFieldId="21" dataDxfId="15" totalsRowDxfId="14"/>
    <tableColumn id="27" xr3:uid="{025EE371-BE72-4521-9EFF-5E11CB86CB51}" uniqueName="27" name="Labels" queryTableFieldId="27" dataDxfId="13"/>
    <tableColumn id="29" xr3:uid="{AC003600-06C2-4893-A43C-4E37DFF40851}" uniqueName="29" name="Description" queryTableFieldId="29" dataDxfId="12"/>
    <tableColumn id="70" xr3:uid="{AE639496-068D-4C5D-B76F-57ABD53CCBC1}" uniqueName="70" name="Custom field (Epic Link)" queryTableFieldId="70" dataDxfId="11" totalsRowDxfId="10"/>
    <tableColumn id="71" xr3:uid="{F7A818B3-1AFA-4EBE-983D-71CB7FC4EF32}" uniqueName="71" name="Epic Link Summary" queryTableFieldId="71" dataDxfId="9"/>
    <tableColumn id="111" xr3:uid="{10FD38BA-7E89-470A-97A4-2C8D0FEF6253}" uniqueName="111" name="Sprint" queryTableFieldId="111" dataDxfId="8"/>
    <tableColumn id="113" xr3:uid="{BCCBF1F8-9441-414E-A3F4-D3B3BD705EFA}" uniqueName="113" name="Story Points" totalsRowFunction="custom" queryTableFieldId="113" dataDxfId="7">
      <totalsRowFormula>SUM(FVVP_Backlog__Sprints___Jira[Story Points])</totalsRow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60AE54-7D14-4D11-9C20-5BA5BAF2C0AC}" name="FVVP_Backlog__Sprints___Jira4" displayName="FVVP_Backlog__Sprints___Jira4" ref="A1:G61" tableType="queryTable" totalsRowCount="1">
  <autoFilter ref="A1:G60" xr:uid="{BD60AE54-7D14-4D11-9C20-5BA5BAF2C0AC}"/>
  <tableColumns count="7">
    <tableColumn id="1" xr3:uid="{BED6B134-9474-4BBA-A65C-0166183110DC}" uniqueName="1" name="Summary" queryTableFieldId="1" dataDxfId="6"/>
    <tableColumn id="2" xr3:uid="{2F22595D-B04A-4D34-9CFF-4FE548A990F1}" uniqueName="2" name="Issue key" queryTableFieldId="2" dataDxfId="5"/>
    <tableColumn id="3" xr3:uid="{C5C16F14-6637-4E4B-8259-AABF30A76A7C}" uniqueName="3" name="Issue id" queryTableFieldId="3"/>
    <tableColumn id="21" xr3:uid="{5AF83AD5-BFD2-4B0D-9682-E1874E335621}" uniqueName="21" name="Created" queryTableFieldId="21" dataDxfId="4" totalsRowDxfId="3"/>
    <tableColumn id="27" xr3:uid="{F984F96D-8205-4E5F-9563-5A6F73D2CFC3}" uniqueName="27" name="Labels" queryTableFieldId="27" dataDxfId="2"/>
    <tableColumn id="111" xr3:uid="{18D9FE15-33F5-4334-A36C-C3A9BD7C888B}" uniqueName="111" name="Sprint" queryTableFieldId="111" dataDxfId="1"/>
    <tableColumn id="113" xr3:uid="{3611C873-1B1E-47ED-9516-FD730FC0B7FD}" uniqueName="113" name="Story Points" totalsRowFunction="custom" queryTableFieldId="113" dataDxfId="0">
      <totalsRowFormula>SUM(FVVP_Backlog__Sprints___Jira4[Story Points])</totalsRow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63930-9511-4CFD-A76F-41FA120CEDC6}">
  <dimension ref="A1:J61"/>
  <sheetViews>
    <sheetView tabSelected="1" workbookViewId="0">
      <selection activeCell="A3" sqref="A3"/>
    </sheetView>
  </sheetViews>
  <sheetFormatPr defaultRowHeight="15" x14ac:dyDescent="0.25"/>
  <cols>
    <col min="1" max="1" width="72.140625" bestFit="1" customWidth="1"/>
    <col min="2" max="2" width="11.42578125" bestFit="1" customWidth="1"/>
    <col min="3" max="3" width="10" customWidth="1"/>
    <col min="4" max="4" width="15.85546875" customWidth="1"/>
    <col min="5" max="5" width="18.7109375" customWidth="1"/>
    <col min="6" max="6" width="127.42578125" customWidth="1"/>
    <col min="7" max="7" width="24.42578125" style="2" customWidth="1"/>
    <col min="8" max="8" width="28" customWidth="1"/>
    <col min="9" max="9" width="12.85546875" bestFit="1" customWidth="1"/>
    <col min="10" max="10" width="13.85546875" bestFit="1" customWidth="1"/>
  </cols>
  <sheetData>
    <row r="1" spans="1:10" x14ac:dyDescent="0.25">
      <c r="A1" t="s">
        <v>0</v>
      </c>
      <c r="B1" t="s">
        <v>1</v>
      </c>
      <c r="C1" t="s">
        <v>2</v>
      </c>
      <c r="D1" t="s">
        <v>3</v>
      </c>
      <c r="E1" t="s">
        <v>4</v>
      </c>
      <c r="F1" t="s">
        <v>5</v>
      </c>
      <c r="G1" s="2" t="s">
        <v>6</v>
      </c>
      <c r="H1" t="s">
        <v>7</v>
      </c>
      <c r="I1" t="s">
        <v>8</v>
      </c>
      <c r="J1" t="s">
        <v>223</v>
      </c>
    </row>
    <row r="2" spans="1:10" x14ac:dyDescent="0.25">
      <c r="A2" t="s">
        <v>9</v>
      </c>
      <c r="B2" t="s">
        <v>10</v>
      </c>
      <c r="C2">
        <v>34328</v>
      </c>
      <c r="D2" s="1">
        <v>41905.686805555553</v>
      </c>
      <c r="E2" t="s">
        <v>11</v>
      </c>
      <c r="F2" t="s">
        <v>12</v>
      </c>
      <c r="G2" s="2" t="s">
        <v>11</v>
      </c>
      <c r="H2" t="s">
        <v>11</v>
      </c>
      <c r="I2" t="s">
        <v>13</v>
      </c>
      <c r="J2" t="s">
        <v>11</v>
      </c>
    </row>
    <row r="3" spans="1:10" x14ac:dyDescent="0.25">
      <c r="A3" t="s">
        <v>14</v>
      </c>
      <c r="B3" t="s">
        <v>15</v>
      </c>
      <c r="C3">
        <v>34213</v>
      </c>
      <c r="D3" s="1">
        <v>47353.730555555558</v>
      </c>
      <c r="E3" t="s">
        <v>16</v>
      </c>
      <c r="F3" t="s">
        <v>17</v>
      </c>
      <c r="G3" s="2" t="s">
        <v>18</v>
      </c>
      <c r="H3" t="s">
        <v>19</v>
      </c>
      <c r="I3" t="s">
        <v>20</v>
      </c>
      <c r="J3">
        <v>8</v>
      </c>
    </row>
    <row r="4" spans="1:10" x14ac:dyDescent="0.25">
      <c r="A4" t="s">
        <v>21</v>
      </c>
      <c r="B4" t="s">
        <v>22</v>
      </c>
      <c r="C4">
        <v>34211</v>
      </c>
      <c r="D4" s="1">
        <v>47353.698611111111</v>
      </c>
      <c r="E4" t="s">
        <v>16</v>
      </c>
      <c r="F4" t="s">
        <v>23</v>
      </c>
      <c r="G4" s="2" t="s">
        <v>24</v>
      </c>
      <c r="H4" t="s">
        <v>25</v>
      </c>
      <c r="I4" t="s">
        <v>20</v>
      </c>
      <c r="J4">
        <v>3</v>
      </c>
    </row>
    <row r="5" spans="1:10" x14ac:dyDescent="0.25">
      <c r="A5" t="s">
        <v>26</v>
      </c>
      <c r="B5" t="s">
        <v>27</v>
      </c>
      <c r="C5">
        <v>33383</v>
      </c>
      <c r="D5" s="1">
        <v>37065.584027777775</v>
      </c>
      <c r="E5" t="s">
        <v>11</v>
      </c>
      <c r="F5" t="s">
        <v>28</v>
      </c>
      <c r="G5" s="2" t="s">
        <v>29</v>
      </c>
      <c r="H5" t="s">
        <v>26</v>
      </c>
      <c r="I5" t="s">
        <v>13</v>
      </c>
      <c r="J5">
        <v>2</v>
      </c>
    </row>
    <row r="6" spans="1:10" x14ac:dyDescent="0.25">
      <c r="A6" t="s">
        <v>33</v>
      </c>
      <c r="B6" t="s">
        <v>34</v>
      </c>
      <c r="C6">
        <v>33378</v>
      </c>
      <c r="D6" s="1">
        <v>37065.584027777775</v>
      </c>
      <c r="E6" t="s">
        <v>11</v>
      </c>
      <c r="F6" t="s">
        <v>35</v>
      </c>
      <c r="G6" s="2" t="s">
        <v>30</v>
      </c>
      <c r="H6" t="s">
        <v>31</v>
      </c>
      <c r="I6" t="s">
        <v>32</v>
      </c>
      <c r="J6">
        <v>1</v>
      </c>
    </row>
    <row r="7" spans="1:10" x14ac:dyDescent="0.25">
      <c r="A7" t="s">
        <v>36</v>
      </c>
      <c r="B7" t="s">
        <v>37</v>
      </c>
      <c r="C7">
        <v>33376</v>
      </c>
      <c r="D7" s="1">
        <v>37065.584027777775</v>
      </c>
      <c r="E7" t="s">
        <v>11</v>
      </c>
      <c r="F7" t="s">
        <v>38</v>
      </c>
      <c r="G7" s="2" t="s">
        <v>30</v>
      </c>
      <c r="H7" t="s">
        <v>31</v>
      </c>
      <c r="I7" t="s">
        <v>13</v>
      </c>
      <c r="J7">
        <v>2</v>
      </c>
    </row>
    <row r="8" spans="1:10" x14ac:dyDescent="0.25">
      <c r="A8" t="s">
        <v>39</v>
      </c>
      <c r="B8" t="s">
        <v>40</v>
      </c>
      <c r="C8">
        <v>33368</v>
      </c>
      <c r="D8" s="1">
        <v>37065.583333333336</v>
      </c>
      <c r="E8" t="s">
        <v>41</v>
      </c>
      <c r="F8" t="s">
        <v>42</v>
      </c>
      <c r="G8" s="2" t="s">
        <v>43</v>
      </c>
      <c r="H8" t="s">
        <v>44</v>
      </c>
      <c r="I8" t="s">
        <v>13</v>
      </c>
      <c r="J8">
        <v>1</v>
      </c>
    </row>
    <row r="9" spans="1:10" x14ac:dyDescent="0.25">
      <c r="A9" t="s">
        <v>45</v>
      </c>
      <c r="B9" t="s">
        <v>46</v>
      </c>
      <c r="C9">
        <v>33367</v>
      </c>
      <c r="D9" s="1">
        <v>37065.583333333336</v>
      </c>
      <c r="E9" t="s">
        <v>11</v>
      </c>
      <c r="F9" t="s">
        <v>47</v>
      </c>
      <c r="G9" s="2" t="s">
        <v>48</v>
      </c>
      <c r="H9" t="s">
        <v>49</v>
      </c>
      <c r="I9" t="s">
        <v>32</v>
      </c>
      <c r="J9">
        <v>2</v>
      </c>
    </row>
    <row r="10" spans="1:10" x14ac:dyDescent="0.25">
      <c r="A10" t="s">
        <v>50</v>
      </c>
      <c r="B10" t="s">
        <v>51</v>
      </c>
      <c r="C10">
        <v>33366</v>
      </c>
      <c r="D10" s="1">
        <v>37065.583333333336</v>
      </c>
      <c r="E10" t="s">
        <v>11</v>
      </c>
      <c r="F10" t="s">
        <v>52</v>
      </c>
      <c r="G10" s="2" t="s">
        <v>48</v>
      </c>
      <c r="H10" t="s">
        <v>49</v>
      </c>
      <c r="I10" t="s">
        <v>32</v>
      </c>
      <c r="J10">
        <v>2</v>
      </c>
    </row>
    <row r="11" spans="1:10" x14ac:dyDescent="0.25">
      <c r="A11" t="s">
        <v>53</v>
      </c>
      <c r="B11" t="s">
        <v>54</v>
      </c>
      <c r="C11">
        <v>33365</v>
      </c>
      <c r="D11" s="1">
        <v>37065.583333333336</v>
      </c>
      <c r="E11" t="s">
        <v>11</v>
      </c>
      <c r="F11" t="s">
        <v>55</v>
      </c>
      <c r="G11" s="2" t="s">
        <v>48</v>
      </c>
      <c r="H11" t="s">
        <v>49</v>
      </c>
      <c r="I11" t="s">
        <v>32</v>
      </c>
      <c r="J11">
        <v>2</v>
      </c>
    </row>
    <row r="12" spans="1:10" x14ac:dyDescent="0.25">
      <c r="A12" t="s">
        <v>56</v>
      </c>
      <c r="B12" t="s">
        <v>57</v>
      </c>
      <c r="C12">
        <v>33364</v>
      </c>
      <c r="D12" s="1">
        <v>37065.583333333336</v>
      </c>
      <c r="E12" t="s">
        <v>11</v>
      </c>
      <c r="F12" t="s">
        <v>58</v>
      </c>
      <c r="G12" s="2" t="s">
        <v>48</v>
      </c>
      <c r="H12" t="s">
        <v>49</v>
      </c>
      <c r="I12" t="s">
        <v>32</v>
      </c>
      <c r="J12">
        <v>2</v>
      </c>
    </row>
    <row r="13" spans="1:10" x14ac:dyDescent="0.25">
      <c r="A13" t="s">
        <v>59</v>
      </c>
      <c r="B13" t="s">
        <v>60</v>
      </c>
      <c r="C13">
        <v>33363</v>
      </c>
      <c r="D13" s="1">
        <v>37065.583333333336</v>
      </c>
      <c r="E13" t="s">
        <v>11</v>
      </c>
      <c r="F13" t="s">
        <v>61</v>
      </c>
      <c r="G13" s="2" t="s">
        <v>48</v>
      </c>
      <c r="H13" t="s">
        <v>49</v>
      </c>
      <c r="I13" t="s">
        <v>32</v>
      </c>
      <c r="J13">
        <v>2</v>
      </c>
    </row>
    <row r="14" spans="1:10" x14ac:dyDescent="0.25">
      <c r="A14" t="s">
        <v>62</v>
      </c>
      <c r="B14" t="s">
        <v>63</v>
      </c>
      <c r="C14">
        <v>33362</v>
      </c>
      <c r="D14" s="1">
        <v>37065.583333333336</v>
      </c>
      <c r="E14" t="s">
        <v>11</v>
      </c>
      <c r="F14" t="s">
        <v>64</v>
      </c>
      <c r="G14" s="2" t="s">
        <v>48</v>
      </c>
      <c r="H14" t="s">
        <v>49</v>
      </c>
      <c r="I14" t="s">
        <v>32</v>
      </c>
      <c r="J14">
        <v>2</v>
      </c>
    </row>
    <row r="15" spans="1:10" x14ac:dyDescent="0.25">
      <c r="A15" t="s">
        <v>65</v>
      </c>
      <c r="B15" t="s">
        <v>66</v>
      </c>
      <c r="C15">
        <v>33361</v>
      </c>
      <c r="D15" s="1">
        <v>37065.583333333336</v>
      </c>
      <c r="E15" t="s">
        <v>11</v>
      </c>
      <c r="F15" t="s">
        <v>67</v>
      </c>
      <c r="G15" s="2" t="s">
        <v>48</v>
      </c>
      <c r="H15" t="s">
        <v>49</v>
      </c>
      <c r="I15" t="s">
        <v>32</v>
      </c>
      <c r="J15">
        <v>2</v>
      </c>
    </row>
    <row r="16" spans="1:10" x14ac:dyDescent="0.25">
      <c r="A16" t="s">
        <v>68</v>
      </c>
      <c r="B16" t="s">
        <v>69</v>
      </c>
      <c r="C16">
        <v>33360</v>
      </c>
      <c r="D16" s="1">
        <v>37065.583333333336</v>
      </c>
      <c r="E16" t="s">
        <v>11</v>
      </c>
      <c r="F16" t="s">
        <v>70</v>
      </c>
      <c r="G16" s="2" t="s">
        <v>48</v>
      </c>
      <c r="H16" t="s">
        <v>49</v>
      </c>
      <c r="I16" t="s">
        <v>32</v>
      </c>
      <c r="J16">
        <v>2</v>
      </c>
    </row>
    <row r="17" spans="1:10" x14ac:dyDescent="0.25">
      <c r="A17" t="s">
        <v>71</v>
      </c>
      <c r="B17" t="s">
        <v>72</v>
      </c>
      <c r="C17">
        <v>33359</v>
      </c>
      <c r="D17" s="1">
        <v>37065.583333333336</v>
      </c>
      <c r="E17" t="s">
        <v>11</v>
      </c>
      <c r="F17" t="s">
        <v>73</v>
      </c>
      <c r="G17" s="2" t="s">
        <v>48</v>
      </c>
      <c r="H17" t="s">
        <v>49</v>
      </c>
      <c r="I17" t="s">
        <v>32</v>
      </c>
      <c r="J17">
        <v>2</v>
      </c>
    </row>
    <row r="18" spans="1:10" x14ac:dyDescent="0.25">
      <c r="A18" t="s">
        <v>74</v>
      </c>
      <c r="B18" t="s">
        <v>75</v>
      </c>
      <c r="C18">
        <v>33358</v>
      </c>
      <c r="D18" s="1">
        <v>37065.583333333336</v>
      </c>
      <c r="E18" t="s">
        <v>11</v>
      </c>
      <c r="F18" t="s">
        <v>76</v>
      </c>
      <c r="G18" s="2" t="s">
        <v>48</v>
      </c>
      <c r="H18" t="s">
        <v>49</v>
      </c>
      <c r="I18" t="s">
        <v>32</v>
      </c>
      <c r="J18">
        <v>2</v>
      </c>
    </row>
    <row r="19" spans="1:10" x14ac:dyDescent="0.25">
      <c r="A19" t="s">
        <v>77</v>
      </c>
      <c r="B19" t="s">
        <v>78</v>
      </c>
      <c r="C19">
        <v>33357</v>
      </c>
      <c r="D19" s="1">
        <v>37065.583333333336</v>
      </c>
      <c r="E19" t="s">
        <v>11</v>
      </c>
      <c r="F19" t="s">
        <v>79</v>
      </c>
      <c r="G19" s="2" t="s">
        <v>48</v>
      </c>
      <c r="H19" t="s">
        <v>49</v>
      </c>
      <c r="I19" t="s">
        <v>32</v>
      </c>
      <c r="J19">
        <v>2</v>
      </c>
    </row>
    <row r="20" spans="1:10" x14ac:dyDescent="0.25">
      <c r="A20" t="s">
        <v>80</v>
      </c>
      <c r="B20" t="s">
        <v>81</v>
      </c>
      <c r="C20">
        <v>33356</v>
      </c>
      <c r="D20" s="1">
        <v>37065.583333333336</v>
      </c>
      <c r="E20" t="s">
        <v>11</v>
      </c>
      <c r="F20" t="s">
        <v>82</v>
      </c>
      <c r="G20" s="2" t="s">
        <v>48</v>
      </c>
      <c r="H20" t="s">
        <v>49</v>
      </c>
      <c r="I20" t="s">
        <v>32</v>
      </c>
      <c r="J20">
        <v>2</v>
      </c>
    </row>
    <row r="21" spans="1:10" x14ac:dyDescent="0.25">
      <c r="A21" t="s">
        <v>83</v>
      </c>
      <c r="B21" t="s">
        <v>84</v>
      </c>
      <c r="C21">
        <v>33355</v>
      </c>
      <c r="D21" s="1">
        <v>37065.583333333336</v>
      </c>
      <c r="E21" t="s">
        <v>11</v>
      </c>
      <c r="F21" t="s">
        <v>85</v>
      </c>
      <c r="G21" s="2" t="s">
        <v>48</v>
      </c>
      <c r="H21" t="s">
        <v>49</v>
      </c>
      <c r="I21" t="s">
        <v>32</v>
      </c>
      <c r="J21">
        <v>2</v>
      </c>
    </row>
    <row r="22" spans="1:10" x14ac:dyDescent="0.25">
      <c r="A22" t="s">
        <v>86</v>
      </c>
      <c r="B22" t="s">
        <v>87</v>
      </c>
      <c r="C22">
        <v>33352</v>
      </c>
      <c r="D22" s="1">
        <v>37065.583333333336</v>
      </c>
      <c r="E22" t="s">
        <v>41</v>
      </c>
      <c r="F22" t="s">
        <v>88</v>
      </c>
      <c r="G22" s="2" t="s">
        <v>89</v>
      </c>
      <c r="H22" t="s">
        <v>90</v>
      </c>
      <c r="I22" t="s">
        <v>13</v>
      </c>
      <c r="J22">
        <v>1</v>
      </c>
    </row>
    <row r="23" spans="1:10" x14ac:dyDescent="0.25">
      <c r="A23" t="s">
        <v>91</v>
      </c>
      <c r="B23" t="s">
        <v>92</v>
      </c>
      <c r="C23">
        <v>33351</v>
      </c>
      <c r="D23" s="1">
        <v>37065.583333333336</v>
      </c>
      <c r="E23" t="s">
        <v>41</v>
      </c>
      <c r="F23" t="s">
        <v>93</v>
      </c>
      <c r="G23" s="2" t="s">
        <v>89</v>
      </c>
      <c r="H23" t="s">
        <v>90</v>
      </c>
      <c r="I23" t="s">
        <v>13</v>
      </c>
      <c r="J23">
        <v>1</v>
      </c>
    </row>
    <row r="24" spans="1:10" x14ac:dyDescent="0.25">
      <c r="A24" t="s">
        <v>94</v>
      </c>
      <c r="B24" t="s">
        <v>95</v>
      </c>
      <c r="C24">
        <v>33350</v>
      </c>
      <c r="D24" s="1">
        <v>37065.583333333336</v>
      </c>
      <c r="E24" t="s">
        <v>41</v>
      </c>
      <c r="F24" t="s">
        <v>96</v>
      </c>
      <c r="G24" s="2" t="s">
        <v>97</v>
      </c>
      <c r="H24" t="s">
        <v>98</v>
      </c>
      <c r="I24" t="s">
        <v>13</v>
      </c>
      <c r="J24">
        <v>1</v>
      </c>
    </row>
    <row r="25" spans="1:10" x14ac:dyDescent="0.25">
      <c r="A25" t="s">
        <v>99</v>
      </c>
      <c r="B25" t="s">
        <v>100</v>
      </c>
      <c r="C25">
        <v>33349</v>
      </c>
      <c r="D25" s="1">
        <v>37065.583333333336</v>
      </c>
      <c r="E25" t="s">
        <v>16</v>
      </c>
      <c r="F25" t="s">
        <v>101</v>
      </c>
      <c r="G25" s="2" t="s">
        <v>102</v>
      </c>
      <c r="H25" t="s">
        <v>103</v>
      </c>
      <c r="I25" t="s">
        <v>104</v>
      </c>
      <c r="J25">
        <v>1</v>
      </c>
    </row>
    <row r="26" spans="1:10" x14ac:dyDescent="0.25">
      <c r="A26" t="s">
        <v>105</v>
      </c>
      <c r="B26" t="s">
        <v>106</v>
      </c>
      <c r="C26">
        <v>33348</v>
      </c>
      <c r="D26" s="1">
        <v>37065.583333333336</v>
      </c>
      <c r="E26" t="s">
        <v>11</v>
      </c>
      <c r="F26" t="s">
        <v>107</v>
      </c>
      <c r="G26" s="2" t="s">
        <v>108</v>
      </c>
      <c r="H26" t="s">
        <v>109</v>
      </c>
      <c r="I26" t="s">
        <v>13</v>
      </c>
      <c r="J26">
        <v>2</v>
      </c>
    </row>
    <row r="27" spans="1:10" x14ac:dyDescent="0.25">
      <c r="A27" t="s">
        <v>110</v>
      </c>
      <c r="B27" t="s">
        <v>111</v>
      </c>
      <c r="C27">
        <v>33347</v>
      </c>
      <c r="D27" s="1">
        <v>37065.583333333336</v>
      </c>
      <c r="E27" t="s">
        <v>11</v>
      </c>
      <c r="F27" t="s">
        <v>112</v>
      </c>
      <c r="G27" s="2" t="s">
        <v>108</v>
      </c>
      <c r="H27" t="s">
        <v>109</v>
      </c>
      <c r="I27" t="s">
        <v>13</v>
      </c>
      <c r="J27">
        <v>2</v>
      </c>
    </row>
    <row r="28" spans="1:10" x14ac:dyDescent="0.25">
      <c r="A28" t="s">
        <v>113</v>
      </c>
      <c r="B28" t="s">
        <v>114</v>
      </c>
      <c r="C28">
        <v>33346</v>
      </c>
      <c r="D28" s="1">
        <v>37065.583333333336</v>
      </c>
      <c r="E28" t="s">
        <v>11</v>
      </c>
      <c r="F28" t="s">
        <v>115</v>
      </c>
      <c r="G28" s="2" t="s">
        <v>108</v>
      </c>
      <c r="H28" t="s">
        <v>109</v>
      </c>
      <c r="I28" t="s">
        <v>13</v>
      </c>
      <c r="J28">
        <v>2</v>
      </c>
    </row>
    <row r="29" spans="1:10" x14ac:dyDescent="0.25">
      <c r="A29" t="s">
        <v>116</v>
      </c>
      <c r="B29" t="s">
        <v>117</v>
      </c>
      <c r="C29">
        <v>33345</v>
      </c>
      <c r="D29" s="1">
        <v>37065.583333333336</v>
      </c>
      <c r="E29" t="s">
        <v>11</v>
      </c>
      <c r="F29" t="s">
        <v>118</v>
      </c>
      <c r="G29" s="2" t="s">
        <v>108</v>
      </c>
      <c r="H29" t="s">
        <v>109</v>
      </c>
      <c r="I29" t="s">
        <v>13</v>
      </c>
      <c r="J29">
        <v>5</v>
      </c>
    </row>
    <row r="30" spans="1:10" x14ac:dyDescent="0.25">
      <c r="A30" t="s">
        <v>119</v>
      </c>
      <c r="B30" t="s">
        <v>120</v>
      </c>
      <c r="C30">
        <v>33343</v>
      </c>
      <c r="D30" s="1">
        <v>37065.583333333336</v>
      </c>
      <c r="E30" t="s">
        <v>11</v>
      </c>
      <c r="F30" t="s">
        <v>121</v>
      </c>
      <c r="G30" s="2" t="s">
        <v>108</v>
      </c>
      <c r="H30" t="s">
        <v>109</v>
      </c>
      <c r="I30" t="s">
        <v>13</v>
      </c>
      <c r="J30">
        <v>5</v>
      </c>
    </row>
    <row r="31" spans="1:10" x14ac:dyDescent="0.25">
      <c r="A31" t="s">
        <v>124</v>
      </c>
      <c r="B31" t="s">
        <v>125</v>
      </c>
      <c r="C31">
        <v>33341</v>
      </c>
      <c r="D31" s="1">
        <v>37065.583333333336</v>
      </c>
      <c r="E31" t="s">
        <v>16</v>
      </c>
      <c r="F31" t="s">
        <v>126</v>
      </c>
      <c r="G31" s="2" t="s">
        <v>122</v>
      </c>
      <c r="H31" t="s">
        <v>123</v>
      </c>
      <c r="I31" t="s">
        <v>104</v>
      </c>
      <c r="J31">
        <v>5</v>
      </c>
    </row>
    <row r="32" spans="1:10" x14ac:dyDescent="0.25">
      <c r="A32" t="s">
        <v>127</v>
      </c>
      <c r="B32" t="s">
        <v>128</v>
      </c>
      <c r="C32">
        <v>33340</v>
      </c>
      <c r="D32" s="1">
        <v>37065.583333333336</v>
      </c>
      <c r="E32" t="s">
        <v>16</v>
      </c>
      <c r="F32" t="s">
        <v>129</v>
      </c>
      <c r="G32" s="2" t="s">
        <v>122</v>
      </c>
      <c r="H32" t="s">
        <v>123</v>
      </c>
      <c r="I32" t="s">
        <v>20</v>
      </c>
      <c r="J32">
        <v>5</v>
      </c>
    </row>
    <row r="33" spans="1:10" x14ac:dyDescent="0.25">
      <c r="A33" t="s">
        <v>132</v>
      </c>
      <c r="B33" t="s">
        <v>133</v>
      </c>
      <c r="C33">
        <v>33338</v>
      </c>
      <c r="D33" s="1">
        <v>37065.583333333336</v>
      </c>
      <c r="E33" t="s">
        <v>41</v>
      </c>
      <c r="F33" t="s">
        <v>134</v>
      </c>
      <c r="G33" s="2" t="s">
        <v>130</v>
      </c>
      <c r="H33" t="s">
        <v>131</v>
      </c>
      <c r="I33" t="s">
        <v>13</v>
      </c>
      <c r="J33">
        <v>5</v>
      </c>
    </row>
    <row r="34" spans="1:10" x14ac:dyDescent="0.25">
      <c r="A34" t="s">
        <v>135</v>
      </c>
      <c r="B34" t="s">
        <v>136</v>
      </c>
      <c r="C34">
        <v>33337</v>
      </c>
      <c r="D34" s="1">
        <v>37065.583333333336</v>
      </c>
      <c r="E34" t="s">
        <v>16</v>
      </c>
      <c r="F34" t="s">
        <v>137</v>
      </c>
      <c r="G34" s="2" t="s">
        <v>130</v>
      </c>
      <c r="H34" t="s">
        <v>131</v>
      </c>
      <c r="I34" t="s">
        <v>104</v>
      </c>
      <c r="J34">
        <v>5</v>
      </c>
    </row>
    <row r="35" spans="1:10" x14ac:dyDescent="0.25">
      <c r="A35" t="s">
        <v>138</v>
      </c>
      <c r="B35" t="s">
        <v>139</v>
      </c>
      <c r="C35">
        <v>33336</v>
      </c>
      <c r="D35" s="1">
        <v>37065.583333333336</v>
      </c>
      <c r="E35" t="s">
        <v>16</v>
      </c>
      <c r="F35" t="s">
        <v>140</v>
      </c>
      <c r="G35" s="2" t="s">
        <v>141</v>
      </c>
      <c r="H35" t="s">
        <v>142</v>
      </c>
      <c r="I35" t="s">
        <v>13</v>
      </c>
      <c r="J35">
        <v>1</v>
      </c>
    </row>
    <row r="36" spans="1:10" x14ac:dyDescent="0.25">
      <c r="A36" t="s">
        <v>143</v>
      </c>
      <c r="B36" t="s">
        <v>144</v>
      </c>
      <c r="C36">
        <v>33335</v>
      </c>
      <c r="D36" s="1">
        <v>37065.583333333336</v>
      </c>
      <c r="E36" t="s">
        <v>11</v>
      </c>
      <c r="F36" t="s">
        <v>145</v>
      </c>
      <c r="G36" s="2" t="s">
        <v>141</v>
      </c>
      <c r="H36" t="s">
        <v>142</v>
      </c>
      <c r="I36" t="s">
        <v>32</v>
      </c>
      <c r="J36">
        <v>1</v>
      </c>
    </row>
    <row r="37" spans="1:10" x14ac:dyDescent="0.25">
      <c r="A37" t="s">
        <v>146</v>
      </c>
      <c r="B37" t="s">
        <v>147</v>
      </c>
      <c r="C37">
        <v>33333</v>
      </c>
      <c r="D37" s="1">
        <v>37065.583333333336</v>
      </c>
      <c r="E37" t="s">
        <v>11</v>
      </c>
      <c r="F37" t="s">
        <v>148</v>
      </c>
      <c r="G37" s="2" t="s">
        <v>149</v>
      </c>
      <c r="H37" t="s">
        <v>150</v>
      </c>
      <c r="I37" t="s">
        <v>13</v>
      </c>
      <c r="J37">
        <v>10</v>
      </c>
    </row>
    <row r="38" spans="1:10" x14ac:dyDescent="0.25">
      <c r="A38" t="s">
        <v>151</v>
      </c>
      <c r="B38" t="s">
        <v>152</v>
      </c>
      <c r="C38">
        <v>33331</v>
      </c>
      <c r="D38" s="1">
        <v>37065.583333333336</v>
      </c>
      <c r="E38" t="s">
        <v>16</v>
      </c>
      <c r="F38" t="s">
        <v>153</v>
      </c>
      <c r="G38" s="2" t="s">
        <v>149</v>
      </c>
      <c r="H38" t="s">
        <v>150</v>
      </c>
      <c r="I38" t="s">
        <v>13</v>
      </c>
      <c r="J38">
        <v>2</v>
      </c>
    </row>
    <row r="39" spans="1:10" x14ac:dyDescent="0.25">
      <c r="A39" t="s">
        <v>154</v>
      </c>
      <c r="B39" t="s">
        <v>155</v>
      </c>
      <c r="C39">
        <v>33329</v>
      </c>
      <c r="D39" s="1">
        <v>37065.583333333336</v>
      </c>
      <c r="E39" t="s">
        <v>16</v>
      </c>
      <c r="F39" t="s">
        <v>156</v>
      </c>
      <c r="G39" s="2" t="s">
        <v>157</v>
      </c>
      <c r="H39" t="s">
        <v>154</v>
      </c>
      <c r="I39" t="s">
        <v>104</v>
      </c>
      <c r="J39">
        <v>1</v>
      </c>
    </row>
    <row r="40" spans="1:10" x14ac:dyDescent="0.25">
      <c r="A40" t="s">
        <v>158</v>
      </c>
      <c r="B40" t="s">
        <v>159</v>
      </c>
      <c r="C40">
        <v>33328</v>
      </c>
      <c r="D40" s="1">
        <v>37065.583333333336</v>
      </c>
      <c r="E40" t="s">
        <v>16</v>
      </c>
      <c r="F40" t="s">
        <v>160</v>
      </c>
      <c r="G40" s="2" t="s">
        <v>18</v>
      </c>
      <c r="H40" t="s">
        <v>19</v>
      </c>
      <c r="I40" t="s">
        <v>104</v>
      </c>
      <c r="J40">
        <v>3</v>
      </c>
    </row>
    <row r="41" spans="1:10" x14ac:dyDescent="0.25">
      <c r="A41" t="s">
        <v>161</v>
      </c>
      <c r="B41" t="s">
        <v>162</v>
      </c>
      <c r="C41">
        <v>33327</v>
      </c>
      <c r="D41" s="1">
        <v>37065.583333333336</v>
      </c>
      <c r="E41" t="s">
        <v>41</v>
      </c>
      <c r="F41" t="s">
        <v>163</v>
      </c>
      <c r="G41" s="2" t="s">
        <v>18</v>
      </c>
      <c r="H41" t="s">
        <v>19</v>
      </c>
      <c r="I41" t="s">
        <v>32</v>
      </c>
      <c r="J41">
        <v>3</v>
      </c>
    </row>
    <row r="42" spans="1:10" x14ac:dyDescent="0.25">
      <c r="A42" t="s">
        <v>164</v>
      </c>
      <c r="B42" t="s">
        <v>165</v>
      </c>
      <c r="C42">
        <v>33326</v>
      </c>
      <c r="D42" s="1">
        <v>37065.583333333336</v>
      </c>
      <c r="E42" t="s">
        <v>41</v>
      </c>
      <c r="F42" t="s">
        <v>166</v>
      </c>
      <c r="G42" s="2" t="s">
        <v>18</v>
      </c>
      <c r="H42" t="s">
        <v>19</v>
      </c>
      <c r="I42" t="s">
        <v>32</v>
      </c>
      <c r="J42" t="s">
        <v>11</v>
      </c>
    </row>
    <row r="43" spans="1:10" x14ac:dyDescent="0.25">
      <c r="A43" t="s">
        <v>167</v>
      </c>
      <c r="B43" t="s">
        <v>168</v>
      </c>
      <c r="C43">
        <v>33323</v>
      </c>
      <c r="D43" s="1">
        <v>37065.583333333336</v>
      </c>
      <c r="E43" t="s">
        <v>11</v>
      </c>
      <c r="F43" t="s">
        <v>169</v>
      </c>
      <c r="G43" s="2" t="s">
        <v>18</v>
      </c>
      <c r="H43" t="s">
        <v>19</v>
      </c>
      <c r="I43" t="s">
        <v>13</v>
      </c>
    </row>
    <row r="44" spans="1:10" x14ac:dyDescent="0.25">
      <c r="A44" t="s">
        <v>170</v>
      </c>
      <c r="B44" t="s">
        <v>171</v>
      </c>
      <c r="C44">
        <v>33322</v>
      </c>
      <c r="D44" s="1">
        <v>37065.583333333336</v>
      </c>
      <c r="E44" t="s">
        <v>16</v>
      </c>
      <c r="F44" t="s">
        <v>172</v>
      </c>
      <c r="G44" s="2" t="s">
        <v>18</v>
      </c>
      <c r="H44" t="s">
        <v>19</v>
      </c>
      <c r="I44" t="s">
        <v>104</v>
      </c>
      <c r="J44">
        <v>5</v>
      </c>
    </row>
    <row r="45" spans="1:10" x14ac:dyDescent="0.25">
      <c r="A45" t="s">
        <v>173</v>
      </c>
      <c r="B45" t="s">
        <v>174</v>
      </c>
      <c r="C45">
        <v>33317</v>
      </c>
      <c r="D45" s="1">
        <v>37065.583333333336</v>
      </c>
      <c r="E45" t="s">
        <v>16</v>
      </c>
      <c r="F45" t="s">
        <v>175</v>
      </c>
      <c r="G45" s="2" t="s">
        <v>18</v>
      </c>
      <c r="H45" t="s">
        <v>19</v>
      </c>
      <c r="I45" t="s">
        <v>104</v>
      </c>
      <c r="J45">
        <v>8</v>
      </c>
    </row>
    <row r="46" spans="1:10" x14ac:dyDescent="0.25">
      <c r="A46" t="s">
        <v>176</v>
      </c>
      <c r="B46" t="s">
        <v>177</v>
      </c>
      <c r="C46">
        <v>33316</v>
      </c>
      <c r="D46" s="1">
        <v>37065.583333333336</v>
      </c>
      <c r="E46" t="s">
        <v>41</v>
      </c>
      <c r="F46" t="s">
        <v>178</v>
      </c>
      <c r="G46" s="2" t="s">
        <v>179</v>
      </c>
      <c r="H46" t="s">
        <v>180</v>
      </c>
      <c r="I46" t="s">
        <v>13</v>
      </c>
      <c r="J46" t="s">
        <v>11</v>
      </c>
    </row>
    <row r="47" spans="1:10" x14ac:dyDescent="0.25">
      <c r="A47" t="s">
        <v>181</v>
      </c>
      <c r="B47" t="s">
        <v>182</v>
      </c>
      <c r="C47">
        <v>33315</v>
      </c>
      <c r="D47" s="1">
        <v>37065.583333333336</v>
      </c>
      <c r="E47" t="s">
        <v>16</v>
      </c>
      <c r="F47" t="s">
        <v>183</v>
      </c>
      <c r="G47" s="2" t="s">
        <v>179</v>
      </c>
      <c r="H47" t="s">
        <v>180</v>
      </c>
      <c r="I47" t="s">
        <v>104</v>
      </c>
      <c r="J47">
        <v>13</v>
      </c>
    </row>
    <row r="48" spans="1:10" x14ac:dyDescent="0.25">
      <c r="A48" t="s">
        <v>184</v>
      </c>
      <c r="B48" t="s">
        <v>185</v>
      </c>
      <c r="C48">
        <v>33314</v>
      </c>
      <c r="D48" s="1">
        <v>37065.583333333336</v>
      </c>
      <c r="E48" t="s">
        <v>11</v>
      </c>
      <c r="F48" t="s">
        <v>186</v>
      </c>
      <c r="G48" s="2" t="s">
        <v>179</v>
      </c>
      <c r="H48" t="s">
        <v>180</v>
      </c>
      <c r="I48" t="s">
        <v>32</v>
      </c>
      <c r="J48" t="s">
        <v>11</v>
      </c>
    </row>
    <row r="49" spans="1:10" x14ac:dyDescent="0.25">
      <c r="A49" t="s">
        <v>187</v>
      </c>
      <c r="B49" t="s">
        <v>188</v>
      </c>
      <c r="C49">
        <v>33313</v>
      </c>
      <c r="D49" s="1">
        <v>37065.583333333336</v>
      </c>
      <c r="E49" t="s">
        <v>11</v>
      </c>
      <c r="F49" t="s">
        <v>189</v>
      </c>
      <c r="G49" s="2" t="s">
        <v>179</v>
      </c>
      <c r="H49" t="s">
        <v>180</v>
      </c>
      <c r="I49" t="s">
        <v>32</v>
      </c>
      <c r="J49" t="s">
        <v>11</v>
      </c>
    </row>
    <row r="50" spans="1:10" x14ac:dyDescent="0.25">
      <c r="A50" t="s">
        <v>190</v>
      </c>
      <c r="B50" t="s">
        <v>191</v>
      </c>
      <c r="C50">
        <v>33312</v>
      </c>
      <c r="D50" s="1">
        <v>37065.583333333336</v>
      </c>
      <c r="E50" t="s">
        <v>11</v>
      </c>
      <c r="F50" t="s">
        <v>192</v>
      </c>
      <c r="G50" s="2" t="s">
        <v>24</v>
      </c>
      <c r="H50" t="s">
        <v>25</v>
      </c>
      <c r="I50" t="s">
        <v>104</v>
      </c>
      <c r="J50">
        <v>1</v>
      </c>
    </row>
    <row r="51" spans="1:10" x14ac:dyDescent="0.25">
      <c r="A51" t="s">
        <v>193</v>
      </c>
      <c r="B51" t="s">
        <v>194</v>
      </c>
      <c r="C51">
        <v>33310</v>
      </c>
      <c r="D51" s="1">
        <v>37065.583333333336</v>
      </c>
      <c r="E51" t="s">
        <v>41</v>
      </c>
      <c r="F51" t="s">
        <v>195</v>
      </c>
      <c r="G51" s="2" t="s">
        <v>24</v>
      </c>
      <c r="H51" t="s">
        <v>25</v>
      </c>
      <c r="I51" t="s">
        <v>32</v>
      </c>
      <c r="J51">
        <v>3</v>
      </c>
    </row>
    <row r="52" spans="1:10" x14ac:dyDescent="0.25">
      <c r="A52" t="s">
        <v>196</v>
      </c>
      <c r="B52" t="s">
        <v>197</v>
      </c>
      <c r="C52">
        <v>33309</v>
      </c>
      <c r="D52" s="1">
        <v>37065.583333333336</v>
      </c>
      <c r="E52" t="s">
        <v>16</v>
      </c>
      <c r="F52" t="s">
        <v>198</v>
      </c>
      <c r="G52" s="2" t="s">
        <v>24</v>
      </c>
      <c r="H52" t="s">
        <v>25</v>
      </c>
      <c r="I52" t="s">
        <v>20</v>
      </c>
      <c r="J52">
        <v>3</v>
      </c>
    </row>
    <row r="53" spans="1:10" x14ac:dyDescent="0.25">
      <c r="A53" t="s">
        <v>199</v>
      </c>
      <c r="B53" t="s">
        <v>200</v>
      </c>
      <c r="C53">
        <v>33308</v>
      </c>
      <c r="D53" s="1">
        <v>37065.583333333336</v>
      </c>
      <c r="E53" t="s">
        <v>11</v>
      </c>
      <c r="F53" t="s">
        <v>201</v>
      </c>
      <c r="G53" s="2" t="s">
        <v>24</v>
      </c>
      <c r="H53" t="s">
        <v>25</v>
      </c>
      <c r="I53" t="s">
        <v>32</v>
      </c>
      <c r="J53">
        <v>1</v>
      </c>
    </row>
    <row r="54" spans="1:10" x14ac:dyDescent="0.25">
      <c r="A54" t="s">
        <v>202</v>
      </c>
      <c r="B54" t="s">
        <v>203</v>
      </c>
      <c r="C54">
        <v>33307</v>
      </c>
      <c r="D54" s="1">
        <v>37065.583333333336</v>
      </c>
      <c r="E54" t="s">
        <v>11</v>
      </c>
      <c r="F54" t="s">
        <v>204</v>
      </c>
      <c r="G54" s="2" t="s">
        <v>24</v>
      </c>
      <c r="H54" t="s">
        <v>25</v>
      </c>
      <c r="I54" t="s">
        <v>32</v>
      </c>
      <c r="J54">
        <v>3</v>
      </c>
    </row>
    <row r="55" spans="1:10" x14ac:dyDescent="0.25">
      <c r="A55" t="s">
        <v>205</v>
      </c>
      <c r="B55" t="s">
        <v>206</v>
      </c>
      <c r="C55">
        <v>33305</v>
      </c>
      <c r="D55" s="1">
        <v>37065.583333333336</v>
      </c>
      <c r="E55" t="s">
        <v>16</v>
      </c>
      <c r="F55" t="s">
        <v>207</v>
      </c>
      <c r="G55" s="2" t="s">
        <v>24</v>
      </c>
      <c r="H55" t="s">
        <v>25</v>
      </c>
      <c r="I55" t="s">
        <v>13</v>
      </c>
      <c r="J55">
        <v>3</v>
      </c>
    </row>
    <row r="56" spans="1:10" x14ac:dyDescent="0.25">
      <c r="A56" t="s">
        <v>208</v>
      </c>
      <c r="B56" t="s">
        <v>209</v>
      </c>
      <c r="C56">
        <v>33304</v>
      </c>
      <c r="D56" s="1">
        <v>37065.583333333336</v>
      </c>
      <c r="E56" t="s">
        <v>16</v>
      </c>
      <c r="F56" t="s">
        <v>210</v>
      </c>
      <c r="G56" s="2" t="s">
        <v>24</v>
      </c>
      <c r="H56" t="s">
        <v>25</v>
      </c>
      <c r="I56" t="s">
        <v>20</v>
      </c>
      <c r="J56">
        <v>5</v>
      </c>
    </row>
    <row r="57" spans="1:10" x14ac:dyDescent="0.25">
      <c r="A57" t="s">
        <v>211</v>
      </c>
      <c r="B57" t="s">
        <v>212</v>
      </c>
      <c r="C57">
        <v>33302</v>
      </c>
      <c r="D57" s="1">
        <v>37065.583333333336</v>
      </c>
      <c r="E57" t="s">
        <v>16</v>
      </c>
      <c r="F57" t="s">
        <v>213</v>
      </c>
      <c r="G57" s="2" t="s">
        <v>24</v>
      </c>
      <c r="H57" t="s">
        <v>25</v>
      </c>
      <c r="I57" t="s">
        <v>20</v>
      </c>
      <c r="J57">
        <v>13</v>
      </c>
    </row>
    <row r="58" spans="1:10" x14ac:dyDescent="0.25">
      <c r="A58" t="s">
        <v>214</v>
      </c>
      <c r="B58" t="s">
        <v>215</v>
      </c>
      <c r="C58">
        <v>33301</v>
      </c>
      <c r="D58" s="1">
        <v>37065.583333333336</v>
      </c>
      <c r="E58" t="s">
        <v>16</v>
      </c>
      <c r="F58" t="s">
        <v>216</v>
      </c>
      <c r="G58" s="2" t="s">
        <v>24</v>
      </c>
      <c r="H58" t="s">
        <v>25</v>
      </c>
      <c r="I58" t="s">
        <v>20</v>
      </c>
      <c r="J58">
        <v>5</v>
      </c>
    </row>
    <row r="59" spans="1:10" x14ac:dyDescent="0.25">
      <c r="A59" t="s">
        <v>218</v>
      </c>
      <c r="B59" t="s">
        <v>217</v>
      </c>
      <c r="C59">
        <v>33300</v>
      </c>
      <c r="D59" s="1">
        <v>37065.583333333336</v>
      </c>
      <c r="E59" t="s">
        <v>16</v>
      </c>
      <c r="F59" t="s">
        <v>219</v>
      </c>
      <c r="G59" s="2" t="s">
        <v>24</v>
      </c>
      <c r="H59" t="s">
        <v>25</v>
      </c>
      <c r="I59" t="s">
        <v>20</v>
      </c>
      <c r="J59">
        <v>13</v>
      </c>
    </row>
    <row r="60" spans="1:10" x14ac:dyDescent="0.25">
      <c r="A60" t="s">
        <v>220</v>
      </c>
      <c r="B60" t="s">
        <v>221</v>
      </c>
      <c r="C60">
        <v>33299</v>
      </c>
      <c r="D60" s="1">
        <v>37065.583333333336</v>
      </c>
      <c r="E60" t="s">
        <v>16</v>
      </c>
      <c r="F60" t="s">
        <v>222</v>
      </c>
      <c r="G60" s="2" t="s">
        <v>24</v>
      </c>
      <c r="H60" t="s">
        <v>25</v>
      </c>
      <c r="I60" t="s">
        <v>20</v>
      </c>
      <c r="J60">
        <v>5</v>
      </c>
    </row>
    <row r="61" spans="1:10" x14ac:dyDescent="0.25">
      <c r="D61" s="1"/>
      <c r="J61">
        <f>SUM(FVVP_Backlog__Sprints___Jira[Story Points])</f>
        <v>185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9798E-348F-4EEC-A095-41A76864A089}">
  <dimension ref="A1:G61"/>
  <sheetViews>
    <sheetView topLeftCell="A27" workbookViewId="0">
      <selection activeCell="P43" sqref="P43"/>
    </sheetView>
  </sheetViews>
  <sheetFormatPr defaultRowHeight="15" x14ac:dyDescent="0.25"/>
  <cols>
    <col min="1" max="1" width="72.140625" bestFit="1" customWidth="1"/>
    <col min="2" max="2" width="11.42578125" bestFit="1" customWidth="1"/>
    <col min="3" max="3" width="10" hidden="1" customWidth="1"/>
    <col min="4" max="4" width="15.85546875" hidden="1" customWidth="1"/>
    <col min="5" max="5" width="18.7109375" hidden="1" customWidth="1"/>
    <col min="6" max="6" width="12.85546875" bestFit="1" customWidth="1"/>
    <col min="7" max="7" width="13.85546875" bestFit="1" customWidth="1"/>
  </cols>
  <sheetData>
    <row r="1" spans="1:7" x14ac:dyDescent="0.25">
      <c r="A1" t="s">
        <v>0</v>
      </c>
      <c r="B1" t="s">
        <v>1</v>
      </c>
      <c r="C1" t="s">
        <v>2</v>
      </c>
      <c r="D1" t="s">
        <v>3</v>
      </c>
      <c r="E1" t="s">
        <v>4</v>
      </c>
      <c r="F1" t="s">
        <v>8</v>
      </c>
      <c r="G1" t="s">
        <v>223</v>
      </c>
    </row>
    <row r="2" spans="1:7" x14ac:dyDescent="0.25">
      <c r="A2" t="s">
        <v>9</v>
      </c>
      <c r="B2" t="s">
        <v>10</v>
      </c>
      <c r="C2">
        <v>34328</v>
      </c>
      <c r="D2" s="1">
        <v>41905.686805555553</v>
      </c>
      <c r="E2" t="s">
        <v>11</v>
      </c>
      <c r="F2" t="s">
        <v>13</v>
      </c>
      <c r="G2" t="s">
        <v>11</v>
      </c>
    </row>
    <row r="3" spans="1:7" x14ac:dyDescent="0.25">
      <c r="A3" t="s">
        <v>14</v>
      </c>
      <c r="B3" t="s">
        <v>15</v>
      </c>
      <c r="C3">
        <v>34213</v>
      </c>
      <c r="D3" s="1">
        <v>47353.730555555558</v>
      </c>
      <c r="E3" t="s">
        <v>16</v>
      </c>
      <c r="F3" t="s">
        <v>20</v>
      </c>
      <c r="G3">
        <v>8</v>
      </c>
    </row>
    <row r="4" spans="1:7" x14ac:dyDescent="0.25">
      <c r="A4" t="s">
        <v>21</v>
      </c>
      <c r="B4" t="s">
        <v>22</v>
      </c>
      <c r="C4">
        <v>34211</v>
      </c>
      <c r="D4" s="1">
        <v>47353.698611111111</v>
      </c>
      <c r="E4" t="s">
        <v>16</v>
      </c>
      <c r="F4" t="s">
        <v>20</v>
      </c>
      <c r="G4">
        <v>3</v>
      </c>
    </row>
    <row r="5" spans="1:7" x14ac:dyDescent="0.25">
      <c r="A5" t="s">
        <v>26</v>
      </c>
      <c r="B5" t="s">
        <v>27</v>
      </c>
      <c r="C5">
        <v>33383</v>
      </c>
      <c r="D5" s="1">
        <v>37065.584027777775</v>
      </c>
      <c r="E5" t="s">
        <v>11</v>
      </c>
      <c r="F5" t="s">
        <v>13</v>
      </c>
      <c r="G5">
        <v>2</v>
      </c>
    </row>
    <row r="6" spans="1:7" x14ac:dyDescent="0.25">
      <c r="A6" t="s">
        <v>33</v>
      </c>
      <c r="B6" t="s">
        <v>34</v>
      </c>
      <c r="C6">
        <v>33378</v>
      </c>
      <c r="D6" s="1">
        <v>37065.584027777775</v>
      </c>
      <c r="E6" t="s">
        <v>11</v>
      </c>
      <c r="F6" t="s">
        <v>32</v>
      </c>
      <c r="G6">
        <v>1</v>
      </c>
    </row>
    <row r="7" spans="1:7" x14ac:dyDescent="0.25">
      <c r="A7" t="s">
        <v>36</v>
      </c>
      <c r="B7" t="s">
        <v>37</v>
      </c>
      <c r="C7">
        <v>33376</v>
      </c>
      <c r="D7" s="1">
        <v>37065.584027777775</v>
      </c>
      <c r="E7" t="s">
        <v>11</v>
      </c>
      <c r="F7" t="s">
        <v>13</v>
      </c>
      <c r="G7">
        <v>2</v>
      </c>
    </row>
    <row r="8" spans="1:7" x14ac:dyDescent="0.25">
      <c r="A8" t="s">
        <v>39</v>
      </c>
      <c r="B8" t="s">
        <v>40</v>
      </c>
      <c r="C8">
        <v>33368</v>
      </c>
      <c r="D8" s="1">
        <v>37065.583333333336</v>
      </c>
      <c r="E8" t="s">
        <v>41</v>
      </c>
      <c r="F8" t="s">
        <v>13</v>
      </c>
      <c r="G8">
        <v>1</v>
      </c>
    </row>
    <row r="9" spans="1:7" x14ac:dyDescent="0.25">
      <c r="A9" t="s">
        <v>45</v>
      </c>
      <c r="B9" t="s">
        <v>46</v>
      </c>
      <c r="C9">
        <v>33367</v>
      </c>
      <c r="D9" s="1">
        <v>37065.583333333336</v>
      </c>
      <c r="E9" t="s">
        <v>11</v>
      </c>
      <c r="F9" t="s">
        <v>32</v>
      </c>
      <c r="G9">
        <v>2</v>
      </c>
    </row>
    <row r="10" spans="1:7" x14ac:dyDescent="0.25">
      <c r="A10" t="s">
        <v>50</v>
      </c>
      <c r="B10" t="s">
        <v>51</v>
      </c>
      <c r="C10">
        <v>33366</v>
      </c>
      <c r="D10" s="1">
        <v>37065.583333333336</v>
      </c>
      <c r="E10" t="s">
        <v>11</v>
      </c>
      <c r="F10" t="s">
        <v>32</v>
      </c>
      <c r="G10">
        <v>2</v>
      </c>
    </row>
    <row r="11" spans="1:7" x14ac:dyDescent="0.25">
      <c r="A11" t="s">
        <v>53</v>
      </c>
      <c r="B11" t="s">
        <v>54</v>
      </c>
      <c r="C11">
        <v>33365</v>
      </c>
      <c r="D11" s="1">
        <v>37065.583333333336</v>
      </c>
      <c r="E11" t="s">
        <v>11</v>
      </c>
      <c r="F11" t="s">
        <v>32</v>
      </c>
      <c r="G11">
        <v>2</v>
      </c>
    </row>
    <row r="12" spans="1:7" x14ac:dyDescent="0.25">
      <c r="A12" t="s">
        <v>56</v>
      </c>
      <c r="B12" t="s">
        <v>57</v>
      </c>
      <c r="C12">
        <v>33364</v>
      </c>
      <c r="D12" s="1">
        <v>37065.583333333336</v>
      </c>
      <c r="E12" t="s">
        <v>11</v>
      </c>
      <c r="F12" t="s">
        <v>32</v>
      </c>
      <c r="G12">
        <v>2</v>
      </c>
    </row>
    <row r="13" spans="1:7" x14ac:dyDescent="0.25">
      <c r="A13" t="s">
        <v>59</v>
      </c>
      <c r="B13" t="s">
        <v>60</v>
      </c>
      <c r="C13">
        <v>33363</v>
      </c>
      <c r="D13" s="1">
        <v>37065.583333333336</v>
      </c>
      <c r="E13" t="s">
        <v>11</v>
      </c>
      <c r="F13" t="s">
        <v>32</v>
      </c>
      <c r="G13">
        <v>2</v>
      </c>
    </row>
    <row r="14" spans="1:7" x14ac:dyDescent="0.25">
      <c r="A14" t="s">
        <v>62</v>
      </c>
      <c r="B14" t="s">
        <v>63</v>
      </c>
      <c r="C14">
        <v>33362</v>
      </c>
      <c r="D14" s="1">
        <v>37065.583333333336</v>
      </c>
      <c r="E14" t="s">
        <v>11</v>
      </c>
      <c r="F14" t="s">
        <v>32</v>
      </c>
      <c r="G14">
        <v>2</v>
      </c>
    </row>
    <row r="15" spans="1:7" x14ac:dyDescent="0.25">
      <c r="A15" t="s">
        <v>65</v>
      </c>
      <c r="B15" t="s">
        <v>66</v>
      </c>
      <c r="C15">
        <v>33361</v>
      </c>
      <c r="D15" s="1">
        <v>37065.583333333336</v>
      </c>
      <c r="E15" t="s">
        <v>11</v>
      </c>
      <c r="F15" t="s">
        <v>32</v>
      </c>
      <c r="G15">
        <v>2</v>
      </c>
    </row>
    <row r="16" spans="1:7" x14ac:dyDescent="0.25">
      <c r="A16" t="s">
        <v>68</v>
      </c>
      <c r="B16" t="s">
        <v>69</v>
      </c>
      <c r="C16">
        <v>33360</v>
      </c>
      <c r="D16" s="1">
        <v>37065.583333333336</v>
      </c>
      <c r="E16" t="s">
        <v>11</v>
      </c>
      <c r="F16" t="s">
        <v>32</v>
      </c>
      <c r="G16">
        <v>2</v>
      </c>
    </row>
    <row r="17" spans="1:7" x14ac:dyDescent="0.25">
      <c r="A17" t="s">
        <v>71</v>
      </c>
      <c r="B17" t="s">
        <v>72</v>
      </c>
      <c r="C17">
        <v>33359</v>
      </c>
      <c r="D17" s="1">
        <v>37065.583333333336</v>
      </c>
      <c r="E17" t="s">
        <v>11</v>
      </c>
      <c r="F17" t="s">
        <v>32</v>
      </c>
      <c r="G17">
        <v>2</v>
      </c>
    </row>
    <row r="18" spans="1:7" x14ac:dyDescent="0.25">
      <c r="A18" t="s">
        <v>74</v>
      </c>
      <c r="B18" t="s">
        <v>75</v>
      </c>
      <c r="C18">
        <v>33358</v>
      </c>
      <c r="D18" s="1">
        <v>37065.583333333336</v>
      </c>
      <c r="E18" t="s">
        <v>11</v>
      </c>
      <c r="F18" t="s">
        <v>32</v>
      </c>
      <c r="G18">
        <v>2</v>
      </c>
    </row>
    <row r="19" spans="1:7" x14ac:dyDescent="0.25">
      <c r="A19" t="s">
        <v>77</v>
      </c>
      <c r="B19" t="s">
        <v>78</v>
      </c>
      <c r="C19">
        <v>33357</v>
      </c>
      <c r="D19" s="1">
        <v>37065.583333333336</v>
      </c>
      <c r="E19" t="s">
        <v>11</v>
      </c>
      <c r="F19" t="s">
        <v>32</v>
      </c>
      <c r="G19">
        <v>2</v>
      </c>
    </row>
    <row r="20" spans="1:7" x14ac:dyDescent="0.25">
      <c r="A20" t="s">
        <v>80</v>
      </c>
      <c r="B20" t="s">
        <v>81</v>
      </c>
      <c r="C20">
        <v>33356</v>
      </c>
      <c r="D20" s="1">
        <v>37065.583333333336</v>
      </c>
      <c r="E20" t="s">
        <v>11</v>
      </c>
      <c r="F20" t="s">
        <v>32</v>
      </c>
      <c r="G20">
        <v>2</v>
      </c>
    </row>
    <row r="21" spans="1:7" x14ac:dyDescent="0.25">
      <c r="A21" t="s">
        <v>83</v>
      </c>
      <c r="B21" t="s">
        <v>84</v>
      </c>
      <c r="C21">
        <v>33355</v>
      </c>
      <c r="D21" s="1">
        <v>37065.583333333336</v>
      </c>
      <c r="E21" t="s">
        <v>11</v>
      </c>
      <c r="F21" t="s">
        <v>32</v>
      </c>
      <c r="G21">
        <v>2</v>
      </c>
    </row>
    <row r="22" spans="1:7" x14ac:dyDescent="0.25">
      <c r="A22" t="s">
        <v>86</v>
      </c>
      <c r="B22" t="s">
        <v>87</v>
      </c>
      <c r="C22">
        <v>33352</v>
      </c>
      <c r="D22" s="1">
        <v>37065.583333333336</v>
      </c>
      <c r="E22" t="s">
        <v>41</v>
      </c>
      <c r="F22" t="s">
        <v>13</v>
      </c>
      <c r="G22">
        <v>1</v>
      </c>
    </row>
    <row r="23" spans="1:7" x14ac:dyDescent="0.25">
      <c r="A23" t="s">
        <v>91</v>
      </c>
      <c r="B23" t="s">
        <v>92</v>
      </c>
      <c r="C23">
        <v>33351</v>
      </c>
      <c r="D23" s="1">
        <v>37065.583333333336</v>
      </c>
      <c r="E23" t="s">
        <v>41</v>
      </c>
      <c r="F23" t="s">
        <v>13</v>
      </c>
      <c r="G23">
        <v>1</v>
      </c>
    </row>
    <row r="24" spans="1:7" x14ac:dyDescent="0.25">
      <c r="A24" t="s">
        <v>94</v>
      </c>
      <c r="B24" t="s">
        <v>95</v>
      </c>
      <c r="C24">
        <v>33350</v>
      </c>
      <c r="D24" s="1">
        <v>37065.583333333336</v>
      </c>
      <c r="E24" t="s">
        <v>41</v>
      </c>
      <c r="F24" t="s">
        <v>13</v>
      </c>
      <c r="G24">
        <v>1</v>
      </c>
    </row>
    <row r="25" spans="1:7" x14ac:dyDescent="0.25">
      <c r="A25" t="s">
        <v>99</v>
      </c>
      <c r="B25" t="s">
        <v>100</v>
      </c>
      <c r="C25">
        <v>33349</v>
      </c>
      <c r="D25" s="1">
        <v>37065.583333333336</v>
      </c>
      <c r="E25" t="s">
        <v>16</v>
      </c>
      <c r="F25" t="s">
        <v>104</v>
      </c>
      <c r="G25">
        <v>1</v>
      </c>
    </row>
    <row r="26" spans="1:7" x14ac:dyDescent="0.25">
      <c r="A26" t="s">
        <v>105</v>
      </c>
      <c r="B26" t="s">
        <v>106</v>
      </c>
      <c r="C26">
        <v>33348</v>
      </c>
      <c r="D26" s="1">
        <v>37065.583333333336</v>
      </c>
      <c r="E26" t="s">
        <v>11</v>
      </c>
      <c r="F26" t="s">
        <v>13</v>
      </c>
      <c r="G26">
        <v>2</v>
      </c>
    </row>
    <row r="27" spans="1:7" x14ac:dyDescent="0.25">
      <c r="A27" t="s">
        <v>110</v>
      </c>
      <c r="B27" t="s">
        <v>111</v>
      </c>
      <c r="C27">
        <v>33347</v>
      </c>
      <c r="D27" s="1">
        <v>37065.583333333336</v>
      </c>
      <c r="E27" t="s">
        <v>11</v>
      </c>
      <c r="F27" t="s">
        <v>13</v>
      </c>
      <c r="G27">
        <v>2</v>
      </c>
    </row>
    <row r="28" spans="1:7" x14ac:dyDescent="0.25">
      <c r="A28" t="s">
        <v>113</v>
      </c>
      <c r="B28" t="s">
        <v>114</v>
      </c>
      <c r="C28">
        <v>33346</v>
      </c>
      <c r="D28" s="1">
        <v>37065.583333333336</v>
      </c>
      <c r="E28" t="s">
        <v>11</v>
      </c>
      <c r="F28" t="s">
        <v>13</v>
      </c>
      <c r="G28">
        <v>2</v>
      </c>
    </row>
    <row r="29" spans="1:7" x14ac:dyDescent="0.25">
      <c r="A29" t="s">
        <v>116</v>
      </c>
      <c r="B29" t="s">
        <v>117</v>
      </c>
      <c r="C29">
        <v>33345</v>
      </c>
      <c r="D29" s="1">
        <v>37065.583333333336</v>
      </c>
      <c r="E29" t="s">
        <v>11</v>
      </c>
      <c r="F29" t="s">
        <v>13</v>
      </c>
      <c r="G29">
        <v>5</v>
      </c>
    </row>
    <row r="30" spans="1:7" x14ac:dyDescent="0.25">
      <c r="A30" t="s">
        <v>119</v>
      </c>
      <c r="B30" t="s">
        <v>120</v>
      </c>
      <c r="C30">
        <v>33343</v>
      </c>
      <c r="D30" s="1">
        <v>37065.583333333336</v>
      </c>
      <c r="E30" t="s">
        <v>11</v>
      </c>
      <c r="F30" t="s">
        <v>13</v>
      </c>
      <c r="G30">
        <v>5</v>
      </c>
    </row>
    <row r="31" spans="1:7" x14ac:dyDescent="0.25">
      <c r="A31" t="s">
        <v>124</v>
      </c>
      <c r="B31" t="s">
        <v>125</v>
      </c>
      <c r="C31">
        <v>33341</v>
      </c>
      <c r="D31" s="1">
        <v>37065.583333333336</v>
      </c>
      <c r="E31" t="s">
        <v>16</v>
      </c>
      <c r="F31" t="s">
        <v>104</v>
      </c>
      <c r="G31">
        <v>5</v>
      </c>
    </row>
    <row r="32" spans="1:7" x14ac:dyDescent="0.25">
      <c r="A32" t="s">
        <v>127</v>
      </c>
      <c r="B32" t="s">
        <v>128</v>
      </c>
      <c r="C32">
        <v>33340</v>
      </c>
      <c r="D32" s="1">
        <v>37065.583333333336</v>
      </c>
      <c r="E32" t="s">
        <v>16</v>
      </c>
      <c r="F32" t="s">
        <v>20</v>
      </c>
      <c r="G32">
        <v>5</v>
      </c>
    </row>
    <row r="33" spans="1:7" x14ac:dyDescent="0.25">
      <c r="A33" t="s">
        <v>132</v>
      </c>
      <c r="B33" t="s">
        <v>133</v>
      </c>
      <c r="C33">
        <v>33338</v>
      </c>
      <c r="D33" s="1">
        <v>37065.583333333336</v>
      </c>
      <c r="E33" t="s">
        <v>41</v>
      </c>
      <c r="F33" t="s">
        <v>13</v>
      </c>
      <c r="G33">
        <v>5</v>
      </c>
    </row>
    <row r="34" spans="1:7" x14ac:dyDescent="0.25">
      <c r="A34" t="s">
        <v>135</v>
      </c>
      <c r="B34" t="s">
        <v>136</v>
      </c>
      <c r="C34">
        <v>33337</v>
      </c>
      <c r="D34" s="1">
        <v>37065.583333333336</v>
      </c>
      <c r="E34" t="s">
        <v>16</v>
      </c>
      <c r="F34" t="s">
        <v>104</v>
      </c>
      <c r="G34">
        <v>5</v>
      </c>
    </row>
    <row r="35" spans="1:7" x14ac:dyDescent="0.25">
      <c r="A35" t="s">
        <v>138</v>
      </c>
      <c r="B35" t="s">
        <v>139</v>
      </c>
      <c r="C35">
        <v>33336</v>
      </c>
      <c r="D35" s="1">
        <v>37065.583333333336</v>
      </c>
      <c r="E35" t="s">
        <v>16</v>
      </c>
      <c r="F35" t="s">
        <v>13</v>
      </c>
      <c r="G35">
        <v>1</v>
      </c>
    </row>
    <row r="36" spans="1:7" x14ac:dyDescent="0.25">
      <c r="A36" t="s">
        <v>143</v>
      </c>
      <c r="B36" t="s">
        <v>144</v>
      </c>
      <c r="C36">
        <v>33335</v>
      </c>
      <c r="D36" s="1">
        <v>37065.583333333336</v>
      </c>
      <c r="E36" t="s">
        <v>11</v>
      </c>
      <c r="F36" t="s">
        <v>32</v>
      </c>
      <c r="G36">
        <v>1</v>
      </c>
    </row>
    <row r="37" spans="1:7" x14ac:dyDescent="0.25">
      <c r="A37" t="s">
        <v>146</v>
      </c>
      <c r="B37" t="s">
        <v>147</v>
      </c>
      <c r="C37">
        <v>33333</v>
      </c>
      <c r="D37" s="1">
        <v>37065.583333333336</v>
      </c>
      <c r="E37" t="s">
        <v>11</v>
      </c>
      <c r="F37" t="s">
        <v>13</v>
      </c>
      <c r="G37">
        <v>10</v>
      </c>
    </row>
    <row r="38" spans="1:7" x14ac:dyDescent="0.25">
      <c r="A38" t="s">
        <v>151</v>
      </c>
      <c r="B38" t="s">
        <v>152</v>
      </c>
      <c r="C38">
        <v>33331</v>
      </c>
      <c r="D38" s="1">
        <v>37065.583333333336</v>
      </c>
      <c r="E38" t="s">
        <v>16</v>
      </c>
      <c r="F38" t="s">
        <v>13</v>
      </c>
      <c r="G38">
        <v>2</v>
      </c>
    </row>
    <row r="39" spans="1:7" x14ac:dyDescent="0.25">
      <c r="A39" t="s">
        <v>154</v>
      </c>
      <c r="B39" t="s">
        <v>155</v>
      </c>
      <c r="C39">
        <v>33329</v>
      </c>
      <c r="D39" s="1">
        <v>37065.583333333336</v>
      </c>
      <c r="E39" t="s">
        <v>16</v>
      </c>
      <c r="F39" t="s">
        <v>104</v>
      </c>
      <c r="G39">
        <v>1</v>
      </c>
    </row>
    <row r="40" spans="1:7" x14ac:dyDescent="0.25">
      <c r="A40" t="s">
        <v>158</v>
      </c>
      <c r="B40" t="s">
        <v>159</v>
      </c>
      <c r="C40">
        <v>33328</v>
      </c>
      <c r="D40" s="1">
        <v>37065.583333333336</v>
      </c>
      <c r="E40" t="s">
        <v>16</v>
      </c>
      <c r="F40" t="s">
        <v>104</v>
      </c>
      <c r="G40">
        <v>3</v>
      </c>
    </row>
    <row r="41" spans="1:7" x14ac:dyDescent="0.25">
      <c r="A41" t="s">
        <v>161</v>
      </c>
      <c r="B41" t="s">
        <v>162</v>
      </c>
      <c r="C41">
        <v>33327</v>
      </c>
      <c r="D41" s="1">
        <v>37065.583333333336</v>
      </c>
      <c r="E41" t="s">
        <v>41</v>
      </c>
      <c r="F41" t="s">
        <v>32</v>
      </c>
      <c r="G41">
        <v>3</v>
      </c>
    </row>
    <row r="42" spans="1:7" x14ac:dyDescent="0.25">
      <c r="A42" t="s">
        <v>164</v>
      </c>
      <c r="B42" t="s">
        <v>165</v>
      </c>
      <c r="C42">
        <v>33326</v>
      </c>
      <c r="D42" s="1">
        <v>37065.583333333336</v>
      </c>
      <c r="E42" t="s">
        <v>41</v>
      </c>
      <c r="F42" t="s">
        <v>32</v>
      </c>
      <c r="G42" t="s">
        <v>11</v>
      </c>
    </row>
    <row r="43" spans="1:7" x14ac:dyDescent="0.25">
      <c r="A43" t="s">
        <v>167</v>
      </c>
      <c r="B43" t="s">
        <v>168</v>
      </c>
      <c r="C43">
        <v>33323</v>
      </c>
      <c r="D43" s="1">
        <v>37065.583333333336</v>
      </c>
      <c r="E43" t="s">
        <v>11</v>
      </c>
      <c r="F43" t="s">
        <v>13</v>
      </c>
    </row>
    <row r="44" spans="1:7" x14ac:dyDescent="0.25">
      <c r="A44" t="s">
        <v>170</v>
      </c>
      <c r="B44" t="s">
        <v>171</v>
      </c>
      <c r="C44">
        <v>33322</v>
      </c>
      <c r="D44" s="1">
        <v>37065.583333333336</v>
      </c>
      <c r="E44" t="s">
        <v>16</v>
      </c>
      <c r="F44" t="s">
        <v>104</v>
      </c>
      <c r="G44">
        <v>5</v>
      </c>
    </row>
    <row r="45" spans="1:7" x14ac:dyDescent="0.25">
      <c r="A45" t="s">
        <v>173</v>
      </c>
      <c r="B45" t="s">
        <v>174</v>
      </c>
      <c r="C45">
        <v>33317</v>
      </c>
      <c r="D45" s="1">
        <v>37065.583333333336</v>
      </c>
      <c r="E45" t="s">
        <v>16</v>
      </c>
      <c r="F45" t="s">
        <v>104</v>
      </c>
      <c r="G45">
        <v>8</v>
      </c>
    </row>
    <row r="46" spans="1:7" x14ac:dyDescent="0.25">
      <c r="A46" t="s">
        <v>176</v>
      </c>
      <c r="B46" t="s">
        <v>177</v>
      </c>
      <c r="C46">
        <v>33316</v>
      </c>
      <c r="D46" s="1">
        <v>37065.583333333336</v>
      </c>
      <c r="E46" t="s">
        <v>41</v>
      </c>
      <c r="F46" t="s">
        <v>13</v>
      </c>
      <c r="G46" t="s">
        <v>11</v>
      </c>
    </row>
    <row r="47" spans="1:7" x14ac:dyDescent="0.25">
      <c r="A47" t="s">
        <v>181</v>
      </c>
      <c r="B47" t="s">
        <v>182</v>
      </c>
      <c r="C47">
        <v>33315</v>
      </c>
      <c r="D47" s="1">
        <v>37065.583333333336</v>
      </c>
      <c r="E47" t="s">
        <v>16</v>
      </c>
      <c r="F47" t="s">
        <v>104</v>
      </c>
      <c r="G47">
        <v>13</v>
      </c>
    </row>
    <row r="48" spans="1:7" x14ac:dyDescent="0.25">
      <c r="A48" t="s">
        <v>184</v>
      </c>
      <c r="B48" t="s">
        <v>185</v>
      </c>
      <c r="C48">
        <v>33314</v>
      </c>
      <c r="D48" s="1">
        <v>37065.583333333336</v>
      </c>
      <c r="E48" t="s">
        <v>11</v>
      </c>
      <c r="F48" t="s">
        <v>32</v>
      </c>
      <c r="G48" t="s">
        <v>11</v>
      </c>
    </row>
    <row r="49" spans="1:7" x14ac:dyDescent="0.25">
      <c r="A49" t="s">
        <v>187</v>
      </c>
      <c r="B49" t="s">
        <v>188</v>
      </c>
      <c r="C49">
        <v>33313</v>
      </c>
      <c r="D49" s="1">
        <v>37065.583333333336</v>
      </c>
      <c r="E49" t="s">
        <v>11</v>
      </c>
      <c r="F49" t="s">
        <v>32</v>
      </c>
      <c r="G49" t="s">
        <v>11</v>
      </c>
    </row>
    <row r="50" spans="1:7" x14ac:dyDescent="0.25">
      <c r="A50" t="s">
        <v>190</v>
      </c>
      <c r="B50" t="s">
        <v>191</v>
      </c>
      <c r="C50">
        <v>33312</v>
      </c>
      <c r="D50" s="1">
        <v>37065.583333333336</v>
      </c>
      <c r="E50" t="s">
        <v>11</v>
      </c>
      <c r="F50" t="s">
        <v>104</v>
      </c>
      <c r="G50">
        <v>1</v>
      </c>
    </row>
    <row r="51" spans="1:7" x14ac:dyDescent="0.25">
      <c r="A51" t="s">
        <v>193</v>
      </c>
      <c r="B51" t="s">
        <v>194</v>
      </c>
      <c r="C51">
        <v>33310</v>
      </c>
      <c r="D51" s="1">
        <v>37065.583333333336</v>
      </c>
      <c r="E51" t="s">
        <v>41</v>
      </c>
      <c r="F51" t="s">
        <v>32</v>
      </c>
      <c r="G51">
        <v>3</v>
      </c>
    </row>
    <row r="52" spans="1:7" x14ac:dyDescent="0.25">
      <c r="A52" t="s">
        <v>196</v>
      </c>
      <c r="B52" t="s">
        <v>197</v>
      </c>
      <c r="C52">
        <v>33309</v>
      </c>
      <c r="D52" s="1">
        <v>37065.583333333336</v>
      </c>
      <c r="E52" t="s">
        <v>16</v>
      </c>
      <c r="F52" t="s">
        <v>20</v>
      </c>
      <c r="G52">
        <v>3</v>
      </c>
    </row>
    <row r="53" spans="1:7" x14ac:dyDescent="0.25">
      <c r="A53" t="s">
        <v>199</v>
      </c>
      <c r="B53" t="s">
        <v>200</v>
      </c>
      <c r="C53">
        <v>33308</v>
      </c>
      <c r="D53" s="1">
        <v>37065.583333333336</v>
      </c>
      <c r="E53" t="s">
        <v>11</v>
      </c>
      <c r="F53" t="s">
        <v>32</v>
      </c>
      <c r="G53">
        <v>1</v>
      </c>
    </row>
    <row r="54" spans="1:7" x14ac:dyDescent="0.25">
      <c r="A54" t="s">
        <v>202</v>
      </c>
      <c r="B54" t="s">
        <v>203</v>
      </c>
      <c r="C54">
        <v>33307</v>
      </c>
      <c r="D54" s="1">
        <v>37065.583333333336</v>
      </c>
      <c r="E54" t="s">
        <v>11</v>
      </c>
      <c r="F54" t="s">
        <v>32</v>
      </c>
      <c r="G54">
        <v>3</v>
      </c>
    </row>
    <row r="55" spans="1:7" x14ac:dyDescent="0.25">
      <c r="A55" t="s">
        <v>205</v>
      </c>
      <c r="B55" t="s">
        <v>206</v>
      </c>
      <c r="C55">
        <v>33305</v>
      </c>
      <c r="D55" s="1">
        <v>37065.583333333336</v>
      </c>
      <c r="E55" t="s">
        <v>16</v>
      </c>
      <c r="F55" t="s">
        <v>13</v>
      </c>
      <c r="G55">
        <v>3</v>
      </c>
    </row>
    <row r="56" spans="1:7" x14ac:dyDescent="0.25">
      <c r="A56" t="s">
        <v>208</v>
      </c>
      <c r="B56" t="s">
        <v>209</v>
      </c>
      <c r="C56">
        <v>33304</v>
      </c>
      <c r="D56" s="1">
        <v>37065.583333333336</v>
      </c>
      <c r="E56" t="s">
        <v>16</v>
      </c>
      <c r="F56" t="s">
        <v>20</v>
      </c>
      <c r="G56">
        <v>5</v>
      </c>
    </row>
    <row r="57" spans="1:7" x14ac:dyDescent="0.25">
      <c r="A57" t="s">
        <v>211</v>
      </c>
      <c r="B57" t="s">
        <v>212</v>
      </c>
      <c r="C57">
        <v>33302</v>
      </c>
      <c r="D57" s="1">
        <v>37065.583333333336</v>
      </c>
      <c r="E57" t="s">
        <v>16</v>
      </c>
      <c r="F57" t="s">
        <v>20</v>
      </c>
      <c r="G57">
        <v>13</v>
      </c>
    </row>
    <row r="58" spans="1:7" x14ac:dyDescent="0.25">
      <c r="A58" t="s">
        <v>214</v>
      </c>
      <c r="B58" t="s">
        <v>215</v>
      </c>
      <c r="C58">
        <v>33301</v>
      </c>
      <c r="D58" s="1">
        <v>37065.583333333336</v>
      </c>
      <c r="E58" t="s">
        <v>16</v>
      </c>
      <c r="F58" t="s">
        <v>20</v>
      </c>
      <c r="G58">
        <v>5</v>
      </c>
    </row>
    <row r="59" spans="1:7" x14ac:dyDescent="0.25">
      <c r="A59" t="s">
        <v>218</v>
      </c>
      <c r="B59" t="s">
        <v>217</v>
      </c>
      <c r="C59">
        <v>33300</v>
      </c>
      <c r="D59" s="1">
        <v>37065.583333333336</v>
      </c>
      <c r="E59" t="s">
        <v>16</v>
      </c>
      <c r="F59" t="s">
        <v>20</v>
      </c>
      <c r="G59">
        <v>13</v>
      </c>
    </row>
    <row r="60" spans="1:7" x14ac:dyDescent="0.25">
      <c r="A60" t="s">
        <v>220</v>
      </c>
      <c r="B60" t="s">
        <v>221</v>
      </c>
      <c r="C60">
        <v>33299</v>
      </c>
      <c r="D60" s="1">
        <v>37065.583333333336</v>
      </c>
      <c r="E60" t="s">
        <v>16</v>
      </c>
      <c r="F60" t="s">
        <v>20</v>
      </c>
      <c r="G60">
        <v>5</v>
      </c>
    </row>
    <row r="61" spans="1:7" x14ac:dyDescent="0.25">
      <c r="D61" s="1"/>
      <c r="G61">
        <f>SUM(FVVP_Backlog__Sprints___Jira4[Story Points])</f>
        <v>185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5676dd91-060c-4b71-810a-dbdca5582071" ContentTypeId="0x010100B16301FA1C2D5E4DB9305F31D037531D020703" PreviousValue="false"/>
</file>

<file path=customXml/item2.xml><?xml version="1.0" encoding="utf-8"?>
<ct:contentTypeSchema xmlns:ct="http://schemas.microsoft.com/office/2006/metadata/contentType" xmlns:ma="http://schemas.microsoft.com/office/2006/metadata/properties/metaAttributes" ct:_="" ma:_="" ma:contentTypeName="Client Project Document" ma:contentTypeID="0x010100B16301FA1C2D5E4DB9305F31D037531D02070300B4E123A7400DE24C83BA9D1BFCD12C10" ma:contentTypeVersion="3" ma:contentTypeDescription="A document associated with a project for a client." ma:contentTypeScope="" ma:versionID="7b0e0d2943322bf02f04f37f8f03e4a6">
  <xsd:schema xmlns:xsd="http://www.w3.org/2001/XMLSchema" xmlns:xs="http://www.w3.org/2001/XMLSchema" xmlns:p="http://schemas.microsoft.com/office/2006/metadata/properties" xmlns:ns2="1ffbd5dc-7a64-4097-8396-87f6c90b212f" targetNamespace="http://schemas.microsoft.com/office/2006/metadata/properties" ma:root="true" ma:fieldsID="70f92f2c0dd4bd1a529a0c1def385892" ns2:_="">
    <xsd:import namespace="1ffbd5dc-7a64-4097-8396-87f6c90b212f"/>
    <xsd:element name="properties">
      <xsd:complexType>
        <xsd:sequence>
          <xsd:element name="documentManagement">
            <xsd:complexType>
              <xsd:all>
                <xsd:element ref="ns2:TaxCatchAll" minOccurs="0"/>
                <xsd:element ref="ns2:TaxCatchAllLabel" minOccurs="0"/>
                <xsd:element ref="ns2:nae5750f31d8428b9a1182bd8e59d390" minOccurs="0"/>
                <xsd:element ref="ns2:ica44df5449d49f98766f83f0bd254a7" minOccurs="0"/>
                <xsd:element ref="ns2:f0dc22cb723843c1bfbb2e8bcc9db6e4" minOccurs="0"/>
                <xsd:element ref="ns2:k6ebf865df8440b3a55c1aa81c9bae7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fbd5dc-7a64-4097-8396-87f6c90b212f"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45250ea2-cfef-416b-9e22-46de40794d29}" ma:internalName="TaxCatchAll" ma:showField="CatchAllData"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45250ea2-cfef-416b-9e22-46de40794d29}" ma:internalName="TaxCatchAllLabel" ma:readOnly="true" ma:showField="CatchAllDataLabel" ma:web="025eec05-af72-44fb-9d53-267083c6e741">
      <xsd:complexType>
        <xsd:complexContent>
          <xsd:extension base="dms:MultiChoiceLookup">
            <xsd:sequence>
              <xsd:element name="Value" type="dms:Lookup" maxOccurs="unbounded" minOccurs="0" nillable="true"/>
            </xsd:sequence>
          </xsd:extension>
        </xsd:complexContent>
      </xsd:complexType>
    </xsd:element>
    <xsd:element name="nae5750f31d8428b9a1182bd8e59d390" ma:index="10" ma:taxonomy="true" ma:internalName="nae5750f31d8428b9a1182bd8e59d390" ma:taxonomyFieldName="Division" ma:displayName="Division" ma:readOnly="false" ma:default="1;#Custom Software|cecfb662-fc63-4c9e-b6e4-2e3797fe6f4f" ma:fieldId="{7ae5750f-31d8-428b-9a11-82bd8e59d390}" ma:sspId="5676dd91-060c-4b71-810a-dbdca5582071" ma:termSetId="32b39d25-b397-4982-8e8d-74d5df186044" ma:anchorId="00000000-0000-0000-0000-000000000000" ma:open="false" ma:isKeyword="false">
      <xsd:complexType>
        <xsd:sequence>
          <xsd:element ref="pc:Terms" minOccurs="0" maxOccurs="1"/>
        </xsd:sequence>
      </xsd:complexType>
    </xsd:element>
    <xsd:element name="ica44df5449d49f98766f83f0bd254a7" ma:index="12" ma:taxonomy="true" ma:internalName="ica44df5449d49f98766f83f0bd254a7" ma:taxonomyFieldName="Client" ma:displayName="Client" ma:default="6;#Grainger PLC|a74f1cb5-e995-4f9e-8521-6d52e2c6bf08" ma:fieldId="{2ca44df5-449d-49f9-8766-f83f0bd254a7}" ma:sspId="5676dd91-060c-4b71-810a-dbdca5582071" ma:termSetId="26f19758-7225-4257-8796-285d454d16a6" ma:anchorId="00000000-0000-0000-0000-000000000000" ma:open="false" ma:isKeyword="false">
      <xsd:complexType>
        <xsd:sequence>
          <xsd:element ref="pc:Terms" minOccurs="0" maxOccurs="1"/>
        </xsd:sequence>
      </xsd:complexType>
    </xsd:element>
    <xsd:element name="f0dc22cb723843c1bfbb2e8bcc9db6e4" ma:index="14" nillable="true" ma:taxonomy="true" ma:internalName="f0dc22cb723843c1bfbb2e8bcc9db6e4" ma:taxonomyFieldName="Client_x0020_Project" ma:displayName="Client Application" ma:default="" ma:fieldId="{f0dc22cb-7238-43c1-bfbb-2e8bcc9db6e4}" ma:sspId="5676dd91-060c-4b71-810a-dbdca5582071" ma:termSetId="503923a6-a4d2-4c0f-8ec0-fee4966b50a0" ma:anchorId="00000000-0000-0000-0000-000000000000" ma:open="false" ma:isKeyword="false">
      <xsd:complexType>
        <xsd:sequence>
          <xsd:element ref="pc:Terms" minOccurs="0" maxOccurs="1"/>
        </xsd:sequence>
      </xsd:complexType>
    </xsd:element>
    <xsd:element name="k6ebf865df8440b3a55c1aa81c9bae7c" ma:index="16" ma:taxonomy="true" ma:internalName="k6ebf865df8440b3a55c1aa81c9bae7c" ma:taxonomyFieldName="Project_x0020_Document_x0020_Type" ma:displayName="Project Document Type" ma:default="4;#Generic Project Document|258c2ed6-b93b-4ffe-8901-a23f2dc98ec9" ma:fieldId="{46ebf865-df84-40b3-a55c-1aa81c9bae7c}" ma:sspId="5676dd91-060c-4b71-810a-dbdca5582071" ma:termSetId="79e5d870-6e8b-4a88-8554-c2a1e06e1585" ma:anchorId="00000000-0000-0000-0000-000000000000" ma:open="fals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nae5750f31d8428b9a1182bd8e59d390 xmlns="1ffbd5dc-7a64-4097-8396-87f6c90b212f">
      <Terms xmlns="http://schemas.microsoft.com/office/infopath/2007/PartnerControls">
        <TermInfo xmlns="http://schemas.microsoft.com/office/infopath/2007/PartnerControls">
          <TermName xmlns="http://schemas.microsoft.com/office/infopath/2007/PartnerControls">Enterprise Solutions</TermName>
          <TermId xmlns="http://schemas.microsoft.com/office/infopath/2007/PartnerControls">08c57b01-67e8-4a4f-abc6-ffb3392ace7f</TermId>
        </TermInfo>
      </Terms>
    </nae5750f31d8428b9a1182bd8e59d390>
    <k6ebf865df8440b3a55c1aa81c9bae7c xmlns="1ffbd5dc-7a64-4097-8396-87f6c90b212f">
      <Terms xmlns="http://schemas.microsoft.com/office/infopath/2007/PartnerControls">
        <TermInfo xmlns="http://schemas.microsoft.com/office/infopath/2007/PartnerControls">
          <TermName xmlns="http://schemas.microsoft.com/office/infopath/2007/PartnerControls">General Information</TermName>
          <TermId xmlns="http://schemas.microsoft.com/office/infopath/2007/PartnerControls">daa73be0-193e-45ef-b7b0-ef595ceacf72</TermId>
        </TermInfo>
      </Terms>
    </k6ebf865df8440b3a55c1aa81c9bae7c>
    <f0dc22cb723843c1bfbb2e8bcc9db6e4 xmlns="1ffbd5dc-7a64-4097-8396-87f6c90b212f">
      <Terms xmlns="http://schemas.microsoft.com/office/infopath/2007/PartnerControls"/>
    </f0dc22cb723843c1bfbb2e8bcc9db6e4>
    <TaxCatchAll xmlns="1ffbd5dc-7a64-4097-8396-87f6c90b212f">
      <Value>6</Value>
      <Value>5</Value>
      <Value>11</Value>
    </TaxCatchAll>
    <ica44df5449d49f98766f83f0bd254a7 xmlns="1ffbd5dc-7a64-4097-8396-87f6c90b212f">
      <Terms xmlns="http://schemas.microsoft.com/office/infopath/2007/PartnerControls">
        <TermInfo xmlns="http://schemas.microsoft.com/office/infopath/2007/PartnerControls">
          <TermName xmlns="http://schemas.microsoft.com/office/infopath/2007/PartnerControls">Grainger PLC</TermName>
          <TermId xmlns="http://schemas.microsoft.com/office/infopath/2007/PartnerControls">a74f1cb5-e995-4f9e-8521-6d52e2c6bf08</TermId>
        </TermInfo>
      </Terms>
    </ica44df5449d49f98766f83f0bd254a7>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
</file>

<file path=customXml/itemProps1.xml><?xml version="1.0" encoding="utf-8"?>
<ds:datastoreItem xmlns:ds="http://schemas.openxmlformats.org/officeDocument/2006/customXml" ds:itemID="{E8E3B9DF-4B51-4E81-9DCF-50D5C438E636}">
  <ds:schemaRefs>
    <ds:schemaRef ds:uri="Microsoft.SharePoint.Taxonomy.ContentTypeSync"/>
  </ds:schemaRefs>
</ds:datastoreItem>
</file>

<file path=customXml/itemProps2.xml><?xml version="1.0" encoding="utf-8"?>
<ds:datastoreItem xmlns:ds="http://schemas.openxmlformats.org/officeDocument/2006/customXml" ds:itemID="{C0827DFF-0AE4-4361-88D8-3E130D4AA7A5}"/>
</file>

<file path=customXml/itemProps3.xml><?xml version="1.0" encoding="utf-8"?>
<ds:datastoreItem xmlns:ds="http://schemas.openxmlformats.org/officeDocument/2006/customXml" ds:itemID="{F2496BFA-BAEA-4DCB-AC8A-F592AF3112C6}">
  <ds:schemaRefs>
    <ds:schemaRef ds:uri="http://schemas.microsoft.com/office/2006/metadata/properties"/>
    <ds:schemaRef ds:uri="http://purl.org/dc/terms/"/>
    <ds:schemaRef ds:uri="http://purl.org/dc/dcmitype/"/>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1ffbd5dc-7a64-4097-8396-87f6c90b212f"/>
  </ds:schemaRefs>
</ds:datastoreItem>
</file>

<file path=customXml/itemProps4.xml><?xml version="1.0" encoding="utf-8"?>
<ds:datastoreItem xmlns:ds="http://schemas.openxmlformats.org/officeDocument/2006/customXml" ds:itemID="{FE683341-919C-4207-B9B4-837F7AA8A8F8}">
  <ds:schemaRefs>
    <ds:schemaRef ds:uri="http://schemas.microsoft.com/sharepoint/v3/contenttype/forms"/>
  </ds:schemaRefs>
</ds:datastoreItem>
</file>

<file path=customXml/itemProps5.xml><?xml version="1.0" encoding="utf-8"?>
<ds:datastoreItem xmlns:ds="http://schemas.openxmlformats.org/officeDocument/2006/customXml" ds:itemID="{86EBA658-8147-4165-96AC-B842AFA2EB3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FVVP Backlog (Sprints) (Jira)</vt:lpstr>
      <vt:lpstr>Client Facing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Shaun Barrett</dc:creator>
  <cp:lastModifiedBy>Shaun Barrett</cp:lastModifiedBy>
  <dcterms:created xsi:type="dcterms:W3CDTF">2023-09-14T15:37:37Z</dcterms:created>
  <dcterms:modified xsi:type="dcterms:W3CDTF">2023-09-20T14:17:22Z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0x010100B16301FA1C2D5E4DB9305F31D037531D02070300B4E123A7400DE24C83BA9D1BFCD12C10</vt:lpwstr>
  </property>
  <property fmtid="{D5CDD505-2E9C-101B-9397-08002B2CF9AE}" pid="3" name="Project Document Type">
    <vt:lpwstr>11;#General Information|daa73be0-193e-45ef-b7b0-ef595ceacf72</vt:lpwstr>
  </property>
  <property fmtid="{D5CDD505-2E9C-101B-9397-08002B2CF9AE}" pid="4" name="Division">
    <vt:lpwstr>5;#Enterprise Solutions|08c57b01-67e8-4a4f-abc6-ffb3392ace7f</vt:lpwstr>
  </property>
  <property fmtid="{D5CDD505-2E9C-101B-9397-08002B2CF9AE}" pid="5" name="Client">
    <vt:lpwstr>6;#Grainger PLC|a74f1cb5-e995-4f9e-8521-6d52e2c6bf08</vt:lpwstr>
  </property>
  <property fmtid="{D5CDD505-2E9C-101B-9397-08002B2CF9AE}" pid="6" name="Client Project">
    <vt:lpwstr/>
  </property>
</Properties>
</file>