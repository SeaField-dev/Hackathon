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Project Management/"/>
    </mc:Choice>
  </mc:AlternateContent>
  <xr:revisionPtr revIDLastSave="182" documentId="8_{D481DE81-42AF-4B29-A1BB-CBBBA5AC44B9}" xr6:coauthVersionLast="47" xr6:coauthVersionMax="47" xr10:uidLastSave="{B5BDACF6-AE9A-4A11-8B67-E95BA881DDC8}"/>
  <bookViews>
    <workbookView xWindow="28680" yWindow="-120" windowWidth="29040" windowHeight="15720" xr2:uid="{5D7162DA-9711-46CB-8921-656A38B54D02}"/>
  </bookViews>
  <sheets>
    <sheet name="Sheet1 (2)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D12" i="2"/>
  <c r="D11" i="2"/>
  <c r="D9" i="2"/>
  <c r="D4" i="2"/>
  <c r="D11" i="1"/>
  <c r="D12" i="1"/>
  <c r="D9" i="1"/>
  <c r="D4" i="1"/>
  <c r="D25" i="1"/>
  <c r="D29" i="2" l="1"/>
  <c r="D28" i="2"/>
  <c r="D28" i="1"/>
  <c r="D29" i="1"/>
</calcChain>
</file>

<file path=xl/sharedStrings.xml><?xml version="1.0" encoding="utf-8"?>
<sst xmlns="http://schemas.openxmlformats.org/spreadsheetml/2006/main" count="88" uniqueCount="40">
  <si>
    <t>Task</t>
  </si>
  <si>
    <t>People</t>
  </si>
  <si>
    <t>Hours</t>
  </si>
  <si>
    <t>No Billable Hours</t>
  </si>
  <si>
    <t>Notes</t>
  </si>
  <si>
    <t>Non-Billable</t>
  </si>
  <si>
    <t>Effort as at April 17</t>
  </si>
  <si>
    <t xml:space="preserve">Qube demo: </t>
  </si>
  <si>
    <t>Meeting</t>
  </si>
  <si>
    <t>Understand the void-related information in Qube &amp; what needs to remain vs what should be moved to a SF void process.</t>
  </si>
  <si>
    <t>Understand how Qube defines leases with a future SF Tenancy object in mind.</t>
  </si>
  <si>
    <t>Understand existing integration capabilities.</t>
  </si>
  <si>
    <t xml:space="preserve">Documents: </t>
  </si>
  <si>
    <t>Review where void-related documents should be saved &amp;, if not in SF, understand existing integration capabilities.</t>
  </si>
  <si>
    <t xml:space="preserve">SF: </t>
  </si>
  <si>
    <t xml:space="preserve">Deeper dive into the aspects of current functionality (unit data) that overlaps with void process &amp; possible changes required. </t>
  </si>
  <si>
    <t>General Feature Creation</t>
  </si>
  <si>
    <t>Update Process Flow - Future State</t>
  </si>
  <si>
    <t>Project Proposal</t>
  </si>
  <si>
    <t>Integration</t>
  </si>
  <si>
    <t>Data Sharing</t>
  </si>
  <si>
    <t>Doc Management</t>
  </si>
  <si>
    <t>Licensing</t>
  </si>
  <si>
    <t>Data Model</t>
  </si>
  <si>
    <t>Process Flow - Future State</t>
  </si>
  <si>
    <t>Feature Backlog</t>
  </si>
  <si>
    <t>Costs / Timelines</t>
  </si>
  <si>
    <t>Project Management</t>
  </si>
  <si>
    <t>Weekly PM Calls</t>
  </si>
  <si>
    <t>General - DevOps / Account access, PW management, Team management</t>
  </si>
  <si>
    <t>Remaining Effort</t>
  </si>
  <si>
    <t>Consultancy Duration in weeks</t>
  </si>
  <si>
    <t>Deliverables</t>
  </si>
  <si>
    <t>Sprints</t>
  </si>
  <si>
    <t>Review detailed process.</t>
  </si>
  <si>
    <t>Confirm process variations required (milestones &amp; dependencies for each): Standard refresh, unit sale, tenant is retained, refurbishment.</t>
  </si>
  <si>
    <t>Unpack milestone tasks &amp; documents required.</t>
  </si>
  <si>
    <t>Understand move out acknowledgement email/webforms requirements &amp; tenant inputs (DRI).</t>
  </si>
  <si>
    <t xml:space="preserve">Discuss milestone / task ownership requirements </t>
  </si>
  <si>
    <t>Review reporting / dashboard requirements, access levels, KPI/benchmarks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</si>
</sst>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indent="2"/>
    </xf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05A6-2211-4291-94A1-8D651CD8E8B8}">
  <dimension ref="B2:J45"/>
  <sheetViews>
    <sheetView tabSelected="1" workbookViewId="0">
      <selection activeCell="B7" sqref="B7"/>
    </sheetView>
  </sheetViews>
  <sheetFormatPr defaultRowHeight="15"/>
  <cols>
    <col min="2" max="2" width="131.28515625" bestFit="1" customWidth="1"/>
    <col min="3" max="3" width="7.85546875" customWidth="1"/>
    <col min="4" max="4" width="7" bestFit="1" customWidth="1"/>
    <col min="5" max="5" width="16.42578125" bestFit="1" customWidth="1"/>
    <col min="6" max="6" width="42.5703125" bestFit="1" customWidth="1"/>
    <col min="9" max="9" width="17.85546875" bestFit="1" customWidth="1"/>
    <col min="19" max="19" width="131.28515625" bestFit="1" customWidth="1"/>
  </cols>
  <sheetData>
    <row r="2" spans="2:10">
      <c r="B2" s="6" t="s">
        <v>0</v>
      </c>
      <c r="C2" s="6" t="s">
        <v>1</v>
      </c>
      <c r="D2" s="9" t="s">
        <v>2</v>
      </c>
      <c r="E2" s="9" t="s">
        <v>3</v>
      </c>
      <c r="F2" s="6" t="s">
        <v>4</v>
      </c>
      <c r="I2" s="12" t="s">
        <v>5</v>
      </c>
      <c r="J2" s="12"/>
    </row>
    <row r="3" spans="2:10">
      <c r="B3" t="s">
        <v>6</v>
      </c>
      <c r="D3">
        <v>51.25</v>
      </c>
      <c r="E3">
        <v>54.5</v>
      </c>
      <c r="I3" t="s">
        <v>6</v>
      </c>
      <c r="J3">
        <v>52.5</v>
      </c>
    </row>
    <row r="4" spans="2:10">
      <c r="B4" s="1" t="s">
        <v>7</v>
      </c>
      <c r="C4" s="7">
        <v>2</v>
      </c>
      <c r="D4">
        <f>1.5*C4</f>
        <v>3</v>
      </c>
      <c r="F4" t="s">
        <v>8</v>
      </c>
    </row>
    <row r="5" spans="2:10">
      <c r="B5" s="2" t="s">
        <v>9</v>
      </c>
      <c r="C5" s="7"/>
    </row>
    <row r="6" spans="2:10">
      <c r="B6" s="2" t="s">
        <v>10</v>
      </c>
      <c r="C6" s="7"/>
    </row>
    <row r="7" spans="2:10">
      <c r="B7" s="2" t="s">
        <v>11</v>
      </c>
      <c r="C7" s="7"/>
    </row>
    <row r="8" spans="2:10">
      <c r="B8" s="1" t="s">
        <v>12</v>
      </c>
      <c r="C8" s="7"/>
    </row>
    <row r="9" spans="2:10">
      <c r="B9" s="2" t="s">
        <v>13</v>
      </c>
      <c r="C9" s="7">
        <v>2</v>
      </c>
      <c r="D9">
        <f>0.5*C9</f>
        <v>1</v>
      </c>
      <c r="F9" t="s">
        <v>8</v>
      </c>
    </row>
    <row r="10" spans="2:10">
      <c r="B10" s="1" t="s">
        <v>14</v>
      </c>
      <c r="C10" s="7"/>
    </row>
    <row r="11" spans="2:10">
      <c r="B11" s="2" t="s">
        <v>15</v>
      </c>
      <c r="C11" s="7">
        <v>2</v>
      </c>
      <c r="D11">
        <f>1*C11</f>
        <v>2</v>
      </c>
      <c r="F11" t="s">
        <v>8</v>
      </c>
    </row>
    <row r="12" spans="2:10">
      <c r="B12" s="3" t="s">
        <v>16</v>
      </c>
      <c r="C12" s="7">
        <v>2</v>
      </c>
      <c r="D12">
        <f>8*C12</f>
        <v>16</v>
      </c>
    </row>
    <row r="13" spans="2:10">
      <c r="B13" s="3" t="s">
        <v>17</v>
      </c>
      <c r="C13" s="8"/>
      <c r="D13">
        <v>8</v>
      </c>
    </row>
    <row r="14" spans="2:10">
      <c r="B14" s="3" t="s">
        <v>18</v>
      </c>
      <c r="C14" s="8"/>
      <c r="D14">
        <v>57</v>
      </c>
    </row>
    <row r="15" spans="2:10">
      <c r="B15" s="2" t="s">
        <v>19</v>
      </c>
      <c r="C15" s="8"/>
    </row>
    <row r="16" spans="2:10">
      <c r="B16" s="2" t="s">
        <v>20</v>
      </c>
      <c r="C16" s="8"/>
    </row>
    <row r="17" spans="2:5">
      <c r="B17" s="2" t="s">
        <v>21</v>
      </c>
      <c r="C17" s="8"/>
    </row>
    <row r="18" spans="2:5">
      <c r="B18" s="2" t="s">
        <v>22</v>
      </c>
      <c r="C18" s="8"/>
    </row>
    <row r="19" spans="2:5">
      <c r="B19" s="2" t="s">
        <v>23</v>
      </c>
      <c r="C19" s="8"/>
    </row>
    <row r="20" spans="2:5">
      <c r="B20" s="2" t="s">
        <v>24</v>
      </c>
      <c r="C20" s="8"/>
    </row>
    <row r="21" spans="2:5">
      <c r="B21" s="2" t="s">
        <v>25</v>
      </c>
      <c r="C21" s="8">
        <v>0</v>
      </c>
    </row>
    <row r="22" spans="2:5">
      <c r="B22" s="2" t="s">
        <v>26</v>
      </c>
      <c r="C22" s="8"/>
    </row>
    <row r="23" spans="2:5">
      <c r="B23" s="2"/>
      <c r="C23" s="8"/>
    </row>
    <row r="24" spans="2:5">
      <c r="B24" s="3" t="s">
        <v>27</v>
      </c>
      <c r="C24" s="7"/>
    </row>
    <row r="25" spans="2:5">
      <c r="B25" s="4" t="s">
        <v>28</v>
      </c>
      <c r="C25" s="8"/>
      <c r="D25">
        <f>1*D30</f>
        <v>3</v>
      </c>
    </row>
    <row r="26" spans="2:5">
      <c r="B26" s="4" t="s">
        <v>29</v>
      </c>
      <c r="C26" s="8"/>
      <c r="D26">
        <v>6</v>
      </c>
    </row>
    <row r="27" spans="2:5">
      <c r="C27" s="8"/>
    </row>
    <row r="28" spans="2:5">
      <c r="D28" s="5">
        <f>SUM(D3:D27)</f>
        <v>147.25</v>
      </c>
      <c r="E28" s="11"/>
    </row>
    <row r="29" spans="2:5">
      <c r="B29" s="10" t="s">
        <v>30</v>
      </c>
      <c r="C29" s="10"/>
      <c r="D29" s="10">
        <f>SUM(D4:D27)</f>
        <v>96</v>
      </c>
      <c r="E29" s="10"/>
    </row>
    <row r="30" spans="2:5">
      <c r="B30" t="s">
        <v>31</v>
      </c>
      <c r="D30">
        <v>3</v>
      </c>
    </row>
    <row r="32" spans="2:5">
      <c r="B32" s="6" t="s">
        <v>32</v>
      </c>
    </row>
    <row r="33" spans="2:3">
      <c r="B33" t="s">
        <v>18</v>
      </c>
      <c r="C33" s="2"/>
    </row>
    <row r="34" spans="2:3">
      <c r="B34" s="2"/>
      <c r="C34" s="2"/>
    </row>
    <row r="35" spans="2:3">
      <c r="B35" s="2"/>
      <c r="C35" s="2"/>
    </row>
    <row r="36" spans="2:3">
      <c r="B36" s="2"/>
      <c r="C36" s="2"/>
    </row>
    <row r="38" spans="2:3">
      <c r="B38" s="2"/>
    </row>
    <row r="39" spans="2:3">
      <c r="B39" s="6" t="s">
        <v>33</v>
      </c>
    </row>
    <row r="40" spans="2:3">
      <c r="B40" s="1" t="s">
        <v>34</v>
      </c>
    </row>
    <row r="41" spans="2:3">
      <c r="B41" s="2" t="s">
        <v>35</v>
      </c>
    </row>
    <row r="42" spans="2:3">
      <c r="B42" s="2" t="s">
        <v>36</v>
      </c>
    </row>
    <row r="43" spans="2:3">
      <c r="B43" s="2" t="s">
        <v>37</v>
      </c>
    </row>
    <row r="44" spans="2:3">
      <c r="B44" s="2" t="s">
        <v>38</v>
      </c>
    </row>
    <row r="45" spans="2:3">
      <c r="B45" s="1" t="s">
        <v>39</v>
      </c>
    </row>
  </sheetData>
  <mergeCells count="1">
    <mergeCell ref="I2: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9E0F-4EE9-46B3-B3AB-BDFB66931283}">
  <dimension ref="B2:J45"/>
  <sheetViews>
    <sheetView workbookViewId="0">
      <selection activeCell="B7" sqref="B7"/>
    </sheetView>
  </sheetViews>
  <sheetFormatPr defaultRowHeight="15"/>
  <cols>
    <col min="2" max="2" width="131.28515625" bestFit="1" customWidth="1"/>
    <col min="3" max="3" width="7.85546875" customWidth="1"/>
    <col min="4" max="4" width="7" bestFit="1" customWidth="1"/>
    <col min="5" max="5" width="16.42578125" bestFit="1" customWidth="1"/>
    <col min="6" max="6" width="42.5703125" bestFit="1" customWidth="1"/>
    <col min="9" max="9" width="17.85546875" bestFit="1" customWidth="1"/>
    <col min="19" max="19" width="131.28515625" bestFit="1" customWidth="1"/>
  </cols>
  <sheetData>
    <row r="2" spans="2:10">
      <c r="B2" s="6" t="s">
        <v>0</v>
      </c>
      <c r="C2" s="6" t="s">
        <v>1</v>
      </c>
      <c r="D2" s="9" t="s">
        <v>2</v>
      </c>
      <c r="E2" s="9" t="s">
        <v>3</v>
      </c>
      <c r="F2" s="6" t="s">
        <v>4</v>
      </c>
      <c r="I2" s="12" t="s">
        <v>5</v>
      </c>
      <c r="J2" s="12"/>
    </row>
    <row r="3" spans="2:10">
      <c r="B3" t="s">
        <v>6</v>
      </c>
      <c r="D3">
        <v>51.25</v>
      </c>
      <c r="E3">
        <v>54.5</v>
      </c>
      <c r="I3" t="s">
        <v>6</v>
      </c>
      <c r="J3">
        <v>52.5</v>
      </c>
    </row>
    <row r="4" spans="2:10">
      <c r="B4" s="1" t="s">
        <v>7</v>
      </c>
      <c r="C4" s="7">
        <v>2</v>
      </c>
      <c r="D4">
        <f>1.5*C4</f>
        <v>3</v>
      </c>
      <c r="F4" t="s">
        <v>8</v>
      </c>
    </row>
    <row r="5" spans="2:10">
      <c r="B5" s="2" t="s">
        <v>9</v>
      </c>
      <c r="C5" s="7"/>
    </row>
    <row r="6" spans="2:10">
      <c r="B6" s="2" t="s">
        <v>10</v>
      </c>
      <c r="C6" s="7"/>
    </row>
    <row r="7" spans="2:10">
      <c r="B7" s="2" t="s">
        <v>11</v>
      </c>
      <c r="C7" s="7"/>
    </row>
    <row r="8" spans="2:10">
      <c r="B8" s="1" t="s">
        <v>12</v>
      </c>
      <c r="C8" s="7"/>
    </row>
    <row r="9" spans="2:10">
      <c r="B9" s="2" t="s">
        <v>13</v>
      </c>
      <c r="C9" s="7">
        <v>2</v>
      </c>
      <c r="D9">
        <f>0.5*C9</f>
        <v>1</v>
      </c>
      <c r="F9" t="s">
        <v>8</v>
      </c>
    </row>
    <row r="10" spans="2:10">
      <c r="B10" s="1" t="s">
        <v>14</v>
      </c>
      <c r="C10" s="7"/>
    </row>
    <row r="11" spans="2:10">
      <c r="B11" s="2" t="s">
        <v>15</v>
      </c>
      <c r="C11" s="7">
        <v>2</v>
      </c>
      <c r="D11">
        <f>1*C11</f>
        <v>2</v>
      </c>
      <c r="F11" t="s">
        <v>8</v>
      </c>
    </row>
    <row r="12" spans="2:10">
      <c r="B12" s="3" t="s">
        <v>16</v>
      </c>
      <c r="C12" s="7">
        <v>2</v>
      </c>
      <c r="D12">
        <f>8*C12</f>
        <v>16</v>
      </c>
    </row>
    <row r="13" spans="2:10">
      <c r="B13" s="3" t="s">
        <v>17</v>
      </c>
      <c r="C13" s="8"/>
      <c r="D13">
        <v>8</v>
      </c>
    </row>
    <row r="14" spans="2:10">
      <c r="B14" s="3" t="s">
        <v>18</v>
      </c>
      <c r="C14" s="8"/>
      <c r="D14">
        <v>57</v>
      </c>
    </row>
    <row r="15" spans="2:10">
      <c r="B15" s="2" t="s">
        <v>19</v>
      </c>
      <c r="C15" s="8"/>
    </row>
    <row r="16" spans="2:10">
      <c r="B16" s="2" t="s">
        <v>20</v>
      </c>
      <c r="C16" s="8"/>
    </row>
    <row r="17" spans="2:5">
      <c r="B17" s="2" t="s">
        <v>21</v>
      </c>
      <c r="C17" s="8"/>
    </row>
    <row r="18" spans="2:5">
      <c r="B18" s="2" t="s">
        <v>22</v>
      </c>
      <c r="C18" s="8"/>
    </row>
    <row r="19" spans="2:5">
      <c r="B19" s="2" t="s">
        <v>23</v>
      </c>
      <c r="C19" s="8"/>
    </row>
    <row r="20" spans="2:5">
      <c r="B20" s="2" t="s">
        <v>24</v>
      </c>
      <c r="C20" s="8"/>
    </row>
    <row r="21" spans="2:5">
      <c r="B21" s="2" t="s">
        <v>25</v>
      </c>
      <c r="C21" s="8">
        <v>0</v>
      </c>
    </row>
    <row r="22" spans="2:5">
      <c r="B22" s="2" t="s">
        <v>26</v>
      </c>
      <c r="C22" s="8"/>
    </row>
    <row r="23" spans="2:5">
      <c r="B23" s="2"/>
      <c r="C23" s="8"/>
    </row>
    <row r="24" spans="2:5">
      <c r="B24" s="3" t="s">
        <v>27</v>
      </c>
      <c r="C24" s="7"/>
    </row>
    <row r="25" spans="2:5">
      <c r="B25" s="4" t="s">
        <v>28</v>
      </c>
      <c r="C25" s="8"/>
      <c r="D25">
        <f>1*D30</f>
        <v>3</v>
      </c>
    </row>
    <row r="26" spans="2:5">
      <c r="B26" s="4" t="s">
        <v>29</v>
      </c>
      <c r="C26" s="8"/>
      <c r="D26">
        <v>6</v>
      </c>
    </row>
    <row r="27" spans="2:5">
      <c r="C27" s="8"/>
    </row>
    <row r="28" spans="2:5" ht="15.75" thickBot="1">
      <c r="D28" s="5">
        <f>SUM(D3:D27)</f>
        <v>147.25</v>
      </c>
      <c r="E28" s="11"/>
    </row>
    <row r="29" spans="2:5" ht="15.75" thickTop="1">
      <c r="B29" s="10" t="s">
        <v>30</v>
      </c>
      <c r="C29" s="10"/>
      <c r="D29" s="10">
        <f>SUM(D4:D27)</f>
        <v>96</v>
      </c>
      <c r="E29" s="10"/>
    </row>
    <row r="30" spans="2:5">
      <c r="B30" t="s">
        <v>31</v>
      </c>
      <c r="D30">
        <v>3</v>
      </c>
    </row>
    <row r="32" spans="2:5">
      <c r="B32" s="6" t="s">
        <v>32</v>
      </c>
    </row>
    <row r="33" spans="2:3">
      <c r="B33" t="s">
        <v>18</v>
      </c>
      <c r="C33" s="2"/>
    </row>
    <row r="34" spans="2:3">
      <c r="B34" s="2"/>
      <c r="C34" s="2"/>
    </row>
    <row r="35" spans="2:3">
      <c r="B35" s="2"/>
      <c r="C35" s="2"/>
    </row>
    <row r="36" spans="2:3">
      <c r="B36" s="2"/>
      <c r="C36" s="2"/>
    </row>
    <row r="38" spans="2:3">
      <c r="B38" s="2"/>
    </row>
    <row r="39" spans="2:3">
      <c r="B39" s="6" t="s">
        <v>33</v>
      </c>
    </row>
    <row r="40" spans="2:3">
      <c r="B40" s="1" t="s">
        <v>34</v>
      </c>
    </row>
    <row r="41" spans="2:3">
      <c r="B41" s="2" t="s">
        <v>35</v>
      </c>
    </row>
    <row r="42" spans="2:3">
      <c r="B42" s="2" t="s">
        <v>36</v>
      </c>
    </row>
    <row r="43" spans="2:3">
      <c r="B43" s="2" t="s">
        <v>37</v>
      </c>
    </row>
    <row r="44" spans="2:3">
      <c r="B44" s="2" t="s">
        <v>38</v>
      </c>
    </row>
    <row r="45" spans="2:3">
      <c r="B45" s="1" t="s">
        <v>39</v>
      </c>
    </row>
  </sheetData>
  <mergeCells count="1">
    <mergeCell ref="I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Salesforce</TermName>
          <TermId xmlns="http://schemas.microsoft.com/office/infopath/2007/PartnerControls">65ce3b0d-68ef-4d0b-ac56-177d5509cec4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Effort Estimate</TermName>
          <TermId xmlns="http://schemas.microsoft.com/office/infopath/2007/PartnerControls">40ca50c1-497e-4eef-8a70-c1b27f9c6f8d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13</Value>
      <Value>17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B8157528-8C5C-4A78-80B0-3EFC243FC612}"/>
</file>

<file path=customXml/itemProps2.xml><?xml version="1.0" encoding="utf-8"?>
<ds:datastoreItem xmlns:ds="http://schemas.openxmlformats.org/officeDocument/2006/customXml" ds:itemID="{874EB015-BEB8-485C-83BA-7FDF792DC020}"/>
</file>

<file path=customXml/itemProps3.xml><?xml version="1.0" encoding="utf-8"?>
<ds:datastoreItem xmlns:ds="http://schemas.openxmlformats.org/officeDocument/2006/customXml" ds:itemID="{731FABCA-9BA3-49DA-9F18-386AB6773F3C}"/>
</file>

<file path=customXml/itemProps4.xml><?xml version="1.0" encoding="utf-8"?>
<ds:datastoreItem xmlns:ds="http://schemas.openxmlformats.org/officeDocument/2006/customXml" ds:itemID="{C4C9DCCC-8FF7-4037-851B-66FA2EB4A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Sam Duncan</cp:lastModifiedBy>
  <cp:revision/>
  <dcterms:created xsi:type="dcterms:W3CDTF">2023-04-14T13:45:27Z</dcterms:created>
  <dcterms:modified xsi:type="dcterms:W3CDTF">2023-04-24T10:40:44Z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17;#Effort Estimate|40ca50c1-497e-4eef-8a70-c1b27f9c6f8d</vt:lpwstr>
  </property>
  <property fmtid="{D5CDD505-2E9C-101B-9397-08002B2CF9AE}" pid="4" name="Client Project">
    <vt:lpwstr/>
  </property>
  <property fmtid="{D5CDD505-2E9C-101B-9397-08002B2CF9AE}" pid="5" name="Division">
    <vt:lpwstr>13;#Salesforce|65ce3b0d-68ef-4d0b-ac56-177d5509cec4</vt:lpwstr>
  </property>
  <property fmtid="{D5CDD505-2E9C-101B-9397-08002B2CF9AE}" pid="6" name="Client">
    <vt:lpwstr>6;#Grainger PLC|a74f1cb5-e995-4f9e-8521-6d52e2c6bf08</vt:lpwstr>
  </property>
  <property fmtid="{D5CDD505-2E9C-101B-9397-08002B2CF9AE}" pid="7" name="MediaServiceImageTags">
    <vt:lpwstr/>
  </property>
  <property fmtid="{D5CDD505-2E9C-101B-9397-08002B2CF9AE}" pid="8" name="Project_x0020_Document_x0020_Type">
    <vt:lpwstr>17;#Effort Estimate|40ca50c1-497e-4eef-8a70-c1b27f9c6f8d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