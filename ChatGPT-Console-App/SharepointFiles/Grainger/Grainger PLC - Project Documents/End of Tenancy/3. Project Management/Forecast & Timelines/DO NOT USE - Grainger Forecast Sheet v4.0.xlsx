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barrett\Desktop\"/>
    </mc:Choice>
  </mc:AlternateContent>
  <xr:revisionPtr revIDLastSave="0" documentId="13_ncr:1_{E0C30CD1-4C78-4A75-B35D-E4B7B337D8E6}" xr6:coauthVersionLast="47" xr6:coauthVersionMax="47" xr10:uidLastSave="{00000000-0000-0000-0000-000000000000}"/>
  <bookViews>
    <workbookView xWindow="-120" yWindow="-120" windowWidth="29040" windowHeight="15720" xr2:uid="{82DBA3FB-BAAE-4513-8EBD-08C2C1522918}"/>
  </bookViews>
  <sheets>
    <sheet name="BI Forecasting" sheetId="2" r:id="rId1"/>
    <sheet name="BI Burnup " sheetId="3" r:id="rId2"/>
    <sheet name="Sheet2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0" i="2" l="1"/>
  <c r="F9" i="2"/>
  <c r="H4" i="2"/>
  <c r="H8" i="2" s="1"/>
  <c r="G4" i="2"/>
  <c r="G9" i="2" s="1"/>
  <c r="F4" i="2"/>
  <c r="F8" i="2" s="1"/>
  <c r="G8" i="2"/>
  <c r="G10" i="2"/>
  <c r="F6" i="2" l="1"/>
  <c r="G6" i="2" s="1"/>
  <c r="H6" i="2" s="1"/>
  <c r="I6" i="2" s="1"/>
  <c r="J6" i="2" s="1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AC6" i="2" s="1"/>
  <c r="AD6" i="2" s="1"/>
  <c r="AE6" i="2" s="1"/>
  <c r="AF6" i="2" s="1"/>
  <c r="AG6" i="2" s="1"/>
  <c r="AH6" i="2" s="1"/>
  <c r="AI6" i="2" s="1"/>
  <c r="AJ6" i="2" s="1"/>
  <c r="AK6" i="2" s="1"/>
  <c r="AL6" i="2" s="1"/>
  <c r="AM6" i="2" s="1"/>
  <c r="AN6" i="2" s="1"/>
  <c r="AO6" i="2" s="1"/>
  <c r="AP6" i="2" s="1"/>
  <c r="AQ6" i="2" s="1"/>
  <c r="AR6" i="2" s="1"/>
  <c r="AS6" i="2" s="1"/>
  <c r="AT6" i="2" s="1"/>
  <c r="AU6" i="2" s="1"/>
  <c r="AV6" i="2" s="1"/>
  <c r="AW6" i="2" s="1"/>
  <c r="AX6" i="2" s="1"/>
  <c r="AY6" i="2" s="1"/>
  <c r="AZ6" i="2" s="1"/>
  <c r="BA6" i="2" s="1"/>
  <c r="BB6" i="2" s="1"/>
  <c r="BC6" i="2" s="1"/>
  <c r="F5" i="2" l="1"/>
  <c r="G5" i="2" s="1"/>
  <c r="H5" i="2" s="1"/>
  <c r="I5" i="2" s="1"/>
  <c r="J5" i="2" s="1"/>
  <c r="K5" i="2" s="1"/>
  <c r="J14" i="2"/>
  <c r="G14" i="2" l="1"/>
  <c r="H14" i="2"/>
  <c r="I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F14" i="2"/>
  <c r="F16" i="2" s="1"/>
  <c r="AT4" i="2"/>
  <c r="AU4" i="2"/>
  <c r="AV4" i="2"/>
  <c r="AW4" i="2"/>
  <c r="AX4" i="2"/>
  <c r="AY4" i="2"/>
  <c r="AZ4" i="2"/>
  <c r="BA4" i="2"/>
  <c r="BB4" i="2"/>
  <c r="BC4" i="2"/>
  <c r="D25" i="2"/>
  <c r="I4" i="2" l="1"/>
  <c r="D27" i="2"/>
  <c r="G16" i="2" s="1"/>
  <c r="H16" i="2" s="1"/>
  <c r="I16" i="2" s="1"/>
  <c r="J16" i="2" s="1"/>
  <c r="K16" i="2" s="1"/>
  <c r="L16" i="2" s="1"/>
  <c r="M16" i="2" s="1"/>
  <c r="N16" i="2" s="1"/>
  <c r="O16" i="2" s="1"/>
  <c r="P16" i="2" s="1"/>
  <c r="Q16" i="2" s="1"/>
  <c r="R16" i="2" s="1"/>
  <c r="S16" i="2" s="1"/>
  <c r="T16" i="2" s="1"/>
  <c r="U16" i="2" s="1"/>
  <c r="V16" i="2" s="1"/>
  <c r="W16" i="2" s="1"/>
  <c r="X16" i="2" s="1"/>
  <c r="Y16" i="2" s="1"/>
  <c r="Z16" i="2" s="1"/>
  <c r="AA16" i="2" s="1"/>
  <c r="AB16" i="2" s="1"/>
  <c r="AC16" i="2" s="1"/>
  <c r="AD16" i="2" s="1"/>
  <c r="AE16" i="2" s="1"/>
  <c r="AF16" i="2" s="1"/>
  <c r="AG16" i="2" s="1"/>
  <c r="AH16" i="2" s="1"/>
  <c r="AI16" i="2" s="1"/>
  <c r="AJ16" i="2" s="1"/>
  <c r="AK16" i="2" s="1"/>
  <c r="AL16" i="2" s="1"/>
  <c r="AM16" i="2" s="1"/>
  <c r="AN16" i="2" s="1"/>
  <c r="AO16" i="2" s="1"/>
  <c r="AP16" i="2" s="1"/>
  <c r="AQ16" i="2" s="1"/>
  <c r="AR16" i="2" s="1"/>
  <c r="AS16" i="2" s="1"/>
  <c r="AT16" i="2" s="1"/>
  <c r="AU16" i="2" s="1"/>
  <c r="AV16" i="2" s="1"/>
  <c r="AW16" i="2" s="1"/>
  <c r="AX16" i="2" s="1"/>
  <c r="AY16" i="2" s="1"/>
  <c r="AZ16" i="2" s="1"/>
  <c r="BA16" i="2" s="1"/>
  <c r="BB16" i="2" s="1"/>
  <c r="BC16" i="2" s="1"/>
  <c r="AN4" i="2"/>
  <c r="AO4" i="2"/>
  <c r="AP4" i="2"/>
  <c r="AQ4" i="2"/>
  <c r="AR4" i="2"/>
  <c r="AS4" i="2"/>
  <c r="H10" i="2"/>
  <c r="AH4" i="2"/>
  <c r="AI4" i="2"/>
  <c r="AJ4" i="2"/>
  <c r="AK4" i="2"/>
  <c r="AL4" i="2"/>
  <c r="AM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I10" i="2" l="1"/>
  <c r="J10" i="2" s="1"/>
  <c r="K10" i="2" s="1"/>
  <c r="L10" i="2" s="1"/>
  <c r="M10" i="2" s="1"/>
  <c r="N10" i="2" s="1"/>
  <c r="O10" i="2" s="1"/>
  <c r="P10" i="2" s="1"/>
  <c r="Q10" i="2" s="1"/>
  <c r="R10" i="2" s="1"/>
  <c r="S10" i="2" s="1"/>
  <c r="T10" i="2" s="1"/>
  <c r="U10" i="2" s="1"/>
  <c r="V10" i="2" s="1"/>
  <c r="W10" i="2" s="1"/>
  <c r="X10" i="2" s="1"/>
  <c r="Y10" i="2" s="1"/>
  <c r="Z10" i="2" s="1"/>
  <c r="AA10" i="2" s="1"/>
  <c r="AB10" i="2" s="1"/>
  <c r="AC10" i="2" s="1"/>
  <c r="AD10" i="2" s="1"/>
  <c r="AE10" i="2" s="1"/>
  <c r="AF10" i="2" s="1"/>
  <c r="AG10" i="2" s="1"/>
  <c r="AH10" i="2" s="1"/>
  <c r="AI10" i="2" s="1"/>
  <c r="AJ10" i="2" s="1"/>
  <c r="AK10" i="2" s="1"/>
  <c r="AL10" i="2" s="1"/>
  <c r="AM10" i="2" s="1"/>
  <c r="AN10" i="2" s="1"/>
  <c r="AO10" i="2" s="1"/>
  <c r="AP10" i="2" s="1"/>
  <c r="AQ10" i="2" s="1"/>
  <c r="AR10" i="2" s="1"/>
  <c r="AS10" i="2" s="1"/>
  <c r="AT10" i="2" s="1"/>
  <c r="AU10" i="2" s="1"/>
  <c r="AV10" i="2" s="1"/>
  <c r="AW10" i="2" s="1"/>
  <c r="AX10" i="2" s="1"/>
  <c r="AY10" i="2" s="1"/>
  <c r="AZ10" i="2" s="1"/>
  <c r="BA10" i="2" s="1"/>
  <c r="BB10" i="2" s="1"/>
  <c r="BC10" i="2" s="1"/>
  <c r="I8" i="2"/>
  <c r="H9" i="2"/>
  <c r="I9" i="2" s="1"/>
  <c r="J9" i="2" s="1"/>
  <c r="L5" i="2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AF5" i="2" s="1"/>
  <c r="AG5" i="2" s="1"/>
  <c r="AH5" i="2" s="1"/>
  <c r="AI5" i="2" s="1"/>
  <c r="AJ5" i="2" s="1"/>
  <c r="AK5" i="2" s="1"/>
  <c r="AL5" i="2" s="1"/>
  <c r="AM5" i="2" s="1"/>
  <c r="AN5" i="2" s="1"/>
  <c r="AO5" i="2" s="1"/>
  <c r="AP5" i="2" s="1"/>
  <c r="AQ5" i="2" s="1"/>
  <c r="AR5" i="2" s="1"/>
  <c r="AS5" i="2" s="1"/>
  <c r="AT5" i="2" s="1"/>
  <c r="AU5" i="2" s="1"/>
  <c r="AV5" i="2" s="1"/>
  <c r="AW5" i="2" s="1"/>
  <c r="AX5" i="2" s="1"/>
  <c r="AY5" i="2" s="1"/>
  <c r="AZ5" i="2" s="1"/>
  <c r="BA5" i="2" s="1"/>
  <c r="BB5" i="2" s="1"/>
  <c r="BC5" i="2" s="1"/>
  <c r="K9" i="2" l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W9" i="2" s="1"/>
  <c r="AX9" i="2" s="1"/>
  <c r="AY9" i="2" s="1"/>
  <c r="AZ9" i="2" s="1"/>
  <c r="BA9" i="2" s="1"/>
  <c r="BB9" i="2" s="1"/>
  <c r="BC9" i="2" s="1"/>
  <c r="J8" i="2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AG8" i="2" s="1"/>
  <c r="AH8" i="2" s="1"/>
  <c r="AI8" i="2" s="1"/>
  <c r="AJ8" i="2" s="1"/>
  <c r="AK8" i="2" s="1"/>
  <c r="AL8" i="2" s="1"/>
  <c r="AM8" i="2" s="1"/>
  <c r="AN8" i="2" s="1"/>
  <c r="AO8" i="2" s="1"/>
  <c r="AP8" i="2" s="1"/>
  <c r="AQ8" i="2" s="1"/>
  <c r="AR8" i="2" s="1"/>
  <c r="AS8" i="2" s="1"/>
  <c r="AT8" i="2" s="1"/>
  <c r="AU8" i="2" s="1"/>
  <c r="AV8" i="2" s="1"/>
  <c r="AW8" i="2" s="1"/>
  <c r="AX8" i="2" s="1"/>
  <c r="AY8" i="2" s="1"/>
  <c r="AZ8" i="2" s="1"/>
  <c r="BA8" i="2" s="1"/>
  <c r="BB8" i="2" s="1"/>
  <c r="BC8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EAEC71-99D6-45F0-B5F6-7CA824947569}" keepAlive="1" name="Query - Reporting Backlog Items" description="Connection to the 'Reporting Backlog Items' query in the workbook." type="5" refreshedVersion="7" background="1" saveData="1">
    <dbPr connection="Provider=Microsoft.Mashup.OleDb.1;Data Source=$Workbook$;Location=&quot;Reporting Backlog Items&quot;;Extended Properties=&quot;&quot;" command="SELECT * FROM [Reporting Backlog Items]"/>
  </connection>
</connections>
</file>

<file path=xl/sharedStrings.xml><?xml version="1.0" encoding="utf-8"?>
<sst xmlns="http://schemas.openxmlformats.org/spreadsheetml/2006/main" count="73" uniqueCount="73">
  <si>
    <t>Sprint 1</t>
  </si>
  <si>
    <t>Sprint 3</t>
  </si>
  <si>
    <t>Sprint 4</t>
  </si>
  <si>
    <t>Sprint 5</t>
  </si>
  <si>
    <t>Sprint 6</t>
  </si>
  <si>
    <t>Sprint 7</t>
  </si>
  <si>
    <t>Sprint 8</t>
  </si>
  <si>
    <t>Sprint 9</t>
  </si>
  <si>
    <t>Sprint 10</t>
  </si>
  <si>
    <t>Sprint 11</t>
  </si>
  <si>
    <t>Sprint 12</t>
  </si>
  <si>
    <t>Sprint 13</t>
  </si>
  <si>
    <t>Sprint 14</t>
  </si>
  <si>
    <t>Sprint 15</t>
  </si>
  <si>
    <t>Sprint 16</t>
  </si>
  <si>
    <t>Sprint 17</t>
  </si>
  <si>
    <t>Sprint 18</t>
  </si>
  <si>
    <t>Sprint 19</t>
  </si>
  <si>
    <t>Sprint 20</t>
  </si>
  <si>
    <t>Sprint 21</t>
  </si>
  <si>
    <t>Sprint 22</t>
  </si>
  <si>
    <t>Sprint 23</t>
  </si>
  <si>
    <t>Sprint 24</t>
  </si>
  <si>
    <t>Sprint 25</t>
  </si>
  <si>
    <t>Sprint 26</t>
  </si>
  <si>
    <t>Sprint 27</t>
  </si>
  <si>
    <t>Sprint 28</t>
  </si>
  <si>
    <t>Sprint 29</t>
  </si>
  <si>
    <t>Sprint 30</t>
  </si>
  <si>
    <t>Sprint 31</t>
  </si>
  <si>
    <t>Sprint 32</t>
  </si>
  <si>
    <t>Sprint 33</t>
  </si>
  <si>
    <t>Sprint 34</t>
  </si>
  <si>
    <t>Sprint 35</t>
  </si>
  <si>
    <t>Sprint 36</t>
  </si>
  <si>
    <t>Sprint 37</t>
  </si>
  <si>
    <t>Sprint 38</t>
  </si>
  <si>
    <t>Sprint 39</t>
  </si>
  <si>
    <t>Sprint 40</t>
  </si>
  <si>
    <t>Sprint 41</t>
  </si>
  <si>
    <t>Sprint 42</t>
  </si>
  <si>
    <t>Sprint 43</t>
  </si>
  <si>
    <t>Sprint 44</t>
  </si>
  <si>
    <t>Sprint 45</t>
  </si>
  <si>
    <t>Sprint 46</t>
  </si>
  <si>
    <t>Sprint 47</t>
  </si>
  <si>
    <t>Sprint 48</t>
  </si>
  <si>
    <t>Sprint 49</t>
  </si>
  <si>
    <t>Sprint 50</t>
  </si>
  <si>
    <t>Scheduling</t>
  </si>
  <si>
    <t>Velocity</t>
  </si>
  <si>
    <t xml:space="preserve">Total Velocity Done </t>
  </si>
  <si>
    <t>Total Backlog Size</t>
  </si>
  <si>
    <t>Optimistic Forecast</t>
  </si>
  <si>
    <t>Likely Forecast</t>
  </si>
  <si>
    <t>Pessimistic Forecast</t>
  </si>
  <si>
    <t>Costing</t>
  </si>
  <si>
    <t>Team Sprint Cost (Actual)</t>
  </si>
  <si>
    <t>Cumulative Team Cost (Actual)</t>
  </si>
  <si>
    <t>Cumulative Team Cost (Forecast)</t>
  </si>
  <si>
    <t>Team Metrics</t>
  </si>
  <si>
    <t>Optimistic Velocity ( Best Velocity in last 3 sprints)</t>
  </si>
  <si>
    <t>Likely Velocity (Avg Velocity over last 3 sprints)</t>
  </si>
  <si>
    <t>Pessimistic Velocity (Worst Velocity in last 3 sprints)</t>
  </si>
  <si>
    <t>Team Costing</t>
  </si>
  <si>
    <t>Hourly Rate</t>
  </si>
  <si>
    <t>Allocation</t>
  </si>
  <si>
    <t>Cost Per Sprint</t>
  </si>
  <si>
    <t>PM/BI Consultant</t>
  </si>
  <si>
    <t>Total</t>
  </si>
  <si>
    <t>Sprint 2</t>
  </si>
  <si>
    <t>Sprint 51</t>
  </si>
  <si>
    <t>Release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</si>
</sst>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9" fontId="0" fillId="0" borderId="0" xfId="0" applyNumberFormat="1" applyAlignment="1">
      <alignment wrapText="1"/>
    </xf>
    <xf numFmtId="0" fontId="0" fillId="0" borderId="1" xfId="0" applyBorder="1" applyAlignment="1">
      <alignment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4719213096073032E-2"/>
          <c:y val="2.1348788567415962E-2"/>
          <c:w val="0.96380553348262643"/>
          <c:h val="0.91117110260924428"/>
        </c:manualLayout>
      </c:layout>
      <c:lineChart>
        <c:grouping val="standard"/>
        <c:varyColors val="0"/>
        <c:ser>
          <c:idx val="1"/>
          <c:order val="0"/>
          <c:tx>
            <c:v>Total Backlog Size</c:v>
          </c:tx>
          <c:marker>
            <c:symbol val="none"/>
          </c:marker>
          <c:cat>
            <c:strRef>
              <c:f>'BI Forecasting'!$E$1:$T$1</c:f>
              <c:strCache>
                <c:ptCount val="16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  <c:pt idx="8">
                  <c:v>Sprint 9</c:v>
                </c:pt>
                <c:pt idx="9">
                  <c:v>Sprint 10</c:v>
                </c:pt>
                <c:pt idx="10">
                  <c:v>Sprint 11</c:v>
                </c:pt>
                <c:pt idx="11">
                  <c:v>Sprint 12</c:v>
                </c:pt>
                <c:pt idx="12">
                  <c:v>Sprint 13</c:v>
                </c:pt>
                <c:pt idx="13">
                  <c:v>Sprint 14</c:v>
                </c:pt>
                <c:pt idx="14">
                  <c:v>Sprint 15</c:v>
                </c:pt>
                <c:pt idx="15">
                  <c:v>Sprint 16</c:v>
                </c:pt>
              </c:strCache>
            </c:strRef>
          </c:cat>
          <c:val>
            <c:numRef>
              <c:f>'BI Forecasting'!$E$6:$T$6</c:f>
              <c:numCache>
                <c:formatCode>General</c:formatCode>
                <c:ptCount val="16"/>
                <c:pt idx="0">
                  <c:v>806</c:v>
                </c:pt>
                <c:pt idx="1">
                  <c:v>806</c:v>
                </c:pt>
                <c:pt idx="2">
                  <c:v>806</c:v>
                </c:pt>
                <c:pt idx="3">
                  <c:v>806</c:v>
                </c:pt>
                <c:pt idx="4">
                  <c:v>806</c:v>
                </c:pt>
                <c:pt idx="5">
                  <c:v>806</c:v>
                </c:pt>
                <c:pt idx="6">
                  <c:v>806</c:v>
                </c:pt>
                <c:pt idx="7">
                  <c:v>806</c:v>
                </c:pt>
                <c:pt idx="8">
                  <c:v>806</c:v>
                </c:pt>
                <c:pt idx="9">
                  <c:v>806</c:v>
                </c:pt>
                <c:pt idx="10">
                  <c:v>806</c:v>
                </c:pt>
                <c:pt idx="11">
                  <c:v>806</c:v>
                </c:pt>
                <c:pt idx="12">
                  <c:v>806</c:v>
                </c:pt>
                <c:pt idx="13">
                  <c:v>806</c:v>
                </c:pt>
                <c:pt idx="14">
                  <c:v>806</c:v>
                </c:pt>
                <c:pt idx="15">
                  <c:v>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96-9F4D-B22D-DC38B4A3775B}"/>
            </c:ext>
          </c:extLst>
        </c:ser>
        <c:ser>
          <c:idx val="0"/>
          <c:order val="1"/>
          <c:tx>
            <c:strRef>
              <c:f>'BI Forecasting'!$B$5</c:f>
              <c:strCache>
                <c:ptCount val="1"/>
                <c:pt idx="0">
                  <c:v>Release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'BI Forecasting'!$E$1:$T$1</c:f>
              <c:strCache>
                <c:ptCount val="16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  <c:pt idx="8">
                  <c:v>Sprint 9</c:v>
                </c:pt>
                <c:pt idx="9">
                  <c:v>Sprint 10</c:v>
                </c:pt>
                <c:pt idx="10">
                  <c:v>Sprint 11</c:v>
                </c:pt>
                <c:pt idx="11">
                  <c:v>Sprint 12</c:v>
                </c:pt>
                <c:pt idx="12">
                  <c:v>Sprint 13</c:v>
                </c:pt>
                <c:pt idx="13">
                  <c:v>Sprint 14</c:v>
                </c:pt>
                <c:pt idx="14">
                  <c:v>Sprint 15</c:v>
                </c:pt>
                <c:pt idx="15">
                  <c:v>Sprint 16</c:v>
                </c:pt>
              </c:strCache>
            </c:strRef>
          </c:cat>
          <c:val>
            <c:numRef>
              <c:f>'BI Forecasting'!$E$5:$T$5</c:f>
              <c:numCache>
                <c:formatCode>General</c:formatCode>
                <c:ptCount val="16"/>
                <c:pt idx="0">
                  <c:v>252</c:v>
                </c:pt>
                <c:pt idx="1">
                  <c:v>252</c:v>
                </c:pt>
                <c:pt idx="2">
                  <c:v>252</c:v>
                </c:pt>
                <c:pt idx="3">
                  <c:v>252</c:v>
                </c:pt>
                <c:pt idx="4">
                  <c:v>252</c:v>
                </c:pt>
                <c:pt idx="5">
                  <c:v>252</c:v>
                </c:pt>
                <c:pt idx="6">
                  <c:v>252</c:v>
                </c:pt>
                <c:pt idx="7">
                  <c:v>252</c:v>
                </c:pt>
                <c:pt idx="8">
                  <c:v>252</c:v>
                </c:pt>
                <c:pt idx="9">
                  <c:v>252</c:v>
                </c:pt>
                <c:pt idx="10">
                  <c:v>252</c:v>
                </c:pt>
                <c:pt idx="11">
                  <c:v>252</c:v>
                </c:pt>
                <c:pt idx="12">
                  <c:v>252</c:v>
                </c:pt>
                <c:pt idx="13">
                  <c:v>252</c:v>
                </c:pt>
                <c:pt idx="14">
                  <c:v>252</c:v>
                </c:pt>
                <c:pt idx="15">
                  <c:v>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9C-4C93-9AED-AC7BA0509009}"/>
            </c:ext>
          </c:extLst>
        </c:ser>
        <c:ser>
          <c:idx val="6"/>
          <c:order val="2"/>
          <c:tx>
            <c:strRef>
              <c:f>'BI Forecasting'!$B$9</c:f>
              <c:strCache>
                <c:ptCount val="1"/>
                <c:pt idx="0">
                  <c:v>Likely Forecast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'BI Forecasting'!$E$1:$T$1</c:f>
              <c:strCache>
                <c:ptCount val="16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  <c:pt idx="8">
                  <c:v>Sprint 9</c:v>
                </c:pt>
                <c:pt idx="9">
                  <c:v>Sprint 10</c:v>
                </c:pt>
                <c:pt idx="10">
                  <c:v>Sprint 11</c:v>
                </c:pt>
                <c:pt idx="11">
                  <c:v>Sprint 12</c:v>
                </c:pt>
                <c:pt idx="12">
                  <c:v>Sprint 13</c:v>
                </c:pt>
                <c:pt idx="13">
                  <c:v>Sprint 14</c:v>
                </c:pt>
                <c:pt idx="14">
                  <c:v>Sprint 15</c:v>
                </c:pt>
                <c:pt idx="15">
                  <c:v>Sprint 16</c:v>
                </c:pt>
              </c:strCache>
            </c:strRef>
          </c:cat>
          <c:val>
            <c:numRef>
              <c:f>'BI Forecasting'!$E$9:$T$9</c:f>
              <c:numCache>
                <c:formatCode>General</c:formatCode>
                <c:ptCount val="16"/>
                <c:pt idx="0">
                  <c:v>0</c:v>
                </c:pt>
                <c:pt idx="1">
                  <c:v>136</c:v>
                </c:pt>
                <c:pt idx="2">
                  <c:v>207</c:v>
                </c:pt>
                <c:pt idx="3">
                  <c:v>252</c:v>
                </c:pt>
                <c:pt idx="4">
                  <c:v>315</c:v>
                </c:pt>
                <c:pt idx="5">
                  <c:v>378</c:v>
                </c:pt>
                <c:pt idx="6">
                  <c:v>441</c:v>
                </c:pt>
                <c:pt idx="7">
                  <c:v>504</c:v>
                </c:pt>
                <c:pt idx="8">
                  <c:v>567</c:v>
                </c:pt>
                <c:pt idx="9">
                  <c:v>630</c:v>
                </c:pt>
                <c:pt idx="10">
                  <c:v>693</c:v>
                </c:pt>
                <c:pt idx="11">
                  <c:v>756</c:v>
                </c:pt>
                <c:pt idx="12">
                  <c:v>819</c:v>
                </c:pt>
                <c:pt idx="13">
                  <c:v>882</c:v>
                </c:pt>
                <c:pt idx="14">
                  <c:v>945</c:v>
                </c:pt>
                <c:pt idx="15">
                  <c:v>1008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B9C-4C93-9AED-AC7BA0509009}"/>
            </c:ext>
          </c:extLst>
        </c:ser>
        <c:ser>
          <c:idx val="7"/>
          <c:order val="3"/>
          <c:tx>
            <c:strRef>
              <c:f>'BI Forecasting'!$B$8</c:f>
              <c:strCache>
                <c:ptCount val="1"/>
                <c:pt idx="0">
                  <c:v>Optimistic Forecast</c:v>
                </c:pt>
              </c:strCache>
            </c:strRef>
          </c:tx>
          <c:spPr>
            <a:ln>
              <a:solidFill>
                <a:schemeClr val="accent6"/>
              </a:solidFill>
              <a:prstDash val="sysDash"/>
            </a:ln>
          </c:spPr>
          <c:marker>
            <c:symbol val="none"/>
          </c:marker>
          <c:cat>
            <c:strRef>
              <c:f>'BI Forecasting'!$E$1:$T$1</c:f>
              <c:strCache>
                <c:ptCount val="16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  <c:pt idx="8">
                  <c:v>Sprint 9</c:v>
                </c:pt>
                <c:pt idx="9">
                  <c:v>Sprint 10</c:v>
                </c:pt>
                <c:pt idx="10">
                  <c:v>Sprint 11</c:v>
                </c:pt>
                <c:pt idx="11">
                  <c:v>Sprint 12</c:v>
                </c:pt>
                <c:pt idx="12">
                  <c:v>Sprint 13</c:v>
                </c:pt>
                <c:pt idx="13">
                  <c:v>Sprint 14</c:v>
                </c:pt>
                <c:pt idx="14">
                  <c:v>Sprint 15</c:v>
                </c:pt>
                <c:pt idx="15">
                  <c:v>Sprint 16</c:v>
                </c:pt>
              </c:strCache>
            </c:strRef>
          </c:cat>
          <c:val>
            <c:numRef>
              <c:f>'BI Forecasting'!$E$8:$T$8</c:f>
              <c:numCache>
                <c:formatCode>General</c:formatCode>
                <c:ptCount val="16"/>
                <c:pt idx="0">
                  <c:v>0</c:v>
                </c:pt>
                <c:pt idx="1">
                  <c:v>136</c:v>
                </c:pt>
                <c:pt idx="2">
                  <c:v>207</c:v>
                </c:pt>
                <c:pt idx="3">
                  <c:v>252</c:v>
                </c:pt>
                <c:pt idx="4">
                  <c:v>322</c:v>
                </c:pt>
                <c:pt idx="5">
                  <c:v>392</c:v>
                </c:pt>
                <c:pt idx="6">
                  <c:v>462</c:v>
                </c:pt>
                <c:pt idx="7">
                  <c:v>532</c:v>
                </c:pt>
                <c:pt idx="8">
                  <c:v>602</c:v>
                </c:pt>
                <c:pt idx="9">
                  <c:v>672</c:v>
                </c:pt>
                <c:pt idx="10">
                  <c:v>742</c:v>
                </c:pt>
                <c:pt idx="11">
                  <c:v>812</c:v>
                </c:pt>
                <c:pt idx="12">
                  <c:v>882</c:v>
                </c:pt>
                <c:pt idx="13">
                  <c:v>952</c:v>
                </c:pt>
                <c:pt idx="14">
                  <c:v>1022</c:v>
                </c:pt>
                <c:pt idx="15">
                  <c:v>1092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B9C-4C93-9AED-AC7BA0509009}"/>
            </c:ext>
          </c:extLst>
        </c:ser>
        <c:ser>
          <c:idx val="8"/>
          <c:order val="4"/>
          <c:tx>
            <c:strRef>
              <c:f>'BI Forecasting'!$B$10</c:f>
              <c:strCache>
                <c:ptCount val="1"/>
                <c:pt idx="0">
                  <c:v>Pessimistic Forecast</c:v>
                </c:pt>
              </c:strCache>
            </c:strRef>
          </c:tx>
          <c:spPr>
            <a:ln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strRef>
              <c:f>'BI Forecasting'!$E$1:$T$1</c:f>
              <c:strCache>
                <c:ptCount val="16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  <c:pt idx="8">
                  <c:v>Sprint 9</c:v>
                </c:pt>
                <c:pt idx="9">
                  <c:v>Sprint 10</c:v>
                </c:pt>
                <c:pt idx="10">
                  <c:v>Sprint 11</c:v>
                </c:pt>
                <c:pt idx="11">
                  <c:v>Sprint 12</c:v>
                </c:pt>
                <c:pt idx="12">
                  <c:v>Sprint 13</c:v>
                </c:pt>
                <c:pt idx="13">
                  <c:v>Sprint 14</c:v>
                </c:pt>
                <c:pt idx="14">
                  <c:v>Sprint 15</c:v>
                </c:pt>
                <c:pt idx="15">
                  <c:v>Sprint 16</c:v>
                </c:pt>
              </c:strCache>
            </c:strRef>
          </c:cat>
          <c:val>
            <c:numRef>
              <c:f>'BI Forecasting'!$E$10:$T$10</c:f>
              <c:numCache>
                <c:formatCode>General</c:formatCode>
                <c:ptCount val="16"/>
                <c:pt idx="0">
                  <c:v>0</c:v>
                </c:pt>
                <c:pt idx="1">
                  <c:v>136</c:v>
                </c:pt>
                <c:pt idx="2">
                  <c:v>207</c:v>
                </c:pt>
                <c:pt idx="3">
                  <c:v>252</c:v>
                </c:pt>
                <c:pt idx="4">
                  <c:v>312</c:v>
                </c:pt>
                <c:pt idx="5">
                  <c:v>372</c:v>
                </c:pt>
                <c:pt idx="6">
                  <c:v>432</c:v>
                </c:pt>
                <c:pt idx="7">
                  <c:v>492</c:v>
                </c:pt>
                <c:pt idx="8">
                  <c:v>552</c:v>
                </c:pt>
                <c:pt idx="9">
                  <c:v>612</c:v>
                </c:pt>
                <c:pt idx="10">
                  <c:v>672</c:v>
                </c:pt>
                <c:pt idx="11">
                  <c:v>732</c:v>
                </c:pt>
                <c:pt idx="12">
                  <c:v>792</c:v>
                </c:pt>
                <c:pt idx="13">
                  <c:v>852</c:v>
                </c:pt>
                <c:pt idx="14">
                  <c:v>912</c:v>
                </c:pt>
                <c:pt idx="15">
                  <c:v>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B9C-4C93-9AED-AC7BA0509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8162160"/>
        <c:axId val="1198162992"/>
      </c:lineChart>
      <c:catAx>
        <c:axId val="119816216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162992"/>
        <c:crosses val="autoZero"/>
        <c:auto val="1"/>
        <c:lblAlgn val="ctr"/>
        <c:lblOffset val="100"/>
        <c:noMultiLvlLbl val="0"/>
      </c:catAx>
      <c:valAx>
        <c:axId val="11981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16216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019165440379878"/>
          <c:y val="0.5046997045331103"/>
          <c:w val="0.14960141329596702"/>
          <c:h val="0.197562370505081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95249</xdr:colOff>
      <xdr:row>0</xdr:row>
      <xdr:rowOff>114300</xdr:rowOff>
    </xdr:from>
    <xdr:to>
      <xdr:col>14</xdr:col>
      <xdr:colOff>0</xdr:colOff>
      <xdr:row>28</xdr:row>
      <xdr:rowOff>85725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F243A69-66CB-F2CC-7DFC-C845B2328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0.22954</cdr:x>
      <cdr:y>0.74229</cdr:y>
    </cdr:from>
    <cdr:to>
      <cdr:x>0.23067</cdr:x>
      <cdr:y>0.93275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18748E7C-8901-4143-B498-2ED99C44012B}"/>
            </a:ext>
          </a:extLst>
        </cdr:cNvPr>
        <cdr:cNvCxnSpPr/>
      </cdr:nvCxnSpPr>
      <cdr:spPr>
        <a:xfrm xmlns:a="http://schemas.openxmlformats.org/drawingml/2006/main">
          <a:off x="1870365" y="3938155"/>
          <a:ext cx="9186" cy="1010491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accent5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0.23486</cdr:x>
      <cdr:y>0.74229</cdr:y>
    </cdr:from>
    <cdr:to>
      <cdr:x>0.23762</cdr:x>
      <cdr:y>0.93559</cdr:y>
    </cdr:to>
    <cdr:cxnSp macro="">
      <cdr:nvCxnSpPr>
        <cdr:cNvPr id="12" name="Straight Connector 11">
          <a:extLst xmlns:a="http://schemas.openxmlformats.org/drawingml/2006/main">
            <a:ext uri="{FF2B5EF4-FFF2-40B4-BE49-F238E27FC236}">
              <a16:creationId xmlns:a16="http://schemas.microsoft.com/office/drawing/2014/main" id="{1250AF6A-E28D-4154-9987-66E25F1395BD}"/>
            </a:ext>
          </a:extLst>
        </cdr:cNvPr>
        <cdr:cNvCxnSpPr/>
      </cdr:nvCxnSpPr>
      <cdr:spPr>
        <a:xfrm xmlns:a="http://schemas.openxmlformats.org/drawingml/2006/main">
          <a:off x="1913660" y="3938154"/>
          <a:ext cx="22502" cy="1025567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accent2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0.2221</cdr:x>
      <cdr:y>0.74229</cdr:y>
    </cdr:from>
    <cdr:to>
      <cdr:x>0.22291</cdr:x>
      <cdr:y>0.92963</cdr:y>
    </cdr:to>
    <cdr:cxnSp macro="">
      <cdr:nvCxnSpPr>
        <cdr:cNvPr id="13" name="Straight Connector 12">
          <a:extLst xmlns:a="http://schemas.openxmlformats.org/drawingml/2006/main">
            <a:ext uri="{FF2B5EF4-FFF2-40B4-BE49-F238E27FC236}">
              <a16:creationId xmlns:a16="http://schemas.microsoft.com/office/drawing/2014/main" id="{FDF20E0A-0D77-4C5D-9DFC-FBE32E5728CB}"/>
            </a:ext>
          </a:extLst>
        </cdr:cNvPr>
        <cdr:cNvCxnSpPr/>
      </cdr:nvCxnSpPr>
      <cdr:spPr>
        <a:xfrm xmlns:a="http://schemas.openxmlformats.org/drawingml/2006/main">
          <a:off x="1809751" y="3938155"/>
          <a:ext cx="6567" cy="993938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accent6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6177-A4DD-4543-8DEC-552B5EC861AC}">
  <dimension ref="A1:BC32"/>
  <sheetViews>
    <sheetView tabSelected="1" workbookViewId="0">
      <pane xSplit="4" topLeftCell="E1" activePane="topRight" state="frozen"/>
      <selection pane="topRight" activeCell="I25" sqref="I25"/>
    </sheetView>
  </sheetViews>
  <sheetFormatPr defaultColWidth="8.85546875" defaultRowHeight="15" x14ac:dyDescent="0.25"/>
  <cols>
    <col min="1" max="1" width="26.28515625" style="1" customWidth="1"/>
    <col min="2" max="2" width="31.7109375" style="1" customWidth="1"/>
    <col min="3" max="4" width="12.85546875" style="1" customWidth="1"/>
    <col min="5" max="5" width="9.42578125" customWidth="1"/>
  </cols>
  <sheetData>
    <row r="1" spans="2:55" x14ac:dyDescent="0.25">
      <c r="E1" t="s">
        <v>0</v>
      </c>
      <c r="F1" t="s">
        <v>70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71</v>
      </c>
    </row>
    <row r="2" spans="2:55" x14ac:dyDescent="0.25">
      <c r="B2" s="2" t="s">
        <v>49</v>
      </c>
      <c r="C2" s="2"/>
      <c r="D2" s="2"/>
    </row>
    <row r="3" spans="2:55" x14ac:dyDescent="0.25">
      <c r="B3" s="1" t="s">
        <v>50</v>
      </c>
    </row>
    <row r="4" spans="2:55" x14ac:dyDescent="0.25">
      <c r="B4" s="1" t="s">
        <v>51</v>
      </c>
      <c r="E4">
        <v>61</v>
      </c>
      <c r="F4">
        <f>E4+75</f>
        <v>136</v>
      </c>
      <c r="G4">
        <f>F4+71</f>
        <v>207</v>
      </c>
      <c r="H4">
        <f>G4+45</f>
        <v>252</v>
      </c>
      <c r="I4" t="e">
        <f t="shared" ref="I4" si="0">IF(COUNTBLANK(I3),NA(),I3+H4)</f>
        <v>#N/A</v>
      </c>
      <c r="J4" t="e">
        <f t="shared" ref="J4:AG4" si="1">IF(COUNTBLANK(J3),NA(),J3+I4)</f>
        <v>#N/A</v>
      </c>
      <c r="K4" t="e">
        <f t="shared" si="1"/>
        <v>#N/A</v>
      </c>
      <c r="L4" t="e">
        <f t="shared" si="1"/>
        <v>#N/A</v>
      </c>
      <c r="M4" t="e">
        <f t="shared" si="1"/>
        <v>#N/A</v>
      </c>
      <c r="N4" t="e">
        <f t="shared" si="1"/>
        <v>#N/A</v>
      </c>
      <c r="O4" t="e">
        <f t="shared" si="1"/>
        <v>#N/A</v>
      </c>
      <c r="P4" t="e">
        <f t="shared" si="1"/>
        <v>#N/A</v>
      </c>
      <c r="Q4" t="e">
        <f t="shared" si="1"/>
        <v>#N/A</v>
      </c>
      <c r="R4" t="e">
        <f t="shared" si="1"/>
        <v>#N/A</v>
      </c>
      <c r="S4" t="e">
        <f t="shared" si="1"/>
        <v>#N/A</v>
      </c>
      <c r="T4" t="e">
        <f t="shared" si="1"/>
        <v>#N/A</v>
      </c>
      <c r="U4" t="e">
        <f t="shared" si="1"/>
        <v>#N/A</v>
      </c>
      <c r="V4" t="e">
        <f t="shared" si="1"/>
        <v>#N/A</v>
      </c>
      <c r="W4" t="e">
        <f t="shared" si="1"/>
        <v>#N/A</v>
      </c>
      <c r="X4" t="e">
        <f t="shared" si="1"/>
        <v>#N/A</v>
      </c>
      <c r="Y4" t="e">
        <f t="shared" si="1"/>
        <v>#N/A</v>
      </c>
      <c r="Z4" t="e">
        <f t="shared" si="1"/>
        <v>#N/A</v>
      </c>
      <c r="AA4" t="e">
        <f t="shared" si="1"/>
        <v>#N/A</v>
      </c>
      <c r="AB4" t="e">
        <f t="shared" si="1"/>
        <v>#N/A</v>
      </c>
      <c r="AC4" t="e">
        <f t="shared" si="1"/>
        <v>#N/A</v>
      </c>
      <c r="AD4" t="e">
        <f t="shared" si="1"/>
        <v>#N/A</v>
      </c>
      <c r="AE4" t="e">
        <f t="shared" si="1"/>
        <v>#N/A</v>
      </c>
      <c r="AF4" t="e">
        <f t="shared" si="1"/>
        <v>#N/A</v>
      </c>
      <c r="AG4" t="e">
        <f t="shared" si="1"/>
        <v>#N/A</v>
      </c>
      <c r="AH4" t="e">
        <f t="shared" ref="AH4" si="2">IF(COUNTBLANK(AH3),NA(),AH3+AG4)</f>
        <v>#N/A</v>
      </c>
      <c r="AI4" t="e">
        <f t="shared" ref="AI4" si="3">IF(COUNTBLANK(AI3),NA(),AI3+AH4)</f>
        <v>#N/A</v>
      </c>
      <c r="AJ4" t="e">
        <f t="shared" ref="AJ4" si="4">IF(COUNTBLANK(AJ3),NA(),AJ3+AI4)</f>
        <v>#N/A</v>
      </c>
      <c r="AK4" t="e">
        <f t="shared" ref="AK4" si="5">IF(COUNTBLANK(AK3),NA(),AK3+AJ4)</f>
        <v>#N/A</v>
      </c>
      <c r="AL4" t="e">
        <f t="shared" ref="AL4" si="6">IF(COUNTBLANK(AL3),NA(),AL3+AK4)</f>
        <v>#N/A</v>
      </c>
      <c r="AM4" t="e">
        <f t="shared" ref="AM4" si="7">IF(COUNTBLANK(AM3),NA(),AM3+AL4)</f>
        <v>#N/A</v>
      </c>
      <c r="AN4" t="e">
        <f t="shared" ref="AN4" si="8">IF(COUNTBLANK(AN3),NA(),AN3+AM4)</f>
        <v>#N/A</v>
      </c>
      <c r="AO4" t="e">
        <f t="shared" ref="AO4" si="9">IF(COUNTBLANK(AO3),NA(),AO3+AN4)</f>
        <v>#N/A</v>
      </c>
      <c r="AP4" t="e">
        <f t="shared" ref="AP4" si="10">IF(COUNTBLANK(AP3),NA(),AP3+AO4)</f>
        <v>#N/A</v>
      </c>
      <c r="AQ4" t="e">
        <f t="shared" ref="AQ4" si="11">IF(COUNTBLANK(AQ3),NA(),AQ3+AP4)</f>
        <v>#N/A</v>
      </c>
      <c r="AR4" t="e">
        <f t="shared" ref="AR4" si="12">IF(COUNTBLANK(AR3),NA(),AR3+AQ4)</f>
        <v>#N/A</v>
      </c>
      <c r="AS4" t="e">
        <f t="shared" ref="AS4" si="13">IF(COUNTBLANK(AS3),NA(),AS3+AR4)</f>
        <v>#N/A</v>
      </c>
      <c r="AT4" t="e">
        <f t="shared" ref="AT4" si="14">IF(COUNTBLANK(AT3),NA(),AT3+AS4)</f>
        <v>#N/A</v>
      </c>
      <c r="AU4" t="e">
        <f t="shared" ref="AU4" si="15">IF(COUNTBLANK(AU3),NA(),AU3+AT4)</f>
        <v>#N/A</v>
      </c>
      <c r="AV4" t="e">
        <f t="shared" ref="AV4" si="16">IF(COUNTBLANK(AV3),NA(),AV3+AU4)</f>
        <v>#N/A</v>
      </c>
      <c r="AW4" t="e">
        <f t="shared" ref="AW4" si="17">IF(COUNTBLANK(AW3),NA(),AW3+AV4)</f>
        <v>#N/A</v>
      </c>
      <c r="AX4" t="e">
        <f t="shared" ref="AX4" si="18">IF(COUNTBLANK(AX3),NA(),AX3+AW4)</f>
        <v>#N/A</v>
      </c>
      <c r="AY4" t="e">
        <f t="shared" ref="AY4" si="19">IF(COUNTBLANK(AY3),NA(),AY3+AX4)</f>
        <v>#N/A</v>
      </c>
      <c r="AZ4" t="e">
        <f t="shared" ref="AZ4" si="20">IF(COUNTBLANK(AZ3),NA(),AZ3+AY4)</f>
        <v>#N/A</v>
      </c>
      <c r="BA4" t="e">
        <f t="shared" ref="BA4" si="21">IF(COUNTBLANK(BA3),NA(),BA3+AZ4)</f>
        <v>#N/A</v>
      </c>
      <c r="BB4" t="e">
        <f t="shared" ref="BB4" si="22">IF(COUNTBLANK(BB3),NA(),BB3+BA4)</f>
        <v>#N/A</v>
      </c>
      <c r="BC4" t="e">
        <f t="shared" ref="BC4" si="23">IF(COUNTBLANK(BC3),NA(),BC3+BB4)</f>
        <v>#N/A</v>
      </c>
    </row>
    <row r="5" spans="2:55" x14ac:dyDescent="0.25">
      <c r="B5" s="1" t="s">
        <v>72</v>
      </c>
      <c r="E5">
        <v>252</v>
      </c>
      <c r="F5">
        <f t="shared" ref="F5:F6" si="24">E5</f>
        <v>252</v>
      </c>
      <c r="G5">
        <f t="shared" ref="G5:G6" si="25">F5</f>
        <v>252</v>
      </c>
      <c r="H5">
        <f t="shared" ref="H5:H6" si="26">G5</f>
        <v>252</v>
      </c>
      <c r="I5">
        <f t="shared" ref="I5:I6" si="27">H5</f>
        <v>252</v>
      </c>
      <c r="J5">
        <f t="shared" ref="J5:J6" si="28">I5</f>
        <v>252</v>
      </c>
      <c r="K5">
        <f t="shared" ref="K5:K6" si="29">J5</f>
        <v>252</v>
      </c>
      <c r="L5">
        <f t="shared" ref="L5:AD6" si="30">K5</f>
        <v>252</v>
      </c>
      <c r="M5">
        <f t="shared" si="30"/>
        <v>252</v>
      </c>
      <c r="N5">
        <f t="shared" si="30"/>
        <v>252</v>
      </c>
      <c r="O5">
        <f t="shared" si="30"/>
        <v>252</v>
      </c>
      <c r="P5">
        <f t="shared" si="30"/>
        <v>252</v>
      </c>
      <c r="Q5">
        <f t="shared" si="30"/>
        <v>252</v>
      </c>
      <c r="R5">
        <f t="shared" si="30"/>
        <v>252</v>
      </c>
      <c r="S5">
        <f t="shared" si="30"/>
        <v>252</v>
      </c>
      <c r="T5">
        <f t="shared" si="30"/>
        <v>252</v>
      </c>
      <c r="U5">
        <f t="shared" si="30"/>
        <v>252</v>
      </c>
      <c r="V5">
        <f t="shared" si="30"/>
        <v>252</v>
      </c>
      <c r="W5">
        <f t="shared" si="30"/>
        <v>252</v>
      </c>
      <c r="X5">
        <f t="shared" si="30"/>
        <v>252</v>
      </c>
      <c r="Y5">
        <f t="shared" si="30"/>
        <v>252</v>
      </c>
      <c r="Z5">
        <f t="shared" si="30"/>
        <v>252</v>
      </c>
      <c r="AA5">
        <f t="shared" si="30"/>
        <v>252</v>
      </c>
      <c r="AB5">
        <f t="shared" si="30"/>
        <v>252</v>
      </c>
      <c r="AC5">
        <f t="shared" si="30"/>
        <v>252</v>
      </c>
      <c r="AD5">
        <f t="shared" si="30"/>
        <v>252</v>
      </c>
      <c r="AE5">
        <f t="shared" ref="AE5:AG6" si="31">AD5</f>
        <v>252</v>
      </c>
      <c r="AF5">
        <f t="shared" si="31"/>
        <v>252</v>
      </c>
      <c r="AG5">
        <f t="shared" si="31"/>
        <v>252</v>
      </c>
      <c r="AH5">
        <f t="shared" ref="AH5:AH6" si="32">AG5</f>
        <v>252</v>
      </c>
      <c r="AI5">
        <f t="shared" ref="AI5:AI6" si="33">AH5</f>
        <v>252</v>
      </c>
      <c r="AJ5">
        <f t="shared" ref="AJ5:AJ6" si="34">AI5</f>
        <v>252</v>
      </c>
      <c r="AK5">
        <f t="shared" ref="AK5:AK6" si="35">AJ5</f>
        <v>252</v>
      </c>
      <c r="AL5">
        <f t="shared" ref="AL5:AL6" si="36">AK5</f>
        <v>252</v>
      </c>
      <c r="AM5">
        <f t="shared" ref="AM5:AM6" si="37">AL5</f>
        <v>252</v>
      </c>
      <c r="AN5">
        <f t="shared" ref="AN5:AN6" si="38">AM5</f>
        <v>252</v>
      </c>
      <c r="AO5">
        <f t="shared" ref="AO5:AO6" si="39">AN5</f>
        <v>252</v>
      </c>
      <c r="AP5">
        <f t="shared" ref="AP5:AP6" si="40">AO5</f>
        <v>252</v>
      </c>
      <c r="AQ5">
        <f t="shared" ref="AQ5:AQ6" si="41">AP5</f>
        <v>252</v>
      </c>
      <c r="AR5">
        <f t="shared" ref="AR5:AR6" si="42">AQ5</f>
        <v>252</v>
      </c>
      <c r="AS5">
        <f t="shared" ref="AS5:AS6" si="43">AR5</f>
        <v>252</v>
      </c>
      <c r="AT5">
        <f t="shared" ref="AT5:AT6" si="44">AS5</f>
        <v>252</v>
      </c>
      <c r="AU5">
        <f t="shared" ref="AU5:AU6" si="45">AT5</f>
        <v>252</v>
      </c>
      <c r="AV5">
        <f t="shared" ref="AV5:AV6" si="46">AU5</f>
        <v>252</v>
      </c>
      <c r="AW5">
        <f t="shared" ref="AW5:AW6" si="47">AV5</f>
        <v>252</v>
      </c>
      <c r="AX5">
        <f t="shared" ref="AX5:AX6" si="48">AW5</f>
        <v>252</v>
      </c>
      <c r="AY5">
        <f t="shared" ref="AY5:AY6" si="49">AX5</f>
        <v>252</v>
      </c>
      <c r="AZ5">
        <f t="shared" ref="AZ5:AZ6" si="50">AY5</f>
        <v>252</v>
      </c>
      <c r="BA5">
        <f t="shared" ref="BA5:BA6" si="51">AZ5</f>
        <v>252</v>
      </c>
      <c r="BB5">
        <f t="shared" ref="BB5:BB6" si="52">BA5</f>
        <v>252</v>
      </c>
      <c r="BC5">
        <f t="shared" ref="BC5:BC6" si="53">BB5</f>
        <v>252</v>
      </c>
    </row>
    <row r="6" spans="2:55" x14ac:dyDescent="0.25">
      <c r="B6" s="1" t="s">
        <v>52</v>
      </c>
      <c r="E6">
        <v>806</v>
      </c>
      <c r="F6">
        <f t="shared" si="24"/>
        <v>806</v>
      </c>
      <c r="G6">
        <f t="shared" si="25"/>
        <v>806</v>
      </c>
      <c r="H6">
        <f t="shared" si="26"/>
        <v>806</v>
      </c>
      <c r="I6">
        <f t="shared" si="27"/>
        <v>806</v>
      </c>
      <c r="J6">
        <f t="shared" si="28"/>
        <v>806</v>
      </c>
      <c r="K6">
        <f t="shared" si="29"/>
        <v>806</v>
      </c>
      <c r="L6">
        <f t="shared" si="30"/>
        <v>806</v>
      </c>
      <c r="M6">
        <f t="shared" si="30"/>
        <v>806</v>
      </c>
      <c r="N6">
        <f t="shared" si="30"/>
        <v>806</v>
      </c>
      <c r="O6">
        <f t="shared" si="30"/>
        <v>806</v>
      </c>
      <c r="P6">
        <f t="shared" si="30"/>
        <v>806</v>
      </c>
      <c r="Q6">
        <f t="shared" si="30"/>
        <v>806</v>
      </c>
      <c r="R6">
        <f t="shared" si="30"/>
        <v>806</v>
      </c>
      <c r="S6">
        <f t="shared" si="30"/>
        <v>806</v>
      </c>
      <c r="T6">
        <f t="shared" si="30"/>
        <v>806</v>
      </c>
      <c r="U6">
        <f t="shared" si="30"/>
        <v>806</v>
      </c>
      <c r="V6">
        <f t="shared" si="30"/>
        <v>806</v>
      </c>
      <c r="W6">
        <f t="shared" si="30"/>
        <v>806</v>
      </c>
      <c r="X6">
        <f t="shared" si="30"/>
        <v>806</v>
      </c>
      <c r="Y6">
        <f t="shared" si="30"/>
        <v>806</v>
      </c>
      <c r="Z6">
        <f t="shared" si="30"/>
        <v>806</v>
      </c>
      <c r="AA6">
        <f t="shared" si="30"/>
        <v>806</v>
      </c>
      <c r="AB6">
        <f t="shared" si="30"/>
        <v>806</v>
      </c>
      <c r="AC6">
        <f t="shared" si="30"/>
        <v>806</v>
      </c>
      <c r="AD6">
        <f t="shared" si="30"/>
        <v>806</v>
      </c>
      <c r="AE6">
        <f t="shared" si="31"/>
        <v>806</v>
      </c>
      <c r="AF6">
        <f t="shared" si="31"/>
        <v>806</v>
      </c>
      <c r="AG6">
        <f t="shared" si="31"/>
        <v>806</v>
      </c>
      <c r="AH6">
        <f t="shared" si="32"/>
        <v>806</v>
      </c>
      <c r="AI6">
        <f t="shared" si="33"/>
        <v>806</v>
      </c>
      <c r="AJ6">
        <f t="shared" si="34"/>
        <v>806</v>
      </c>
      <c r="AK6">
        <f t="shared" si="35"/>
        <v>806</v>
      </c>
      <c r="AL6">
        <f t="shared" si="36"/>
        <v>806</v>
      </c>
      <c r="AM6">
        <f t="shared" si="37"/>
        <v>806</v>
      </c>
      <c r="AN6">
        <f t="shared" si="38"/>
        <v>806</v>
      </c>
      <c r="AO6">
        <f t="shared" si="39"/>
        <v>806</v>
      </c>
      <c r="AP6">
        <f t="shared" si="40"/>
        <v>806</v>
      </c>
      <c r="AQ6">
        <f t="shared" si="41"/>
        <v>806</v>
      </c>
      <c r="AR6">
        <f t="shared" si="42"/>
        <v>806</v>
      </c>
      <c r="AS6">
        <f t="shared" si="43"/>
        <v>806</v>
      </c>
      <c r="AT6">
        <f t="shared" si="44"/>
        <v>806</v>
      </c>
      <c r="AU6">
        <f t="shared" si="45"/>
        <v>806</v>
      </c>
      <c r="AV6">
        <f t="shared" si="46"/>
        <v>806</v>
      </c>
      <c r="AW6">
        <f t="shared" si="47"/>
        <v>806</v>
      </c>
      <c r="AX6">
        <f t="shared" si="48"/>
        <v>806</v>
      </c>
      <c r="AY6">
        <f t="shared" si="49"/>
        <v>806</v>
      </c>
      <c r="AZ6">
        <f t="shared" si="50"/>
        <v>806</v>
      </c>
      <c r="BA6">
        <f t="shared" si="51"/>
        <v>806</v>
      </c>
      <c r="BB6">
        <f t="shared" si="52"/>
        <v>806</v>
      </c>
      <c r="BC6">
        <f t="shared" si="53"/>
        <v>806</v>
      </c>
    </row>
    <row r="8" spans="2:55" x14ac:dyDescent="0.25">
      <c r="B8" s="1" t="s">
        <v>53</v>
      </c>
      <c r="E8">
        <v>0</v>
      </c>
      <c r="F8">
        <f>IF(ISNA(F4),E8+$B$20,F4)</f>
        <v>136</v>
      </c>
      <c r="G8">
        <f>IF(ISNA(G4),F8+$B$20,G4)</f>
        <v>207</v>
      </c>
      <c r="H8">
        <f>IF(ISNA(H4),G8+$B$20,H4)</f>
        <v>252</v>
      </c>
      <c r="I8">
        <f t="shared" ref="I8" si="54">IF(ISNA(I4),H8+$B$20,I4)</f>
        <v>322</v>
      </c>
      <c r="J8">
        <f t="shared" ref="J8:AM8" si="55">IF(ISNA(J4),I8+$B$20,J4)</f>
        <v>392</v>
      </c>
      <c r="K8">
        <f t="shared" si="55"/>
        <v>462</v>
      </c>
      <c r="L8">
        <f t="shared" si="55"/>
        <v>532</v>
      </c>
      <c r="M8">
        <f t="shared" si="55"/>
        <v>602</v>
      </c>
      <c r="N8">
        <f t="shared" si="55"/>
        <v>672</v>
      </c>
      <c r="O8">
        <f t="shared" si="55"/>
        <v>742</v>
      </c>
      <c r="P8">
        <f t="shared" si="55"/>
        <v>812</v>
      </c>
      <c r="Q8">
        <f t="shared" si="55"/>
        <v>882</v>
      </c>
      <c r="R8">
        <f t="shared" si="55"/>
        <v>952</v>
      </c>
      <c r="S8">
        <f t="shared" si="55"/>
        <v>1022</v>
      </c>
      <c r="T8">
        <f t="shared" si="55"/>
        <v>1092</v>
      </c>
      <c r="U8">
        <f t="shared" si="55"/>
        <v>1162</v>
      </c>
      <c r="V8">
        <f t="shared" si="55"/>
        <v>1232</v>
      </c>
      <c r="W8">
        <f t="shared" si="55"/>
        <v>1302</v>
      </c>
      <c r="X8">
        <f t="shared" si="55"/>
        <v>1372</v>
      </c>
      <c r="Y8">
        <f t="shared" si="55"/>
        <v>1442</v>
      </c>
      <c r="Z8">
        <f t="shared" si="55"/>
        <v>1512</v>
      </c>
      <c r="AA8">
        <f t="shared" si="55"/>
        <v>1582</v>
      </c>
      <c r="AB8">
        <f t="shared" si="55"/>
        <v>1652</v>
      </c>
      <c r="AC8">
        <f t="shared" si="55"/>
        <v>1722</v>
      </c>
      <c r="AD8">
        <f t="shared" si="55"/>
        <v>1792</v>
      </c>
      <c r="AE8">
        <f t="shared" si="55"/>
        <v>1862</v>
      </c>
      <c r="AF8">
        <f t="shared" si="55"/>
        <v>1932</v>
      </c>
      <c r="AG8">
        <f t="shared" si="55"/>
        <v>2002</v>
      </c>
      <c r="AH8">
        <f t="shared" si="55"/>
        <v>2072</v>
      </c>
      <c r="AI8">
        <f t="shared" si="55"/>
        <v>2142</v>
      </c>
      <c r="AJ8">
        <f t="shared" si="55"/>
        <v>2212</v>
      </c>
      <c r="AK8">
        <f t="shared" si="55"/>
        <v>2282</v>
      </c>
      <c r="AL8">
        <f t="shared" si="55"/>
        <v>2352</v>
      </c>
      <c r="AM8">
        <f t="shared" si="55"/>
        <v>2422</v>
      </c>
      <c r="AN8">
        <f t="shared" ref="AN8:AS8" si="56">IF(ISNA(AN4),AM8+$B$20,AN4)</f>
        <v>2492</v>
      </c>
      <c r="AO8">
        <f t="shared" si="56"/>
        <v>2562</v>
      </c>
      <c r="AP8">
        <f t="shared" si="56"/>
        <v>2632</v>
      </c>
      <c r="AQ8">
        <f t="shared" si="56"/>
        <v>2702</v>
      </c>
      <c r="AR8">
        <f t="shared" si="56"/>
        <v>2772</v>
      </c>
      <c r="AS8">
        <f t="shared" si="56"/>
        <v>2842</v>
      </c>
      <c r="AT8">
        <f t="shared" ref="AT8" si="57">IF(ISNA(AT4),AS8+$B$20,AT4)</f>
        <v>2912</v>
      </c>
      <c r="AU8">
        <f t="shared" ref="AU8" si="58">IF(ISNA(AU4),AT8+$B$20,AU4)</f>
        <v>2982</v>
      </c>
      <c r="AV8">
        <f t="shared" ref="AV8" si="59">IF(ISNA(AV4),AU8+$B$20,AV4)</f>
        <v>3052</v>
      </c>
      <c r="AW8">
        <f t="shared" ref="AW8" si="60">IF(ISNA(AW4),AV8+$B$20,AW4)</f>
        <v>3122</v>
      </c>
      <c r="AX8">
        <f t="shared" ref="AX8" si="61">IF(ISNA(AX4),AW8+$B$20,AX4)</f>
        <v>3192</v>
      </c>
      <c r="AY8">
        <f t="shared" ref="AY8" si="62">IF(ISNA(AY4),AX8+$B$20,AY4)</f>
        <v>3262</v>
      </c>
      <c r="AZ8">
        <f t="shared" ref="AZ8" si="63">IF(ISNA(AZ4),AY8+$B$20,AZ4)</f>
        <v>3332</v>
      </c>
      <c r="BA8">
        <f t="shared" ref="BA8" si="64">IF(ISNA(BA4),AZ8+$B$20,BA4)</f>
        <v>3402</v>
      </c>
      <c r="BB8">
        <f t="shared" ref="BB8" si="65">IF(ISNA(BB4),BA8+$B$20,BB4)</f>
        <v>3472</v>
      </c>
      <c r="BC8">
        <f t="shared" ref="BC8" si="66">IF(ISNA(BC4),BB8+$B$20,BC4)</f>
        <v>3542</v>
      </c>
    </row>
    <row r="9" spans="2:55" x14ac:dyDescent="0.25">
      <c r="B9" s="1" t="s">
        <v>54</v>
      </c>
      <c r="E9">
        <v>0</v>
      </c>
      <c r="F9">
        <f>IF(ISNA(F4),E9+$B$21,F4)</f>
        <v>136</v>
      </c>
      <c r="G9">
        <f>IF(ISNA(G4),F9+$B$21,G4)</f>
        <v>207</v>
      </c>
      <c r="H9">
        <f t="shared" ref="H9:J9" si="67">IF(ISNA(H4),G9+$B$21,H4)</f>
        <v>252</v>
      </c>
      <c r="I9">
        <f t="shared" si="67"/>
        <v>315</v>
      </c>
      <c r="J9">
        <f t="shared" si="67"/>
        <v>378</v>
      </c>
      <c r="K9">
        <f t="shared" ref="K9:AG9" si="68">IF(ISNA(K4),J9+$B$21,K4)</f>
        <v>441</v>
      </c>
      <c r="L9">
        <f t="shared" si="68"/>
        <v>504</v>
      </c>
      <c r="M9">
        <f t="shared" si="68"/>
        <v>567</v>
      </c>
      <c r="N9">
        <f t="shared" si="68"/>
        <v>630</v>
      </c>
      <c r="O9">
        <f t="shared" si="68"/>
        <v>693</v>
      </c>
      <c r="P9">
        <f t="shared" si="68"/>
        <v>756</v>
      </c>
      <c r="Q9">
        <f t="shared" si="68"/>
        <v>819</v>
      </c>
      <c r="R9">
        <f t="shared" si="68"/>
        <v>882</v>
      </c>
      <c r="S9">
        <f t="shared" si="68"/>
        <v>945</v>
      </c>
      <c r="T9">
        <f t="shared" si="68"/>
        <v>1008</v>
      </c>
      <c r="U9">
        <f t="shared" si="68"/>
        <v>1071</v>
      </c>
      <c r="V9">
        <f t="shared" si="68"/>
        <v>1134</v>
      </c>
      <c r="W9">
        <f t="shared" si="68"/>
        <v>1197</v>
      </c>
      <c r="X9">
        <f t="shared" si="68"/>
        <v>1260</v>
      </c>
      <c r="Y9">
        <f t="shared" si="68"/>
        <v>1323</v>
      </c>
      <c r="Z9">
        <f t="shared" si="68"/>
        <v>1386</v>
      </c>
      <c r="AA9">
        <f t="shared" si="68"/>
        <v>1449</v>
      </c>
      <c r="AB9">
        <f t="shared" si="68"/>
        <v>1512</v>
      </c>
      <c r="AC9">
        <f t="shared" si="68"/>
        <v>1575</v>
      </c>
      <c r="AD9">
        <f t="shared" si="68"/>
        <v>1638</v>
      </c>
      <c r="AE9">
        <f t="shared" si="68"/>
        <v>1701</v>
      </c>
      <c r="AF9">
        <f t="shared" si="68"/>
        <v>1764</v>
      </c>
      <c r="AG9">
        <f t="shared" si="68"/>
        <v>1827</v>
      </c>
      <c r="AH9">
        <f t="shared" ref="AH9" si="69">IF(ISNA(AH4),AG9+$B$21,AH4)</f>
        <v>1890</v>
      </c>
      <c r="AI9">
        <f t="shared" ref="AI9" si="70">IF(ISNA(AI4),AH9+$B$21,AI4)</f>
        <v>1953</v>
      </c>
      <c r="AJ9">
        <f t="shared" ref="AJ9" si="71">IF(ISNA(AJ4),AI9+$B$21,AJ4)</f>
        <v>2016</v>
      </c>
      <c r="AK9">
        <f t="shared" ref="AK9" si="72">IF(ISNA(AK4),AJ9+$B$21,AK4)</f>
        <v>2079</v>
      </c>
      <c r="AL9">
        <f t="shared" ref="AL9" si="73">IF(ISNA(AL4),AK9+$B$21,AL4)</f>
        <v>2142</v>
      </c>
      <c r="AM9">
        <f t="shared" ref="AM9" si="74">IF(ISNA(AM4),AL9+$B$21,AM4)</f>
        <v>2205</v>
      </c>
      <c r="AN9">
        <f t="shared" ref="AN9" si="75">IF(ISNA(AN4),AM9+$B$21,AN4)</f>
        <v>2268</v>
      </c>
      <c r="AO9">
        <f t="shared" ref="AO9" si="76">IF(ISNA(AO4),AN9+$B$21,AO4)</f>
        <v>2331</v>
      </c>
      <c r="AP9">
        <f t="shared" ref="AP9" si="77">IF(ISNA(AP4),AO9+$B$21,AP4)</f>
        <v>2394</v>
      </c>
      <c r="AQ9">
        <f t="shared" ref="AQ9" si="78">IF(ISNA(AQ4),AP9+$B$21,AQ4)</f>
        <v>2457</v>
      </c>
      <c r="AR9">
        <f t="shared" ref="AR9" si="79">IF(ISNA(AR4),AQ9+$B$21,AR4)</f>
        <v>2520</v>
      </c>
      <c r="AS9">
        <f t="shared" ref="AS9" si="80">IF(ISNA(AS4),AR9+$B$21,AS4)</f>
        <v>2583</v>
      </c>
      <c r="AT9">
        <f t="shared" ref="AT9" si="81">IF(ISNA(AT4),AS9+$B$21,AT4)</f>
        <v>2646</v>
      </c>
      <c r="AU9">
        <f t="shared" ref="AU9" si="82">IF(ISNA(AU4),AT9+$B$21,AU4)</f>
        <v>2709</v>
      </c>
      <c r="AV9">
        <f t="shared" ref="AV9" si="83">IF(ISNA(AV4),AU9+$B$21,AV4)</f>
        <v>2772</v>
      </c>
      <c r="AW9">
        <f t="shared" ref="AW9" si="84">IF(ISNA(AW4),AV9+$B$21,AW4)</f>
        <v>2835</v>
      </c>
      <c r="AX9">
        <f t="shared" ref="AX9" si="85">IF(ISNA(AX4),AW9+$B$21,AX4)</f>
        <v>2898</v>
      </c>
      <c r="AY9">
        <f t="shared" ref="AY9" si="86">IF(ISNA(AY4),AX9+$B$21,AY4)</f>
        <v>2961</v>
      </c>
      <c r="AZ9">
        <f t="shared" ref="AZ9" si="87">IF(ISNA(AZ4),AY9+$B$21,AZ4)</f>
        <v>3024</v>
      </c>
      <c r="BA9">
        <f t="shared" ref="BA9" si="88">IF(ISNA(BA4),AZ9+$B$21,BA4)</f>
        <v>3087</v>
      </c>
      <c r="BB9">
        <f t="shared" ref="BB9" si="89">IF(ISNA(BB4),BA9+$B$21,BB4)</f>
        <v>3150</v>
      </c>
      <c r="BC9">
        <f t="shared" ref="BC9" si="90">IF(ISNA(BC4),BB9+$B$21,BC4)</f>
        <v>3213</v>
      </c>
    </row>
    <row r="10" spans="2:55" x14ac:dyDescent="0.25">
      <c r="B10" s="1" t="s">
        <v>55</v>
      </c>
      <c r="E10">
        <v>0</v>
      </c>
      <c r="F10">
        <f>IF(ISNA(F4),E10+$B$22,F4)</f>
        <v>136</v>
      </c>
      <c r="G10">
        <f>IF(ISNA(G4),F10+$B$22,G4)</f>
        <v>207</v>
      </c>
      <c r="H10">
        <f t="shared" ref="H10:J10" si="91">IF(ISNA(H4),G10+$B$22,H4)</f>
        <v>252</v>
      </c>
      <c r="I10">
        <f t="shared" si="91"/>
        <v>312</v>
      </c>
      <c r="J10">
        <f t="shared" si="91"/>
        <v>372</v>
      </c>
      <c r="K10">
        <f t="shared" ref="K10:AM10" si="92">IF(ISNA(K4),J10+$B$22,K4)</f>
        <v>432</v>
      </c>
      <c r="L10">
        <f t="shared" si="92"/>
        <v>492</v>
      </c>
      <c r="M10">
        <f t="shared" si="92"/>
        <v>552</v>
      </c>
      <c r="N10">
        <f t="shared" si="92"/>
        <v>612</v>
      </c>
      <c r="O10">
        <f t="shared" si="92"/>
        <v>672</v>
      </c>
      <c r="P10">
        <f t="shared" si="92"/>
        <v>732</v>
      </c>
      <c r="Q10">
        <f t="shared" si="92"/>
        <v>792</v>
      </c>
      <c r="R10">
        <f t="shared" si="92"/>
        <v>852</v>
      </c>
      <c r="S10">
        <f t="shared" si="92"/>
        <v>912</v>
      </c>
      <c r="T10">
        <f t="shared" si="92"/>
        <v>972</v>
      </c>
      <c r="U10">
        <f t="shared" si="92"/>
        <v>1032</v>
      </c>
      <c r="V10">
        <f t="shared" si="92"/>
        <v>1092</v>
      </c>
      <c r="W10">
        <f t="shared" si="92"/>
        <v>1152</v>
      </c>
      <c r="X10">
        <f t="shared" si="92"/>
        <v>1212</v>
      </c>
      <c r="Y10">
        <f t="shared" si="92"/>
        <v>1272</v>
      </c>
      <c r="Z10">
        <f t="shared" si="92"/>
        <v>1332</v>
      </c>
      <c r="AA10">
        <f t="shared" si="92"/>
        <v>1392</v>
      </c>
      <c r="AB10">
        <f t="shared" si="92"/>
        <v>1452</v>
      </c>
      <c r="AC10">
        <f t="shared" si="92"/>
        <v>1512</v>
      </c>
      <c r="AD10">
        <f t="shared" si="92"/>
        <v>1572</v>
      </c>
      <c r="AE10">
        <f t="shared" si="92"/>
        <v>1632</v>
      </c>
      <c r="AF10">
        <f t="shared" si="92"/>
        <v>1692</v>
      </c>
      <c r="AG10">
        <f t="shared" si="92"/>
        <v>1752</v>
      </c>
      <c r="AH10">
        <f t="shared" si="92"/>
        <v>1812</v>
      </c>
      <c r="AI10">
        <f t="shared" si="92"/>
        <v>1872</v>
      </c>
      <c r="AJ10">
        <f t="shared" si="92"/>
        <v>1932</v>
      </c>
      <c r="AK10">
        <f t="shared" si="92"/>
        <v>1992</v>
      </c>
      <c r="AL10">
        <f t="shared" si="92"/>
        <v>2052</v>
      </c>
      <c r="AM10">
        <f t="shared" si="92"/>
        <v>2112</v>
      </c>
      <c r="AN10">
        <f t="shared" ref="AN10:AS10" si="93">IF(ISNA(AN4),AM10+$B$22,AN4)</f>
        <v>2172</v>
      </c>
      <c r="AO10">
        <f t="shared" si="93"/>
        <v>2232</v>
      </c>
      <c r="AP10">
        <f t="shared" si="93"/>
        <v>2292</v>
      </c>
      <c r="AQ10">
        <f t="shared" si="93"/>
        <v>2352</v>
      </c>
      <c r="AR10">
        <f t="shared" si="93"/>
        <v>2412</v>
      </c>
      <c r="AS10">
        <f t="shared" si="93"/>
        <v>2472</v>
      </c>
      <c r="AT10">
        <f t="shared" ref="AT10" si="94">IF(ISNA(AT4),AS10+$B$22,AT4)</f>
        <v>2532</v>
      </c>
      <c r="AU10">
        <f t="shared" ref="AU10" si="95">IF(ISNA(AU4),AT10+$B$22,AU4)</f>
        <v>2592</v>
      </c>
      <c r="AV10">
        <f t="shared" ref="AV10" si="96">IF(ISNA(AV4),AU10+$B$22,AV4)</f>
        <v>2652</v>
      </c>
      <c r="AW10">
        <f t="shared" ref="AW10" si="97">IF(ISNA(AW4),AV10+$B$22,AW4)</f>
        <v>2712</v>
      </c>
      <c r="AX10">
        <f t="shared" ref="AX10" si="98">IF(ISNA(AX4),AW10+$B$22,AX4)</f>
        <v>2772</v>
      </c>
      <c r="AY10">
        <f t="shared" ref="AY10" si="99">IF(ISNA(AY4),AX10+$B$22,AY4)</f>
        <v>2832</v>
      </c>
      <c r="AZ10">
        <f t="shared" ref="AZ10" si="100">IF(ISNA(AZ4),AY10+$B$22,AZ4)</f>
        <v>2892</v>
      </c>
      <c r="BA10">
        <f t="shared" ref="BA10" si="101">IF(ISNA(BA4),AZ10+$B$22,BA4)</f>
        <v>2952</v>
      </c>
      <c r="BB10">
        <f t="shared" ref="BB10" si="102">IF(ISNA(BB4),BA10+$B$22,BB4)</f>
        <v>3012</v>
      </c>
      <c r="BC10">
        <f t="shared" ref="BC10" si="103">IF(ISNA(BC4),BB10+$B$22,BC4)</f>
        <v>3072</v>
      </c>
    </row>
    <row r="12" spans="2:55" x14ac:dyDescent="0.25">
      <c r="B12" s="2" t="s">
        <v>56</v>
      </c>
      <c r="C12" s="2"/>
      <c r="D12" s="2"/>
    </row>
    <row r="13" spans="2:55" x14ac:dyDescent="0.25">
      <c r="B13" s="1" t="s">
        <v>57</v>
      </c>
      <c r="F13">
        <v>140000</v>
      </c>
    </row>
    <row r="14" spans="2:55" x14ac:dyDescent="0.25">
      <c r="B14" s="1" t="s">
        <v>58</v>
      </c>
      <c r="E14">
        <v>0</v>
      </c>
      <c r="F14">
        <f>IF(COUNTBLANK(F13),NA(),F13+E14)</f>
        <v>140000</v>
      </c>
      <c r="G14" t="e">
        <f t="shared" ref="G14:BC14" si="104">IF(COUNTBLANK(G13),NA(),G13+F14)</f>
        <v>#N/A</v>
      </c>
      <c r="H14" t="e">
        <f t="shared" si="104"/>
        <v>#N/A</v>
      </c>
      <c r="I14" t="e">
        <f t="shared" si="104"/>
        <v>#N/A</v>
      </c>
      <c r="J14" t="e">
        <f>IF(COUNTBLANK(J13),NA(),J13+I14)</f>
        <v>#N/A</v>
      </c>
      <c r="K14" t="e">
        <f t="shared" si="104"/>
        <v>#N/A</v>
      </c>
      <c r="L14" t="e">
        <f t="shared" si="104"/>
        <v>#N/A</v>
      </c>
      <c r="M14" t="e">
        <f t="shared" si="104"/>
        <v>#N/A</v>
      </c>
      <c r="N14" t="e">
        <f t="shared" si="104"/>
        <v>#N/A</v>
      </c>
      <c r="O14" t="e">
        <f t="shared" si="104"/>
        <v>#N/A</v>
      </c>
      <c r="P14" t="e">
        <f t="shared" si="104"/>
        <v>#N/A</v>
      </c>
      <c r="Q14" t="e">
        <f t="shared" si="104"/>
        <v>#N/A</v>
      </c>
      <c r="R14" t="e">
        <f t="shared" si="104"/>
        <v>#N/A</v>
      </c>
      <c r="S14" t="e">
        <f t="shared" si="104"/>
        <v>#N/A</v>
      </c>
      <c r="T14" t="e">
        <f t="shared" si="104"/>
        <v>#N/A</v>
      </c>
      <c r="U14" t="e">
        <f t="shared" si="104"/>
        <v>#N/A</v>
      </c>
      <c r="V14" t="e">
        <f t="shared" si="104"/>
        <v>#N/A</v>
      </c>
      <c r="W14" t="e">
        <f t="shared" si="104"/>
        <v>#N/A</v>
      </c>
      <c r="X14" t="e">
        <f t="shared" si="104"/>
        <v>#N/A</v>
      </c>
      <c r="Y14" t="e">
        <f t="shared" si="104"/>
        <v>#N/A</v>
      </c>
      <c r="Z14" t="e">
        <f t="shared" si="104"/>
        <v>#N/A</v>
      </c>
      <c r="AA14" t="e">
        <f t="shared" si="104"/>
        <v>#N/A</v>
      </c>
      <c r="AB14" t="e">
        <f t="shared" si="104"/>
        <v>#N/A</v>
      </c>
      <c r="AC14" t="e">
        <f t="shared" si="104"/>
        <v>#N/A</v>
      </c>
      <c r="AD14" t="e">
        <f t="shared" si="104"/>
        <v>#N/A</v>
      </c>
      <c r="AE14" t="e">
        <f t="shared" si="104"/>
        <v>#N/A</v>
      </c>
      <c r="AF14" t="e">
        <f t="shared" si="104"/>
        <v>#N/A</v>
      </c>
      <c r="AG14" t="e">
        <f t="shared" si="104"/>
        <v>#N/A</v>
      </c>
      <c r="AH14" t="e">
        <f t="shared" si="104"/>
        <v>#N/A</v>
      </c>
      <c r="AI14" t="e">
        <f t="shared" si="104"/>
        <v>#N/A</v>
      </c>
      <c r="AJ14" t="e">
        <f t="shared" si="104"/>
        <v>#N/A</v>
      </c>
      <c r="AK14" t="e">
        <f t="shared" si="104"/>
        <v>#N/A</v>
      </c>
      <c r="AL14" t="e">
        <f t="shared" si="104"/>
        <v>#N/A</v>
      </c>
      <c r="AM14" t="e">
        <f t="shared" si="104"/>
        <v>#N/A</v>
      </c>
      <c r="AN14" t="e">
        <f t="shared" si="104"/>
        <v>#N/A</v>
      </c>
      <c r="AO14" t="e">
        <f t="shared" si="104"/>
        <v>#N/A</v>
      </c>
      <c r="AP14" t="e">
        <f t="shared" si="104"/>
        <v>#N/A</v>
      </c>
      <c r="AQ14" t="e">
        <f t="shared" si="104"/>
        <v>#N/A</v>
      </c>
      <c r="AR14" t="e">
        <f t="shared" si="104"/>
        <v>#N/A</v>
      </c>
      <c r="AS14" t="e">
        <f t="shared" si="104"/>
        <v>#N/A</v>
      </c>
      <c r="AT14" t="e">
        <f t="shared" si="104"/>
        <v>#N/A</v>
      </c>
      <c r="AU14" t="e">
        <f t="shared" si="104"/>
        <v>#N/A</v>
      </c>
      <c r="AV14" t="e">
        <f t="shared" si="104"/>
        <v>#N/A</v>
      </c>
      <c r="AW14" t="e">
        <f t="shared" si="104"/>
        <v>#N/A</v>
      </c>
      <c r="AX14" t="e">
        <f t="shared" si="104"/>
        <v>#N/A</v>
      </c>
      <c r="AY14" t="e">
        <f t="shared" si="104"/>
        <v>#N/A</v>
      </c>
      <c r="AZ14" t="e">
        <f t="shared" si="104"/>
        <v>#N/A</v>
      </c>
      <c r="BA14" t="e">
        <f t="shared" si="104"/>
        <v>#N/A</v>
      </c>
      <c r="BB14" t="e">
        <f t="shared" si="104"/>
        <v>#N/A</v>
      </c>
      <c r="BC14" t="e">
        <f t="shared" si="104"/>
        <v>#N/A</v>
      </c>
    </row>
    <row r="16" spans="2:55" x14ac:dyDescent="0.25">
      <c r="B16" s="1" t="s">
        <v>59</v>
      </c>
      <c r="E16">
        <v>0</v>
      </c>
      <c r="F16">
        <f>IF(ISNA(F14),E16+$D$27,F14)</f>
        <v>140000</v>
      </c>
      <c r="G16">
        <f>IF(ISNA(G14),F16+$D$27,G14)</f>
        <v>288000</v>
      </c>
      <c r="H16">
        <f t="shared" ref="H16:BC16" si="105">IF(ISNA(H14),G16+$D$27,H14)</f>
        <v>436000</v>
      </c>
      <c r="I16">
        <f t="shared" si="105"/>
        <v>584000</v>
      </c>
      <c r="J16">
        <f t="shared" si="105"/>
        <v>732000</v>
      </c>
      <c r="K16">
        <f t="shared" si="105"/>
        <v>880000</v>
      </c>
      <c r="L16">
        <f t="shared" si="105"/>
        <v>1028000</v>
      </c>
      <c r="M16">
        <f t="shared" si="105"/>
        <v>1176000</v>
      </c>
      <c r="N16">
        <f t="shared" si="105"/>
        <v>1324000</v>
      </c>
      <c r="O16">
        <f t="shared" si="105"/>
        <v>1472000</v>
      </c>
      <c r="P16">
        <f t="shared" si="105"/>
        <v>1620000</v>
      </c>
      <c r="Q16">
        <f t="shared" si="105"/>
        <v>1768000</v>
      </c>
      <c r="R16">
        <f t="shared" si="105"/>
        <v>1916000</v>
      </c>
      <c r="S16">
        <f t="shared" si="105"/>
        <v>2064000</v>
      </c>
      <c r="T16">
        <f t="shared" si="105"/>
        <v>2212000</v>
      </c>
      <c r="U16">
        <f t="shared" si="105"/>
        <v>2360000</v>
      </c>
      <c r="V16">
        <f t="shared" si="105"/>
        <v>2508000</v>
      </c>
      <c r="W16">
        <f t="shared" si="105"/>
        <v>2656000</v>
      </c>
      <c r="X16">
        <f t="shared" si="105"/>
        <v>2804000</v>
      </c>
      <c r="Y16">
        <f t="shared" si="105"/>
        <v>2952000</v>
      </c>
      <c r="Z16">
        <f t="shared" si="105"/>
        <v>3100000</v>
      </c>
      <c r="AA16">
        <f t="shared" si="105"/>
        <v>3248000</v>
      </c>
      <c r="AB16">
        <f t="shared" si="105"/>
        <v>3396000</v>
      </c>
      <c r="AC16">
        <f t="shared" si="105"/>
        <v>3544000</v>
      </c>
      <c r="AD16">
        <f t="shared" si="105"/>
        <v>3692000</v>
      </c>
      <c r="AE16">
        <f t="shared" si="105"/>
        <v>3840000</v>
      </c>
      <c r="AF16">
        <f t="shared" si="105"/>
        <v>3988000</v>
      </c>
      <c r="AG16">
        <f t="shared" si="105"/>
        <v>4136000</v>
      </c>
      <c r="AH16">
        <f t="shared" si="105"/>
        <v>4284000</v>
      </c>
      <c r="AI16">
        <f t="shared" si="105"/>
        <v>4432000</v>
      </c>
      <c r="AJ16">
        <f t="shared" si="105"/>
        <v>4580000</v>
      </c>
      <c r="AK16">
        <f t="shared" si="105"/>
        <v>4728000</v>
      </c>
      <c r="AL16">
        <f t="shared" si="105"/>
        <v>4876000</v>
      </c>
      <c r="AM16">
        <f t="shared" si="105"/>
        <v>5024000</v>
      </c>
      <c r="AN16">
        <f t="shared" si="105"/>
        <v>5172000</v>
      </c>
      <c r="AO16">
        <f t="shared" si="105"/>
        <v>5320000</v>
      </c>
      <c r="AP16">
        <f t="shared" si="105"/>
        <v>5468000</v>
      </c>
      <c r="AQ16">
        <f t="shared" si="105"/>
        <v>5616000</v>
      </c>
      <c r="AR16">
        <f t="shared" si="105"/>
        <v>5764000</v>
      </c>
      <c r="AS16">
        <f t="shared" si="105"/>
        <v>5912000</v>
      </c>
      <c r="AT16">
        <f t="shared" si="105"/>
        <v>6060000</v>
      </c>
      <c r="AU16">
        <f t="shared" si="105"/>
        <v>6208000</v>
      </c>
      <c r="AV16">
        <f t="shared" si="105"/>
        <v>6356000</v>
      </c>
      <c r="AW16">
        <f t="shared" si="105"/>
        <v>6504000</v>
      </c>
      <c r="AX16">
        <f t="shared" si="105"/>
        <v>6652000</v>
      </c>
      <c r="AY16">
        <f t="shared" si="105"/>
        <v>6800000</v>
      </c>
      <c r="AZ16">
        <f t="shared" si="105"/>
        <v>6948000</v>
      </c>
      <c r="BA16">
        <f t="shared" si="105"/>
        <v>7096000</v>
      </c>
      <c r="BB16">
        <f t="shared" si="105"/>
        <v>7244000</v>
      </c>
      <c r="BC16">
        <f t="shared" si="105"/>
        <v>7392000</v>
      </c>
    </row>
    <row r="19" spans="1:4" x14ac:dyDescent="0.25">
      <c r="A19" s="2" t="s">
        <v>60</v>
      </c>
    </row>
    <row r="20" spans="1:4" ht="30" x14ac:dyDescent="0.25">
      <c r="A20" s="1" t="s">
        <v>61</v>
      </c>
      <c r="B20" s="1">
        <v>70</v>
      </c>
    </row>
    <row r="21" spans="1:4" ht="30" x14ac:dyDescent="0.25">
      <c r="A21" s="1" t="s">
        <v>62</v>
      </c>
      <c r="B21" s="1">
        <v>63</v>
      </c>
    </row>
    <row r="22" spans="1:4" ht="30" x14ac:dyDescent="0.25">
      <c r="A22" s="1" t="s">
        <v>63</v>
      </c>
      <c r="B22" s="1">
        <v>60</v>
      </c>
    </row>
    <row r="24" spans="1:4" ht="30" x14ac:dyDescent="0.25">
      <c r="A24" s="2" t="s">
        <v>64</v>
      </c>
      <c r="B24" s="2" t="s">
        <v>65</v>
      </c>
      <c r="C24" s="2" t="s">
        <v>66</v>
      </c>
      <c r="D24" s="2" t="s">
        <v>67</v>
      </c>
    </row>
    <row r="25" spans="1:4" x14ac:dyDescent="0.25">
      <c r="A25" s="1" t="s">
        <v>68</v>
      </c>
      <c r="B25" s="1">
        <v>1850</v>
      </c>
      <c r="C25" s="3">
        <v>1</v>
      </c>
      <c r="D25" s="1">
        <f>B25*(80*C25)</f>
        <v>148000</v>
      </c>
    </row>
    <row r="27" spans="1:4" x14ac:dyDescent="0.25">
      <c r="A27" s="1" t="s">
        <v>69</v>
      </c>
      <c r="D27" s="4">
        <f>SUM(D25:D26)</f>
        <v>148000</v>
      </c>
    </row>
    <row r="29" spans="1:4" x14ac:dyDescent="0.25">
      <c r="B29" s="1">
        <v>61</v>
      </c>
    </row>
    <row r="30" spans="1:4" x14ac:dyDescent="0.25">
      <c r="B30" s="1">
        <v>75</v>
      </c>
    </row>
    <row r="31" spans="1:4" x14ac:dyDescent="0.25">
      <c r="B31" s="1">
        <v>71</v>
      </c>
    </row>
    <row r="32" spans="1:4" x14ac:dyDescent="0.25">
      <c r="B32" s="1">
        <v>45</v>
      </c>
    </row>
  </sheetData>
  <phoneticPr fontId="1" type="noConversion"/>
  <conditionalFormatting sqref="E4:BC4">
    <cfRule type="expression" dxfId="0" priority="1">
      <formula>"ISNA()"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A070C-09DD-422D-AC25-BE55E6715C93}">
  <dimension ref="A1"/>
  <sheetViews>
    <sheetView zoomScale="110" zoomScaleNormal="110" workbookViewId="0">
      <selection activeCell="R28" sqref="R28"/>
    </sheetView>
  </sheetViews>
  <sheetFormatPr defaultColWidth="8.85546875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26829-9AE4-4F14-B8ED-65EE8EB1B16E}">
  <dimension ref="A1:A19"/>
  <sheetViews>
    <sheetView workbookViewId="0">
      <selection sqref="A1:A19"/>
    </sheetView>
  </sheetViews>
  <sheetFormatPr defaultColWidth="8.85546875" defaultRowHeight="15" x14ac:dyDescent="0.25"/>
  <sheetData>
    <row r="1" spans="1:1" ht="15.75" thickBot="1" x14ac:dyDescent="0.3">
      <c r="A1" s="5">
        <v>5</v>
      </c>
    </row>
    <row r="2" spans="1:1" ht="15.75" thickBot="1" x14ac:dyDescent="0.3">
      <c r="A2" s="5">
        <v>3</v>
      </c>
    </row>
    <row r="3" spans="1:1" ht="15.75" thickBot="1" x14ac:dyDescent="0.3">
      <c r="A3" s="5">
        <v>2</v>
      </c>
    </row>
    <row r="4" spans="1:1" ht="15.75" thickBot="1" x14ac:dyDescent="0.3">
      <c r="A4" s="5">
        <v>5</v>
      </c>
    </row>
    <row r="5" spans="1:1" ht="15.75" thickBot="1" x14ac:dyDescent="0.3">
      <c r="A5" s="5">
        <v>2</v>
      </c>
    </row>
    <row r="6" spans="1:1" ht="15.75" thickBot="1" x14ac:dyDescent="0.3">
      <c r="A6" s="5">
        <v>1</v>
      </c>
    </row>
    <row r="7" spans="1:1" ht="15.75" thickBot="1" x14ac:dyDescent="0.3">
      <c r="A7" s="5">
        <v>5</v>
      </c>
    </row>
    <row r="8" spans="1:1" ht="15.75" thickBot="1" x14ac:dyDescent="0.3">
      <c r="A8" s="5">
        <v>2</v>
      </c>
    </row>
    <row r="9" spans="1:1" ht="15.75" thickBot="1" x14ac:dyDescent="0.3">
      <c r="A9" s="5">
        <v>2</v>
      </c>
    </row>
    <row r="10" spans="1:1" ht="15.75" thickBot="1" x14ac:dyDescent="0.3">
      <c r="A10" s="5">
        <v>1</v>
      </c>
    </row>
    <row r="11" spans="1:1" ht="15.75" thickBot="1" x14ac:dyDescent="0.3">
      <c r="A11" s="5">
        <v>2</v>
      </c>
    </row>
    <row r="12" spans="1:1" ht="15.75" thickBot="1" x14ac:dyDescent="0.3">
      <c r="A12" s="5">
        <v>1</v>
      </c>
    </row>
    <row r="13" spans="1:1" ht="15.75" thickBot="1" x14ac:dyDescent="0.3">
      <c r="A13" s="5">
        <v>3</v>
      </c>
    </row>
    <row r="14" spans="1:1" ht="15.75" thickBot="1" x14ac:dyDescent="0.3">
      <c r="A14" s="5">
        <v>5</v>
      </c>
    </row>
    <row r="15" spans="1:1" ht="15.75" thickBot="1" x14ac:dyDescent="0.3">
      <c r="A15" s="5">
        <v>2</v>
      </c>
    </row>
    <row r="16" spans="1:1" ht="15.75" thickBot="1" x14ac:dyDescent="0.3">
      <c r="A16" s="5">
        <v>1</v>
      </c>
    </row>
    <row r="17" spans="1:1" ht="15.75" thickBot="1" x14ac:dyDescent="0.3">
      <c r="A17" s="5">
        <v>3</v>
      </c>
    </row>
    <row r="18" spans="1:1" ht="15.75" thickBot="1" x14ac:dyDescent="0.3">
      <c r="A18" s="5">
        <v>5</v>
      </c>
    </row>
    <row r="19" spans="1:1" ht="15.75" thickBot="1" x14ac:dyDescent="0.3">
      <c r="A19" s="5">
        <v>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Salesforce</TermName>
          <TermId xmlns="http://schemas.microsoft.com/office/infopath/2007/PartnerControls">65ce3b0d-68ef-4d0b-ac56-177d5509cec4</TermId>
        </TermInfo>
      </Terms>
    </nae5750f31d8428b9a1182bd8e59d390>
    <TaxCatchAll xmlns="1ffbd5dc-7a64-4097-8396-87f6c90b212f">
      <Value>6</Value>
      <Value>13</Value>
      <Value>4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1DCBB8FA-0BE6-4FFA-B672-F251BED2EE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195739-F48A-45FA-B14B-AA6F1092D482}">
  <ds:schemaRefs>
    <ds:schemaRef ds:uri="http://schemas.microsoft.com/office/2006/metadata/properties"/>
    <ds:schemaRef ds:uri="http://purl.org/dc/elements/1.1/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1ffbd5dc-7a64-4097-8396-87f6c90b212f"/>
  </ds:schemaRefs>
</ds:datastoreItem>
</file>

<file path=customXml/itemProps3.xml><?xml version="1.0" encoding="utf-8"?>
<ds:datastoreItem xmlns:ds="http://schemas.openxmlformats.org/officeDocument/2006/customXml" ds:itemID="{43EC73B4-88A6-4256-B10D-3BE936A451DE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0F8D0FB4-0920-4D4E-805D-B30FA784EADD}"/>
</file>

<file path=customXml/itemProps5.xml><?xml version="1.0" encoding="utf-8"?>
<ds:datastoreItem xmlns:ds="http://schemas.openxmlformats.org/officeDocument/2006/customXml" ds:itemID="{85783FCD-20F1-4CF0-B3F0-7863DDDF883E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 Forecasting</vt:lpstr>
      <vt:lpstr>BI Burnup 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Gary Benkenstein</dc:creator>
  <cp:keywords/>
  <dc:description/>
  <cp:lastModifiedBy>Shaun Barrett</cp:lastModifiedBy>
  <cp:revision/>
  <dcterms:created xsi:type="dcterms:W3CDTF">2020-08-13T15:11:43Z</dcterms:created>
  <dcterms:modified xsi:type="dcterms:W3CDTF">2023-10-30T14:43:58Z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lcf76f155ced4ddcb4097134ff3c332f">
    <vt:lpwstr/>
  </property>
  <property fmtid="{D5CDD505-2E9C-101B-9397-08002B2CF9AE}" pid="6" name="Division">
    <vt:lpwstr>13;#Salesforce|65ce3b0d-68ef-4d0b-ac56-177d5509cec4</vt:lpwstr>
  </property>
  <property fmtid="{D5CDD505-2E9C-101B-9397-08002B2CF9AE}" pid="7" name="Client">
    <vt:lpwstr>6;#Grainger PLC|a74f1cb5-e995-4f9e-8521-6d52e2c6bf08</vt:lpwstr>
  </property>
  <property fmtid="{D5CDD505-2E9C-101B-9397-08002B2CF9AE}" pid="8" name="Client Project">
    <vt:lpwstr/>
  </property>
  <property fmtid="{D5CDD505-2E9C-101B-9397-08002B2CF9AE}" pid="9" name="Project_x0020_Document_x0020_Type">
    <vt:lpwstr>4;#Generic Project Document|258c2ed6-b93b-4ffe-8901-a23f2dc98ec9</vt:lpwstr>
  </property>
  <property fmtid="{D5CDD505-2E9C-101B-9397-08002B2CF9AE}" pid="10" name="Client_x0020_Project">
    <vt:lpwstr/>
  </property>
  <property fmtid="{D5CDD505-2E9C-101B-9397-08002B2CF9AE}" pid="11" name="SharedWithUsers">
    <vt:lpwstr>65;#Sean Ogle</vt:lpwstr>
  </property>
</Properties>
</file>