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3. Project Management/Story Points Delivered/"/>
    </mc:Choice>
  </mc:AlternateContent>
  <xr:revisionPtr revIDLastSave="21" documentId="8_{226450EC-DEE9-4541-9F2A-A9E98727B3C6}" xr6:coauthVersionLast="47" xr6:coauthVersionMax="47" xr10:uidLastSave="{B84018AC-D9E4-45FC-AFD0-280E8CC86D27}"/>
  <bookViews>
    <workbookView xWindow="28680" yWindow="480" windowWidth="29040" windowHeight="15720" xr2:uid="{CAAA7B93-55AC-4D66-A4D5-6196C2217455}"/>
  </bookViews>
  <sheets>
    <sheet name="SB_Sprint 3 User Stories &amp; Bugs" sheetId="2" r:id="rId1"/>
    <sheet name="Sheet1" sheetId="1" r:id="rId2"/>
  </sheets>
  <definedNames>
    <definedName name="ExternalData_1" localSheetId="0" hidden="1">'SB_Sprint 3 User Stories &amp; Bugs'!$A$1:$T$76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7" i="2" l="1"/>
  <c r="V77" i="2"/>
  <c r="U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709030-D994-4D68-AE5D-C1890D9C1FE8}" keepAlive="1" name="Query - SB_Sprint 3 User Stories &amp; Bugs (Jira)" description="Connection to the 'SB_Sprint 3 User Stories &amp; Bugs (Jira)' query in the workbook." type="5" refreshedVersion="8" background="1" saveData="1">
    <dbPr connection="Provider=Microsoft.Mashup.OleDb.1;Data Source=$Workbook$;Location=&quot;SB_Sprint 3 User Stories &amp; Bugs (Jira)&quot;;Extended Properties=&quot;&quot;" command="SELECT * FROM [SB_Sprint 3 User Stories &amp; Bugs (Jira)]"/>
  </connection>
</connections>
</file>

<file path=xl/sharedStrings.xml><?xml version="1.0" encoding="utf-8"?>
<sst xmlns="http://schemas.openxmlformats.org/spreadsheetml/2006/main" count="1297" uniqueCount="203">
  <si>
    <t>Issue Type</t>
  </si>
  <si>
    <t>Issue key</t>
  </si>
  <si>
    <t>Issue id</t>
  </si>
  <si>
    <t>Summary</t>
  </si>
  <si>
    <t>Assignee</t>
  </si>
  <si>
    <t>Assignee Id</t>
  </si>
  <si>
    <t>Priority</t>
  </si>
  <si>
    <t>Status</t>
  </si>
  <si>
    <t>Resolution</t>
  </si>
  <si>
    <t>Created</t>
  </si>
  <si>
    <t>Updated</t>
  </si>
  <si>
    <t>Due date</t>
  </si>
  <si>
    <t>Labels</t>
  </si>
  <si>
    <t>Labels_1</t>
  </si>
  <si>
    <t>Labels_2</t>
  </si>
  <si>
    <t>Labels_3</t>
  </si>
  <si>
    <t>Labels_4</t>
  </si>
  <si>
    <t>Labels_5</t>
  </si>
  <si>
    <t>Labels_6</t>
  </si>
  <si>
    <t>Custom field (Story Points)</t>
  </si>
  <si>
    <t>Bug</t>
  </si>
  <si>
    <t>FVVP-334</t>
  </si>
  <si>
    <t>[Not a bug] I can edit an EOT in 'Close - NTQ Denied' status</t>
  </si>
  <si>
    <t/>
  </si>
  <si>
    <t>Priority 3</t>
  </si>
  <si>
    <t>Done</t>
  </si>
  <si>
    <t>FVVP-333</t>
  </si>
  <si>
    <t>Not a bug - Delay Reason / Detail is not saved on closing a task.</t>
  </si>
  <si>
    <t>Nikki</t>
  </si>
  <si>
    <t>70121:af6196ff-0b2f-4ade-9d2a-c625be89a01c</t>
  </si>
  <si>
    <t>0.0</t>
  </si>
  <si>
    <t>FVVP-328</t>
  </si>
  <si>
    <t>Incorrect Field Labels and Help Text</t>
  </si>
  <si>
    <t>Mudzunga Khonani Davhana</t>
  </si>
  <si>
    <t>712020:eb63548d-26e3-453b-a750-b0bc694c0f4e</t>
  </si>
  <si>
    <t>FVVP-327</t>
  </si>
  <si>
    <t>My EoTs with Overdue/Delayed Tasks - Remove subtitle &amp; URL</t>
  </si>
  <si>
    <t>FVVP-326</t>
  </si>
  <si>
    <t>My EoTs with Overdue/Delayed Tasks - List should show EOT, not task level detail</t>
  </si>
  <si>
    <t>FVVP-325</t>
  </si>
  <si>
    <t>My EoTs with Overdue/Delayed Tasks - Not Filtered by EOT Owner</t>
  </si>
  <si>
    <t>FVVP-324</t>
  </si>
  <si>
    <t>My EoTs with Overdue/Delayed Tasks - Add EOT Name</t>
  </si>
  <si>
    <t>FVVP-323</t>
  </si>
  <si>
    <t>My EOTs with Overdue/Delayed Tasks - FV Date</t>
  </si>
  <si>
    <t>FVVP-322</t>
  </si>
  <si>
    <t>EOT in Progress Chart - Report doesn't include phase &amp; works type</t>
  </si>
  <si>
    <t>FVVP-321</t>
  </si>
  <si>
    <t xml:space="preserve">Remove the EOT Owner dashboard </t>
  </si>
  <si>
    <t>FVVP-320</t>
  </si>
  <si>
    <t>Available Date and Completion Date does not update accordingly when Task timeline is adjusted and End of Tenancy Works Type is changed</t>
  </si>
  <si>
    <t>FVVP-319</t>
  </si>
  <si>
    <t>Expected Duration and Target End Date should be tracked in task's field history</t>
  </si>
  <si>
    <t>FVVP-317</t>
  </si>
  <si>
    <t>EOT in Progress Chart - Not Showing Current Phase</t>
  </si>
  <si>
    <t>FVVP-316</t>
  </si>
  <si>
    <t>When "End of Tenancy work type" is updated the "Available Date" does not update as per the requirements</t>
  </si>
  <si>
    <t>FVVP-315</t>
  </si>
  <si>
    <t>Field Names Displayed</t>
  </si>
  <si>
    <t>FVVP-314</t>
  </si>
  <si>
    <t>Actual End Date and Actual Duration not consistently populating when task is Complete</t>
  </si>
  <si>
    <t>FVVP-313</t>
  </si>
  <si>
    <t xml:space="preserve">Report not displaying required info </t>
  </si>
  <si>
    <t>FVVP-312</t>
  </si>
  <si>
    <t>Wrong tasks configured</t>
  </si>
  <si>
    <t>FVVP-311</t>
  </si>
  <si>
    <t>EOT in Progress Report - missing report info</t>
  </si>
  <si>
    <t>FVVP-310</t>
  </si>
  <si>
    <t>EOT In Progress Report - Remove report subheading</t>
  </si>
  <si>
    <t>FVVP-309</t>
  </si>
  <si>
    <t>FVVP-308</t>
  </si>
  <si>
    <t xml:space="preserve"># units on the chart does not match the underlying report. </t>
  </si>
  <si>
    <t>FVVP-307</t>
  </si>
  <si>
    <t>Report subtitle</t>
  </si>
  <si>
    <t>FVVP-306</t>
  </si>
  <si>
    <t>Dashboard chart type</t>
  </si>
  <si>
    <t>FVVP-304</t>
  </si>
  <si>
    <t>User can edit Unit Available Date</t>
  </si>
  <si>
    <t>FVVP-303</t>
  </si>
  <si>
    <t>[Not a bug] Overdue days not calculated for incomplete task</t>
  </si>
  <si>
    <t>FVVP-302</t>
  </si>
  <si>
    <t>Field layout</t>
  </si>
  <si>
    <t>FVVP-301</t>
  </si>
  <si>
    <t>Task Details screen layout</t>
  </si>
  <si>
    <t>FVVP-300</t>
  </si>
  <si>
    <t>Adjusted Expected Duration and Expected End Date not reflecting on Task Detail Layout</t>
  </si>
  <si>
    <t>FVVP-299</t>
  </si>
  <si>
    <t>Overdue Days on task component not matching with Over Due Days on Task Detail layout</t>
  </si>
  <si>
    <t>FVVP-298</t>
  </si>
  <si>
    <t>Error  when completing “Check Out” Task.</t>
  </si>
  <si>
    <t>FVVP-297</t>
  </si>
  <si>
    <t>Not a bug</t>
  </si>
  <si>
    <t>FVVP-296</t>
  </si>
  <si>
    <t>[Not a bug] Can't Assign Task to New Team</t>
  </si>
  <si>
    <t>FVVP-295</t>
  </si>
  <si>
    <t>[Not a bug] Task Owner is defaulting incorrectly</t>
  </si>
  <si>
    <t>UAT_Feedback</t>
  </si>
  <si>
    <t>FVVP-294</t>
  </si>
  <si>
    <t xml:space="preserve">[Not a bug] Task Team is not saved on new tasks </t>
  </si>
  <si>
    <t>FVVP-293</t>
  </si>
  <si>
    <t>I can edit a Cancelled EOT</t>
  </si>
  <si>
    <t>FVVP-292</t>
  </si>
  <si>
    <t>Completed Tasks are being Reset to Pending Status after completing PVI</t>
  </si>
  <si>
    <t>Priority 2</t>
  </si>
  <si>
    <t>FVVP-291</t>
  </si>
  <si>
    <t>FVVP-290</t>
  </si>
  <si>
    <t>Update Task Status Tooltip</t>
  </si>
  <si>
    <t>FVVP-274</t>
  </si>
  <si>
    <t>Tenancy &gt; EOT History - Add EOT Status</t>
  </si>
  <si>
    <t>FVVP-264</t>
  </si>
  <si>
    <t>Remove Task Creation History from Chatter</t>
  </si>
  <si>
    <t>FVVP-253</t>
  </si>
  <si>
    <t>Update dependent task’s expected timelines when a preceding task is reopened</t>
  </si>
  <si>
    <t>2.0</t>
  </si>
  <si>
    <t>FVVP-237</t>
  </si>
  <si>
    <t>Actual end date is not removed when a task is reopened</t>
  </si>
  <si>
    <t>Story</t>
  </si>
  <si>
    <t>FVVP-183</t>
  </si>
  <si>
    <t>Streamline MiMo Task - Capture Deposit Return Details on EOT</t>
  </si>
  <si>
    <t>Dev_Reviewed</t>
  </si>
  <si>
    <t>IA_Done</t>
  </si>
  <si>
    <t>REFINED</t>
  </si>
  <si>
    <t>Show_Me_Complete</t>
  </si>
  <si>
    <t>Sizing_Done</t>
  </si>
  <si>
    <t>Video_Recorded</t>
  </si>
  <si>
    <t>3.0</t>
  </si>
  <si>
    <t>FVVP-176</t>
  </si>
  <si>
    <t>[Internal - Cosmetic] Add EOT Number to EOT Details</t>
  </si>
  <si>
    <t>Dillan Landsberg</t>
  </si>
  <si>
    <t>712020:bbb8d7bf-a355-4a7c-971f-ee5598a156c1</t>
  </si>
  <si>
    <t>No_Video</t>
  </si>
  <si>
    <t>OB_Internal</t>
  </si>
  <si>
    <t>1.0</t>
  </si>
  <si>
    <t>FVVP-175</t>
  </si>
  <si>
    <t>Save Passing Rent on EOT</t>
  </si>
  <si>
    <t>FVVP-169</t>
  </si>
  <si>
    <t>Saving Task Actual Start Date</t>
  </si>
  <si>
    <t>FVVP-168</t>
  </si>
  <si>
    <t>Capture a Reason for Late Completion of a Task</t>
  </si>
  <si>
    <t>Scope_Creep</t>
  </si>
  <si>
    <t>FVVP-162</t>
  </si>
  <si>
    <t>Capture a Reason for Changing Task Status to N/A</t>
  </si>
  <si>
    <t>FVVP-160</t>
  </si>
  <si>
    <t>Update Task Template - Remove Refurb &amp; Maintenance Queues</t>
  </si>
  <si>
    <t>FVVP-159</t>
  </si>
  <si>
    <t>Save Key EOT Dates for Reporting</t>
  </si>
  <si>
    <t>FVVP-151</t>
  </si>
  <si>
    <t xml:space="preserve">[Internal - Cosmetic] EOT Related Screens </t>
  </si>
  <si>
    <t>Priority 4</t>
  </si>
  <si>
    <t>FVVP-149</t>
  </si>
  <si>
    <t xml:space="preserve">EOT Owners can access a list of their EOTs </t>
  </si>
  <si>
    <t>FVVP-147</t>
  </si>
  <si>
    <t>Update 'Future Vacate' to 'Future Vacant'</t>
  </si>
  <si>
    <t>FVVP-142</t>
  </si>
  <si>
    <t>Remove PVI &amp; FV Times</t>
  </si>
  <si>
    <t>FVVP-140</t>
  </si>
  <si>
    <t>Streamline MiMo Task - Capture Actual Vacate Date on EOT</t>
  </si>
  <si>
    <t>FVVP-132</t>
  </si>
  <si>
    <t xml:space="preserve">[Not Required] Replace Internal Notification Emails </t>
  </si>
  <si>
    <t>Priority 1</t>
  </si>
  <si>
    <t>FVVP-130</t>
  </si>
  <si>
    <t>EOT - Incorporate Delays into Timelines &amp; Available Date</t>
  </si>
  <si>
    <t>5.0</t>
  </si>
  <si>
    <t>FVVP-129</t>
  </si>
  <si>
    <t>Update Task Template - New Task - Confirm PVI Date</t>
  </si>
  <si>
    <t>6.0</t>
  </si>
  <si>
    <t>FVVP-124</t>
  </si>
  <si>
    <t>Unit - Available Date Read Only</t>
  </si>
  <si>
    <t>FVVP-120</t>
  </si>
  <si>
    <t>Calculating Overdue / Delay Days on Tasks</t>
  </si>
  <si>
    <t>FVVP-119</t>
  </si>
  <si>
    <t>Start Task Button</t>
  </si>
  <si>
    <t>FVVP-117</t>
  </si>
  <si>
    <t>Dashboard - Property Calendar: See Onsite EOT Tasks</t>
  </si>
  <si>
    <t>FVVP-116</t>
  </si>
  <si>
    <t>Update Task Template - Clean Unit</t>
  </si>
  <si>
    <t>FVVP-114</t>
  </si>
  <si>
    <t>Update Task Template - Refresh Timeline</t>
  </si>
  <si>
    <t>FVVP-112</t>
  </si>
  <si>
    <t>Close EOT when NTQ Denied</t>
  </si>
  <si>
    <t>FVVP-110</t>
  </si>
  <si>
    <t>Add Filters to BTR/Vesta &amp; PRS EOT Dashboards</t>
  </si>
  <si>
    <t>FVVP-101</t>
  </si>
  <si>
    <t>Dashboard - See EOTs for a Building</t>
  </si>
  <si>
    <t>FVVP-96</t>
  </si>
  <si>
    <t>[Internal - Cosmetic] Remove Phase Creation History from Chatter</t>
  </si>
  <si>
    <t>FVVP-95</t>
  </si>
  <si>
    <t>Update Building EOT Team Setup - Test Queues</t>
  </si>
  <si>
    <t>Sam Duncan</t>
  </si>
  <si>
    <t>628ca6c01e4f4b00681bc7a8</t>
  </si>
  <si>
    <t>FVVP-94</t>
  </si>
  <si>
    <t>Update Salesforce Unit Status - On the Market</t>
  </si>
  <si>
    <t>FVVP-88</t>
  </si>
  <si>
    <t>Update EOT Name</t>
  </si>
  <si>
    <t>FVVP-85</t>
  </si>
  <si>
    <t>Dashboard - See New Voids Confirmed for Sale</t>
  </si>
  <si>
    <t>FVVP-84</t>
  </si>
  <si>
    <t xml:space="preserve">[Internal - Cosmetic] Update Help Text </t>
  </si>
  <si>
    <t>FVVP-80</t>
  </si>
  <si>
    <t>Task Lists - See Open Tasks for Users &amp; Teams</t>
  </si>
  <si>
    <t>Column1</t>
  </si>
  <si>
    <t>UAT Feedback</t>
  </si>
  <si>
    <t>Scope Creep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</si>
</sst>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24"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57ABDC-082D-4B88-90A7-071144C7BC76}" autoFormatId="16" applyNumberFormats="0" applyBorderFormats="0" applyFontFormats="0" applyPatternFormats="0" applyAlignmentFormats="0" applyWidthHeightFormats="0">
  <queryTableRefresh nextId="24" unboundColumnsRight="3">
    <queryTableFields count="23">
      <queryTableField id="1" name="Issue Type" tableColumnId="1"/>
      <queryTableField id="2" name="Issue key" tableColumnId="2"/>
      <queryTableField id="3" name="Issue id" tableColumnId="3"/>
      <queryTableField id="4" name="Summary" tableColumnId="4"/>
      <queryTableField id="5" name="Assignee" tableColumnId="5"/>
      <queryTableField id="6" name="Assignee Id" tableColumnId="6"/>
      <queryTableField id="7" name="Priority" tableColumnId="7"/>
      <queryTableField id="8" name="Status" tableColumnId="8"/>
      <queryTableField id="9" name="Resolution" tableColumnId="9"/>
      <queryTableField id="10" name="Created" tableColumnId="10"/>
      <queryTableField id="11" name="Updated" tableColumnId="11"/>
      <queryTableField id="12" name="Due date" tableColumnId="12"/>
      <queryTableField id="13" name="Labels" tableColumnId="13"/>
      <queryTableField id="14" name="Labels_1" tableColumnId="14"/>
      <queryTableField id="15" name="Labels_2" tableColumnId="15"/>
      <queryTableField id="16" name="Labels_3" tableColumnId="16"/>
      <queryTableField id="17" name="Labels_4" tableColumnId="17"/>
      <queryTableField id="18" name="Labels_5" tableColumnId="18"/>
      <queryTableField id="19" name="Labels_6" tableColumnId="19"/>
      <queryTableField id="20" name="Custom field (Story Points)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8A14D-F27E-46A2-B334-958FEF29589E}" name="SB_Sprint_3_User_Stories___Bugs__Jira" displayName="SB_Sprint_3_User_Stories___Bugs__Jira" ref="A1:W77" tableType="queryTable" totalsRowCount="1">
  <autoFilter ref="A1:W76" xr:uid="{81E8A14D-F27E-46A2-B334-958FEF29589E}">
    <filterColumn colId="0">
      <filters>
        <filter val="Story"/>
      </filters>
    </filterColumn>
  </autoFilter>
  <tableColumns count="23">
    <tableColumn id="1" xr3:uid="{2917D795-7FAB-4B96-9880-81FDF227653D}" uniqueName="1" name="Issue Type" queryTableFieldId="1" dataDxfId="23"/>
    <tableColumn id="2" xr3:uid="{4028A6B7-0831-416A-9FB7-6E6BC818A0E6}" uniqueName="2" name="Issue key" queryTableFieldId="2" dataDxfId="22"/>
    <tableColumn id="3" xr3:uid="{3A42150F-77C1-489E-9DB6-29BAF5B22971}" uniqueName="3" name="Issue id" queryTableFieldId="3"/>
    <tableColumn id="4" xr3:uid="{DC9BA389-A732-4367-A486-0CB96BE35D53}" uniqueName="4" name="Summary" queryTableFieldId="4" dataDxfId="21"/>
    <tableColumn id="5" xr3:uid="{C13C213C-5E5D-4272-AC93-512A660337A6}" uniqueName="5" name="Assignee" queryTableFieldId="5" dataDxfId="20"/>
    <tableColumn id="6" xr3:uid="{BAB86F0C-61D2-441A-90ED-3AC68D57B500}" uniqueName="6" name="Assignee Id" queryTableFieldId="6" dataDxfId="19"/>
    <tableColumn id="7" xr3:uid="{85F2B4CB-D0FC-479D-89E6-D5D8CF12F858}" uniqueName="7" name="Priority" queryTableFieldId="7" dataDxfId="18"/>
    <tableColumn id="8" xr3:uid="{A78EC5A5-B5FF-4A0B-8AAB-0908121230EA}" uniqueName="8" name="Status" queryTableFieldId="8" dataDxfId="17"/>
    <tableColumn id="9" xr3:uid="{7D6BF329-9A42-45A5-93E2-1168D6FA743D}" uniqueName="9" name="Resolution" queryTableFieldId="9" dataDxfId="16"/>
    <tableColumn id="10" xr3:uid="{282D618B-9D67-4EBE-8DD8-6EEBAF8B61E0}" uniqueName="10" name="Created" queryTableFieldId="10" dataDxfId="15" totalsRowDxfId="1"/>
    <tableColumn id="11" xr3:uid="{0494A2BC-02B6-4517-A50B-1F8BB619F80B}" uniqueName="11" name="Updated" queryTableFieldId="11" dataDxfId="14" totalsRowDxfId="0"/>
    <tableColumn id="12" xr3:uid="{76C72C01-43CD-4443-B5E3-5A0AC1146B95}" uniqueName="12" name="Due date" queryTableFieldId="12" dataDxfId="13"/>
    <tableColumn id="13" xr3:uid="{B2E2CD2B-0DCA-40F3-8E2D-148B89F65294}" uniqueName="13" name="Labels" queryTableFieldId="13" dataDxfId="12"/>
    <tableColumn id="14" xr3:uid="{0E9F3130-EBE1-4473-9AA7-C52E6C285813}" uniqueName="14" name="Labels_1" queryTableFieldId="14" dataDxfId="11"/>
    <tableColumn id="15" xr3:uid="{3B0A7C61-8AF8-47CE-9060-0E1543FE9999}" uniqueName="15" name="Labels_2" queryTableFieldId="15" dataDxfId="10"/>
    <tableColumn id="16" xr3:uid="{39CCDE28-87AC-427A-A514-57348EF15642}" uniqueName="16" name="Labels_3" queryTableFieldId="16" dataDxfId="9"/>
    <tableColumn id="17" xr3:uid="{96401F79-624E-4F30-BF0C-8DDBC92AA5D2}" uniqueName="17" name="Labels_4" queryTableFieldId="17" dataDxfId="8"/>
    <tableColumn id="18" xr3:uid="{03099134-E2A4-46E5-A98D-18312F830774}" uniqueName="18" name="Labels_5" queryTableFieldId="18" dataDxfId="7"/>
    <tableColumn id="19" xr3:uid="{78EDC13F-15A1-4CA7-9F25-CE6BF930969B}" uniqueName="19" name="Labels_6" queryTableFieldId="19" dataDxfId="6"/>
    <tableColumn id="20" xr3:uid="{B4E7036F-D11C-4416-8CE6-921324C00E6D}" uniqueName="20" name="Custom field (Story Points)" queryTableFieldId="20" dataDxfId="5"/>
    <tableColumn id="21" xr3:uid="{69900803-012A-4C53-8C7C-4724750F51DB}" uniqueName="21" name="Column1" totalsRowFunction="custom" queryTableFieldId="21" dataDxfId="4">
      <totalsRowFormula>SUM(U43:U76)</totalsRowFormula>
    </tableColumn>
    <tableColumn id="22" xr3:uid="{869B3620-74E2-47D2-BE2E-CCF85D7A89DC}" uniqueName="22" name="UAT Feedback" totalsRowFunction="custom" queryTableFieldId="22" dataDxfId="3">
      <totalsRowFormula>SUM(V43:V76)</totalsRowFormula>
    </tableColumn>
    <tableColumn id="23" xr3:uid="{0186D3FA-96CC-49EC-B8AA-8427A30FBD46}" uniqueName="23" name="Scope Creep" totalsRowFunction="custom" queryTableFieldId="23" dataDxfId="2">
      <totalsRowFormula>SUM(W43:W76)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BA09-5BF4-4DC0-B172-245789A0C6D9}">
  <dimension ref="A1:W77"/>
  <sheetViews>
    <sheetView tabSelected="1" workbookViewId="0">
      <selection activeCell="D69" sqref="D69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0" bestFit="1" customWidth="1"/>
    <col min="4" max="4" width="81.140625" bestFit="1" customWidth="1"/>
    <col min="5" max="5" width="26.42578125" hidden="1" customWidth="1"/>
    <col min="6" max="6" width="44.140625" hidden="1" customWidth="1"/>
    <col min="7" max="7" width="9.85546875" hidden="1" customWidth="1"/>
    <col min="8" max="8" width="8.7109375" bestFit="1" customWidth="1"/>
    <col min="9" max="9" width="12.85546875" hidden="1" customWidth="1"/>
    <col min="10" max="11" width="15.85546875" hidden="1" customWidth="1"/>
    <col min="12" max="12" width="11.28515625" hidden="1" customWidth="1"/>
    <col min="13" max="13" width="14.42578125" bestFit="1" customWidth="1"/>
    <col min="14" max="14" width="11.5703125" bestFit="1" customWidth="1"/>
    <col min="15" max="17" width="19.7109375" bestFit="1" customWidth="1"/>
    <col min="18" max="19" width="15.85546875" bestFit="1" customWidth="1"/>
    <col min="20" max="20" width="27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200</v>
      </c>
      <c r="V1" t="s">
        <v>201</v>
      </c>
      <c r="W1" t="s">
        <v>202</v>
      </c>
    </row>
    <row r="2" spans="1:23" hidden="1" x14ac:dyDescent="0.25">
      <c r="A2" t="s">
        <v>20</v>
      </c>
      <c r="B2" t="s">
        <v>21</v>
      </c>
      <c r="C2">
        <v>34926</v>
      </c>
      <c r="D2" t="s">
        <v>22</v>
      </c>
      <c r="E2" t="s">
        <v>23</v>
      </c>
      <c r="F2" t="s">
        <v>23</v>
      </c>
      <c r="G2" t="s">
        <v>24</v>
      </c>
      <c r="H2" t="s">
        <v>25</v>
      </c>
      <c r="I2" t="s">
        <v>25</v>
      </c>
      <c r="J2" s="1">
        <v>40140.724999999999</v>
      </c>
      <c r="K2" s="1">
        <v>40140.729861111111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</row>
    <row r="3" spans="1:23" hidden="1" x14ac:dyDescent="0.25">
      <c r="A3" t="s">
        <v>20</v>
      </c>
      <c r="B3" t="s">
        <v>26</v>
      </c>
      <c r="C3">
        <v>34924</v>
      </c>
      <c r="D3" t="s">
        <v>27</v>
      </c>
      <c r="E3" t="s">
        <v>28</v>
      </c>
      <c r="F3" t="s">
        <v>29</v>
      </c>
      <c r="G3" t="s">
        <v>24</v>
      </c>
      <c r="H3" t="s">
        <v>25</v>
      </c>
      <c r="I3" t="s">
        <v>25</v>
      </c>
      <c r="J3" s="1">
        <v>40140.70208333333</v>
      </c>
      <c r="K3" s="1">
        <v>40505.452777777777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30</v>
      </c>
    </row>
    <row r="4" spans="1:23" hidden="1" x14ac:dyDescent="0.25">
      <c r="A4" t="s">
        <v>20</v>
      </c>
      <c r="B4" t="s">
        <v>31</v>
      </c>
      <c r="C4">
        <v>34917</v>
      </c>
      <c r="D4" t="s">
        <v>32</v>
      </c>
      <c r="E4" t="s">
        <v>33</v>
      </c>
      <c r="F4" t="s">
        <v>34</v>
      </c>
      <c r="G4" t="s">
        <v>24</v>
      </c>
      <c r="H4" t="s">
        <v>25</v>
      </c>
      <c r="I4" t="s">
        <v>25</v>
      </c>
      <c r="J4" s="1">
        <v>40140.468055555553</v>
      </c>
      <c r="K4" s="1">
        <v>40140.493055555555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3" hidden="1" x14ac:dyDescent="0.25">
      <c r="A5" t="s">
        <v>20</v>
      </c>
      <c r="B5" t="s">
        <v>35</v>
      </c>
      <c r="C5">
        <v>34915</v>
      </c>
      <c r="D5" t="s">
        <v>36</v>
      </c>
      <c r="E5" t="s">
        <v>33</v>
      </c>
      <c r="F5" t="s">
        <v>34</v>
      </c>
      <c r="G5" t="s">
        <v>24</v>
      </c>
      <c r="H5" t="s">
        <v>25</v>
      </c>
      <c r="I5" t="s">
        <v>25</v>
      </c>
      <c r="J5" s="1">
        <v>39775.762499999997</v>
      </c>
      <c r="K5" s="1">
        <v>40140.520833333336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</row>
    <row r="6" spans="1:23" hidden="1" x14ac:dyDescent="0.25">
      <c r="A6" t="s">
        <v>20</v>
      </c>
      <c r="B6" t="s">
        <v>37</v>
      </c>
      <c r="C6">
        <v>34914</v>
      </c>
      <c r="D6" t="s">
        <v>38</v>
      </c>
      <c r="E6" t="s">
        <v>33</v>
      </c>
      <c r="F6" t="s">
        <v>34</v>
      </c>
      <c r="G6" t="s">
        <v>24</v>
      </c>
      <c r="H6" t="s">
        <v>25</v>
      </c>
      <c r="I6" t="s">
        <v>25</v>
      </c>
      <c r="J6" s="1">
        <v>39775.758333333331</v>
      </c>
      <c r="K6" s="1">
        <v>40140.722222222219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</row>
    <row r="7" spans="1:23" hidden="1" x14ac:dyDescent="0.25">
      <c r="A7" t="s">
        <v>20</v>
      </c>
      <c r="B7" t="s">
        <v>39</v>
      </c>
      <c r="C7">
        <v>34913</v>
      </c>
      <c r="D7" t="s">
        <v>40</v>
      </c>
      <c r="E7" t="s">
        <v>33</v>
      </c>
      <c r="F7" t="s">
        <v>34</v>
      </c>
      <c r="G7" t="s">
        <v>24</v>
      </c>
      <c r="H7" t="s">
        <v>25</v>
      </c>
      <c r="I7" t="s">
        <v>25</v>
      </c>
      <c r="J7" s="1">
        <v>39775.755555555559</v>
      </c>
      <c r="K7" s="1">
        <v>40140.719444444447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3" hidden="1" x14ac:dyDescent="0.25">
      <c r="A8" t="s">
        <v>20</v>
      </c>
      <c r="B8" t="s">
        <v>41</v>
      </c>
      <c r="C8">
        <v>34912</v>
      </c>
      <c r="D8" t="s">
        <v>42</v>
      </c>
      <c r="E8" t="s">
        <v>33</v>
      </c>
      <c r="F8" t="s">
        <v>34</v>
      </c>
      <c r="G8" t="s">
        <v>24</v>
      </c>
      <c r="H8" t="s">
        <v>25</v>
      </c>
      <c r="I8" t="s">
        <v>25</v>
      </c>
      <c r="J8" s="1">
        <v>39775.754861111112</v>
      </c>
      <c r="K8" s="1">
        <v>40140.525000000001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</row>
    <row r="9" spans="1:23" hidden="1" x14ac:dyDescent="0.25">
      <c r="A9" t="s">
        <v>20</v>
      </c>
      <c r="B9" t="s">
        <v>43</v>
      </c>
      <c r="C9">
        <v>34911</v>
      </c>
      <c r="D9" t="s">
        <v>44</v>
      </c>
      <c r="E9" t="s">
        <v>33</v>
      </c>
      <c r="F9" t="s">
        <v>34</v>
      </c>
      <c r="G9" t="s">
        <v>24</v>
      </c>
      <c r="H9" t="s">
        <v>25</v>
      </c>
      <c r="I9" t="s">
        <v>25</v>
      </c>
      <c r="J9" s="1">
        <v>39775.749305555553</v>
      </c>
      <c r="K9" s="1">
        <v>40140.577777777777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</row>
    <row r="10" spans="1:23" hidden="1" x14ac:dyDescent="0.25">
      <c r="A10" t="s">
        <v>20</v>
      </c>
      <c r="B10" t="s">
        <v>45</v>
      </c>
      <c r="C10">
        <v>34909</v>
      </c>
      <c r="D10" t="s">
        <v>46</v>
      </c>
      <c r="E10" t="s">
        <v>33</v>
      </c>
      <c r="F10" t="s">
        <v>34</v>
      </c>
      <c r="G10" t="s">
        <v>24</v>
      </c>
      <c r="H10" t="s">
        <v>25</v>
      </c>
      <c r="I10" t="s">
        <v>25</v>
      </c>
      <c r="J10" s="1">
        <v>39775.744444444441</v>
      </c>
      <c r="K10" s="1">
        <v>40140.702777777777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3" hidden="1" x14ac:dyDescent="0.25">
      <c r="A11" t="s">
        <v>20</v>
      </c>
      <c r="B11" t="s">
        <v>47</v>
      </c>
      <c r="C11">
        <v>34908</v>
      </c>
      <c r="D11" t="s">
        <v>48</v>
      </c>
      <c r="E11" t="s">
        <v>33</v>
      </c>
      <c r="F11" t="s">
        <v>34</v>
      </c>
      <c r="G11" t="s">
        <v>24</v>
      </c>
      <c r="H11" t="s">
        <v>25</v>
      </c>
      <c r="I11" t="s">
        <v>25</v>
      </c>
      <c r="J11" s="1">
        <v>39775.71875</v>
      </c>
      <c r="K11" s="1">
        <v>40140.691666666666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</row>
    <row r="12" spans="1:23" hidden="1" x14ac:dyDescent="0.25">
      <c r="A12" t="s">
        <v>20</v>
      </c>
      <c r="B12" t="s">
        <v>49</v>
      </c>
      <c r="C12">
        <v>34902</v>
      </c>
      <c r="D12" t="s">
        <v>50</v>
      </c>
      <c r="E12" t="s">
        <v>33</v>
      </c>
      <c r="F12" t="s">
        <v>34</v>
      </c>
      <c r="G12" t="s">
        <v>24</v>
      </c>
      <c r="H12" t="s">
        <v>25</v>
      </c>
      <c r="I12" t="s">
        <v>25</v>
      </c>
      <c r="J12" s="1">
        <v>39775.529861111114</v>
      </c>
      <c r="K12" s="1">
        <v>39775.59652777778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</row>
    <row r="13" spans="1:23" hidden="1" x14ac:dyDescent="0.25">
      <c r="A13" t="s">
        <v>20</v>
      </c>
      <c r="B13" t="s">
        <v>51</v>
      </c>
      <c r="C13">
        <v>34901</v>
      </c>
      <c r="D13" t="s">
        <v>52</v>
      </c>
      <c r="E13" t="s">
        <v>33</v>
      </c>
      <c r="F13" t="s">
        <v>34</v>
      </c>
      <c r="G13" t="s">
        <v>24</v>
      </c>
      <c r="H13" t="s">
        <v>25</v>
      </c>
      <c r="I13" t="s">
        <v>25</v>
      </c>
      <c r="J13" s="1">
        <v>39775.523611111108</v>
      </c>
      <c r="K13" s="1">
        <v>39775.617361111108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3" hidden="1" x14ac:dyDescent="0.25">
      <c r="A14" t="s">
        <v>20</v>
      </c>
      <c r="B14" t="s">
        <v>53</v>
      </c>
      <c r="C14">
        <v>34897</v>
      </c>
      <c r="D14" t="s">
        <v>54</v>
      </c>
      <c r="E14" t="s">
        <v>33</v>
      </c>
      <c r="F14" t="s">
        <v>34</v>
      </c>
      <c r="G14" t="s">
        <v>24</v>
      </c>
      <c r="H14" t="s">
        <v>25</v>
      </c>
      <c r="I14" t="s">
        <v>25</v>
      </c>
      <c r="J14" s="1">
        <v>39775.441666666666</v>
      </c>
      <c r="K14" s="1">
        <v>39775.67083333333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</row>
    <row r="15" spans="1:23" hidden="1" x14ac:dyDescent="0.25">
      <c r="A15" t="s">
        <v>20</v>
      </c>
      <c r="B15" t="s">
        <v>55</v>
      </c>
      <c r="C15">
        <v>34894</v>
      </c>
      <c r="D15" t="s">
        <v>56</v>
      </c>
      <c r="E15" t="s">
        <v>33</v>
      </c>
      <c r="F15" t="s">
        <v>34</v>
      </c>
      <c r="G15" t="s">
        <v>24</v>
      </c>
      <c r="H15" t="s">
        <v>25</v>
      </c>
      <c r="I15" t="s">
        <v>25</v>
      </c>
      <c r="J15" s="1">
        <v>39409.701388888891</v>
      </c>
      <c r="K15" s="1">
        <v>39775.433333333334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</row>
    <row r="16" spans="1:23" hidden="1" x14ac:dyDescent="0.25">
      <c r="A16" t="s">
        <v>20</v>
      </c>
      <c r="B16" t="s">
        <v>57</v>
      </c>
      <c r="C16">
        <v>34880</v>
      </c>
      <c r="D16" t="s">
        <v>58</v>
      </c>
      <c r="E16" t="s">
        <v>33</v>
      </c>
      <c r="F16" t="s">
        <v>34</v>
      </c>
      <c r="G16" t="s">
        <v>24</v>
      </c>
      <c r="H16" t="s">
        <v>25</v>
      </c>
      <c r="I16" t="s">
        <v>25</v>
      </c>
      <c r="J16" s="1">
        <v>39044.711805555555</v>
      </c>
      <c r="K16" s="1">
        <v>39775.640277777777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hidden="1" x14ac:dyDescent="0.25">
      <c r="A17" t="s">
        <v>20</v>
      </c>
      <c r="B17" t="s">
        <v>59</v>
      </c>
      <c r="C17">
        <v>34877</v>
      </c>
      <c r="D17" t="s">
        <v>60</v>
      </c>
      <c r="E17" t="s">
        <v>33</v>
      </c>
      <c r="F17" t="s">
        <v>34</v>
      </c>
      <c r="G17" t="s">
        <v>24</v>
      </c>
      <c r="H17" t="s">
        <v>25</v>
      </c>
      <c r="I17" t="s">
        <v>25</v>
      </c>
      <c r="J17" s="1">
        <v>39044.663194444445</v>
      </c>
      <c r="K17" s="1">
        <v>39775.438194444447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</row>
    <row r="18" spans="1:20" hidden="1" x14ac:dyDescent="0.25">
      <c r="A18" t="s">
        <v>20</v>
      </c>
      <c r="B18" t="s">
        <v>61</v>
      </c>
      <c r="C18">
        <v>34876</v>
      </c>
      <c r="D18" t="s">
        <v>62</v>
      </c>
      <c r="E18" t="s">
        <v>33</v>
      </c>
      <c r="F18" t="s">
        <v>34</v>
      </c>
      <c r="G18" t="s">
        <v>24</v>
      </c>
      <c r="H18" t="s">
        <v>25</v>
      </c>
      <c r="I18" t="s">
        <v>25</v>
      </c>
      <c r="J18" s="1">
        <v>39044.613194444442</v>
      </c>
      <c r="K18" s="1">
        <v>39775.638888888891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</row>
    <row r="19" spans="1:20" hidden="1" x14ac:dyDescent="0.25">
      <c r="A19" t="s">
        <v>20</v>
      </c>
      <c r="B19" t="s">
        <v>63</v>
      </c>
      <c r="C19">
        <v>34875</v>
      </c>
      <c r="D19" t="s">
        <v>64</v>
      </c>
      <c r="E19" t="s">
        <v>33</v>
      </c>
      <c r="F19" t="s">
        <v>34</v>
      </c>
      <c r="G19" t="s">
        <v>24</v>
      </c>
      <c r="H19" t="s">
        <v>25</v>
      </c>
      <c r="I19" t="s">
        <v>25</v>
      </c>
      <c r="J19" s="1">
        <v>39044.611111111109</v>
      </c>
      <c r="K19" s="1">
        <v>39775.618055555555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</row>
    <row r="20" spans="1:20" hidden="1" x14ac:dyDescent="0.25">
      <c r="A20" t="s">
        <v>20</v>
      </c>
      <c r="B20" t="s">
        <v>65</v>
      </c>
      <c r="C20">
        <v>34874</v>
      </c>
      <c r="D20" t="s">
        <v>66</v>
      </c>
      <c r="E20" t="s">
        <v>33</v>
      </c>
      <c r="F20" t="s">
        <v>34</v>
      </c>
      <c r="G20" t="s">
        <v>24</v>
      </c>
      <c r="H20" t="s">
        <v>25</v>
      </c>
      <c r="I20" t="s">
        <v>25</v>
      </c>
      <c r="J20" s="1">
        <v>39044.606944444444</v>
      </c>
      <c r="K20" s="1">
        <v>39775.46875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</row>
    <row r="21" spans="1:20" hidden="1" x14ac:dyDescent="0.25">
      <c r="A21" t="s">
        <v>20</v>
      </c>
      <c r="B21" t="s">
        <v>67</v>
      </c>
      <c r="C21">
        <v>34873</v>
      </c>
      <c r="D21" t="s">
        <v>68</v>
      </c>
      <c r="E21" t="s">
        <v>33</v>
      </c>
      <c r="F21" t="s">
        <v>34</v>
      </c>
      <c r="G21" t="s">
        <v>24</v>
      </c>
      <c r="H21" t="s">
        <v>25</v>
      </c>
      <c r="I21" t="s">
        <v>25</v>
      </c>
      <c r="J21" s="1">
        <v>39044.604166666664</v>
      </c>
      <c r="K21" s="1">
        <v>39409.632638888892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</row>
    <row r="22" spans="1:20" hidden="1" x14ac:dyDescent="0.25">
      <c r="A22" t="s">
        <v>20</v>
      </c>
      <c r="B22" t="s">
        <v>69</v>
      </c>
      <c r="C22">
        <v>34872</v>
      </c>
      <c r="D22" t="s">
        <v>62</v>
      </c>
      <c r="E22" t="s">
        <v>33</v>
      </c>
      <c r="F22" t="s">
        <v>34</v>
      </c>
      <c r="G22" t="s">
        <v>24</v>
      </c>
      <c r="H22" t="s">
        <v>25</v>
      </c>
      <c r="I22" t="s">
        <v>25</v>
      </c>
      <c r="J22" s="1">
        <v>39044.599305555559</v>
      </c>
      <c r="K22" s="1">
        <v>39775.629861111112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</row>
    <row r="23" spans="1:20" hidden="1" x14ac:dyDescent="0.25">
      <c r="A23" t="s">
        <v>20</v>
      </c>
      <c r="B23" t="s">
        <v>70</v>
      </c>
      <c r="C23">
        <v>34870</v>
      </c>
      <c r="D23" t="s">
        <v>71</v>
      </c>
      <c r="E23" t="s">
        <v>33</v>
      </c>
      <c r="F23" t="s">
        <v>34</v>
      </c>
      <c r="G23" t="s">
        <v>24</v>
      </c>
      <c r="H23" t="s">
        <v>25</v>
      </c>
      <c r="I23" t="s">
        <v>25</v>
      </c>
      <c r="J23" s="1">
        <v>39044.559027777781</v>
      </c>
      <c r="K23" s="1">
        <v>39409.47152777778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hidden="1" x14ac:dyDescent="0.25">
      <c r="A24" t="s">
        <v>20</v>
      </c>
      <c r="B24" t="s">
        <v>72</v>
      </c>
      <c r="C24">
        <v>34869</v>
      </c>
      <c r="D24" t="s">
        <v>73</v>
      </c>
      <c r="E24" t="s">
        <v>33</v>
      </c>
      <c r="F24" t="s">
        <v>34</v>
      </c>
      <c r="G24" t="s">
        <v>24</v>
      </c>
      <c r="H24" t="s">
        <v>25</v>
      </c>
      <c r="I24" t="s">
        <v>25</v>
      </c>
      <c r="J24" s="1">
        <v>39044.556944444441</v>
      </c>
      <c r="K24" s="1">
        <v>39044.720138888886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</row>
    <row r="25" spans="1:20" hidden="1" x14ac:dyDescent="0.25">
      <c r="A25" t="s">
        <v>20</v>
      </c>
      <c r="B25" t="s">
        <v>74</v>
      </c>
      <c r="C25">
        <v>34868</v>
      </c>
      <c r="D25" t="s">
        <v>75</v>
      </c>
      <c r="E25" t="s">
        <v>33</v>
      </c>
      <c r="F25" t="s">
        <v>34</v>
      </c>
      <c r="G25" t="s">
        <v>24</v>
      </c>
      <c r="H25" t="s">
        <v>25</v>
      </c>
      <c r="I25" t="s">
        <v>25</v>
      </c>
      <c r="J25" s="1">
        <v>39044.551388888889</v>
      </c>
      <c r="K25" s="1">
        <v>39409.631249999999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</row>
    <row r="26" spans="1:20" hidden="1" x14ac:dyDescent="0.25">
      <c r="A26" t="s">
        <v>20</v>
      </c>
      <c r="B26" t="s">
        <v>76</v>
      </c>
      <c r="C26">
        <v>34864</v>
      </c>
      <c r="D26" t="s">
        <v>77</v>
      </c>
      <c r="E26" t="s">
        <v>33</v>
      </c>
      <c r="F26" t="s">
        <v>34</v>
      </c>
      <c r="G26" t="s">
        <v>24</v>
      </c>
      <c r="H26" t="s">
        <v>25</v>
      </c>
      <c r="I26" t="s">
        <v>25</v>
      </c>
      <c r="J26" s="1">
        <v>39044.50277777778</v>
      </c>
      <c r="K26" s="1">
        <v>40505.574999999997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</row>
    <row r="27" spans="1:20" hidden="1" x14ac:dyDescent="0.25">
      <c r="A27" t="s">
        <v>20</v>
      </c>
      <c r="B27" t="s">
        <v>78</v>
      </c>
      <c r="C27">
        <v>34863</v>
      </c>
      <c r="D27" t="s">
        <v>79</v>
      </c>
      <c r="E27" t="s">
        <v>23</v>
      </c>
      <c r="F27" t="s">
        <v>23</v>
      </c>
      <c r="G27" t="s">
        <v>24</v>
      </c>
      <c r="H27" t="s">
        <v>25</v>
      </c>
      <c r="I27" t="s">
        <v>25</v>
      </c>
      <c r="J27" s="1">
        <v>39044.447916666664</v>
      </c>
      <c r="K27" s="1">
        <v>39044.457638888889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</row>
    <row r="28" spans="1:20" hidden="1" x14ac:dyDescent="0.25">
      <c r="A28" t="s">
        <v>20</v>
      </c>
      <c r="B28" t="s">
        <v>80</v>
      </c>
      <c r="C28">
        <v>34862</v>
      </c>
      <c r="D28" t="s">
        <v>81</v>
      </c>
      <c r="E28" t="s">
        <v>33</v>
      </c>
      <c r="F28" t="s">
        <v>34</v>
      </c>
      <c r="G28" t="s">
        <v>24</v>
      </c>
      <c r="H28" t="s">
        <v>25</v>
      </c>
      <c r="I28" t="s">
        <v>25</v>
      </c>
      <c r="J28" s="1">
        <v>39044.444444444445</v>
      </c>
      <c r="K28" s="1">
        <v>39409.525694444441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</row>
    <row r="29" spans="1:20" hidden="1" x14ac:dyDescent="0.25">
      <c r="A29" t="s">
        <v>20</v>
      </c>
      <c r="B29" t="s">
        <v>82</v>
      </c>
      <c r="C29">
        <v>34861</v>
      </c>
      <c r="D29" t="s">
        <v>83</v>
      </c>
      <c r="E29" t="s">
        <v>33</v>
      </c>
      <c r="F29" t="s">
        <v>34</v>
      </c>
      <c r="G29" t="s">
        <v>24</v>
      </c>
      <c r="H29" t="s">
        <v>25</v>
      </c>
      <c r="I29" t="s">
        <v>25</v>
      </c>
      <c r="J29" s="1">
        <v>39044.438888888886</v>
      </c>
      <c r="K29" s="1">
        <v>40140.402083333334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</row>
    <row r="30" spans="1:20" hidden="1" x14ac:dyDescent="0.25">
      <c r="A30" t="s">
        <v>20</v>
      </c>
      <c r="B30" t="s">
        <v>84</v>
      </c>
      <c r="C30">
        <v>34836</v>
      </c>
      <c r="D30" t="s">
        <v>85</v>
      </c>
      <c r="E30" t="s">
        <v>33</v>
      </c>
      <c r="F30" t="s">
        <v>34</v>
      </c>
      <c r="G30" t="s">
        <v>24</v>
      </c>
      <c r="H30" t="s">
        <v>25</v>
      </c>
      <c r="I30" t="s">
        <v>25</v>
      </c>
      <c r="J30" s="1">
        <v>37948.615277777775</v>
      </c>
      <c r="K30" s="1">
        <v>39775.472916666666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</row>
    <row r="31" spans="1:20" hidden="1" x14ac:dyDescent="0.25">
      <c r="A31" t="s">
        <v>20</v>
      </c>
      <c r="B31" t="s">
        <v>86</v>
      </c>
      <c r="C31">
        <v>34803</v>
      </c>
      <c r="D31" t="s">
        <v>87</v>
      </c>
      <c r="E31" t="s">
        <v>33</v>
      </c>
      <c r="F31" t="s">
        <v>34</v>
      </c>
      <c r="G31" t="s">
        <v>24</v>
      </c>
      <c r="H31" t="s">
        <v>25</v>
      </c>
      <c r="I31" t="s">
        <v>25</v>
      </c>
      <c r="J31" s="1">
        <v>37583.534722222219</v>
      </c>
      <c r="K31" s="1">
        <v>39044.63958333333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</row>
    <row r="32" spans="1:20" hidden="1" x14ac:dyDescent="0.25">
      <c r="A32" t="s">
        <v>20</v>
      </c>
      <c r="B32" t="s">
        <v>88</v>
      </c>
      <c r="C32">
        <v>34705</v>
      </c>
      <c r="D32" t="s">
        <v>89</v>
      </c>
      <c r="E32" t="s">
        <v>33</v>
      </c>
      <c r="F32" t="s">
        <v>34</v>
      </c>
      <c r="G32" t="s">
        <v>24</v>
      </c>
      <c r="H32" t="s">
        <v>25</v>
      </c>
      <c r="I32" t="s">
        <v>25</v>
      </c>
      <c r="J32" s="1">
        <v>47779.661111111112</v>
      </c>
      <c r="K32" s="1">
        <v>37218.459722222222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1" hidden="1" x14ac:dyDescent="0.25">
      <c r="A33" t="s">
        <v>20</v>
      </c>
      <c r="B33" t="s">
        <v>90</v>
      </c>
      <c r="C33">
        <v>34684</v>
      </c>
      <c r="D33" t="s">
        <v>91</v>
      </c>
      <c r="E33" t="s">
        <v>23</v>
      </c>
      <c r="F33" t="s">
        <v>23</v>
      </c>
      <c r="G33" t="s">
        <v>24</v>
      </c>
      <c r="H33" t="s">
        <v>25</v>
      </c>
      <c r="I33" t="s">
        <v>25</v>
      </c>
      <c r="J33" s="1">
        <v>46683.706944444442</v>
      </c>
      <c r="K33" s="1">
        <v>47779.627083333333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1" hidden="1" x14ac:dyDescent="0.25">
      <c r="A34" t="s">
        <v>20</v>
      </c>
      <c r="B34" t="s">
        <v>92</v>
      </c>
      <c r="C34">
        <v>34683</v>
      </c>
      <c r="D34" t="s">
        <v>93</v>
      </c>
      <c r="E34" t="s">
        <v>23</v>
      </c>
      <c r="F34" t="s">
        <v>23</v>
      </c>
      <c r="G34" t="s">
        <v>24</v>
      </c>
      <c r="H34" t="s">
        <v>25</v>
      </c>
      <c r="I34" t="s">
        <v>25</v>
      </c>
      <c r="J34" s="1">
        <v>46683.677777777775</v>
      </c>
      <c r="K34" s="1">
        <v>47779.481944444444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</row>
    <row r="35" spans="1:21" hidden="1" x14ac:dyDescent="0.25">
      <c r="A35" t="s">
        <v>20</v>
      </c>
      <c r="B35" t="s">
        <v>94</v>
      </c>
      <c r="C35">
        <v>34682</v>
      </c>
      <c r="D35" t="s">
        <v>95</v>
      </c>
      <c r="E35" t="s">
        <v>23</v>
      </c>
      <c r="F35" t="s">
        <v>23</v>
      </c>
      <c r="G35" t="s">
        <v>24</v>
      </c>
      <c r="H35" t="s">
        <v>25</v>
      </c>
      <c r="I35" t="s">
        <v>25</v>
      </c>
      <c r="J35" s="1">
        <v>46683.670138888891</v>
      </c>
      <c r="K35" s="1">
        <v>47779.462500000001</v>
      </c>
      <c r="L35" t="s">
        <v>23</v>
      </c>
      <c r="M35" t="s">
        <v>96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</row>
    <row r="36" spans="1:21" hidden="1" x14ac:dyDescent="0.25">
      <c r="A36" t="s">
        <v>20</v>
      </c>
      <c r="B36" t="s">
        <v>97</v>
      </c>
      <c r="C36">
        <v>34681</v>
      </c>
      <c r="D36" t="s">
        <v>98</v>
      </c>
      <c r="E36" t="s">
        <v>23</v>
      </c>
      <c r="F36" t="s">
        <v>23</v>
      </c>
      <c r="G36" t="s">
        <v>24</v>
      </c>
      <c r="H36" t="s">
        <v>25</v>
      </c>
      <c r="I36" t="s">
        <v>25</v>
      </c>
      <c r="J36" s="1">
        <v>46683.667361111111</v>
      </c>
      <c r="K36" s="1">
        <v>47779.461805555555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</row>
    <row r="37" spans="1:21" hidden="1" x14ac:dyDescent="0.25">
      <c r="A37" t="s">
        <v>20</v>
      </c>
      <c r="B37" t="s">
        <v>99</v>
      </c>
      <c r="C37">
        <v>34680</v>
      </c>
      <c r="D37" t="s">
        <v>100</v>
      </c>
      <c r="E37" t="s">
        <v>33</v>
      </c>
      <c r="F37" t="s">
        <v>34</v>
      </c>
      <c r="G37" t="s">
        <v>24</v>
      </c>
      <c r="H37" t="s">
        <v>25</v>
      </c>
      <c r="I37" t="s">
        <v>25</v>
      </c>
      <c r="J37" s="1">
        <v>46683.660416666666</v>
      </c>
      <c r="K37" s="1">
        <v>37948.426388888889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</row>
    <row r="38" spans="1:21" hidden="1" x14ac:dyDescent="0.25">
      <c r="A38" t="s">
        <v>20</v>
      </c>
      <c r="B38" t="s">
        <v>101</v>
      </c>
      <c r="C38">
        <v>34679</v>
      </c>
      <c r="D38" t="s">
        <v>102</v>
      </c>
      <c r="E38" t="s">
        <v>33</v>
      </c>
      <c r="F38" t="s">
        <v>34</v>
      </c>
      <c r="G38" t="s">
        <v>103</v>
      </c>
      <c r="H38" t="s">
        <v>25</v>
      </c>
      <c r="I38" t="s">
        <v>25</v>
      </c>
      <c r="J38" s="1">
        <v>46683.649305555555</v>
      </c>
      <c r="K38" s="1">
        <v>39775.71597222222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</row>
    <row r="39" spans="1:21" hidden="1" x14ac:dyDescent="0.25">
      <c r="A39" t="s">
        <v>20</v>
      </c>
      <c r="B39" t="s">
        <v>104</v>
      </c>
      <c r="C39">
        <v>34676</v>
      </c>
      <c r="D39" t="s">
        <v>91</v>
      </c>
      <c r="E39" t="s">
        <v>23</v>
      </c>
      <c r="F39" t="s">
        <v>23</v>
      </c>
      <c r="G39" t="s">
        <v>24</v>
      </c>
      <c r="H39" t="s">
        <v>25</v>
      </c>
      <c r="I39" t="s">
        <v>25</v>
      </c>
      <c r="J39" s="1">
        <v>46683.628472222219</v>
      </c>
      <c r="K39" s="1">
        <v>47779.627083333333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</row>
    <row r="40" spans="1:21" hidden="1" x14ac:dyDescent="0.25">
      <c r="A40" t="s">
        <v>20</v>
      </c>
      <c r="B40" t="s">
        <v>105</v>
      </c>
      <c r="C40">
        <v>34646</v>
      </c>
      <c r="D40" t="s">
        <v>106</v>
      </c>
      <c r="E40" t="s">
        <v>33</v>
      </c>
      <c r="F40" t="s">
        <v>34</v>
      </c>
      <c r="G40" t="s">
        <v>24</v>
      </c>
      <c r="H40" t="s">
        <v>25</v>
      </c>
      <c r="I40" t="s">
        <v>25</v>
      </c>
      <c r="J40" s="1">
        <v>46318.625694444447</v>
      </c>
      <c r="K40" s="1">
        <v>47779.669444444444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1" hidden="1" x14ac:dyDescent="0.25">
      <c r="A41" t="s">
        <v>20</v>
      </c>
      <c r="B41" t="s">
        <v>107</v>
      </c>
      <c r="C41">
        <v>34605</v>
      </c>
      <c r="D41" t="s">
        <v>108</v>
      </c>
      <c r="E41" t="s">
        <v>33</v>
      </c>
      <c r="F41" t="s">
        <v>34</v>
      </c>
      <c r="G41" t="s">
        <v>24</v>
      </c>
      <c r="H41" t="s">
        <v>25</v>
      </c>
      <c r="I41" t="s">
        <v>25</v>
      </c>
      <c r="J41" s="1">
        <v>45588.634722222225</v>
      </c>
      <c r="K41" s="1">
        <v>39409.422222222223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1" hidden="1" x14ac:dyDescent="0.25">
      <c r="A42" t="s">
        <v>20</v>
      </c>
      <c r="B42" t="s">
        <v>109</v>
      </c>
      <c r="C42">
        <v>34590</v>
      </c>
      <c r="D42" t="s">
        <v>110</v>
      </c>
      <c r="E42" t="s">
        <v>33</v>
      </c>
      <c r="F42" t="s">
        <v>34</v>
      </c>
      <c r="G42" t="s">
        <v>24</v>
      </c>
      <c r="H42" t="s">
        <v>25</v>
      </c>
      <c r="I42" t="s">
        <v>25</v>
      </c>
      <c r="J42" s="1">
        <v>44127.693055555559</v>
      </c>
      <c r="K42" s="1">
        <v>37948.43472222222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</row>
    <row r="43" spans="1:21" hidden="1" x14ac:dyDescent="0.25">
      <c r="A43" t="s">
        <v>20</v>
      </c>
      <c r="B43" t="s">
        <v>111</v>
      </c>
      <c r="C43">
        <v>34555</v>
      </c>
      <c r="D43" t="s">
        <v>112</v>
      </c>
      <c r="E43" t="s">
        <v>33</v>
      </c>
      <c r="F43" t="s">
        <v>34</v>
      </c>
      <c r="G43" t="s">
        <v>24</v>
      </c>
      <c r="H43" t="s">
        <v>25</v>
      </c>
      <c r="I43" t="s">
        <v>25</v>
      </c>
      <c r="J43" s="1">
        <v>41570.595138888886</v>
      </c>
      <c r="K43" s="1">
        <v>40140.69027777778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113</v>
      </c>
      <c r="U43">
        <v>2</v>
      </c>
    </row>
    <row r="44" spans="1:21" hidden="1" x14ac:dyDescent="0.25">
      <c r="A44" t="s">
        <v>20</v>
      </c>
      <c r="B44" t="s">
        <v>114</v>
      </c>
      <c r="C44">
        <v>34515</v>
      </c>
      <c r="D44" t="s">
        <v>115</v>
      </c>
      <c r="E44" t="s">
        <v>33</v>
      </c>
      <c r="F44" t="s">
        <v>34</v>
      </c>
      <c r="G44" t="s">
        <v>24</v>
      </c>
      <c r="H44" t="s">
        <v>25</v>
      </c>
      <c r="I44" t="s">
        <v>25</v>
      </c>
      <c r="J44" s="1">
        <v>38283.606944444444</v>
      </c>
      <c r="K44" s="1">
        <v>39044.663194444445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</row>
    <row r="45" spans="1:21" x14ac:dyDescent="0.25">
      <c r="A45" t="s">
        <v>116</v>
      </c>
      <c r="B45" t="s">
        <v>117</v>
      </c>
      <c r="C45">
        <v>33434</v>
      </c>
      <c r="D45" t="s">
        <v>118</v>
      </c>
      <c r="E45" t="s">
        <v>33</v>
      </c>
      <c r="F45" t="s">
        <v>34</v>
      </c>
      <c r="G45" t="s">
        <v>24</v>
      </c>
      <c r="H45" t="s">
        <v>25</v>
      </c>
      <c r="I45" t="s">
        <v>25</v>
      </c>
      <c r="J45" s="1">
        <v>37065.584027777775</v>
      </c>
      <c r="K45" s="1">
        <v>40505.704861111109</v>
      </c>
      <c r="L45" t="s">
        <v>23</v>
      </c>
      <c r="M45" t="s">
        <v>119</v>
      </c>
      <c r="N45" t="s">
        <v>120</v>
      </c>
      <c r="O45" t="s">
        <v>121</v>
      </c>
      <c r="P45" t="s">
        <v>122</v>
      </c>
      <c r="Q45" t="s">
        <v>123</v>
      </c>
      <c r="R45" t="s">
        <v>124</v>
      </c>
      <c r="S45" t="s">
        <v>23</v>
      </c>
      <c r="T45" t="s">
        <v>125</v>
      </c>
      <c r="U45">
        <v>3</v>
      </c>
    </row>
    <row r="46" spans="1:21" x14ac:dyDescent="0.25">
      <c r="A46" t="s">
        <v>116</v>
      </c>
      <c r="B46" t="s">
        <v>126</v>
      </c>
      <c r="C46">
        <v>33427</v>
      </c>
      <c r="D46" t="s">
        <v>127</v>
      </c>
      <c r="E46" t="s">
        <v>128</v>
      </c>
      <c r="F46" t="s">
        <v>129</v>
      </c>
      <c r="G46" t="s">
        <v>24</v>
      </c>
      <c r="H46" t="s">
        <v>25</v>
      </c>
      <c r="I46" t="s">
        <v>25</v>
      </c>
      <c r="J46" s="1">
        <v>37065.584027777775</v>
      </c>
      <c r="K46" s="1">
        <v>40505.57708333333</v>
      </c>
      <c r="L46" t="s">
        <v>23</v>
      </c>
      <c r="M46" t="s">
        <v>130</v>
      </c>
      <c r="N46" t="s">
        <v>131</v>
      </c>
      <c r="O46" t="s">
        <v>121</v>
      </c>
      <c r="P46" t="s">
        <v>23</v>
      </c>
      <c r="Q46" t="s">
        <v>23</v>
      </c>
      <c r="R46" t="s">
        <v>23</v>
      </c>
      <c r="S46" t="s">
        <v>23</v>
      </c>
      <c r="T46" t="s">
        <v>132</v>
      </c>
      <c r="U46">
        <v>1</v>
      </c>
    </row>
    <row r="47" spans="1:21" x14ac:dyDescent="0.25">
      <c r="A47" t="s">
        <v>116</v>
      </c>
      <c r="B47" t="s">
        <v>133</v>
      </c>
      <c r="C47">
        <v>33426</v>
      </c>
      <c r="D47" t="s">
        <v>134</v>
      </c>
      <c r="E47" t="s">
        <v>33</v>
      </c>
      <c r="F47" t="s">
        <v>34</v>
      </c>
      <c r="G47" t="s">
        <v>24</v>
      </c>
      <c r="H47" t="s">
        <v>25</v>
      </c>
      <c r="I47" t="s">
        <v>25</v>
      </c>
      <c r="J47" s="1">
        <v>37065.584027777775</v>
      </c>
      <c r="K47" s="1">
        <v>42331.59652777778</v>
      </c>
      <c r="L47" t="s">
        <v>23</v>
      </c>
      <c r="M47" t="s">
        <v>119</v>
      </c>
      <c r="N47" t="s">
        <v>120</v>
      </c>
      <c r="O47" t="s">
        <v>130</v>
      </c>
      <c r="P47" t="s">
        <v>121</v>
      </c>
      <c r="Q47" t="s">
        <v>122</v>
      </c>
      <c r="R47" t="s">
        <v>123</v>
      </c>
      <c r="S47" t="s">
        <v>23</v>
      </c>
      <c r="T47" t="s">
        <v>113</v>
      </c>
      <c r="U47">
        <v>2</v>
      </c>
    </row>
    <row r="48" spans="1:21" x14ac:dyDescent="0.25">
      <c r="A48" t="s">
        <v>116</v>
      </c>
      <c r="B48" t="s">
        <v>135</v>
      </c>
      <c r="C48">
        <v>33420</v>
      </c>
      <c r="D48" t="s">
        <v>136</v>
      </c>
      <c r="E48" t="s">
        <v>33</v>
      </c>
      <c r="F48" t="s">
        <v>34</v>
      </c>
      <c r="G48" t="s">
        <v>24</v>
      </c>
      <c r="H48" t="s">
        <v>25</v>
      </c>
      <c r="I48" t="s">
        <v>25</v>
      </c>
      <c r="J48" s="1">
        <v>37065.584027777775</v>
      </c>
      <c r="K48" s="1">
        <v>41601.534722222219</v>
      </c>
      <c r="L48" t="s">
        <v>23</v>
      </c>
      <c r="M48" t="s">
        <v>119</v>
      </c>
      <c r="N48" t="s">
        <v>120</v>
      </c>
      <c r="O48" t="s">
        <v>121</v>
      </c>
      <c r="P48" t="s">
        <v>122</v>
      </c>
      <c r="Q48" t="s">
        <v>124</v>
      </c>
      <c r="R48" t="s">
        <v>23</v>
      </c>
      <c r="S48" t="s">
        <v>23</v>
      </c>
      <c r="T48" t="s">
        <v>113</v>
      </c>
      <c r="U48">
        <v>2</v>
      </c>
    </row>
    <row r="49" spans="1:23" x14ac:dyDescent="0.25">
      <c r="A49" t="s">
        <v>116</v>
      </c>
      <c r="B49" t="s">
        <v>137</v>
      </c>
      <c r="C49">
        <v>33419</v>
      </c>
      <c r="D49" t="s">
        <v>138</v>
      </c>
      <c r="E49" t="s">
        <v>33</v>
      </c>
      <c r="F49" t="s">
        <v>34</v>
      </c>
      <c r="G49" t="s">
        <v>103</v>
      </c>
      <c r="H49" t="s">
        <v>25</v>
      </c>
      <c r="I49" t="s">
        <v>25</v>
      </c>
      <c r="J49" s="1">
        <v>37065.584027777775</v>
      </c>
      <c r="K49" s="1">
        <v>40505.672222222223</v>
      </c>
      <c r="L49" t="s">
        <v>23</v>
      </c>
      <c r="M49" t="s">
        <v>120</v>
      </c>
      <c r="N49" t="s">
        <v>121</v>
      </c>
      <c r="O49" s="2" t="s">
        <v>139</v>
      </c>
      <c r="P49" t="s">
        <v>122</v>
      </c>
      <c r="Q49" t="s">
        <v>123</v>
      </c>
      <c r="R49" s="2" t="s">
        <v>96</v>
      </c>
      <c r="S49" t="s">
        <v>124</v>
      </c>
      <c r="T49" t="s">
        <v>113</v>
      </c>
      <c r="U49">
        <v>2</v>
      </c>
      <c r="W49">
        <v>2</v>
      </c>
    </row>
    <row r="50" spans="1:23" x14ac:dyDescent="0.25">
      <c r="A50" t="s">
        <v>116</v>
      </c>
      <c r="B50" t="s">
        <v>140</v>
      </c>
      <c r="C50">
        <v>33413</v>
      </c>
      <c r="D50" t="s">
        <v>141</v>
      </c>
      <c r="E50" t="s">
        <v>33</v>
      </c>
      <c r="F50" t="s">
        <v>34</v>
      </c>
      <c r="G50" t="s">
        <v>24</v>
      </c>
      <c r="H50" t="s">
        <v>25</v>
      </c>
      <c r="I50" t="s">
        <v>25</v>
      </c>
      <c r="J50" s="1">
        <v>37065.584027777775</v>
      </c>
      <c r="K50" s="1">
        <v>41601.537499999999</v>
      </c>
      <c r="L50" t="s">
        <v>23</v>
      </c>
      <c r="M50" t="s">
        <v>119</v>
      </c>
      <c r="N50" t="s">
        <v>120</v>
      </c>
      <c r="O50" t="s">
        <v>121</v>
      </c>
      <c r="P50" t="s">
        <v>122</v>
      </c>
      <c r="Q50" t="s">
        <v>123</v>
      </c>
      <c r="R50" t="s">
        <v>124</v>
      </c>
      <c r="S50" t="s">
        <v>23</v>
      </c>
      <c r="T50" t="s">
        <v>132</v>
      </c>
      <c r="U50">
        <v>1</v>
      </c>
    </row>
    <row r="51" spans="1:23" x14ac:dyDescent="0.25">
      <c r="A51" t="s">
        <v>116</v>
      </c>
      <c r="B51" t="s">
        <v>142</v>
      </c>
      <c r="C51">
        <v>33411</v>
      </c>
      <c r="D51" t="s">
        <v>143</v>
      </c>
      <c r="E51" t="s">
        <v>33</v>
      </c>
      <c r="F51" t="s">
        <v>34</v>
      </c>
      <c r="G51" t="s">
        <v>24</v>
      </c>
      <c r="H51" t="s">
        <v>25</v>
      </c>
      <c r="I51" t="s">
        <v>25</v>
      </c>
      <c r="J51" s="1">
        <v>37065.584027777775</v>
      </c>
      <c r="K51" s="1">
        <v>40505.57708333333</v>
      </c>
      <c r="L51" t="s">
        <v>23</v>
      </c>
      <c r="M51" t="s">
        <v>119</v>
      </c>
      <c r="N51" t="s">
        <v>120</v>
      </c>
      <c r="O51" t="s">
        <v>130</v>
      </c>
      <c r="P51" t="s">
        <v>121</v>
      </c>
      <c r="Q51" t="s">
        <v>122</v>
      </c>
      <c r="R51" t="s">
        <v>123</v>
      </c>
      <c r="S51" s="2" t="s">
        <v>96</v>
      </c>
      <c r="T51" t="s">
        <v>125</v>
      </c>
      <c r="U51">
        <v>3</v>
      </c>
      <c r="V51">
        <v>3</v>
      </c>
    </row>
    <row r="52" spans="1:23" x14ac:dyDescent="0.25">
      <c r="A52" t="s">
        <v>116</v>
      </c>
      <c r="B52" t="s">
        <v>144</v>
      </c>
      <c r="C52">
        <v>33410</v>
      </c>
      <c r="D52" t="s">
        <v>145</v>
      </c>
      <c r="E52" t="s">
        <v>33</v>
      </c>
      <c r="F52" t="s">
        <v>34</v>
      </c>
      <c r="G52" t="s">
        <v>24</v>
      </c>
      <c r="H52" t="s">
        <v>25</v>
      </c>
      <c r="I52" t="s">
        <v>25</v>
      </c>
      <c r="J52" s="1">
        <v>37065.584027777775</v>
      </c>
      <c r="K52" s="1">
        <v>41601.541666666664</v>
      </c>
      <c r="L52" t="s">
        <v>23</v>
      </c>
      <c r="M52" t="s">
        <v>119</v>
      </c>
      <c r="N52" t="s">
        <v>121</v>
      </c>
      <c r="O52" t="s">
        <v>122</v>
      </c>
      <c r="P52" t="s">
        <v>123</v>
      </c>
      <c r="Q52" t="s">
        <v>124</v>
      </c>
      <c r="R52" t="s">
        <v>23</v>
      </c>
      <c r="S52" t="s">
        <v>23</v>
      </c>
      <c r="T52" t="s">
        <v>113</v>
      </c>
      <c r="U52">
        <v>2</v>
      </c>
    </row>
    <row r="53" spans="1:23" x14ac:dyDescent="0.25">
      <c r="A53" t="s">
        <v>116</v>
      </c>
      <c r="B53" t="s">
        <v>146</v>
      </c>
      <c r="C53">
        <v>33402</v>
      </c>
      <c r="D53" t="s">
        <v>147</v>
      </c>
      <c r="E53" t="s">
        <v>33</v>
      </c>
      <c r="F53" t="s">
        <v>34</v>
      </c>
      <c r="G53" t="s">
        <v>148</v>
      </c>
      <c r="H53" t="s">
        <v>25</v>
      </c>
      <c r="I53" t="s">
        <v>25</v>
      </c>
      <c r="J53" s="1">
        <v>37065.584027777775</v>
      </c>
      <c r="K53" s="1">
        <v>40505.574999999997</v>
      </c>
      <c r="L53" t="s">
        <v>23</v>
      </c>
      <c r="M53" t="s">
        <v>130</v>
      </c>
      <c r="N53" t="s">
        <v>131</v>
      </c>
      <c r="O53" t="s">
        <v>121</v>
      </c>
      <c r="P53" t="s">
        <v>123</v>
      </c>
      <c r="Q53" t="s">
        <v>23</v>
      </c>
      <c r="R53" t="s">
        <v>23</v>
      </c>
      <c r="S53" t="s">
        <v>23</v>
      </c>
      <c r="T53" t="s">
        <v>132</v>
      </c>
      <c r="U53">
        <v>1</v>
      </c>
    </row>
    <row r="54" spans="1:23" x14ac:dyDescent="0.25">
      <c r="A54" t="s">
        <v>116</v>
      </c>
      <c r="B54" t="s">
        <v>149</v>
      </c>
      <c r="C54">
        <v>33400</v>
      </c>
      <c r="D54" t="s">
        <v>150</v>
      </c>
      <c r="E54" t="s">
        <v>33</v>
      </c>
      <c r="F54" t="s">
        <v>34</v>
      </c>
      <c r="G54" t="s">
        <v>24</v>
      </c>
      <c r="H54" t="s">
        <v>25</v>
      </c>
      <c r="I54" t="s">
        <v>25</v>
      </c>
      <c r="J54" s="1">
        <v>37065.584027777775</v>
      </c>
      <c r="K54" s="1">
        <v>44158.367361111108</v>
      </c>
      <c r="L54" t="s">
        <v>23</v>
      </c>
      <c r="M54" t="s">
        <v>119</v>
      </c>
      <c r="N54" t="s">
        <v>120</v>
      </c>
      <c r="O54" t="s">
        <v>130</v>
      </c>
      <c r="P54" t="s">
        <v>121</v>
      </c>
      <c r="Q54" t="s">
        <v>122</v>
      </c>
      <c r="R54" t="s">
        <v>123</v>
      </c>
      <c r="S54" t="s">
        <v>23</v>
      </c>
      <c r="T54" t="s">
        <v>132</v>
      </c>
      <c r="U54">
        <v>1</v>
      </c>
    </row>
    <row r="55" spans="1:23" x14ac:dyDescent="0.25">
      <c r="A55" t="s">
        <v>116</v>
      </c>
      <c r="B55" t="s">
        <v>151</v>
      </c>
      <c r="C55">
        <v>33398</v>
      </c>
      <c r="D55" t="s">
        <v>152</v>
      </c>
      <c r="E55" t="s">
        <v>33</v>
      </c>
      <c r="F55" t="s">
        <v>34</v>
      </c>
      <c r="G55" t="s">
        <v>24</v>
      </c>
      <c r="H55" t="s">
        <v>25</v>
      </c>
      <c r="I55" t="s">
        <v>25</v>
      </c>
      <c r="J55" s="1">
        <v>37065.584027777775</v>
      </c>
      <c r="K55" s="1">
        <v>40505.572916666664</v>
      </c>
      <c r="L55" t="s">
        <v>23</v>
      </c>
      <c r="M55" t="s">
        <v>119</v>
      </c>
      <c r="N55" t="s">
        <v>120</v>
      </c>
      <c r="O55" t="s">
        <v>130</v>
      </c>
      <c r="P55" t="s">
        <v>121</v>
      </c>
      <c r="Q55" t="s">
        <v>122</v>
      </c>
      <c r="R55" s="2" t="s">
        <v>96</v>
      </c>
      <c r="S55" t="s">
        <v>23</v>
      </c>
      <c r="T55" t="s">
        <v>132</v>
      </c>
      <c r="U55">
        <v>1</v>
      </c>
      <c r="V55">
        <v>1</v>
      </c>
    </row>
    <row r="56" spans="1:23" x14ac:dyDescent="0.25">
      <c r="A56" t="s">
        <v>116</v>
      </c>
      <c r="B56" t="s">
        <v>153</v>
      </c>
      <c r="C56">
        <v>33393</v>
      </c>
      <c r="D56" t="s">
        <v>154</v>
      </c>
      <c r="E56" t="s">
        <v>33</v>
      </c>
      <c r="F56" t="s">
        <v>34</v>
      </c>
      <c r="G56" t="s">
        <v>24</v>
      </c>
      <c r="H56" t="s">
        <v>25</v>
      </c>
      <c r="I56" t="s">
        <v>25</v>
      </c>
      <c r="J56" s="1">
        <v>37065.584027777775</v>
      </c>
      <c r="K56" s="1">
        <v>40505.574305555558</v>
      </c>
      <c r="L56" t="s">
        <v>23</v>
      </c>
      <c r="M56" t="s">
        <v>119</v>
      </c>
      <c r="N56" t="s">
        <v>120</v>
      </c>
      <c r="O56" t="s">
        <v>130</v>
      </c>
      <c r="P56" t="s">
        <v>121</v>
      </c>
      <c r="Q56" t="s">
        <v>122</v>
      </c>
      <c r="R56" t="s">
        <v>23</v>
      </c>
      <c r="S56" t="s">
        <v>23</v>
      </c>
      <c r="T56" t="s">
        <v>113</v>
      </c>
      <c r="U56">
        <v>2</v>
      </c>
    </row>
    <row r="57" spans="1:23" x14ac:dyDescent="0.25">
      <c r="A57" t="s">
        <v>116</v>
      </c>
      <c r="B57" t="s">
        <v>155</v>
      </c>
      <c r="C57">
        <v>33391</v>
      </c>
      <c r="D57" t="s">
        <v>156</v>
      </c>
      <c r="E57" t="s">
        <v>33</v>
      </c>
      <c r="F57" t="s">
        <v>34</v>
      </c>
      <c r="G57" t="s">
        <v>24</v>
      </c>
      <c r="H57" t="s">
        <v>25</v>
      </c>
      <c r="I57" t="s">
        <v>25</v>
      </c>
      <c r="J57" s="1">
        <v>37065.584027777775</v>
      </c>
      <c r="K57" s="1">
        <v>41966.42291666667</v>
      </c>
      <c r="L57" t="s">
        <v>23</v>
      </c>
      <c r="M57" t="s">
        <v>119</v>
      </c>
      <c r="N57" t="s">
        <v>120</v>
      </c>
      <c r="O57" t="s">
        <v>121</v>
      </c>
      <c r="P57" t="s">
        <v>122</v>
      </c>
      <c r="Q57" t="s">
        <v>123</v>
      </c>
      <c r="R57" t="s">
        <v>124</v>
      </c>
      <c r="S57" t="s">
        <v>23</v>
      </c>
      <c r="T57" t="s">
        <v>113</v>
      </c>
      <c r="U57">
        <v>2</v>
      </c>
    </row>
    <row r="58" spans="1:23" x14ac:dyDescent="0.25">
      <c r="A58" t="s">
        <v>116</v>
      </c>
      <c r="B58" t="s">
        <v>157</v>
      </c>
      <c r="C58">
        <v>33383</v>
      </c>
      <c r="D58" t="s">
        <v>158</v>
      </c>
      <c r="E58" t="s">
        <v>23</v>
      </c>
      <c r="F58" t="s">
        <v>23</v>
      </c>
      <c r="G58" t="s">
        <v>159</v>
      </c>
      <c r="H58" t="s">
        <v>25</v>
      </c>
      <c r="I58" t="s">
        <v>25</v>
      </c>
      <c r="J58" s="1">
        <v>37065.584027777775</v>
      </c>
      <c r="K58" s="1">
        <v>48144.620138888888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30</v>
      </c>
    </row>
    <row r="59" spans="1:23" x14ac:dyDescent="0.25">
      <c r="A59" t="s">
        <v>116</v>
      </c>
      <c r="B59" t="s">
        <v>160</v>
      </c>
      <c r="C59">
        <v>33381</v>
      </c>
      <c r="D59" t="s">
        <v>161</v>
      </c>
      <c r="E59" t="s">
        <v>33</v>
      </c>
      <c r="F59" t="s">
        <v>34</v>
      </c>
      <c r="G59" t="s">
        <v>24</v>
      </c>
      <c r="H59" t="s">
        <v>25</v>
      </c>
      <c r="I59" t="s">
        <v>25</v>
      </c>
      <c r="J59" s="1">
        <v>37065.584027777775</v>
      </c>
      <c r="K59" s="1">
        <v>44158.487500000003</v>
      </c>
      <c r="L59" t="s">
        <v>23</v>
      </c>
      <c r="M59" t="s">
        <v>120</v>
      </c>
      <c r="N59" t="s">
        <v>121</v>
      </c>
      <c r="O59" s="2" t="s">
        <v>139</v>
      </c>
      <c r="P59" t="s">
        <v>122</v>
      </c>
      <c r="Q59" t="s">
        <v>123</v>
      </c>
      <c r="R59" t="s">
        <v>124</v>
      </c>
      <c r="S59" t="s">
        <v>23</v>
      </c>
      <c r="T59" t="s">
        <v>162</v>
      </c>
      <c r="U59">
        <v>5</v>
      </c>
      <c r="W59">
        <v>5</v>
      </c>
    </row>
    <row r="60" spans="1:23" x14ac:dyDescent="0.25">
      <c r="A60" t="s">
        <v>116</v>
      </c>
      <c r="B60" t="s">
        <v>163</v>
      </c>
      <c r="C60">
        <v>33380</v>
      </c>
      <c r="D60" t="s">
        <v>164</v>
      </c>
      <c r="E60" t="s">
        <v>33</v>
      </c>
      <c r="F60" t="s">
        <v>34</v>
      </c>
      <c r="G60" t="s">
        <v>103</v>
      </c>
      <c r="H60" t="s">
        <v>25</v>
      </c>
      <c r="I60" t="s">
        <v>25</v>
      </c>
      <c r="J60" s="1">
        <v>37065.584027777775</v>
      </c>
      <c r="K60" s="1">
        <v>40505.57708333333</v>
      </c>
      <c r="L60" t="s">
        <v>23</v>
      </c>
      <c r="M60" t="s">
        <v>119</v>
      </c>
      <c r="N60" t="s">
        <v>120</v>
      </c>
      <c r="O60" t="s">
        <v>130</v>
      </c>
      <c r="P60" t="s">
        <v>121</v>
      </c>
      <c r="Q60" t="s">
        <v>122</v>
      </c>
      <c r="R60" t="s">
        <v>123</v>
      </c>
      <c r="S60" s="2" t="s">
        <v>96</v>
      </c>
      <c r="T60" t="s">
        <v>165</v>
      </c>
      <c r="U60">
        <v>6</v>
      </c>
      <c r="V60">
        <v>6</v>
      </c>
    </row>
    <row r="61" spans="1:23" x14ac:dyDescent="0.25">
      <c r="A61" t="s">
        <v>116</v>
      </c>
      <c r="B61" t="s">
        <v>166</v>
      </c>
      <c r="C61">
        <v>33375</v>
      </c>
      <c r="D61" t="s">
        <v>167</v>
      </c>
      <c r="E61" t="s">
        <v>33</v>
      </c>
      <c r="F61" t="s">
        <v>34</v>
      </c>
      <c r="G61" t="s">
        <v>24</v>
      </c>
      <c r="H61" t="s">
        <v>25</v>
      </c>
      <c r="I61" t="s">
        <v>25</v>
      </c>
      <c r="J61" s="1">
        <v>37065.584027777775</v>
      </c>
      <c r="K61" s="1">
        <v>40505.572222222225</v>
      </c>
      <c r="L61" t="s">
        <v>23</v>
      </c>
      <c r="M61" t="s">
        <v>130</v>
      </c>
      <c r="N61" t="s">
        <v>121</v>
      </c>
      <c r="O61" t="s">
        <v>123</v>
      </c>
      <c r="P61" t="s">
        <v>23</v>
      </c>
      <c r="Q61" t="s">
        <v>23</v>
      </c>
      <c r="R61" t="s">
        <v>23</v>
      </c>
      <c r="S61" t="s">
        <v>23</v>
      </c>
      <c r="T61" t="s">
        <v>132</v>
      </c>
      <c r="U61">
        <v>1</v>
      </c>
    </row>
    <row r="62" spans="1:23" x14ac:dyDescent="0.25">
      <c r="A62" t="s">
        <v>116</v>
      </c>
      <c r="B62" t="s">
        <v>168</v>
      </c>
      <c r="C62">
        <v>33371</v>
      </c>
      <c r="D62" t="s">
        <v>169</v>
      </c>
      <c r="E62" t="s">
        <v>33</v>
      </c>
      <c r="F62" t="s">
        <v>34</v>
      </c>
      <c r="G62" t="s">
        <v>24</v>
      </c>
      <c r="H62" t="s">
        <v>25</v>
      </c>
      <c r="I62" t="s">
        <v>25</v>
      </c>
      <c r="J62" s="1">
        <v>37065.584027777775</v>
      </c>
      <c r="K62" s="1">
        <v>47445.592361111114</v>
      </c>
      <c r="L62" t="s">
        <v>23</v>
      </c>
      <c r="M62" t="s">
        <v>119</v>
      </c>
      <c r="N62" t="s">
        <v>120</v>
      </c>
      <c r="O62" t="s">
        <v>130</v>
      </c>
      <c r="P62" t="s">
        <v>121</v>
      </c>
      <c r="Q62" t="s">
        <v>122</v>
      </c>
      <c r="R62" t="s">
        <v>123</v>
      </c>
      <c r="S62" t="s">
        <v>23</v>
      </c>
      <c r="T62" t="s">
        <v>132</v>
      </c>
      <c r="U62">
        <v>1</v>
      </c>
    </row>
    <row r="63" spans="1:23" x14ac:dyDescent="0.25">
      <c r="A63" t="s">
        <v>116</v>
      </c>
      <c r="B63" t="s">
        <v>170</v>
      </c>
      <c r="C63">
        <v>33370</v>
      </c>
      <c r="D63" t="s">
        <v>171</v>
      </c>
      <c r="E63" t="s">
        <v>33</v>
      </c>
      <c r="F63" t="s">
        <v>34</v>
      </c>
      <c r="G63" t="s">
        <v>24</v>
      </c>
      <c r="H63" t="s">
        <v>25</v>
      </c>
      <c r="I63" t="s">
        <v>25</v>
      </c>
      <c r="J63" s="1">
        <v>37065.584027777775</v>
      </c>
      <c r="K63" s="1">
        <v>41966.537499999999</v>
      </c>
      <c r="L63" t="s">
        <v>23</v>
      </c>
      <c r="M63" t="s">
        <v>119</v>
      </c>
      <c r="N63" t="s">
        <v>120</v>
      </c>
      <c r="O63" t="s">
        <v>131</v>
      </c>
      <c r="P63" t="s">
        <v>121</v>
      </c>
      <c r="Q63" t="s">
        <v>122</v>
      </c>
      <c r="R63" t="s">
        <v>123</v>
      </c>
      <c r="S63" t="s">
        <v>124</v>
      </c>
      <c r="T63" t="s">
        <v>132</v>
      </c>
      <c r="U63">
        <v>1</v>
      </c>
    </row>
    <row r="64" spans="1:23" x14ac:dyDescent="0.25">
      <c r="A64" t="s">
        <v>116</v>
      </c>
      <c r="B64" t="s">
        <v>172</v>
      </c>
      <c r="C64">
        <v>33368</v>
      </c>
      <c r="D64" t="s">
        <v>173</v>
      </c>
      <c r="E64" t="s">
        <v>33</v>
      </c>
      <c r="F64" t="s">
        <v>34</v>
      </c>
      <c r="G64" t="s">
        <v>159</v>
      </c>
      <c r="H64" t="s">
        <v>25</v>
      </c>
      <c r="I64" t="s">
        <v>25</v>
      </c>
      <c r="J64" s="1">
        <v>37065.583333333336</v>
      </c>
      <c r="K64" s="1">
        <v>42331.490277777775</v>
      </c>
      <c r="L64" t="s">
        <v>23</v>
      </c>
      <c r="M64" t="s">
        <v>130</v>
      </c>
      <c r="N64" t="s">
        <v>121</v>
      </c>
      <c r="O64" t="s">
        <v>123</v>
      </c>
      <c r="P64" t="s">
        <v>23</v>
      </c>
      <c r="Q64" t="s">
        <v>23</v>
      </c>
      <c r="R64" t="s">
        <v>23</v>
      </c>
      <c r="S64" t="s">
        <v>23</v>
      </c>
      <c r="T64" t="s">
        <v>113</v>
      </c>
      <c r="U64">
        <v>2</v>
      </c>
    </row>
    <row r="65" spans="1:23" x14ac:dyDescent="0.25">
      <c r="A65" t="s">
        <v>116</v>
      </c>
      <c r="B65" t="s">
        <v>174</v>
      </c>
      <c r="C65">
        <v>33367</v>
      </c>
      <c r="D65" t="s">
        <v>175</v>
      </c>
      <c r="E65" t="s">
        <v>33</v>
      </c>
      <c r="F65" t="s">
        <v>34</v>
      </c>
      <c r="G65" t="s">
        <v>24</v>
      </c>
      <c r="H65" t="s">
        <v>25</v>
      </c>
      <c r="I65" t="s">
        <v>25</v>
      </c>
      <c r="J65" s="1">
        <v>37065.583333333336</v>
      </c>
      <c r="K65" s="1">
        <v>40505.573611111111</v>
      </c>
      <c r="L65" t="s">
        <v>23</v>
      </c>
      <c r="M65" t="s">
        <v>119</v>
      </c>
      <c r="N65" t="s">
        <v>120</v>
      </c>
      <c r="O65" t="s">
        <v>130</v>
      </c>
      <c r="P65" t="s">
        <v>121</v>
      </c>
      <c r="Q65" t="s">
        <v>122</v>
      </c>
      <c r="R65" t="s">
        <v>123</v>
      </c>
      <c r="S65" s="2" t="s">
        <v>96</v>
      </c>
      <c r="T65" t="s">
        <v>113</v>
      </c>
      <c r="U65">
        <v>2</v>
      </c>
      <c r="V65">
        <v>2</v>
      </c>
    </row>
    <row r="66" spans="1:23" x14ac:dyDescent="0.25">
      <c r="A66" t="s">
        <v>116</v>
      </c>
      <c r="B66" t="s">
        <v>176</v>
      </c>
      <c r="C66">
        <v>33365</v>
      </c>
      <c r="D66" t="s">
        <v>177</v>
      </c>
      <c r="E66" t="s">
        <v>33</v>
      </c>
      <c r="F66" t="s">
        <v>34</v>
      </c>
      <c r="G66" t="s">
        <v>24</v>
      </c>
      <c r="H66" t="s">
        <v>25</v>
      </c>
      <c r="I66" t="s">
        <v>25</v>
      </c>
      <c r="J66" s="1">
        <v>37065.583333333336</v>
      </c>
      <c r="K66" s="1">
        <v>40505.611805555556</v>
      </c>
      <c r="L66" t="s">
        <v>23</v>
      </c>
      <c r="M66" t="s">
        <v>119</v>
      </c>
      <c r="N66" t="s">
        <v>120</v>
      </c>
      <c r="O66" t="s">
        <v>130</v>
      </c>
      <c r="P66" t="s">
        <v>121</v>
      </c>
      <c r="Q66" t="s">
        <v>122</v>
      </c>
      <c r="R66" t="s">
        <v>123</v>
      </c>
      <c r="S66" s="2" t="s">
        <v>96</v>
      </c>
      <c r="T66" t="s">
        <v>132</v>
      </c>
      <c r="U66">
        <v>1</v>
      </c>
      <c r="V66">
        <v>1</v>
      </c>
    </row>
    <row r="67" spans="1:23" x14ac:dyDescent="0.25">
      <c r="A67" t="s">
        <v>116</v>
      </c>
      <c r="B67" t="s">
        <v>178</v>
      </c>
      <c r="C67">
        <v>33363</v>
      </c>
      <c r="D67" t="s">
        <v>179</v>
      </c>
      <c r="E67" t="s">
        <v>33</v>
      </c>
      <c r="F67" t="s">
        <v>34</v>
      </c>
      <c r="G67" t="s">
        <v>103</v>
      </c>
      <c r="H67" t="s">
        <v>25</v>
      </c>
      <c r="I67" t="s">
        <v>25</v>
      </c>
      <c r="J67" s="1">
        <v>37065.583333333336</v>
      </c>
      <c r="K67" s="1">
        <v>44158.540972222225</v>
      </c>
      <c r="L67" t="s">
        <v>23</v>
      </c>
      <c r="M67" t="s">
        <v>120</v>
      </c>
      <c r="N67" t="s">
        <v>121</v>
      </c>
      <c r="O67" t="s">
        <v>122</v>
      </c>
      <c r="P67" t="s">
        <v>123</v>
      </c>
      <c r="Q67" s="2" t="s">
        <v>96</v>
      </c>
      <c r="R67" t="s">
        <v>124</v>
      </c>
      <c r="S67" t="s">
        <v>23</v>
      </c>
      <c r="T67" t="s">
        <v>113</v>
      </c>
      <c r="U67">
        <v>2</v>
      </c>
      <c r="V67">
        <v>2</v>
      </c>
    </row>
    <row r="68" spans="1:23" x14ac:dyDescent="0.25">
      <c r="A68" t="s">
        <v>116</v>
      </c>
      <c r="B68" t="s">
        <v>180</v>
      </c>
      <c r="C68">
        <v>33361</v>
      </c>
      <c r="D68" t="s">
        <v>181</v>
      </c>
      <c r="E68" t="s">
        <v>33</v>
      </c>
      <c r="F68" t="s">
        <v>34</v>
      </c>
      <c r="G68" t="s">
        <v>24</v>
      </c>
      <c r="H68" t="s">
        <v>25</v>
      </c>
      <c r="I68" t="s">
        <v>25</v>
      </c>
      <c r="J68" s="1">
        <v>37065.583333333336</v>
      </c>
      <c r="K68" s="1">
        <v>44158.35</v>
      </c>
      <c r="L68" t="s">
        <v>23</v>
      </c>
      <c r="M68" t="s">
        <v>120</v>
      </c>
      <c r="N68" t="s">
        <v>121</v>
      </c>
      <c r="O68" t="s">
        <v>122</v>
      </c>
      <c r="P68" t="s">
        <v>124</v>
      </c>
      <c r="Q68" t="s">
        <v>23</v>
      </c>
      <c r="R68" t="s">
        <v>23</v>
      </c>
      <c r="S68" t="s">
        <v>23</v>
      </c>
      <c r="T68" t="s">
        <v>125</v>
      </c>
      <c r="U68">
        <v>3</v>
      </c>
    </row>
    <row r="69" spans="1:23" x14ac:dyDescent="0.25">
      <c r="A69" t="s">
        <v>116</v>
      </c>
      <c r="B69" t="s">
        <v>182</v>
      </c>
      <c r="C69">
        <v>33352</v>
      </c>
      <c r="D69" t="s">
        <v>183</v>
      </c>
      <c r="E69" t="s">
        <v>33</v>
      </c>
      <c r="F69" t="s">
        <v>34</v>
      </c>
      <c r="G69" t="s">
        <v>159</v>
      </c>
      <c r="H69" t="s">
        <v>25</v>
      </c>
      <c r="I69" t="s">
        <v>25</v>
      </c>
      <c r="J69" s="1">
        <v>37065.583333333336</v>
      </c>
      <c r="K69" s="1">
        <v>43062.388194444444</v>
      </c>
      <c r="L69" t="s">
        <v>23</v>
      </c>
      <c r="M69" t="s">
        <v>130</v>
      </c>
      <c r="N69" t="s">
        <v>121</v>
      </c>
      <c r="O69" t="s">
        <v>122</v>
      </c>
      <c r="P69" t="s">
        <v>123</v>
      </c>
      <c r="Q69" t="s">
        <v>23</v>
      </c>
      <c r="R69" t="s">
        <v>23</v>
      </c>
      <c r="S69" t="s">
        <v>23</v>
      </c>
      <c r="T69" t="s">
        <v>132</v>
      </c>
      <c r="U69">
        <v>1</v>
      </c>
    </row>
    <row r="70" spans="1:23" x14ac:dyDescent="0.25">
      <c r="A70" t="s">
        <v>116</v>
      </c>
      <c r="B70" t="s">
        <v>184</v>
      </c>
      <c r="C70">
        <v>33347</v>
      </c>
      <c r="D70" t="s">
        <v>185</v>
      </c>
      <c r="E70" t="s">
        <v>33</v>
      </c>
      <c r="F70" t="s">
        <v>34</v>
      </c>
      <c r="G70" t="s">
        <v>148</v>
      </c>
      <c r="H70" t="s">
        <v>25</v>
      </c>
      <c r="I70" t="s">
        <v>25</v>
      </c>
      <c r="J70" s="1">
        <v>37065.583333333336</v>
      </c>
      <c r="K70" s="1">
        <v>40505.572222222225</v>
      </c>
      <c r="L70" t="s">
        <v>23</v>
      </c>
      <c r="M70" t="s">
        <v>120</v>
      </c>
      <c r="N70" t="s">
        <v>130</v>
      </c>
      <c r="O70" t="s">
        <v>131</v>
      </c>
      <c r="P70" t="s">
        <v>121</v>
      </c>
      <c r="Q70" t="s">
        <v>23</v>
      </c>
      <c r="R70" t="s">
        <v>23</v>
      </c>
      <c r="S70" t="s">
        <v>23</v>
      </c>
      <c r="T70" t="s">
        <v>132</v>
      </c>
      <c r="U70">
        <v>1</v>
      </c>
    </row>
    <row r="71" spans="1:23" x14ac:dyDescent="0.25">
      <c r="A71" t="s">
        <v>116</v>
      </c>
      <c r="B71" t="s">
        <v>186</v>
      </c>
      <c r="C71">
        <v>33346</v>
      </c>
      <c r="D71" t="s">
        <v>187</v>
      </c>
      <c r="E71" t="s">
        <v>188</v>
      </c>
      <c r="F71" t="s">
        <v>189</v>
      </c>
      <c r="G71" t="s">
        <v>24</v>
      </c>
      <c r="H71" t="s">
        <v>25</v>
      </c>
      <c r="I71" t="s">
        <v>25</v>
      </c>
      <c r="J71" s="1">
        <v>37065.583333333336</v>
      </c>
      <c r="K71" s="1">
        <v>40505.572222222225</v>
      </c>
      <c r="L71" t="s">
        <v>23</v>
      </c>
      <c r="M71" t="s">
        <v>120</v>
      </c>
      <c r="N71" t="s">
        <v>130</v>
      </c>
      <c r="O71" t="s">
        <v>131</v>
      </c>
      <c r="P71" t="s">
        <v>121</v>
      </c>
      <c r="Q71" s="2"/>
      <c r="R71" t="s">
        <v>23</v>
      </c>
      <c r="S71" t="s">
        <v>23</v>
      </c>
      <c r="T71" t="s">
        <v>132</v>
      </c>
      <c r="U71">
        <v>1</v>
      </c>
      <c r="V71">
        <v>1</v>
      </c>
    </row>
    <row r="72" spans="1:23" x14ac:dyDescent="0.25">
      <c r="A72" t="s">
        <v>116</v>
      </c>
      <c r="B72" t="s">
        <v>190</v>
      </c>
      <c r="C72">
        <v>33345</v>
      </c>
      <c r="D72" t="s">
        <v>191</v>
      </c>
      <c r="E72" t="s">
        <v>33</v>
      </c>
      <c r="F72" t="s">
        <v>34</v>
      </c>
      <c r="G72" t="s">
        <v>159</v>
      </c>
      <c r="H72" t="s">
        <v>25</v>
      </c>
      <c r="I72" t="s">
        <v>25</v>
      </c>
      <c r="J72" s="1">
        <v>37065.583333333336</v>
      </c>
      <c r="K72" s="1">
        <v>41966.429166666669</v>
      </c>
      <c r="L72" t="s">
        <v>23</v>
      </c>
      <c r="M72" t="s">
        <v>119</v>
      </c>
      <c r="N72" t="s">
        <v>121</v>
      </c>
      <c r="O72" t="s">
        <v>122</v>
      </c>
      <c r="P72" t="s">
        <v>123</v>
      </c>
      <c r="Q72" t="s">
        <v>124</v>
      </c>
      <c r="R72" t="s">
        <v>23</v>
      </c>
      <c r="S72" t="s">
        <v>23</v>
      </c>
      <c r="T72" t="s">
        <v>113</v>
      </c>
      <c r="U72">
        <v>2</v>
      </c>
    </row>
    <row r="73" spans="1:23" x14ac:dyDescent="0.25">
      <c r="A73" t="s">
        <v>116</v>
      </c>
      <c r="B73" t="s">
        <v>192</v>
      </c>
      <c r="C73">
        <v>33339</v>
      </c>
      <c r="D73" t="s">
        <v>193</v>
      </c>
      <c r="E73" t="s">
        <v>33</v>
      </c>
      <c r="F73" t="s">
        <v>34</v>
      </c>
      <c r="G73" t="s">
        <v>24</v>
      </c>
      <c r="H73" t="s">
        <v>25</v>
      </c>
      <c r="I73" t="s">
        <v>25</v>
      </c>
      <c r="J73" s="1">
        <v>37065.583333333336</v>
      </c>
      <c r="K73" s="1">
        <v>40505.577777777777</v>
      </c>
      <c r="L73" t="s">
        <v>23</v>
      </c>
      <c r="M73" t="s">
        <v>119</v>
      </c>
      <c r="N73" t="s">
        <v>130</v>
      </c>
      <c r="O73" t="s">
        <v>121</v>
      </c>
      <c r="P73" t="s">
        <v>122</v>
      </c>
      <c r="Q73" t="s">
        <v>123</v>
      </c>
      <c r="R73" t="s">
        <v>23</v>
      </c>
      <c r="S73" t="s">
        <v>23</v>
      </c>
      <c r="T73" t="s">
        <v>132</v>
      </c>
      <c r="U73">
        <v>1</v>
      </c>
    </row>
    <row r="74" spans="1:23" x14ac:dyDescent="0.25">
      <c r="A74" t="s">
        <v>116</v>
      </c>
      <c r="B74" t="s">
        <v>194</v>
      </c>
      <c r="C74">
        <v>33336</v>
      </c>
      <c r="D74" t="s">
        <v>195</v>
      </c>
      <c r="E74" t="s">
        <v>33</v>
      </c>
      <c r="F74" t="s">
        <v>34</v>
      </c>
      <c r="G74" t="s">
        <v>24</v>
      </c>
      <c r="H74" t="s">
        <v>25</v>
      </c>
      <c r="I74" t="s">
        <v>25</v>
      </c>
      <c r="J74" s="1">
        <v>37065.583333333336</v>
      </c>
      <c r="K74" s="1">
        <v>41601.450694444444</v>
      </c>
      <c r="L74" t="s">
        <v>23</v>
      </c>
      <c r="M74" t="s">
        <v>130</v>
      </c>
      <c r="N74" t="s">
        <v>121</v>
      </c>
      <c r="O74" t="s">
        <v>123</v>
      </c>
      <c r="P74" t="s">
        <v>23</v>
      </c>
      <c r="Q74" t="s">
        <v>23</v>
      </c>
      <c r="R74" t="s">
        <v>23</v>
      </c>
      <c r="S74" t="s">
        <v>23</v>
      </c>
      <c r="T74" t="s">
        <v>132</v>
      </c>
      <c r="U74">
        <v>1</v>
      </c>
    </row>
    <row r="75" spans="1:23" x14ac:dyDescent="0.25">
      <c r="A75" t="s">
        <v>116</v>
      </c>
      <c r="B75" t="s">
        <v>196</v>
      </c>
      <c r="C75">
        <v>33335</v>
      </c>
      <c r="D75" t="s">
        <v>197</v>
      </c>
      <c r="E75" t="s">
        <v>33</v>
      </c>
      <c r="F75" t="s">
        <v>34</v>
      </c>
      <c r="G75" t="s">
        <v>148</v>
      </c>
      <c r="H75" t="s">
        <v>25</v>
      </c>
      <c r="I75" t="s">
        <v>25</v>
      </c>
      <c r="J75" s="1">
        <v>37065.583333333336</v>
      </c>
      <c r="K75" s="1">
        <v>40505.574305555558</v>
      </c>
      <c r="L75" t="s">
        <v>23</v>
      </c>
      <c r="M75" t="s">
        <v>120</v>
      </c>
      <c r="N75" t="s">
        <v>130</v>
      </c>
      <c r="O75" t="s">
        <v>131</v>
      </c>
      <c r="P75" t="s">
        <v>121</v>
      </c>
      <c r="Q75" t="s">
        <v>23</v>
      </c>
      <c r="R75" t="s">
        <v>23</v>
      </c>
      <c r="S75" t="s">
        <v>23</v>
      </c>
      <c r="T75" t="s">
        <v>132</v>
      </c>
      <c r="U75">
        <v>1</v>
      </c>
    </row>
    <row r="76" spans="1:23" x14ac:dyDescent="0.25">
      <c r="A76" t="s">
        <v>116</v>
      </c>
      <c r="B76" t="s">
        <v>198</v>
      </c>
      <c r="C76">
        <v>33331</v>
      </c>
      <c r="D76" t="s">
        <v>199</v>
      </c>
      <c r="E76" t="s">
        <v>33</v>
      </c>
      <c r="F76" t="s">
        <v>34</v>
      </c>
      <c r="G76" t="s">
        <v>159</v>
      </c>
      <c r="H76" t="s">
        <v>25</v>
      </c>
      <c r="I76" t="s">
        <v>25</v>
      </c>
      <c r="J76" s="1">
        <v>37065.583333333336</v>
      </c>
      <c r="K76" s="1">
        <v>44158.361805555556</v>
      </c>
      <c r="L76" t="s">
        <v>23</v>
      </c>
      <c r="M76" t="s">
        <v>120</v>
      </c>
      <c r="N76" t="s">
        <v>130</v>
      </c>
      <c r="O76" t="s">
        <v>121</v>
      </c>
      <c r="P76" t="s">
        <v>122</v>
      </c>
      <c r="Q76" t="s">
        <v>123</v>
      </c>
      <c r="R76" t="s">
        <v>23</v>
      </c>
      <c r="S76" t="s">
        <v>23</v>
      </c>
      <c r="T76" t="s">
        <v>132</v>
      </c>
      <c r="U76">
        <v>1</v>
      </c>
    </row>
    <row r="77" spans="1:23" x14ac:dyDescent="0.25">
      <c r="J77" s="1"/>
      <c r="K77" s="1"/>
      <c r="U77">
        <f>SUM(U43:U76)</f>
        <v>58</v>
      </c>
      <c r="V77">
        <f>SUM(V43:V76)</f>
        <v>16</v>
      </c>
      <c r="W77">
        <f>SUM(W43:W76)</f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D4A2-B03F-4920-BA49-794B746755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79CD43A7-7C76-4693-AD76-E4776358B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8C7EE2-5B3D-4FDA-AF8B-1FB74097BED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B16B21A-107E-4C84-B4FD-5DD0EBDF565D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1ffbd5dc-7a64-4097-8396-87f6c90b212f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5C363B58-7AF8-4427-B14E-612B12A1F41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BB1175F-C1F5-4347-8816-1B04ACBFC87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SB_Sprint 3 User Stories &amp; Bugs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Nikki Papenfus</cp:lastModifiedBy>
  <dcterms:created xsi:type="dcterms:W3CDTF">2023-12-04T13:32:03Z</dcterms:created>
  <dcterms:modified xsi:type="dcterms:W3CDTF">2023-12-04T15:36:26Z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