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sbarrett_openboxsoftware_com/Documents/Desktop/"/>
    </mc:Choice>
  </mc:AlternateContent>
  <xr:revisionPtr revIDLastSave="10" documentId="8_{5A48E9EE-FD4E-4B1F-AC60-176E512D6792}" xr6:coauthVersionLast="47" xr6:coauthVersionMax="47" xr10:uidLastSave="{DEAED835-283A-4FA2-8B5B-53330A5FFDBE}"/>
  <bookViews>
    <workbookView xWindow="-120" yWindow="-120" windowWidth="29040" windowHeight="15720" xr2:uid="{A30C5FAC-F5B8-4FD8-B23F-ACCD06F0303D}"/>
  </bookViews>
  <sheets>
    <sheet name="SB_Sprint 2 User Stories &amp; Bugs" sheetId="2" r:id="rId1"/>
    <sheet name="Sheet1" sheetId="1" r:id="rId2"/>
  </sheets>
  <definedNames>
    <definedName name="ExternalData_1" localSheetId="0" hidden="1">'SB_Sprint 2 User Stories &amp; Bugs'!$A$1:$R$36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7" i="2" l="1"/>
  <c r="S3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9034B4-628C-4577-AF9B-14FA25F445C7}" keepAlive="1" name="Query - SB_Sprint 2 User Stories &amp; Bugs (Jira)" description="Connection to the 'SB_Sprint 2 User Stories &amp; Bugs (Jira)' query in the workbook." type="5" refreshedVersion="8" background="1" saveData="1">
    <dbPr connection="Provider=Microsoft.Mashup.OleDb.1;Data Source=$Workbook$;Location=&quot;SB_Sprint 2 User Stories &amp; Bugs (Jira)&quot;;Extended Properties=&quot;&quot;" command="SELECT * FROM [SB_Sprint 2 User Stories &amp; Bugs (Jira)]"/>
  </connection>
</connections>
</file>

<file path=xl/sharedStrings.xml><?xml version="1.0" encoding="utf-8"?>
<sst xmlns="http://schemas.openxmlformats.org/spreadsheetml/2006/main" count="545" uniqueCount="118">
  <si>
    <t>Issue Type</t>
  </si>
  <si>
    <t>Issue key</t>
  </si>
  <si>
    <t>Issue id</t>
  </si>
  <si>
    <t>Summary</t>
  </si>
  <si>
    <t>Assignee</t>
  </si>
  <si>
    <t>Assignee Id</t>
  </si>
  <si>
    <t>Priority</t>
  </si>
  <si>
    <t>Status</t>
  </si>
  <si>
    <t>Resolution</t>
  </si>
  <si>
    <t>Created</t>
  </si>
  <si>
    <t>Updated</t>
  </si>
  <si>
    <t>Due date</t>
  </si>
  <si>
    <t>Labels</t>
  </si>
  <si>
    <t>Labels_1</t>
  </si>
  <si>
    <t>Labels_2</t>
  </si>
  <si>
    <t>Labels_3</t>
  </si>
  <si>
    <t>Labels_4</t>
  </si>
  <si>
    <t>Custom field (Story Points)</t>
  </si>
  <si>
    <t>Bug</t>
  </si>
  <si>
    <t>FVVP-263</t>
  </si>
  <si>
    <t>"Available Date" not updating correctly when "Actual End Date" is updated</t>
  </si>
  <si>
    <t>Mudzunga Khonani Davhana</t>
  </si>
  <si>
    <t>712020:eb63548d-26e3-453b-a750-b0bc694c0f4e</t>
  </si>
  <si>
    <t>Priority 3</t>
  </si>
  <si>
    <t>Done</t>
  </si>
  <si>
    <t/>
  </si>
  <si>
    <t>FVVP-262</t>
  </si>
  <si>
    <t>EoT status is set to "Complete" when an EoT is cancelled</t>
  </si>
  <si>
    <t>FVVP-261</t>
  </si>
  <si>
    <t xml:space="preserve">"Cancellation Reason"  Field not required  </t>
  </si>
  <si>
    <t>Anjali Salecha</t>
  </si>
  <si>
    <t>712020:f0633aca-0b2d-46f7-bcdd-62101a55aaec</t>
  </si>
  <si>
    <t>FVVP-254</t>
  </si>
  <si>
    <t>Error when updating last Task status</t>
  </si>
  <si>
    <t>FVVP-249</t>
  </si>
  <si>
    <t>Phases are not moving along when all related  tasks are set to N/A</t>
  </si>
  <si>
    <t>FVVP-247</t>
  </si>
  <si>
    <t>EoT status not updated to "cancelled" or "closed" when EoT is cancelled or closed</t>
  </si>
  <si>
    <t>FVVP-241</t>
  </si>
  <si>
    <t>Task Not Updated where FV Date &amp; FV Confirmed are both updated - Not a bug</t>
  </si>
  <si>
    <t>Story</t>
  </si>
  <si>
    <t>FVVP-239</t>
  </si>
  <si>
    <t>Remove Activity Widget</t>
  </si>
  <si>
    <t>No_Video</t>
  </si>
  <si>
    <t>Show_Me_Complete</t>
  </si>
  <si>
    <t>1.0</t>
  </si>
  <si>
    <t>FVVP-238</t>
  </si>
  <si>
    <t>Change Outstanding Task List Heading</t>
  </si>
  <si>
    <t>FVVP-236</t>
  </si>
  <si>
    <t>EOT Owner field not displayed on creation screen &amp; not defaulting correctly</t>
  </si>
  <si>
    <t>Dev_Reviewed</t>
  </si>
  <si>
    <t>FVVP-235</t>
  </si>
  <si>
    <t>Change Template control to a picklist</t>
  </si>
  <si>
    <t>FVVP-226</t>
  </si>
  <si>
    <t>Object and field help &amp; description updates</t>
  </si>
  <si>
    <t>Dillan Landsberg</t>
  </si>
  <si>
    <t>712020:bbb8d7bf-a355-4a7c-971f-ee5598a156c1</t>
  </si>
  <si>
    <t>FVVP-225</t>
  </si>
  <si>
    <t>Update status of first End of Tenancy Phase when EoT is first created</t>
  </si>
  <si>
    <t>2.0</t>
  </si>
  <si>
    <t>FVVP-224</t>
  </si>
  <si>
    <t>EoT tasks don't display for system administrator</t>
  </si>
  <si>
    <t>FVVP-223</t>
  </si>
  <si>
    <t>Set EoT Phase status to In Progress/Pending based on task status</t>
  </si>
  <si>
    <t>REFINED</t>
  </si>
  <si>
    <t>Video_Recorded</t>
  </si>
  <si>
    <t>3.0</t>
  </si>
  <si>
    <t>FVVP-222</t>
  </si>
  <si>
    <t>Make template mandatory when creating new EoT</t>
  </si>
  <si>
    <t>FVVP-214</t>
  </si>
  <si>
    <t>Prevent creation of new End Of Tenancy when Task Teams are not completed on related building</t>
  </si>
  <si>
    <t>FVVP-181</t>
  </si>
  <si>
    <t>Prevent Duplicate EOTs for a Unit</t>
  </si>
  <si>
    <t>Priority 2</t>
  </si>
  <si>
    <t>UAT_Feedback</t>
  </si>
  <si>
    <t>FVVP-180</t>
  </si>
  <si>
    <t>Information Required on Completing Tasks</t>
  </si>
  <si>
    <t>Sizing_Done</t>
  </si>
  <si>
    <t>FVVP-128</t>
  </si>
  <si>
    <t>Complete Task Screen Flow</t>
  </si>
  <si>
    <t>8.0</t>
  </si>
  <si>
    <t>FVVP-126</t>
  </si>
  <si>
    <t>Update Task Template - New Task - Amend DD</t>
  </si>
  <si>
    <t>FVVP-106</t>
  </si>
  <si>
    <t>Not Required</t>
  </si>
  <si>
    <t>0.0</t>
  </si>
  <si>
    <t>FVVP-100</t>
  </si>
  <si>
    <t>See History of EOTs for a Unit</t>
  </si>
  <si>
    <t>Priority 1</t>
  </si>
  <si>
    <t>FVVP-99</t>
  </si>
  <si>
    <t>See Audit History</t>
  </si>
  <si>
    <t>FVVP-92</t>
  </si>
  <si>
    <t>Update Salesforce Unit Details</t>
  </si>
  <si>
    <t>Avi Purohit</t>
  </si>
  <si>
    <t>712020:c193d1c9-a74f-4827-9308-4a6fbb0cf731</t>
  </si>
  <si>
    <t>FVVP-91</t>
  </si>
  <si>
    <t>Track Task Team as well as Task Owner</t>
  </si>
  <si>
    <t>FVVP-90</t>
  </si>
  <si>
    <t>See Available Date &amp; EoT Completion Date</t>
  </si>
  <si>
    <t>5.0</t>
  </si>
  <si>
    <t>FVVP-87</t>
  </si>
  <si>
    <t>Update Relet Status - Update Tasks</t>
  </si>
  <si>
    <t>FVVP-86</t>
  </si>
  <si>
    <t>Create a Void with Relet Tasks</t>
  </si>
  <si>
    <t>FVVP-78</t>
  </si>
  <si>
    <t>Cancel an EoT</t>
  </si>
  <si>
    <t>FVVP-77</t>
  </si>
  <si>
    <t>Close an End of Tenancy</t>
  </si>
  <si>
    <t>FVVP-75</t>
  </si>
  <si>
    <t>Users Cannot Edit Completed EoT</t>
  </si>
  <si>
    <t>FVVP-65</t>
  </si>
  <si>
    <t xml:space="preserve">Update Works Type - Update Tasks </t>
  </si>
  <si>
    <t>FVVP-52</t>
  </si>
  <si>
    <t>Scope_Creep</t>
  </si>
  <si>
    <t>FVVP-51</t>
  </si>
  <si>
    <t>Calculate &amp; Update Estimated Timelines - Tasks Dependent on Completion of Prior Tasks</t>
  </si>
  <si>
    <t>20.0</t>
  </si>
  <si>
    <t>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</si>
</sst>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m/dd\ hh:mm"/>
    </dxf>
    <dxf>
      <numFmt numFmtId="27" formatCode="yyyy/mm/dd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E701DB-8F35-4E66-ACA8-710F5AC0D474}" autoFormatId="16" applyNumberFormats="0" applyBorderFormats="0" applyFontFormats="0" applyPatternFormats="0" applyAlignmentFormats="0" applyWidthHeightFormats="0">
  <queryTableRefresh nextId="21" unboundColumnsRight="2">
    <queryTableFields count="20">
      <queryTableField id="1" name="Issue Type" tableColumnId="1"/>
      <queryTableField id="2" name="Issue key" tableColumnId="2"/>
      <queryTableField id="3" name="Issue id" tableColumnId="3"/>
      <queryTableField id="4" name="Summary" tableColumnId="4"/>
      <queryTableField id="5" name="Assignee" tableColumnId="5"/>
      <queryTableField id="6" name="Assignee Id" tableColumnId="6"/>
      <queryTableField id="7" name="Priority" tableColumnId="7"/>
      <queryTableField id="8" name="Status" tableColumnId="8"/>
      <queryTableField id="9" name="Resolution" tableColumnId="9"/>
      <queryTableField id="10" name="Created" tableColumnId="10"/>
      <queryTableField id="11" name="Updated" tableColumnId="11"/>
      <queryTableField id="12" name="Due date" tableColumnId="12"/>
      <queryTableField id="13" name="Labels" tableColumnId="13"/>
      <queryTableField id="14" name="Labels_1" tableColumnId="14"/>
      <queryTableField id="15" name="Labels_2" tableColumnId="15"/>
      <queryTableField id="16" name="Labels_3" tableColumnId="16"/>
      <queryTableField id="17" name="Labels_4" tableColumnId="17"/>
      <queryTableField id="18" name="Custom field (Story Points)" tableColumnId="18"/>
      <queryTableField id="19" dataBound="0" tableColumnId="19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B89627-488E-42FE-BC18-570F5BA7225B}" name="SB_Sprint_2_User_Stories___Bugs__Jira" displayName="SB_Sprint_2_User_Stories___Bugs__Jira" ref="A1:T37" tableType="queryTable" totalsRowCount="1">
  <autoFilter ref="A1:T36" xr:uid="{CDB89627-488E-42FE-BC18-570F5BA7225B}"/>
  <tableColumns count="20">
    <tableColumn id="1" xr3:uid="{C7072E85-A616-47C0-92F9-3056365843E9}" uniqueName="1" name="Issue Type" queryTableFieldId="1" dataDxfId="37" totalsRowDxfId="18"/>
    <tableColumn id="2" xr3:uid="{C51B2A2D-F4F1-4408-B49A-18585A851304}" uniqueName="2" name="Issue key" queryTableFieldId="2" dataDxfId="36" totalsRowDxfId="17"/>
    <tableColumn id="3" xr3:uid="{8175BB08-A1B7-480F-8404-0A5A086AD97D}" uniqueName="3" name="Issue id" queryTableFieldId="3"/>
    <tableColumn id="4" xr3:uid="{8005D21A-6A47-4AE2-B221-3AEC9F471922}" uniqueName="4" name="Summary" queryTableFieldId="4" dataDxfId="35" totalsRowDxfId="16"/>
    <tableColumn id="5" xr3:uid="{7DC9B020-2A1F-43F0-9126-550A520AF121}" uniqueName="5" name="Assignee" queryTableFieldId="5" dataDxfId="34" totalsRowDxfId="15"/>
    <tableColumn id="6" xr3:uid="{0E04826A-F137-45BB-A450-FA8B80FCB94D}" uniqueName="6" name="Assignee Id" queryTableFieldId="6" dataDxfId="33" totalsRowDxfId="14"/>
    <tableColumn id="7" xr3:uid="{06A61F4F-B835-4937-958D-9D57251BC754}" uniqueName="7" name="Priority" queryTableFieldId="7" dataDxfId="32" totalsRowDxfId="13"/>
    <tableColumn id="8" xr3:uid="{21A20915-58A0-4C98-B04E-84D92B509E5F}" uniqueName="8" name="Status" queryTableFieldId="8" dataDxfId="31" totalsRowDxfId="12"/>
    <tableColumn id="9" xr3:uid="{1D95A3E0-BCBD-43CF-B673-D87C2D0D20D9}" uniqueName="9" name="Resolution" queryTableFieldId="9" dataDxfId="30" totalsRowDxfId="11"/>
    <tableColumn id="10" xr3:uid="{FB750983-F97C-496A-8F97-0654DC38C98A}" uniqueName="10" name="Created" queryTableFieldId="10" dataDxfId="29" totalsRowDxfId="10"/>
    <tableColumn id="11" xr3:uid="{592E3FC8-1E7F-4658-A7FE-3776579A23D9}" uniqueName="11" name="Updated" queryTableFieldId="11" dataDxfId="28" totalsRowDxfId="9"/>
    <tableColumn id="12" xr3:uid="{2052430B-4012-4216-9703-ABED4ADFA955}" uniqueName="12" name="Due date" queryTableFieldId="12" dataDxfId="27" totalsRowDxfId="8"/>
    <tableColumn id="13" xr3:uid="{C202B9A1-654A-41D0-9D13-AD3BB87D58F1}" uniqueName="13" name="Labels" queryTableFieldId="13" dataDxfId="26" totalsRowDxfId="7"/>
    <tableColumn id="14" xr3:uid="{0AD4CC6F-38C7-4F70-BF73-A6C8F5998774}" uniqueName="14" name="Labels_1" queryTableFieldId="14" dataDxfId="25" totalsRowDxfId="6"/>
    <tableColumn id="15" xr3:uid="{16480C92-2239-4741-86E4-4916CA8788E9}" uniqueName="15" name="Labels_2" queryTableFieldId="15" dataDxfId="24" totalsRowDxfId="5"/>
    <tableColumn id="16" xr3:uid="{285F51CB-2C73-4938-A1F0-476C6F37AEE5}" uniqueName="16" name="Labels_3" queryTableFieldId="16" dataDxfId="23" totalsRowDxfId="4"/>
    <tableColumn id="17" xr3:uid="{64E09ECC-3852-4BDE-A166-EC1C2C968BF0}" uniqueName="17" name="Labels_4" queryTableFieldId="17" dataDxfId="22" totalsRowDxfId="3"/>
    <tableColumn id="18" xr3:uid="{E2EE97BB-F61F-4B44-96E7-8D58F6D96925}" uniqueName="18" name="Custom field (Story Points)" queryTableFieldId="18" dataDxfId="21" totalsRowDxfId="2"/>
    <tableColumn id="19" xr3:uid="{69F10C3D-BC0F-476A-B2FE-ECFA0F75A953}" uniqueName="19" name="Story" totalsRowFunction="custom" queryTableFieldId="19" dataDxfId="20" totalsRowDxfId="1">
      <totalsRowFormula>SUM(S9:S36)</totalsRowFormula>
    </tableColumn>
    <tableColumn id="20" xr3:uid="{3322AFC8-9048-446D-A745-926640BF6909}" uniqueName="20" name="UAT" totalsRowFunction="custom" queryTableFieldId="20" dataDxfId="19" totalsRowDxfId="0">
      <totalsRowFormula>SUM(T9:T36)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8908-0A19-45A7-8990-C2872BCF2339}">
  <dimension ref="A1:T37"/>
  <sheetViews>
    <sheetView tabSelected="1" topLeftCell="F10" workbookViewId="0">
      <selection activeCell="T3" sqref="T3"/>
    </sheetView>
  </sheetViews>
  <sheetFormatPr defaultRowHeight="15" x14ac:dyDescent="0.25"/>
  <cols>
    <col min="1" max="1" width="12.5703125" bestFit="1" customWidth="1"/>
    <col min="2" max="2" width="11.42578125" bestFit="1" customWidth="1"/>
    <col min="3" max="3" width="10" bestFit="1" customWidth="1"/>
    <col min="4" max="4" width="81.140625" bestFit="1" customWidth="1"/>
    <col min="5" max="5" width="26.42578125" bestFit="1" customWidth="1"/>
    <col min="6" max="6" width="44.140625" bestFit="1" customWidth="1"/>
    <col min="7" max="7" width="9.85546875" bestFit="1" customWidth="1"/>
    <col min="8" max="8" width="8.7109375" bestFit="1" customWidth="1"/>
    <col min="9" max="9" width="12.85546875" bestFit="1" customWidth="1"/>
    <col min="10" max="11" width="15.85546875" bestFit="1" customWidth="1"/>
    <col min="12" max="12" width="11.28515625" bestFit="1" customWidth="1"/>
    <col min="13" max="13" width="14.42578125" bestFit="1" customWidth="1"/>
    <col min="14" max="16" width="19.7109375" bestFit="1" customWidth="1"/>
    <col min="17" max="17" width="14.140625" bestFit="1" customWidth="1"/>
    <col min="18" max="18" width="27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40</v>
      </c>
      <c r="T1" t="s">
        <v>117</v>
      </c>
    </row>
    <row r="2" spans="1:20" x14ac:dyDescent="0.25">
      <c r="A2" s="1" t="s">
        <v>18</v>
      </c>
      <c r="B2" s="1" t="s">
        <v>19</v>
      </c>
      <c r="C2">
        <v>34589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24</v>
      </c>
      <c r="J2" s="2">
        <v>44127.454861111109</v>
      </c>
      <c r="K2" s="2">
        <v>44127.55</v>
      </c>
      <c r="L2" s="1" t="s">
        <v>25</v>
      </c>
      <c r="M2" s="1" t="s">
        <v>25</v>
      </c>
      <c r="N2" s="1" t="s">
        <v>25</v>
      </c>
      <c r="O2" s="1" t="s">
        <v>25</v>
      </c>
      <c r="P2" s="1" t="s">
        <v>25</v>
      </c>
      <c r="Q2" s="1" t="s">
        <v>25</v>
      </c>
      <c r="R2" s="1" t="s">
        <v>25</v>
      </c>
      <c r="S2" s="1"/>
      <c r="T2" s="1"/>
    </row>
    <row r="3" spans="1:20" x14ac:dyDescent="0.25">
      <c r="A3" s="1" t="s">
        <v>18</v>
      </c>
      <c r="B3" s="1" t="s">
        <v>26</v>
      </c>
      <c r="C3">
        <v>34583</v>
      </c>
      <c r="D3" s="1" t="s">
        <v>27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24</v>
      </c>
      <c r="J3" s="2">
        <v>43761.71875</v>
      </c>
      <c r="K3" s="2">
        <v>43761.742361111108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1" t="s">
        <v>25</v>
      </c>
      <c r="R3" s="1" t="s">
        <v>25</v>
      </c>
      <c r="S3" s="1"/>
      <c r="T3" s="1"/>
    </row>
    <row r="4" spans="1:20" x14ac:dyDescent="0.25">
      <c r="A4" s="1" t="s">
        <v>18</v>
      </c>
      <c r="B4" s="1" t="s">
        <v>28</v>
      </c>
      <c r="C4">
        <v>34575</v>
      </c>
      <c r="D4" s="1" t="s">
        <v>29</v>
      </c>
      <c r="E4" s="1" t="s">
        <v>30</v>
      </c>
      <c r="F4" s="1" t="s">
        <v>31</v>
      </c>
      <c r="G4" s="1" t="s">
        <v>23</v>
      </c>
      <c r="H4" s="1" t="s">
        <v>24</v>
      </c>
      <c r="I4" s="1" t="s">
        <v>24</v>
      </c>
      <c r="J4" s="2">
        <v>43761.598611111112</v>
      </c>
      <c r="K4" s="2">
        <v>44127.429166666669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  <c r="S4" s="1"/>
      <c r="T4" s="1"/>
    </row>
    <row r="5" spans="1:20" x14ac:dyDescent="0.25">
      <c r="A5" s="1" t="s">
        <v>18</v>
      </c>
      <c r="B5" s="1" t="s">
        <v>32</v>
      </c>
      <c r="C5">
        <v>34556</v>
      </c>
      <c r="D5" s="1" t="s">
        <v>33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24</v>
      </c>
      <c r="J5" s="2">
        <v>41570.671527777777</v>
      </c>
      <c r="K5" s="2">
        <v>43761.743055555555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25</v>
      </c>
      <c r="R5" s="1" t="s">
        <v>25</v>
      </c>
      <c r="S5" s="1"/>
      <c r="T5" s="1"/>
    </row>
    <row r="6" spans="1:20" x14ac:dyDescent="0.25">
      <c r="A6" s="1" t="s">
        <v>18</v>
      </c>
      <c r="B6" s="1" t="s">
        <v>34</v>
      </c>
      <c r="C6">
        <v>34549</v>
      </c>
      <c r="D6" s="1" t="s">
        <v>35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24</v>
      </c>
      <c r="J6" s="2">
        <v>41205.64166666667</v>
      </c>
      <c r="K6" s="2">
        <v>43031.534722222219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25</v>
      </c>
      <c r="R6" s="1" t="s">
        <v>25</v>
      </c>
      <c r="S6" s="1"/>
      <c r="T6" s="1"/>
    </row>
    <row r="7" spans="1:20" x14ac:dyDescent="0.25">
      <c r="A7" s="1" t="s">
        <v>18</v>
      </c>
      <c r="B7" s="1" t="s">
        <v>36</v>
      </c>
      <c r="C7">
        <v>34542</v>
      </c>
      <c r="D7" s="1" t="s">
        <v>37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24</v>
      </c>
      <c r="J7" s="2">
        <v>40839.754166666666</v>
      </c>
      <c r="K7" s="2">
        <v>43761.716666666667</v>
      </c>
      <c r="L7" s="1" t="s">
        <v>25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25</v>
      </c>
      <c r="R7" s="1" t="s">
        <v>25</v>
      </c>
      <c r="S7" s="1"/>
      <c r="T7" s="1"/>
    </row>
    <row r="8" spans="1:20" x14ac:dyDescent="0.25">
      <c r="A8" s="1" t="s">
        <v>18</v>
      </c>
      <c r="B8" s="1" t="s">
        <v>38</v>
      </c>
      <c r="C8">
        <v>34520</v>
      </c>
      <c r="D8" s="1" t="s">
        <v>39</v>
      </c>
      <c r="E8" s="1" t="s">
        <v>25</v>
      </c>
      <c r="F8" s="1" t="s">
        <v>25</v>
      </c>
      <c r="G8" s="1" t="s">
        <v>23</v>
      </c>
      <c r="H8" s="1" t="s">
        <v>24</v>
      </c>
      <c r="I8" s="1" t="s">
        <v>24</v>
      </c>
      <c r="J8" s="2">
        <v>38283.662499999999</v>
      </c>
      <c r="K8" s="2">
        <v>43031.515972222223</v>
      </c>
      <c r="L8" s="1" t="s">
        <v>25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25</v>
      </c>
      <c r="R8" s="1" t="s">
        <v>25</v>
      </c>
      <c r="S8" s="1"/>
      <c r="T8" s="1"/>
    </row>
    <row r="9" spans="1:20" x14ac:dyDescent="0.25">
      <c r="A9" s="1" t="s">
        <v>40</v>
      </c>
      <c r="B9" s="1" t="s">
        <v>41</v>
      </c>
      <c r="C9">
        <v>34517</v>
      </c>
      <c r="D9" s="1" t="s">
        <v>42</v>
      </c>
      <c r="E9" s="1" t="s">
        <v>21</v>
      </c>
      <c r="F9" s="1" t="s">
        <v>22</v>
      </c>
      <c r="G9" s="1" t="s">
        <v>23</v>
      </c>
      <c r="H9" s="1" t="s">
        <v>24</v>
      </c>
      <c r="I9" s="1" t="s">
        <v>24</v>
      </c>
      <c r="J9" s="2">
        <v>38283.631944444445</v>
      </c>
      <c r="K9" s="2">
        <v>43396.635416666664</v>
      </c>
      <c r="L9" s="1" t="s">
        <v>25</v>
      </c>
      <c r="M9" s="1" t="s">
        <v>43</v>
      </c>
      <c r="N9" s="1" t="s">
        <v>44</v>
      </c>
      <c r="O9" s="1" t="s">
        <v>25</v>
      </c>
      <c r="P9" s="1" t="s">
        <v>25</v>
      </c>
      <c r="Q9" s="1" t="s">
        <v>25</v>
      </c>
      <c r="R9" s="1" t="s">
        <v>45</v>
      </c>
      <c r="S9" s="1">
        <v>1</v>
      </c>
      <c r="T9" s="1"/>
    </row>
    <row r="10" spans="1:20" x14ac:dyDescent="0.25">
      <c r="A10" s="1" t="s">
        <v>18</v>
      </c>
      <c r="B10" s="1" t="s">
        <v>46</v>
      </c>
      <c r="C10">
        <v>34516</v>
      </c>
      <c r="D10" s="1" t="s">
        <v>47</v>
      </c>
      <c r="E10" s="1" t="s">
        <v>21</v>
      </c>
      <c r="F10" s="1" t="s">
        <v>22</v>
      </c>
      <c r="G10" s="1" t="s">
        <v>23</v>
      </c>
      <c r="H10" s="1" t="s">
        <v>24</v>
      </c>
      <c r="I10" s="1" t="s">
        <v>24</v>
      </c>
      <c r="J10" s="2">
        <v>38283.61041666667</v>
      </c>
      <c r="K10" s="2">
        <v>40839.425000000003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25</v>
      </c>
      <c r="Q10" s="1" t="s">
        <v>25</v>
      </c>
      <c r="R10" s="1" t="s">
        <v>25</v>
      </c>
      <c r="S10" s="1"/>
      <c r="T10" s="1"/>
    </row>
    <row r="11" spans="1:20" x14ac:dyDescent="0.25">
      <c r="A11" s="1" t="s">
        <v>18</v>
      </c>
      <c r="B11" s="1" t="s">
        <v>48</v>
      </c>
      <c r="C11">
        <v>34514</v>
      </c>
      <c r="D11" s="1" t="s">
        <v>49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24</v>
      </c>
      <c r="J11" s="2">
        <v>38283.597222222219</v>
      </c>
      <c r="K11" s="2">
        <v>46683.649305555555</v>
      </c>
      <c r="L11" s="1" t="s">
        <v>25</v>
      </c>
      <c r="M11" s="1" t="s">
        <v>50</v>
      </c>
      <c r="N11" s="1" t="s">
        <v>44</v>
      </c>
      <c r="O11" s="1" t="s">
        <v>25</v>
      </c>
      <c r="P11" s="1" t="s">
        <v>25</v>
      </c>
      <c r="Q11" s="1" t="s">
        <v>25</v>
      </c>
      <c r="R11" s="1" t="s">
        <v>45</v>
      </c>
      <c r="S11" s="1">
        <v>1</v>
      </c>
      <c r="T11" s="1"/>
    </row>
    <row r="12" spans="1:20" x14ac:dyDescent="0.25">
      <c r="A12" s="1" t="s">
        <v>18</v>
      </c>
      <c r="B12" s="1" t="s">
        <v>51</v>
      </c>
      <c r="C12">
        <v>34513</v>
      </c>
      <c r="D12" s="1" t="s">
        <v>52</v>
      </c>
      <c r="E12" s="1" t="s">
        <v>21</v>
      </c>
      <c r="F12" s="1" t="s">
        <v>22</v>
      </c>
      <c r="G12" s="1" t="s">
        <v>23</v>
      </c>
      <c r="H12" s="1" t="s">
        <v>24</v>
      </c>
      <c r="I12" s="1" t="s">
        <v>24</v>
      </c>
      <c r="J12" s="2">
        <v>38283.591666666667</v>
      </c>
      <c r="K12" s="2">
        <v>40839.429861111108</v>
      </c>
      <c r="L12" s="1" t="s">
        <v>25</v>
      </c>
      <c r="M12" s="1" t="s">
        <v>50</v>
      </c>
      <c r="N12" s="1" t="s">
        <v>44</v>
      </c>
      <c r="O12" s="1" t="s">
        <v>25</v>
      </c>
      <c r="P12" s="1" t="s">
        <v>25</v>
      </c>
      <c r="Q12" s="1" t="s">
        <v>25</v>
      </c>
      <c r="R12" s="1" t="s">
        <v>45</v>
      </c>
      <c r="S12" s="1">
        <v>1</v>
      </c>
      <c r="T12" s="1"/>
    </row>
    <row r="13" spans="1:20" x14ac:dyDescent="0.25">
      <c r="A13" s="1" t="s">
        <v>18</v>
      </c>
      <c r="B13" s="1" t="s">
        <v>53</v>
      </c>
      <c r="C13">
        <v>34501</v>
      </c>
      <c r="D13" s="1" t="s">
        <v>54</v>
      </c>
      <c r="E13" s="1" t="s">
        <v>55</v>
      </c>
      <c r="F13" s="1" t="s">
        <v>56</v>
      </c>
      <c r="G13" s="1" t="s">
        <v>23</v>
      </c>
      <c r="H13" s="1" t="s">
        <v>24</v>
      </c>
      <c r="I13" s="1" t="s">
        <v>24</v>
      </c>
      <c r="J13" s="2">
        <v>37917.395833333336</v>
      </c>
      <c r="K13" s="2">
        <v>46683.628472222219</v>
      </c>
      <c r="L13" s="1" t="s">
        <v>25</v>
      </c>
      <c r="M13" s="1" t="s">
        <v>25</v>
      </c>
      <c r="N13" s="1" t="s">
        <v>25</v>
      </c>
      <c r="O13" s="1" t="s">
        <v>25</v>
      </c>
      <c r="P13" s="1" t="s">
        <v>25</v>
      </c>
      <c r="Q13" s="1" t="s">
        <v>25</v>
      </c>
      <c r="R13" s="1" t="s">
        <v>45</v>
      </c>
      <c r="S13" s="1">
        <v>1</v>
      </c>
      <c r="T13" s="1"/>
    </row>
    <row r="14" spans="1:20" x14ac:dyDescent="0.25">
      <c r="A14" s="1" t="s">
        <v>40</v>
      </c>
      <c r="B14" s="1" t="s">
        <v>57</v>
      </c>
      <c r="C14">
        <v>34491</v>
      </c>
      <c r="D14" s="1" t="s">
        <v>58</v>
      </c>
      <c r="E14" s="1" t="s">
        <v>21</v>
      </c>
      <c r="F14" s="1" t="s">
        <v>22</v>
      </c>
      <c r="G14" s="1" t="s">
        <v>23</v>
      </c>
      <c r="H14" s="1" t="s">
        <v>24</v>
      </c>
      <c r="I14" s="1" t="s">
        <v>24</v>
      </c>
      <c r="J14" s="2">
        <v>37187.864583333336</v>
      </c>
      <c r="K14" s="2">
        <v>45222.479861111111</v>
      </c>
      <c r="L14" s="1" t="s">
        <v>25</v>
      </c>
      <c r="M14" s="1" t="s">
        <v>43</v>
      </c>
      <c r="N14" s="1" t="s">
        <v>25</v>
      </c>
      <c r="O14" s="1" t="s">
        <v>25</v>
      </c>
      <c r="P14" s="1" t="s">
        <v>25</v>
      </c>
      <c r="Q14" s="1" t="s">
        <v>25</v>
      </c>
      <c r="R14" s="1" t="s">
        <v>59</v>
      </c>
      <c r="S14" s="1">
        <v>2</v>
      </c>
      <c r="T14" s="1"/>
    </row>
    <row r="15" spans="1:20" x14ac:dyDescent="0.25">
      <c r="A15" s="1" t="s">
        <v>18</v>
      </c>
      <c r="B15" s="1" t="s">
        <v>60</v>
      </c>
      <c r="C15">
        <v>34490</v>
      </c>
      <c r="D15" s="1" t="s">
        <v>61</v>
      </c>
      <c r="E15" s="1" t="s">
        <v>21</v>
      </c>
      <c r="F15" s="1" t="s">
        <v>22</v>
      </c>
      <c r="G15" s="1" t="s">
        <v>23</v>
      </c>
      <c r="H15" s="1" t="s">
        <v>24</v>
      </c>
      <c r="I15" s="1" t="s">
        <v>24</v>
      </c>
      <c r="J15" s="2">
        <v>47749.647916666669</v>
      </c>
      <c r="K15" s="2">
        <v>37917.707638888889</v>
      </c>
      <c r="L15" s="1" t="s">
        <v>25</v>
      </c>
      <c r="M15" s="1" t="s">
        <v>25</v>
      </c>
      <c r="N15" s="1" t="s">
        <v>25</v>
      </c>
      <c r="O15" s="1" t="s">
        <v>25</v>
      </c>
      <c r="P15" s="1" t="s">
        <v>25</v>
      </c>
      <c r="Q15" s="1" t="s">
        <v>25</v>
      </c>
      <c r="R15" s="1" t="s">
        <v>25</v>
      </c>
      <c r="S15" s="1"/>
      <c r="T15" s="1"/>
    </row>
    <row r="16" spans="1:20" x14ac:dyDescent="0.25">
      <c r="A16" s="1" t="s">
        <v>40</v>
      </c>
      <c r="B16" s="1" t="s">
        <v>62</v>
      </c>
      <c r="C16">
        <v>34489</v>
      </c>
      <c r="D16" s="1" t="s">
        <v>63</v>
      </c>
      <c r="E16" s="1" t="s">
        <v>21</v>
      </c>
      <c r="F16" s="1" t="s">
        <v>22</v>
      </c>
      <c r="G16" s="1" t="s">
        <v>23</v>
      </c>
      <c r="H16" s="1" t="s">
        <v>24</v>
      </c>
      <c r="I16" s="1" t="s">
        <v>24</v>
      </c>
      <c r="J16" s="2">
        <v>47749.06527777778</v>
      </c>
      <c r="K16" s="2">
        <v>46318.727777777778</v>
      </c>
      <c r="L16" s="1" t="s">
        <v>25</v>
      </c>
      <c r="M16" s="1" t="s">
        <v>50</v>
      </c>
      <c r="N16" s="1" t="s">
        <v>64</v>
      </c>
      <c r="O16" s="1" t="s">
        <v>44</v>
      </c>
      <c r="P16" s="1" t="s">
        <v>65</v>
      </c>
      <c r="Q16" s="1" t="s">
        <v>25</v>
      </c>
      <c r="R16" s="1" t="s">
        <v>66</v>
      </c>
      <c r="S16" s="1">
        <v>3</v>
      </c>
      <c r="T16" s="1"/>
    </row>
    <row r="17" spans="1:20" x14ac:dyDescent="0.25">
      <c r="A17" s="1" t="s">
        <v>18</v>
      </c>
      <c r="B17" s="1" t="s">
        <v>67</v>
      </c>
      <c r="C17">
        <v>34488</v>
      </c>
      <c r="D17" s="1" t="s">
        <v>68</v>
      </c>
      <c r="E17" s="1" t="s">
        <v>55</v>
      </c>
      <c r="F17" s="1" t="s">
        <v>56</v>
      </c>
      <c r="G17" s="1" t="s">
        <v>23</v>
      </c>
      <c r="H17" s="1" t="s">
        <v>24</v>
      </c>
      <c r="I17" s="1" t="s">
        <v>24</v>
      </c>
      <c r="J17" s="2">
        <v>47749.061805555553</v>
      </c>
      <c r="K17" s="2">
        <v>40474.470833333333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25</v>
      </c>
      <c r="Q17" s="1" t="s">
        <v>25</v>
      </c>
      <c r="R17" s="1" t="s">
        <v>45</v>
      </c>
      <c r="S17" s="1">
        <v>1</v>
      </c>
      <c r="T17" s="1"/>
    </row>
    <row r="18" spans="1:20" x14ac:dyDescent="0.25">
      <c r="A18" s="1" t="s">
        <v>40</v>
      </c>
      <c r="B18" s="1" t="s">
        <v>69</v>
      </c>
      <c r="C18">
        <v>34467</v>
      </c>
      <c r="D18" s="1" t="s">
        <v>70</v>
      </c>
      <c r="E18" s="1" t="s">
        <v>21</v>
      </c>
      <c r="F18" s="1" t="s">
        <v>22</v>
      </c>
      <c r="G18" s="1" t="s">
        <v>23</v>
      </c>
      <c r="H18" s="1" t="s">
        <v>24</v>
      </c>
      <c r="I18" s="1" t="s">
        <v>24</v>
      </c>
      <c r="J18" s="2">
        <v>46653.51458333333</v>
      </c>
      <c r="K18" s="2">
        <v>47779.448611111111</v>
      </c>
      <c r="L18" s="1" t="s">
        <v>25</v>
      </c>
      <c r="M18" s="1" t="s">
        <v>50</v>
      </c>
      <c r="N18" s="1" t="s">
        <v>64</v>
      </c>
      <c r="O18" s="1" t="s">
        <v>44</v>
      </c>
      <c r="P18" s="1" t="s">
        <v>65</v>
      </c>
      <c r="Q18" s="1" t="s">
        <v>25</v>
      </c>
      <c r="R18" s="1" t="s">
        <v>59</v>
      </c>
      <c r="S18" s="1">
        <v>2</v>
      </c>
      <c r="T18" s="1"/>
    </row>
    <row r="19" spans="1:20" x14ac:dyDescent="0.25">
      <c r="A19" s="1" t="s">
        <v>40</v>
      </c>
      <c r="B19" s="1" t="s">
        <v>71</v>
      </c>
      <c r="C19">
        <v>33432</v>
      </c>
      <c r="D19" s="1" t="s">
        <v>72</v>
      </c>
      <c r="E19" s="1" t="s">
        <v>21</v>
      </c>
      <c r="F19" s="1" t="s">
        <v>22</v>
      </c>
      <c r="G19" s="1" t="s">
        <v>73</v>
      </c>
      <c r="H19" s="1" t="s">
        <v>24</v>
      </c>
      <c r="I19" s="1" t="s">
        <v>24</v>
      </c>
      <c r="J19" s="2">
        <v>37065.584027777775</v>
      </c>
      <c r="K19" s="2">
        <v>43761.636111111111</v>
      </c>
      <c r="L19" s="1" t="s">
        <v>25</v>
      </c>
      <c r="M19" s="1" t="s">
        <v>50</v>
      </c>
      <c r="N19" s="1" t="s">
        <v>43</v>
      </c>
      <c r="O19" s="1" t="s">
        <v>64</v>
      </c>
      <c r="P19" s="1" t="s">
        <v>44</v>
      </c>
      <c r="Q19" s="3" t="s">
        <v>74</v>
      </c>
      <c r="R19" s="1" t="s">
        <v>59</v>
      </c>
      <c r="S19" s="1">
        <v>2</v>
      </c>
      <c r="T19" s="1">
        <v>2</v>
      </c>
    </row>
    <row r="20" spans="1:20" x14ac:dyDescent="0.25">
      <c r="A20" s="1" t="s">
        <v>40</v>
      </c>
      <c r="B20" s="1" t="s">
        <v>75</v>
      </c>
      <c r="C20">
        <v>33431</v>
      </c>
      <c r="D20" s="1" t="s">
        <v>76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24</v>
      </c>
      <c r="J20" s="2">
        <v>37065.584027777775</v>
      </c>
      <c r="K20" s="2">
        <v>45222.490972222222</v>
      </c>
      <c r="L20" s="1" t="s">
        <v>25</v>
      </c>
      <c r="M20" s="1" t="s">
        <v>64</v>
      </c>
      <c r="N20" s="1" t="s">
        <v>44</v>
      </c>
      <c r="O20" s="1" t="s">
        <v>77</v>
      </c>
      <c r="P20" s="1" t="s">
        <v>65</v>
      </c>
      <c r="Q20" s="1" t="s">
        <v>25</v>
      </c>
      <c r="R20" s="1" t="s">
        <v>66</v>
      </c>
      <c r="S20" s="1">
        <v>3</v>
      </c>
      <c r="T20" s="1"/>
    </row>
    <row r="21" spans="1:20" x14ac:dyDescent="0.25">
      <c r="A21" s="1" t="s">
        <v>40</v>
      </c>
      <c r="B21" s="1" t="s">
        <v>78</v>
      </c>
      <c r="C21">
        <v>33379</v>
      </c>
      <c r="D21" s="1" t="s">
        <v>79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24</v>
      </c>
      <c r="J21" s="2">
        <v>37065.584027777775</v>
      </c>
      <c r="K21" s="2">
        <v>45222.493750000001</v>
      </c>
      <c r="L21" s="1" t="s">
        <v>25</v>
      </c>
      <c r="M21" s="1" t="s">
        <v>64</v>
      </c>
      <c r="N21" s="1" t="s">
        <v>44</v>
      </c>
      <c r="O21" s="1" t="s">
        <v>77</v>
      </c>
      <c r="P21" s="1" t="s">
        <v>65</v>
      </c>
      <c r="Q21" s="1" t="s">
        <v>25</v>
      </c>
      <c r="R21" s="1" t="s">
        <v>80</v>
      </c>
      <c r="S21" s="1">
        <v>8</v>
      </c>
      <c r="T21" s="1"/>
    </row>
    <row r="22" spans="1:20" x14ac:dyDescent="0.25">
      <c r="A22" s="1" t="s">
        <v>40</v>
      </c>
      <c r="B22" s="1" t="s">
        <v>81</v>
      </c>
      <c r="C22">
        <v>33377</v>
      </c>
      <c r="D22" s="1" t="s">
        <v>82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24</v>
      </c>
      <c r="J22" s="2">
        <v>37065.584027777775</v>
      </c>
      <c r="K22" s="2">
        <v>43396.634722222225</v>
      </c>
      <c r="L22" s="1" t="s">
        <v>25</v>
      </c>
      <c r="M22" s="1" t="s">
        <v>50</v>
      </c>
      <c r="N22" s="1" t="s">
        <v>43</v>
      </c>
      <c r="O22" s="1" t="s">
        <v>64</v>
      </c>
      <c r="P22" s="1" t="s">
        <v>44</v>
      </c>
      <c r="Q22" s="3" t="s">
        <v>74</v>
      </c>
      <c r="R22" s="1" t="s">
        <v>45</v>
      </c>
      <c r="S22" s="1">
        <v>1</v>
      </c>
      <c r="T22" s="1">
        <v>1</v>
      </c>
    </row>
    <row r="23" spans="1:20" x14ac:dyDescent="0.25">
      <c r="A23" s="1" t="s">
        <v>40</v>
      </c>
      <c r="B23" s="1" t="s">
        <v>83</v>
      </c>
      <c r="C23">
        <v>33357</v>
      </c>
      <c r="D23" s="1" t="s">
        <v>84</v>
      </c>
      <c r="E23" s="1" t="s">
        <v>25</v>
      </c>
      <c r="F23" s="1" t="s">
        <v>25</v>
      </c>
      <c r="G23" s="1" t="s">
        <v>23</v>
      </c>
      <c r="H23" s="1" t="s">
        <v>24</v>
      </c>
      <c r="I23" s="1" t="s">
        <v>24</v>
      </c>
      <c r="J23" s="2">
        <v>37065.583333333336</v>
      </c>
      <c r="K23" s="2">
        <v>43761.605555555558</v>
      </c>
      <c r="L23" s="1" t="s">
        <v>25</v>
      </c>
      <c r="M23" s="1" t="s">
        <v>43</v>
      </c>
      <c r="N23" s="1" t="s">
        <v>25</v>
      </c>
      <c r="O23" s="1" t="s">
        <v>25</v>
      </c>
      <c r="P23" s="1" t="s">
        <v>25</v>
      </c>
      <c r="Q23" s="1" t="s">
        <v>25</v>
      </c>
      <c r="R23" s="1" t="s">
        <v>85</v>
      </c>
      <c r="S23" s="1">
        <v>0</v>
      </c>
      <c r="T23" s="1"/>
    </row>
    <row r="24" spans="1:20" x14ac:dyDescent="0.25">
      <c r="A24" s="1" t="s">
        <v>40</v>
      </c>
      <c r="B24" s="1" t="s">
        <v>86</v>
      </c>
      <c r="C24">
        <v>33351</v>
      </c>
      <c r="D24" s="1" t="s">
        <v>87</v>
      </c>
      <c r="E24" s="1" t="s">
        <v>21</v>
      </c>
      <c r="F24" s="1" t="s">
        <v>22</v>
      </c>
      <c r="G24" s="1" t="s">
        <v>88</v>
      </c>
      <c r="H24" s="1" t="s">
        <v>24</v>
      </c>
      <c r="I24" s="1" t="s">
        <v>24</v>
      </c>
      <c r="J24" s="2">
        <v>37065.583333333336</v>
      </c>
      <c r="K24" s="2">
        <v>45588.634722222225</v>
      </c>
      <c r="L24" s="1" t="s">
        <v>25</v>
      </c>
      <c r="M24" s="1" t="s">
        <v>50</v>
      </c>
      <c r="N24" s="1" t="s">
        <v>43</v>
      </c>
      <c r="O24" s="1" t="s">
        <v>64</v>
      </c>
      <c r="P24" s="1" t="s">
        <v>25</v>
      </c>
      <c r="Q24" s="1" t="s">
        <v>25</v>
      </c>
      <c r="R24" s="1" t="s">
        <v>45</v>
      </c>
      <c r="S24" s="1">
        <v>1</v>
      </c>
      <c r="T24" s="1"/>
    </row>
    <row r="25" spans="1:20" x14ac:dyDescent="0.25">
      <c r="A25" s="1" t="s">
        <v>40</v>
      </c>
      <c r="B25" s="1" t="s">
        <v>89</v>
      </c>
      <c r="C25">
        <v>33350</v>
      </c>
      <c r="D25" s="1" t="s">
        <v>90</v>
      </c>
      <c r="E25" s="1" t="s">
        <v>55</v>
      </c>
      <c r="F25" s="1" t="s">
        <v>56</v>
      </c>
      <c r="G25" s="1" t="s">
        <v>88</v>
      </c>
      <c r="H25" s="1" t="s">
        <v>24</v>
      </c>
      <c r="I25" s="1" t="s">
        <v>24</v>
      </c>
      <c r="J25" s="2">
        <v>37065.583333333336</v>
      </c>
      <c r="K25" s="2">
        <v>44127.693055555559</v>
      </c>
      <c r="L25" s="1" t="s">
        <v>25</v>
      </c>
      <c r="M25" s="1" t="s">
        <v>43</v>
      </c>
      <c r="N25" s="1" t="s">
        <v>64</v>
      </c>
      <c r="O25" s="1" t="s">
        <v>44</v>
      </c>
      <c r="P25" s="1" t="s">
        <v>25</v>
      </c>
      <c r="Q25" s="1" t="s">
        <v>25</v>
      </c>
      <c r="R25" s="1" t="s">
        <v>59</v>
      </c>
      <c r="S25" s="1">
        <v>2</v>
      </c>
      <c r="T25" s="1"/>
    </row>
    <row r="26" spans="1:20" x14ac:dyDescent="0.25">
      <c r="A26" s="1" t="s">
        <v>40</v>
      </c>
      <c r="B26" s="1" t="s">
        <v>91</v>
      </c>
      <c r="C26">
        <v>33343</v>
      </c>
      <c r="D26" s="1" t="s">
        <v>92</v>
      </c>
      <c r="E26" s="1" t="s">
        <v>93</v>
      </c>
      <c r="F26" s="1" t="s">
        <v>94</v>
      </c>
      <c r="G26" s="1" t="s">
        <v>88</v>
      </c>
      <c r="H26" s="1" t="s">
        <v>24</v>
      </c>
      <c r="I26" s="1" t="s">
        <v>24</v>
      </c>
      <c r="J26" s="2">
        <v>37065.583333333336</v>
      </c>
      <c r="K26" s="2">
        <v>45222.631249999999</v>
      </c>
      <c r="L26" s="1" t="s">
        <v>25</v>
      </c>
      <c r="M26" s="1" t="s">
        <v>50</v>
      </c>
      <c r="N26" s="1" t="s">
        <v>43</v>
      </c>
      <c r="O26" s="1" t="s">
        <v>64</v>
      </c>
      <c r="P26" s="1" t="s">
        <v>44</v>
      </c>
      <c r="Q26" s="1" t="s">
        <v>25</v>
      </c>
      <c r="R26" s="1" t="s">
        <v>66</v>
      </c>
      <c r="S26" s="1">
        <v>3</v>
      </c>
      <c r="T26" s="1"/>
    </row>
    <row r="27" spans="1:20" x14ac:dyDescent="0.25">
      <c r="A27" s="1" t="s">
        <v>40</v>
      </c>
      <c r="B27" s="1" t="s">
        <v>95</v>
      </c>
      <c r="C27">
        <v>33342</v>
      </c>
      <c r="D27" s="1" t="s">
        <v>96</v>
      </c>
      <c r="E27" s="1" t="s">
        <v>55</v>
      </c>
      <c r="F27" s="1" t="s">
        <v>56</v>
      </c>
      <c r="G27" s="1" t="s">
        <v>23</v>
      </c>
      <c r="H27" s="1" t="s">
        <v>24</v>
      </c>
      <c r="I27" s="1" t="s">
        <v>24</v>
      </c>
      <c r="J27" s="2">
        <v>37065.583333333336</v>
      </c>
      <c r="K27" s="2">
        <v>46683.677777777775</v>
      </c>
      <c r="L27" s="1" t="s">
        <v>25</v>
      </c>
      <c r="M27" s="1" t="s">
        <v>50</v>
      </c>
      <c r="N27" s="1" t="s">
        <v>43</v>
      </c>
      <c r="O27" s="1" t="s">
        <v>64</v>
      </c>
      <c r="P27" s="1" t="s">
        <v>44</v>
      </c>
      <c r="Q27" s="1" t="s">
        <v>77</v>
      </c>
      <c r="R27" s="1" t="s">
        <v>66</v>
      </c>
      <c r="S27" s="1">
        <v>3</v>
      </c>
      <c r="T27" s="1"/>
    </row>
    <row r="28" spans="1:20" x14ac:dyDescent="0.25">
      <c r="A28" s="1" t="s">
        <v>40</v>
      </c>
      <c r="B28" s="1" t="s">
        <v>97</v>
      </c>
      <c r="C28">
        <v>33341</v>
      </c>
      <c r="D28" s="1" t="s">
        <v>98</v>
      </c>
      <c r="E28" s="1" t="s">
        <v>55</v>
      </c>
      <c r="F28" s="1" t="s">
        <v>56</v>
      </c>
      <c r="G28" s="1" t="s">
        <v>23</v>
      </c>
      <c r="H28" s="1" t="s">
        <v>24</v>
      </c>
      <c r="I28" s="1" t="s">
        <v>24</v>
      </c>
      <c r="J28" s="2">
        <v>37065.583333333336</v>
      </c>
      <c r="K28" s="2">
        <v>44158.76666666667</v>
      </c>
      <c r="L28" s="1" t="s">
        <v>25</v>
      </c>
      <c r="M28" s="1" t="s">
        <v>43</v>
      </c>
      <c r="N28" s="1" t="s">
        <v>64</v>
      </c>
      <c r="O28" s="1" t="s">
        <v>44</v>
      </c>
      <c r="P28" s="1" t="s">
        <v>25</v>
      </c>
      <c r="Q28" s="1" t="s">
        <v>25</v>
      </c>
      <c r="R28" s="1" t="s">
        <v>99</v>
      </c>
      <c r="S28" s="1">
        <v>5</v>
      </c>
      <c r="T28" s="1"/>
    </row>
    <row r="29" spans="1:20" x14ac:dyDescent="0.25">
      <c r="A29" s="1" t="s">
        <v>40</v>
      </c>
      <c r="B29" s="1" t="s">
        <v>100</v>
      </c>
      <c r="C29">
        <v>33338</v>
      </c>
      <c r="D29" s="1" t="s">
        <v>101</v>
      </c>
      <c r="E29" s="1" t="s">
        <v>21</v>
      </c>
      <c r="F29" s="1" t="s">
        <v>22</v>
      </c>
      <c r="G29" s="1" t="s">
        <v>23</v>
      </c>
      <c r="H29" s="1" t="s">
        <v>24</v>
      </c>
      <c r="I29" s="1" t="s">
        <v>24</v>
      </c>
      <c r="J29" s="2">
        <v>37065.583333333336</v>
      </c>
      <c r="K29" s="2">
        <v>45222.645138888889</v>
      </c>
      <c r="L29" s="1" t="s">
        <v>25</v>
      </c>
      <c r="M29" s="1" t="s">
        <v>50</v>
      </c>
      <c r="N29" s="1" t="s">
        <v>64</v>
      </c>
      <c r="O29" s="1" t="s">
        <v>44</v>
      </c>
      <c r="P29" s="1" t="s">
        <v>65</v>
      </c>
      <c r="Q29" s="1" t="s">
        <v>25</v>
      </c>
      <c r="R29" s="1" t="s">
        <v>99</v>
      </c>
      <c r="S29" s="1">
        <v>5</v>
      </c>
      <c r="T29" s="1"/>
    </row>
    <row r="30" spans="1:20" x14ac:dyDescent="0.25">
      <c r="A30" s="1" t="s">
        <v>40</v>
      </c>
      <c r="B30" s="1" t="s">
        <v>102</v>
      </c>
      <c r="C30">
        <v>33337</v>
      </c>
      <c r="D30" s="1" t="s">
        <v>103</v>
      </c>
      <c r="E30" s="1" t="s">
        <v>21</v>
      </c>
      <c r="F30" s="1" t="s">
        <v>22</v>
      </c>
      <c r="G30" s="1" t="s">
        <v>23</v>
      </c>
      <c r="H30" s="1" t="s">
        <v>24</v>
      </c>
      <c r="I30" s="1" t="s">
        <v>24</v>
      </c>
      <c r="J30" s="2">
        <v>37065.583333333336</v>
      </c>
      <c r="K30" s="2">
        <v>45222.645138888889</v>
      </c>
      <c r="L30" s="1" t="s">
        <v>25</v>
      </c>
      <c r="M30" s="1" t="s">
        <v>50</v>
      </c>
      <c r="N30" s="1" t="s">
        <v>43</v>
      </c>
      <c r="O30" s="1" t="s">
        <v>64</v>
      </c>
      <c r="P30" s="1" t="s">
        <v>44</v>
      </c>
      <c r="Q30" s="1" t="s">
        <v>25</v>
      </c>
      <c r="R30" s="1" t="s">
        <v>99</v>
      </c>
      <c r="S30" s="1">
        <v>5</v>
      </c>
      <c r="T30" s="1"/>
    </row>
    <row r="31" spans="1:20" x14ac:dyDescent="0.25">
      <c r="A31" s="1" t="s">
        <v>40</v>
      </c>
      <c r="B31" s="1" t="s">
        <v>104</v>
      </c>
      <c r="C31">
        <v>33329</v>
      </c>
      <c r="D31" s="1" t="s">
        <v>105</v>
      </c>
      <c r="E31" s="1" t="s">
        <v>21</v>
      </c>
      <c r="F31" s="1" t="s">
        <v>22</v>
      </c>
      <c r="G31" s="1" t="s">
        <v>23</v>
      </c>
      <c r="H31" s="1" t="s">
        <v>24</v>
      </c>
      <c r="I31" s="1" t="s">
        <v>24</v>
      </c>
      <c r="J31" s="2">
        <v>37065.583333333336</v>
      </c>
      <c r="K31" s="2">
        <v>45222.647916666669</v>
      </c>
      <c r="L31" s="1" t="s">
        <v>25</v>
      </c>
      <c r="M31" s="1" t="s">
        <v>50</v>
      </c>
      <c r="N31" s="1" t="s">
        <v>64</v>
      </c>
      <c r="O31" s="1" t="s">
        <v>44</v>
      </c>
      <c r="P31" s="1" t="s">
        <v>65</v>
      </c>
      <c r="Q31" s="1" t="s">
        <v>25</v>
      </c>
      <c r="R31" s="1" t="s">
        <v>66</v>
      </c>
      <c r="S31" s="1">
        <v>3</v>
      </c>
      <c r="T31" s="1"/>
    </row>
    <row r="32" spans="1:20" x14ac:dyDescent="0.25">
      <c r="A32" s="1" t="s">
        <v>40</v>
      </c>
      <c r="B32" s="1" t="s">
        <v>106</v>
      </c>
      <c r="C32">
        <v>33328</v>
      </c>
      <c r="D32" s="1" t="s">
        <v>107</v>
      </c>
      <c r="E32" s="1" t="s">
        <v>21</v>
      </c>
      <c r="F32" s="1" t="s">
        <v>22</v>
      </c>
      <c r="G32" s="1" t="s">
        <v>23</v>
      </c>
      <c r="H32" s="1" t="s">
        <v>24</v>
      </c>
      <c r="I32" s="1" t="s">
        <v>24</v>
      </c>
      <c r="J32" s="2">
        <v>37065.583333333336</v>
      </c>
      <c r="K32" s="2">
        <v>45953.388888888891</v>
      </c>
      <c r="L32" s="1" t="s">
        <v>25</v>
      </c>
      <c r="M32" s="1" t="s">
        <v>50</v>
      </c>
      <c r="N32" s="1" t="s">
        <v>64</v>
      </c>
      <c r="O32" s="1" t="s">
        <v>44</v>
      </c>
      <c r="P32" s="1" t="s">
        <v>65</v>
      </c>
      <c r="Q32" s="1" t="s">
        <v>25</v>
      </c>
      <c r="R32" s="1" t="s">
        <v>66</v>
      </c>
      <c r="S32" s="1">
        <v>3</v>
      </c>
      <c r="T32" s="1"/>
    </row>
    <row r="33" spans="1:20" x14ac:dyDescent="0.25">
      <c r="A33" s="1" t="s">
        <v>40</v>
      </c>
      <c r="B33" s="1" t="s">
        <v>108</v>
      </c>
      <c r="C33">
        <v>33326</v>
      </c>
      <c r="D33" s="1" t="s">
        <v>109</v>
      </c>
      <c r="E33" s="1" t="s">
        <v>93</v>
      </c>
      <c r="F33" s="1" t="s">
        <v>94</v>
      </c>
      <c r="G33" s="1" t="s">
        <v>23</v>
      </c>
      <c r="H33" s="1" t="s">
        <v>24</v>
      </c>
      <c r="I33" s="1" t="s">
        <v>24</v>
      </c>
      <c r="J33" s="2">
        <v>37065.583333333336</v>
      </c>
      <c r="K33" s="2">
        <v>40140.727083333331</v>
      </c>
      <c r="L33" s="1" t="s">
        <v>25</v>
      </c>
      <c r="M33" s="1" t="s">
        <v>50</v>
      </c>
      <c r="N33" s="1" t="s">
        <v>43</v>
      </c>
      <c r="O33" s="1" t="s">
        <v>64</v>
      </c>
      <c r="P33" s="1" t="s">
        <v>44</v>
      </c>
      <c r="Q33" s="1" t="s">
        <v>25</v>
      </c>
      <c r="R33" s="1" t="s">
        <v>45</v>
      </c>
      <c r="S33" s="1">
        <v>1</v>
      </c>
      <c r="T33" s="1"/>
    </row>
    <row r="34" spans="1:20" x14ac:dyDescent="0.25">
      <c r="A34" s="1" t="s">
        <v>40</v>
      </c>
      <c r="B34" s="1" t="s">
        <v>110</v>
      </c>
      <c r="C34">
        <v>33316</v>
      </c>
      <c r="D34" s="1" t="s">
        <v>111</v>
      </c>
      <c r="E34" s="1" t="s">
        <v>21</v>
      </c>
      <c r="F34" s="1" t="s">
        <v>22</v>
      </c>
      <c r="G34" s="1" t="s">
        <v>23</v>
      </c>
      <c r="H34" s="1" t="s">
        <v>24</v>
      </c>
      <c r="I34" s="1" t="s">
        <v>24</v>
      </c>
      <c r="J34" s="2">
        <v>37065.583333333336</v>
      </c>
      <c r="K34" s="2">
        <v>45222.65</v>
      </c>
      <c r="L34" s="1" t="s">
        <v>25</v>
      </c>
      <c r="M34" s="1" t="s">
        <v>50</v>
      </c>
      <c r="N34" s="1" t="s">
        <v>43</v>
      </c>
      <c r="O34" s="1" t="s">
        <v>64</v>
      </c>
      <c r="P34" s="1" t="s">
        <v>44</v>
      </c>
      <c r="Q34" s="1" t="s">
        <v>25</v>
      </c>
      <c r="R34" s="1" t="s">
        <v>59</v>
      </c>
      <c r="S34" s="1">
        <v>2</v>
      </c>
      <c r="T34" s="1"/>
    </row>
    <row r="35" spans="1:20" x14ac:dyDescent="0.25">
      <c r="A35" s="1" t="s">
        <v>40</v>
      </c>
      <c r="B35" s="1" t="s">
        <v>112</v>
      </c>
      <c r="C35">
        <v>33303</v>
      </c>
      <c r="D35" s="1" t="s">
        <v>84</v>
      </c>
      <c r="E35" s="1" t="s">
        <v>25</v>
      </c>
      <c r="F35" s="1" t="s">
        <v>25</v>
      </c>
      <c r="G35" s="1" t="s">
        <v>23</v>
      </c>
      <c r="H35" s="1" t="s">
        <v>24</v>
      </c>
      <c r="I35" s="1" t="s">
        <v>24</v>
      </c>
      <c r="J35" s="2">
        <v>37065.583333333336</v>
      </c>
      <c r="K35" s="2">
        <v>43761.605555555558</v>
      </c>
      <c r="L35" s="1" t="s">
        <v>25</v>
      </c>
      <c r="M35" s="1" t="s">
        <v>43</v>
      </c>
      <c r="N35" s="1" t="s">
        <v>113</v>
      </c>
      <c r="O35" s="1" t="s">
        <v>25</v>
      </c>
      <c r="P35" s="1" t="s">
        <v>25</v>
      </c>
      <c r="Q35" s="1" t="s">
        <v>25</v>
      </c>
      <c r="R35" s="1" t="s">
        <v>85</v>
      </c>
      <c r="S35" s="1"/>
      <c r="T35" s="1"/>
    </row>
    <row r="36" spans="1:20" x14ac:dyDescent="0.25">
      <c r="A36" s="1" t="s">
        <v>40</v>
      </c>
      <c r="B36" s="1" t="s">
        <v>114</v>
      </c>
      <c r="C36">
        <v>33302</v>
      </c>
      <c r="D36" s="1" t="s">
        <v>115</v>
      </c>
      <c r="E36" s="1" t="s">
        <v>21</v>
      </c>
      <c r="F36" s="1" t="s">
        <v>22</v>
      </c>
      <c r="G36" s="1" t="s">
        <v>23</v>
      </c>
      <c r="H36" s="1" t="s">
        <v>24</v>
      </c>
      <c r="I36" s="1" t="s">
        <v>24</v>
      </c>
      <c r="J36" s="2">
        <v>37065.583333333336</v>
      </c>
      <c r="K36" s="2">
        <v>46683.524305555555</v>
      </c>
      <c r="L36" s="1" t="s">
        <v>25</v>
      </c>
      <c r="M36" s="1" t="s">
        <v>50</v>
      </c>
      <c r="N36" s="1" t="s">
        <v>64</v>
      </c>
      <c r="O36" s="1" t="s">
        <v>44</v>
      </c>
      <c r="P36" s="1" t="s">
        <v>65</v>
      </c>
      <c r="Q36" s="1" t="s">
        <v>25</v>
      </c>
      <c r="R36" s="1" t="s">
        <v>116</v>
      </c>
      <c r="S36" s="1">
        <v>20</v>
      </c>
      <c r="T36" s="1"/>
    </row>
    <row r="37" spans="1:20" x14ac:dyDescent="0.25">
      <c r="A37" s="1"/>
      <c r="B37" s="1"/>
      <c r="D37" s="1"/>
      <c r="E37" s="1"/>
      <c r="F37" s="1"/>
      <c r="G37" s="1"/>
      <c r="H37" s="1"/>
      <c r="I37" s="1"/>
      <c r="J37" s="2"/>
      <c r="K37" s="2"/>
      <c r="L37" s="1"/>
      <c r="M37" s="1"/>
      <c r="N37" s="1"/>
      <c r="O37" s="1"/>
      <c r="P37" s="1"/>
      <c r="Q37" s="1"/>
      <c r="R37" s="1"/>
      <c r="S37" s="1">
        <f>SUM(S9:S36)</f>
        <v>79</v>
      </c>
      <c r="T37" s="1">
        <f>SUM(T9:T36)</f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AAEB-B072-47A0-BCDB-0A9874AA360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ED1B5217-927A-489A-AF79-205BECCC2C0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5998BC6-D790-48E7-85B1-C6CB7662E205}"/>
</file>

<file path=customXml/itemProps3.xml><?xml version="1.0" encoding="utf-8"?>
<ds:datastoreItem xmlns:ds="http://schemas.openxmlformats.org/officeDocument/2006/customXml" ds:itemID="{661EFDE1-48E7-457C-A6AB-0BD8A77AD944}"/>
</file>

<file path=customXml/itemProps4.xml><?xml version="1.0" encoding="utf-8"?>
<ds:datastoreItem xmlns:ds="http://schemas.openxmlformats.org/officeDocument/2006/customXml" ds:itemID="{C1ED16AA-6C93-429B-8706-E40099B58F10}"/>
</file>

<file path=customXml/itemProps5.xml><?xml version="1.0" encoding="utf-8"?>
<ds:datastoreItem xmlns:ds="http://schemas.openxmlformats.org/officeDocument/2006/customXml" ds:itemID="{D89DDD82-F2AC-4045-B87C-2A43AA1F80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SB_Sprint 2 User Stories &amp; Bugs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Barrett</dc:creator>
  <cp:lastModifiedBy>Shaun Barrett</cp:lastModifiedBy>
  <dcterms:created xsi:type="dcterms:W3CDTF">2023-12-04T13:27:51Z</dcterms:created>
  <dcterms:modified xsi:type="dcterms:W3CDTF">2023-12-04T13:49:42Z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