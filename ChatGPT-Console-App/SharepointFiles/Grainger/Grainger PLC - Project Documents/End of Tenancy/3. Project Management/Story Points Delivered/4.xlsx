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3. Project Management/Story Points Delivered/"/>
    </mc:Choice>
  </mc:AlternateContent>
  <xr:revisionPtr revIDLastSave="101" documentId="8_{5112E8C7-984C-46B3-B0A6-9A1DC23554B0}" xr6:coauthVersionLast="47" xr6:coauthVersionMax="47" xr10:uidLastSave="{C88EBE85-5DE6-48A8-B365-06742A7C04D7}"/>
  <bookViews>
    <workbookView xWindow="28680" yWindow="480" windowWidth="29040" windowHeight="15720" xr2:uid="{90D80DBB-9A57-4E26-AAC3-3037617B45D0}"/>
  </bookViews>
  <sheets>
    <sheet name="SB_Sprint 4 User Stories &amp; Bugs" sheetId="2" r:id="rId1"/>
    <sheet name="Sheet1" sheetId="1" r:id="rId2"/>
  </sheets>
  <definedNames>
    <definedName name="ExternalData_1" localSheetId="0" hidden="1">'SB_Sprint 4 User Stories &amp; Bugs'!$A$1:$U$84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5" i="2" l="1"/>
  <c r="W85" i="2"/>
  <c r="V8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2EF414-3AEB-498C-A2A3-4A8ACEEF894E}" keepAlive="1" name="Query - SB_Sprint 4 User Stories &amp; Bugs (Jira)" description="Connection to the 'SB_Sprint 4 User Stories &amp; Bugs (Jira)' query in the workbook." type="5" refreshedVersion="8" background="1" saveData="1">
    <dbPr connection="Provider=Microsoft.Mashup.OleDb.1;Data Source=$Workbook$;Location=&quot;SB_Sprint 4 User Stories &amp; Bugs (Jira)&quot;;Extended Properties=&quot;&quot;" command="SELECT * FROM [SB_Sprint 4 User Stories &amp; Bugs (Jira)]"/>
  </connection>
</connections>
</file>

<file path=xl/sharedStrings.xml><?xml version="1.0" encoding="utf-8"?>
<sst xmlns="http://schemas.openxmlformats.org/spreadsheetml/2006/main" count="1517" uniqueCount="224">
  <si>
    <t>Issue Type</t>
  </si>
  <si>
    <t>Issue key</t>
  </si>
  <si>
    <t>Issue id</t>
  </si>
  <si>
    <t>Summary</t>
  </si>
  <si>
    <t>Assignee</t>
  </si>
  <si>
    <t>Assignee Id</t>
  </si>
  <si>
    <t>Priority</t>
  </si>
  <si>
    <t>Status</t>
  </si>
  <si>
    <t>Resolution</t>
  </si>
  <si>
    <t>Created</t>
  </si>
  <si>
    <t>Updated</t>
  </si>
  <si>
    <t>Due date</t>
  </si>
  <si>
    <t>Labels</t>
  </si>
  <si>
    <t>Labels_1</t>
  </si>
  <si>
    <t>Labels_2</t>
  </si>
  <si>
    <t>Labels_3</t>
  </si>
  <si>
    <t>Labels_4</t>
  </si>
  <si>
    <t>Labels_5</t>
  </si>
  <si>
    <t>Labels_6</t>
  </si>
  <si>
    <t>Labels_7</t>
  </si>
  <si>
    <t>Custom field (Story Points)</t>
  </si>
  <si>
    <t>Bug</t>
  </si>
  <si>
    <t>FVVP-400</t>
  </si>
  <si>
    <t>Cost of void report - Incorrect FV Date</t>
  </si>
  <si>
    <t>Mudzunga Khonani Davhana</t>
  </si>
  <si>
    <t>712020:eb63548d-26e3-453b-a750-b0bc694c0f4e</t>
  </si>
  <si>
    <t>Priority 3</t>
  </si>
  <si>
    <t>Done</t>
  </si>
  <si>
    <t/>
  </si>
  <si>
    <t>FVVP-399</t>
  </si>
  <si>
    <t>EOTs at Risk - Report displays EOT start date, not task start date</t>
  </si>
  <si>
    <t>Nikki</t>
  </si>
  <si>
    <t>70121:af6196ff-0b2f-4ade-9d2a-c625be89a01c</t>
  </si>
  <si>
    <t>FVVP-398</t>
  </si>
  <si>
    <t>[Not a bug]</t>
  </si>
  <si>
    <t>FVVP-397</t>
  </si>
  <si>
    <t>Deposits Due/Overdue - Months ordered backwards</t>
  </si>
  <si>
    <t>FVVP-395</t>
  </si>
  <si>
    <t xml:space="preserve">Deposits Due / Overdue - Chart not stacked by Task Overdue </t>
  </si>
  <si>
    <t>Story</t>
  </si>
  <si>
    <t>FVVP-394</t>
  </si>
  <si>
    <t xml:space="preserve">Update Overdue Calculated Field </t>
  </si>
  <si>
    <t>No_Video</t>
  </si>
  <si>
    <t>OB_Internal</t>
  </si>
  <si>
    <t>REFINED</t>
  </si>
  <si>
    <t>1.0</t>
  </si>
  <si>
    <t>FVVP-393</t>
  </si>
  <si>
    <t>Deposits Completed - Not displayed by month</t>
  </si>
  <si>
    <t>FVVP-391</t>
  </si>
  <si>
    <t>Void Report - Additional columns</t>
  </si>
  <si>
    <t>FVVP-386</t>
  </si>
  <si>
    <t>Error when assigning tasks from "My Team's Unassigned EoT Tasks for Today" list where EOT is pending cancellation</t>
  </si>
  <si>
    <t>FVVP-385</t>
  </si>
  <si>
    <t>Void Report - Add EOT Number column</t>
  </si>
  <si>
    <t>FVVP-383</t>
  </si>
  <si>
    <t>[Not a bug] Tenancy Status/Move Out Date not tracked in Tenancy History</t>
  </si>
  <si>
    <t>FVVP-382</t>
  </si>
  <si>
    <t>"Average" row  is not included in the report and dashboard component not in staging</t>
  </si>
  <si>
    <t>Matthew Pitcairn</t>
  </si>
  <si>
    <t>712020:6138a31f-37e3-441e-8e84-e7b774920bdc</t>
  </si>
  <si>
    <t>FVVP-381</t>
  </si>
  <si>
    <t>[Not a bug] New button in Mobile app</t>
  </si>
  <si>
    <t>FVVP-378</t>
  </si>
  <si>
    <t>Activating a Tenancy does not save Next Move In Date</t>
  </si>
  <si>
    <t>FVVP-377</t>
  </si>
  <si>
    <t>Task Information - Remove testing text</t>
  </si>
  <si>
    <t>FVVP-376</t>
  </si>
  <si>
    <t>Confirm Notice Task Setup</t>
  </si>
  <si>
    <t>Dillan Landsberg</t>
  </si>
  <si>
    <t>712020:bbb8d7bf-a355-4a7c-971f-ee5598a156c1</t>
  </si>
  <si>
    <t>FVVP-375</t>
  </si>
  <si>
    <t>Task Template Setup - Close Down Tenancy Preceding Tasks</t>
  </si>
  <si>
    <t>FVVP-373</t>
  </si>
  <si>
    <t>FVVP-167 - Update Task Template - Confirm Notice after Validate Notice</t>
  </si>
  <si>
    <t>FVVP-372</t>
  </si>
  <si>
    <t>FVVP-371</t>
  </si>
  <si>
    <t xml:space="preserve">More than 5 columns are displaying in  Tenancies preview </t>
  </si>
  <si>
    <t>FVVP-370</t>
  </si>
  <si>
    <t>Validation error message does not make sense when EOT team fields are blank</t>
  </si>
  <si>
    <t>FVVP-369</t>
  </si>
  <si>
    <t>Only EOT Owner can Cancel/Close EOT after Notice Confirmed</t>
  </si>
  <si>
    <t>FVVP-367</t>
  </si>
  <si>
    <t>(Not A bug) Tasks not assigned to Queues after EOT is created</t>
  </si>
  <si>
    <t>FVVP-366</t>
  </si>
  <si>
    <t>Overdue Tasks - Include pending overdue tasks</t>
  </si>
  <si>
    <t>IA_Done</t>
  </si>
  <si>
    <t>FVVP-365</t>
  </si>
  <si>
    <t>{Not a bug} Next Move-In Date Not Populating When Opportunity Stage Changes to "Audit"</t>
  </si>
  <si>
    <t>FVVP-364</t>
  </si>
  <si>
    <t>EOTs at Risk - Report doesn't display Task Owner</t>
  </si>
  <si>
    <t>FVVP-363</t>
  </si>
  <si>
    <t>[Not a bug] Outstanding Tasks Component - Not showing Pending tasks</t>
  </si>
  <si>
    <t>FVVP-362</t>
  </si>
  <si>
    <t>User Setup - Assign Unit Manager permission on Staging &amp; Production</t>
  </si>
  <si>
    <t>Refinment_Internal</t>
  </si>
  <si>
    <t>FVVP-361</t>
  </si>
  <si>
    <t>EOT's at risk not filtered by EOT owner</t>
  </si>
  <si>
    <t>FVVP-359</t>
  </si>
  <si>
    <t>Completion Date for a complete EOT is incorrect</t>
  </si>
  <si>
    <t>FVVP-358</t>
  </si>
  <si>
    <t>My Tasks for Today</t>
  </si>
  <si>
    <t>Planning2_Completed</t>
  </si>
  <si>
    <t>FVVP-357</t>
  </si>
  <si>
    <t>EOT Recently Viewed list view is not as per the requirements</t>
  </si>
  <si>
    <t>FVVP-355</t>
  </si>
  <si>
    <t>Adjust Task Timeline - Delay Detail is duplicated in screen flow</t>
  </si>
  <si>
    <t>FVVP-344</t>
  </si>
  <si>
    <t>[Remove]</t>
  </si>
  <si>
    <t>FVVP-343</t>
  </si>
  <si>
    <t>[Internal] Ensure all EoT Flows run in System Context with Sharing</t>
  </si>
  <si>
    <t>FVVP-342</t>
  </si>
  <si>
    <t>[Not a bug] Error Adjusting Task Timeline</t>
  </si>
  <si>
    <t>FVVP-340</t>
  </si>
  <si>
    <t>Cancel/Close options change depending on phase</t>
  </si>
  <si>
    <t>FVVP-339</t>
  </si>
  <si>
    <t>Error Completing Set Rent</t>
  </si>
  <si>
    <t>Priority 2</t>
  </si>
  <si>
    <t>UAT_Feedback</t>
  </si>
  <si>
    <t>FVVP-338</t>
  </si>
  <si>
    <t>Expected duration validation message</t>
  </si>
  <si>
    <t>Deployment_Ready</t>
  </si>
  <si>
    <t>FVVP-337</t>
  </si>
  <si>
    <t xml:space="preserve">Streamline Process of Searching for Tenancy </t>
  </si>
  <si>
    <t>2.0</t>
  </si>
  <si>
    <t>FVVP-336</t>
  </si>
  <si>
    <t>Remove 'My Overdue EOT Tasks' from the EOT Dashboards</t>
  </si>
  <si>
    <t>Show_Me_Complete</t>
  </si>
  <si>
    <t>FVVP-335</t>
  </si>
  <si>
    <t>Hide Open Task Button if EOT Status is not 'Active'</t>
  </si>
  <si>
    <t>Video_Recorded</t>
  </si>
  <si>
    <t>FVVP-332</t>
  </si>
  <si>
    <t>[Internal - Cosmetic] Adjust Task Timeline</t>
  </si>
  <si>
    <t>FVVP-331</t>
  </si>
  <si>
    <t>Adjust Task Timeline - Screen layout</t>
  </si>
  <si>
    <t>FVVP-330</t>
  </si>
  <si>
    <t xml:space="preserve">Adjust Task Timeline - Expected Duration / End Date not required </t>
  </si>
  <si>
    <t>0.0</t>
  </si>
  <si>
    <t>FVVP-329</t>
  </si>
  <si>
    <t>[Delete]</t>
  </si>
  <si>
    <t>FVVP-318</t>
  </si>
  <si>
    <t>[Not a bug] Delay Reason required when Expected Duration &lt; KPI Duration</t>
  </si>
  <si>
    <t>FVVP-305</t>
  </si>
  <si>
    <t>[Internal - Cosmetic] Task Details: Help Text</t>
  </si>
  <si>
    <t>FVVP-231</t>
  </si>
  <si>
    <t>[Not Required] Report of Task Times</t>
  </si>
  <si>
    <t>Priority 1</t>
  </si>
  <si>
    <t>FVVP-197</t>
  </si>
  <si>
    <t xml:space="preserve">Update Tenancy Object after Move Out </t>
  </si>
  <si>
    <t>Scope_Creep</t>
  </si>
  <si>
    <t>FVVP-182</t>
  </si>
  <si>
    <t>[Not Required] Update Task Template - Rename Credit Control Queue</t>
  </si>
  <si>
    <t>Sizing_Done</t>
  </si>
  <si>
    <t>FVVP-177</t>
  </si>
  <si>
    <t xml:space="preserve">Update Task Template - Close Tenancy </t>
  </si>
  <si>
    <t>Dev_Reviewed</t>
  </si>
  <si>
    <t>3.0</t>
  </si>
  <si>
    <t>FVVP-174</t>
  </si>
  <si>
    <t>[Internal - Cosmetic] Remove New EOT Confirmation Screen</t>
  </si>
  <si>
    <t>FVVP-173</t>
  </si>
  <si>
    <t>[Internal - Cosmetic] Remove Duplicate Task Name from Outstanding Tasks List</t>
  </si>
  <si>
    <t>Priority 4</t>
  </si>
  <si>
    <t>FVVP-172</t>
  </si>
  <si>
    <t>Save Next Move In Date on EOT</t>
  </si>
  <si>
    <t>8.0</t>
  </si>
  <si>
    <t>FVVP-170</t>
  </si>
  <si>
    <t>[Internal - Cosmetic] EOTs in Progress Report</t>
  </si>
  <si>
    <t>FVVP-167</t>
  </si>
  <si>
    <t>Update Task Template - Confirm Notice after Validate Notice</t>
  </si>
  <si>
    <t>FVVP-163</t>
  </si>
  <si>
    <t>Setup - Delay/Late Completion Reasons</t>
  </si>
  <si>
    <t>FVVP-150</t>
  </si>
  <si>
    <t>Reporting - Tasks per Team Report</t>
  </si>
  <si>
    <t>FVVP-148</t>
  </si>
  <si>
    <t>My Team's Tasks for Today</t>
  </si>
  <si>
    <t>4.0</t>
  </si>
  <si>
    <t>FVVP-146</t>
  </si>
  <si>
    <t xml:space="preserve">Update EOT Lists - All, Recently Viewed </t>
  </si>
  <si>
    <t>FVVP-145</t>
  </si>
  <si>
    <t xml:space="preserve">Dashboard - EOT Owners can monitor EOTs at risk </t>
  </si>
  <si>
    <t>FVVP-143</t>
  </si>
  <si>
    <t xml:space="preserve">[Replaced by 358] Dashboard - Users can see their Overdue EoT Tasks </t>
  </si>
  <si>
    <t>FVVP-139</t>
  </si>
  <si>
    <t>FVVP-134</t>
  </si>
  <si>
    <t>Remove New Buttons</t>
  </si>
  <si>
    <t>FVVP-127</t>
  </si>
  <si>
    <t>Dashboard - Teams with High Number of Tasks</t>
  </si>
  <si>
    <t>FVVP-125</t>
  </si>
  <si>
    <t>[Not Required] Minor / Cosmetic Internal Items</t>
  </si>
  <si>
    <t>FVVP-121</t>
  </si>
  <si>
    <t>[Internal - Cosmetic] Units Confirmed to be Sold</t>
  </si>
  <si>
    <t>FVVP-115</t>
  </si>
  <si>
    <t>Reopen Amend Direct Debit task if FV Date changes</t>
  </si>
  <si>
    <t>FVVP-111</t>
  </si>
  <si>
    <t xml:space="preserve">Update EOT Task Lists - All, Recently Viewed </t>
  </si>
  <si>
    <t>FVVP-109</t>
  </si>
  <si>
    <t>EOT Timeline Testing - Complex Scenarios</t>
  </si>
  <si>
    <t>FVVP-108</t>
  </si>
  <si>
    <t xml:space="preserve">EOT - Incorporate Uplifts into Passing Rent </t>
  </si>
  <si>
    <t>FVVP-107</t>
  </si>
  <si>
    <t>Validate EOT Team Names on Building Setup</t>
  </si>
  <si>
    <t>FVVP-105</t>
  </si>
  <si>
    <t xml:space="preserve">[Internal - Cosmetic] Onsite EOT Tasks Due this Week/Month </t>
  </si>
  <si>
    <t>FVVP-104</t>
  </si>
  <si>
    <t>Update Task Template - Task Information</t>
  </si>
  <si>
    <t>FVVP-97</t>
  </si>
  <si>
    <t xml:space="preserve">Update Stoppage Terminology </t>
  </si>
  <si>
    <t>FVVP-82</t>
  </si>
  <si>
    <t xml:space="preserve">Data Migration - EOT Queues </t>
  </si>
  <si>
    <t>FVVP-76</t>
  </si>
  <si>
    <t>[Internal - Cosmetic] Close/Cancel EOT - Change Screen Order</t>
  </si>
  <si>
    <t>FVVP-73</t>
  </si>
  <si>
    <t>Setup - Reasons for Cancelling/Closing an EOT</t>
  </si>
  <si>
    <t>FVVP-72</t>
  </si>
  <si>
    <t>Reporting - Cost of Void Report</t>
  </si>
  <si>
    <t>5.0</t>
  </si>
  <si>
    <t>FVVP-63</t>
  </si>
  <si>
    <t>Update EOT Task List Views with Final Queues</t>
  </si>
  <si>
    <t>FVVP-56</t>
  </si>
  <si>
    <t>New EoT - Calculate Estimated PVI Date</t>
  </si>
  <si>
    <t>FVVP-54</t>
  </si>
  <si>
    <t>[Not Required] STAGING Data Migration - EOT Queues</t>
  </si>
  <si>
    <t>Column1</t>
  </si>
  <si>
    <t>UAT</t>
  </si>
  <si>
    <t>Scope Creep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</si>
</sst>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2" borderId="0" xfId="0" applyFill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01E198-0B23-4FD7-914A-C37774E718C5}" autoFormatId="16" applyNumberFormats="0" applyBorderFormats="0" applyFontFormats="0" applyPatternFormats="0" applyAlignmentFormats="0" applyWidthHeightFormats="0">
  <queryTableRefresh nextId="25" unboundColumnsRight="3">
    <queryTableFields count="24">
      <queryTableField id="1" name="Issue Type" tableColumnId="1"/>
      <queryTableField id="2" name="Issue key" tableColumnId="2"/>
      <queryTableField id="3" name="Issue id" tableColumnId="3"/>
      <queryTableField id="4" name="Summary" tableColumnId="4"/>
      <queryTableField id="5" name="Assignee" tableColumnId="5"/>
      <queryTableField id="6" name="Assignee Id" tableColumnId="6"/>
      <queryTableField id="7" name="Priority" tableColumnId="7"/>
      <queryTableField id="8" name="Status" tableColumnId="8"/>
      <queryTableField id="9" name="Resolution" tableColumnId="9"/>
      <queryTableField id="10" name="Created" tableColumnId="10"/>
      <queryTableField id="11" name="Updated" tableColumnId="11"/>
      <queryTableField id="12" name="Due date" tableColumnId="12"/>
      <queryTableField id="13" name="Labels" tableColumnId="13"/>
      <queryTableField id="14" name="Labels_1" tableColumnId="14"/>
      <queryTableField id="15" name="Labels_2" tableColumnId="15"/>
      <queryTableField id="16" name="Labels_3" tableColumnId="16"/>
      <queryTableField id="17" name="Labels_4" tableColumnId="17"/>
      <queryTableField id="18" name="Labels_5" tableColumnId="18"/>
      <queryTableField id="19" name="Labels_6" tableColumnId="19"/>
      <queryTableField id="20" name="Labels_7" tableColumnId="20"/>
      <queryTableField id="21" name="Custom field (Story Points)" tableColumnId="21"/>
      <queryTableField id="22" dataBound="0" tableColumnId="22"/>
      <queryTableField id="23" dataBound="0" tableColumnId="23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1495B-2CEC-46D0-AB42-3428FA9DF4B3}" name="SB_Sprint_4_User_Stories___Bugs__Jira" displayName="SB_Sprint_4_User_Stories___Bugs__Jira" ref="A1:X85" tableType="queryTable" totalsRowCount="1">
  <autoFilter ref="A1:X84" xr:uid="{B8F1495B-2CEC-46D0-AB42-3428FA9DF4B3}">
    <filterColumn colId="0">
      <filters>
        <filter val="Story"/>
      </filters>
    </filterColumn>
    <filterColumn colId="3">
      <filters>
        <filter val="[Internal - Cosmetic] Adjust Task Timeline"/>
        <filter val="[Internal - Cosmetic] Close/Cancel EOT - Change Screen Order"/>
        <filter val="[Internal - Cosmetic] EOTs in Progress Report"/>
        <filter val="[Internal - Cosmetic] Onsite EOT Tasks Due this Week/Month"/>
        <filter val="[Internal - Cosmetic] Remove Duplicate Task Name from Outstanding Tasks List"/>
        <filter val="[Internal - Cosmetic] Remove New EOT Confirmation Screen"/>
        <filter val="[Internal - Cosmetic] Task Details: Help Text"/>
        <filter val="[Internal - Cosmetic] Units Confirmed to be Sold"/>
        <filter val="[Internal] Ensure all EoT Flows run in System Context with Sharing"/>
        <filter val="Dashboard - EOT Owners can monitor EOTs at risk"/>
        <filter val="Dashboard - Teams with High Number of Tasks"/>
        <filter val="Data Migration - EOT Queues"/>
        <filter val="EOT - Incorporate Uplifts into Passing Rent"/>
        <filter val="EOT Timeline Testing - Complex Scenarios"/>
        <filter val="Hide Open Task Button if EOT Status is not 'Active'"/>
        <filter val="My Tasks for Today"/>
        <filter val="My Team's Tasks for Today"/>
        <filter val="New EoT - Calculate Estimated PVI Date"/>
        <filter val="Only EOT Owner can Cancel/Close EOT after Notice Confirmed"/>
        <filter val="Overdue Tasks - Include pending overdue tasks"/>
        <filter val="Remove New Buttons"/>
        <filter val="Reopen Amend Direct Debit task if FV Date changes"/>
        <filter val="Reporting - Cost of Void Report"/>
        <filter val="Reporting - Tasks per Team Report"/>
        <filter val="Save Next Move In Date on EOT"/>
        <filter val="Setup - Delay/Late Completion Reasons"/>
        <filter val="Setup - Reasons for Cancelling/Closing an EOT"/>
        <filter val="Streamline Process of Searching for Tenancy"/>
        <filter val="Update EOT Lists - All, Recently Viewed"/>
        <filter val="Update EOT Task List Views with Final Queues"/>
        <filter val="Update EOT Task Lists - All, Recently Viewed"/>
        <filter val="Update Overdue Calculated Field"/>
        <filter val="Update Stoppage Terminology"/>
        <filter val="Update Task Template - Close Tenancy"/>
        <filter val="Update Task Template - Confirm Notice after Validate Notice"/>
        <filter val="Update Task Template - Task Information"/>
        <filter val="Update Tenancy Object after Move Out"/>
        <filter val="User Setup - Assign Unit Manager permission on Staging &amp; Production"/>
        <filter val="Validate EOT Team Names on Building Setup"/>
        <filter val="Void Report - Add EOT Number column"/>
        <filter val="Void Report - Additional columns"/>
      </filters>
    </filterColumn>
    <filterColumn colId="23">
      <customFilters>
        <customFilter operator="notEqual" val=" "/>
      </customFilters>
    </filterColumn>
  </autoFilter>
  <tableColumns count="24">
    <tableColumn id="1" xr3:uid="{6AF77760-5E9F-456F-A1F5-B1E2E738BFD8}" uniqueName="1" name="Issue Type" queryTableFieldId="1" dataDxfId="25"/>
    <tableColumn id="2" xr3:uid="{64EF2E81-7723-4DBA-AC52-4BA74D04943D}" uniqueName="2" name="Issue key" queryTableFieldId="2" dataDxfId="24"/>
    <tableColumn id="3" xr3:uid="{EA6769BF-5FBD-4417-AEEB-22936839D4BF}" uniqueName="3" name="Issue id" queryTableFieldId="3"/>
    <tableColumn id="4" xr3:uid="{B032F0E1-7CC3-43A5-9451-18F0E61509C0}" uniqueName="4" name="Summary" queryTableFieldId="4" dataDxfId="23"/>
    <tableColumn id="5" xr3:uid="{7703ED87-8015-4DFF-907B-21BA225D08FA}" uniqueName="5" name="Assignee" queryTableFieldId="5" dataDxfId="22"/>
    <tableColumn id="6" xr3:uid="{D0154B6F-DA07-4BBB-9B4A-6E7033BDC5A4}" uniqueName="6" name="Assignee Id" queryTableFieldId="6" dataDxfId="21"/>
    <tableColumn id="7" xr3:uid="{A8C85E27-823F-4B84-BA21-3BF141B6F844}" uniqueName="7" name="Priority" queryTableFieldId="7" dataDxfId="20"/>
    <tableColumn id="8" xr3:uid="{75B69B86-05EC-4ABE-A1FE-C95F0395FE43}" uniqueName="8" name="Status" queryTableFieldId="8" dataDxfId="19"/>
    <tableColumn id="9" xr3:uid="{E9A8A319-DB15-4FB7-A493-FE8E4B29091A}" uniqueName="9" name="Resolution" queryTableFieldId="9" dataDxfId="18"/>
    <tableColumn id="10" xr3:uid="{96ABDA73-C7AD-43F1-8C74-468361D00A41}" uniqueName="10" name="Created" queryTableFieldId="10" dataDxfId="17" totalsRowDxfId="2"/>
    <tableColumn id="11" xr3:uid="{E2F98A97-1088-4106-BB58-C50C6F5F62BF}" uniqueName="11" name="Updated" queryTableFieldId="11" dataDxfId="16" totalsRowDxfId="1"/>
    <tableColumn id="12" xr3:uid="{E11259BB-2068-48C7-B810-28CED6CA4D6D}" uniqueName="12" name="Due date" queryTableFieldId="12" dataDxfId="15"/>
    <tableColumn id="13" xr3:uid="{3D9BE7C9-D85A-424D-955B-0063A824CACD}" uniqueName="13" name="Labels" queryTableFieldId="13" dataDxfId="14"/>
    <tableColumn id="14" xr3:uid="{C3452973-23CB-4FA6-8590-AE3E91381416}" uniqueName="14" name="Labels_1" queryTableFieldId="14" dataDxfId="13"/>
    <tableColumn id="15" xr3:uid="{664801DF-6B3A-4182-AC5A-87F42A2760D5}" uniqueName="15" name="Labels_2" queryTableFieldId="15" dataDxfId="12"/>
    <tableColumn id="16" xr3:uid="{61B1C193-5EA2-47E0-86C3-F0B548320A7B}" uniqueName="16" name="Labels_3" queryTableFieldId="16" dataDxfId="11"/>
    <tableColumn id="17" xr3:uid="{31BD05A8-9C7D-46EF-A697-4FAD68B1AE47}" uniqueName="17" name="Labels_4" queryTableFieldId="17" dataDxfId="10"/>
    <tableColumn id="18" xr3:uid="{0ABA605A-E0E8-4000-9F34-4E488B536C47}" uniqueName="18" name="Labels_5" queryTableFieldId="18" dataDxfId="9"/>
    <tableColumn id="19" xr3:uid="{69A5BEEE-026F-43F0-9AA7-14C8A559D41B}" uniqueName="19" name="Labels_6" queryTableFieldId="19" dataDxfId="8"/>
    <tableColumn id="20" xr3:uid="{A8121E52-8BAA-4E8E-9835-EA4B648D3D06}" uniqueName="20" name="Labels_7" queryTableFieldId="20" dataDxfId="7"/>
    <tableColumn id="21" xr3:uid="{DE6AA9CE-DD40-4F13-A7FA-3F7D18F5049D}" uniqueName="21" name="Custom field (Story Points)" queryTableFieldId="21" dataDxfId="6"/>
    <tableColumn id="22" xr3:uid="{E8AA6C5B-BCAF-4104-8676-CBBEF6516489}" uniqueName="22" name="Column1" totalsRowFunction="custom" queryTableFieldId="22" dataDxfId="5">
      <totalsRowFormula>SUM(V7:V84)</totalsRowFormula>
    </tableColumn>
    <tableColumn id="23" xr3:uid="{401CE06C-3A0B-42C0-AF36-73D6E8CB2A29}" uniqueName="23" name="UAT" totalsRowFunction="custom" queryTableFieldId="23" dataDxfId="4" totalsRowDxfId="0">
      <totalsRowFormula>SUM(W7:W84)</totalsRowFormula>
    </tableColumn>
    <tableColumn id="24" xr3:uid="{9454CA80-31E3-45D7-95FF-D74BC0C3FDE6}" uniqueName="24" name="Scope Creep" totalsRowFunction="custom" queryTableFieldId="24" dataDxfId="3">
      <totalsRowFormula>SUM(X7:X84)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9B6D-E1EA-4E56-A41E-AB2119A3D078}">
  <dimension ref="A1:X85"/>
  <sheetViews>
    <sheetView tabSelected="1" topLeftCell="C1" workbookViewId="0">
      <selection activeCell="X65" activeCellId="1" sqref="X51 X65:X83"/>
    </sheetView>
  </sheetViews>
  <sheetFormatPr defaultRowHeight="15" x14ac:dyDescent="0.25"/>
  <cols>
    <col min="1" max="1" width="12.5703125" bestFit="1" customWidth="1"/>
    <col min="2" max="2" width="11.42578125" bestFit="1" customWidth="1"/>
    <col min="3" max="3" width="10" bestFit="1" customWidth="1"/>
    <col min="4" max="4" width="48.140625" customWidth="1"/>
    <col min="5" max="5" width="26.42578125" hidden="1" customWidth="1"/>
    <col min="6" max="6" width="44.140625" hidden="1" customWidth="1"/>
    <col min="7" max="7" width="9.85546875" hidden="1" customWidth="1"/>
    <col min="8" max="8" width="8.7109375" hidden="1" customWidth="1"/>
    <col min="9" max="9" width="12.85546875" hidden="1" customWidth="1"/>
    <col min="10" max="11" width="15.85546875" hidden="1" customWidth="1"/>
    <col min="12" max="12" width="11.28515625" hidden="1" customWidth="1"/>
    <col min="13" max="13" width="18.7109375" bestFit="1" customWidth="1"/>
    <col min="14" max="17" width="20.85546875" bestFit="1" customWidth="1"/>
    <col min="18" max="18" width="19.7109375" bestFit="1" customWidth="1"/>
    <col min="19" max="19" width="14.140625" bestFit="1" customWidth="1"/>
    <col min="20" max="20" width="15.85546875" bestFit="1" customWidth="1"/>
    <col min="21" max="21" width="27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221</v>
      </c>
      <c r="W1" t="s">
        <v>222</v>
      </c>
      <c r="X1" t="s">
        <v>223</v>
      </c>
    </row>
    <row r="2" spans="1:24" hidden="1" x14ac:dyDescent="0.25">
      <c r="A2" t="s">
        <v>21</v>
      </c>
      <c r="B2" t="s">
        <v>22</v>
      </c>
      <c r="C2">
        <v>35398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J2" s="1">
        <v>47810.642361111109</v>
      </c>
      <c r="K2" s="1">
        <v>37248.567361111112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</row>
    <row r="3" spans="1:24" hidden="1" x14ac:dyDescent="0.25">
      <c r="A3" t="s">
        <v>21</v>
      </c>
      <c r="B3" t="s">
        <v>29</v>
      </c>
      <c r="C3">
        <v>35397</v>
      </c>
      <c r="D3" t="s">
        <v>30</v>
      </c>
      <c r="E3" t="s">
        <v>31</v>
      </c>
      <c r="F3" t="s">
        <v>32</v>
      </c>
      <c r="G3" t="s">
        <v>26</v>
      </c>
      <c r="H3" t="s">
        <v>27</v>
      </c>
      <c r="I3" t="s">
        <v>27</v>
      </c>
      <c r="J3" s="1">
        <v>47810.595138888886</v>
      </c>
      <c r="K3" s="1">
        <v>47810.611111111109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</row>
    <row r="4" spans="1:24" hidden="1" x14ac:dyDescent="0.25">
      <c r="A4" t="s">
        <v>21</v>
      </c>
      <c r="B4" t="s">
        <v>33</v>
      </c>
      <c r="C4">
        <v>35389</v>
      </c>
      <c r="D4" t="s">
        <v>34</v>
      </c>
      <c r="E4" t="s">
        <v>28</v>
      </c>
      <c r="F4" t="s">
        <v>28</v>
      </c>
      <c r="G4" t="s">
        <v>26</v>
      </c>
      <c r="H4" t="s">
        <v>27</v>
      </c>
      <c r="I4" t="s">
        <v>27</v>
      </c>
      <c r="J4" s="1">
        <v>47445.745138888888</v>
      </c>
      <c r="K4" s="1">
        <v>47445.746527777781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</row>
    <row r="5" spans="1:24" hidden="1" x14ac:dyDescent="0.25">
      <c r="A5" t="s">
        <v>21</v>
      </c>
      <c r="B5" t="s">
        <v>35</v>
      </c>
      <c r="C5">
        <v>35378</v>
      </c>
      <c r="D5" t="s">
        <v>36</v>
      </c>
      <c r="E5" t="s">
        <v>31</v>
      </c>
      <c r="F5" t="s">
        <v>32</v>
      </c>
      <c r="G5" t="s">
        <v>26</v>
      </c>
      <c r="H5" t="s">
        <v>27</v>
      </c>
      <c r="I5" t="s">
        <v>27</v>
      </c>
      <c r="J5" s="1">
        <v>47445.688194444447</v>
      </c>
      <c r="K5" s="1">
        <v>47445.720138888886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</row>
    <row r="6" spans="1:24" hidden="1" x14ac:dyDescent="0.25">
      <c r="A6" t="s">
        <v>21</v>
      </c>
      <c r="B6" t="s">
        <v>37</v>
      </c>
      <c r="C6">
        <v>35371</v>
      </c>
      <c r="D6" t="s">
        <v>38</v>
      </c>
      <c r="E6" t="s">
        <v>31</v>
      </c>
      <c r="F6" t="s">
        <v>32</v>
      </c>
      <c r="G6" t="s">
        <v>26</v>
      </c>
      <c r="H6" t="s">
        <v>27</v>
      </c>
      <c r="I6" t="s">
        <v>27</v>
      </c>
      <c r="J6" s="1">
        <v>47445.61041666667</v>
      </c>
      <c r="K6" s="1">
        <v>47445.631249999999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</row>
    <row r="7" spans="1:24" hidden="1" x14ac:dyDescent="0.25">
      <c r="A7" t="s">
        <v>39</v>
      </c>
      <c r="B7" t="s">
        <v>40</v>
      </c>
      <c r="C7">
        <v>35370</v>
      </c>
      <c r="D7" t="s">
        <v>41</v>
      </c>
      <c r="E7" t="s">
        <v>24</v>
      </c>
      <c r="F7" t="s">
        <v>25</v>
      </c>
      <c r="G7" t="s">
        <v>26</v>
      </c>
      <c r="H7" t="s">
        <v>27</v>
      </c>
      <c r="I7" t="s">
        <v>27</v>
      </c>
      <c r="J7" s="1">
        <v>47445.592361111114</v>
      </c>
      <c r="K7" s="1">
        <v>38344.535416666666</v>
      </c>
      <c r="L7" t="s">
        <v>28</v>
      </c>
      <c r="M7" t="s">
        <v>42</v>
      </c>
      <c r="N7" t="s">
        <v>43</v>
      </c>
      <c r="O7" t="s">
        <v>44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45</v>
      </c>
    </row>
    <row r="8" spans="1:24" hidden="1" x14ac:dyDescent="0.25">
      <c r="A8" t="s">
        <v>21</v>
      </c>
      <c r="B8" t="s">
        <v>46</v>
      </c>
      <c r="C8">
        <v>35369</v>
      </c>
      <c r="D8" t="s">
        <v>47</v>
      </c>
      <c r="E8" t="s">
        <v>24</v>
      </c>
      <c r="F8" t="s">
        <v>25</v>
      </c>
      <c r="G8" t="s">
        <v>26</v>
      </c>
      <c r="H8" t="s">
        <v>27</v>
      </c>
      <c r="I8" t="s">
        <v>27</v>
      </c>
      <c r="J8" s="1">
        <v>47445.571527777778</v>
      </c>
      <c r="K8" s="1">
        <v>47445.645138888889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</row>
    <row r="9" spans="1:24" hidden="1" x14ac:dyDescent="0.25">
      <c r="A9" t="s">
        <v>39</v>
      </c>
      <c r="B9" t="s">
        <v>48</v>
      </c>
      <c r="C9">
        <v>35359</v>
      </c>
      <c r="D9" t="s">
        <v>49</v>
      </c>
      <c r="E9" t="s">
        <v>24</v>
      </c>
      <c r="F9" t="s">
        <v>25</v>
      </c>
      <c r="G9" t="s">
        <v>26</v>
      </c>
      <c r="H9" t="s">
        <v>27</v>
      </c>
      <c r="I9" t="s">
        <v>27</v>
      </c>
      <c r="J9" s="1">
        <v>47445.524305555555</v>
      </c>
      <c r="K9" s="1">
        <v>47810.523611111108</v>
      </c>
      <c r="L9" t="s">
        <v>28</v>
      </c>
      <c r="M9" t="s">
        <v>42</v>
      </c>
      <c r="N9" t="s">
        <v>43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45</v>
      </c>
    </row>
    <row r="10" spans="1:24" hidden="1" x14ac:dyDescent="0.25">
      <c r="A10" t="s">
        <v>21</v>
      </c>
      <c r="B10" t="s">
        <v>50</v>
      </c>
      <c r="C10">
        <v>35353</v>
      </c>
      <c r="D10" t="s">
        <v>51</v>
      </c>
      <c r="E10" t="s">
        <v>24</v>
      </c>
      <c r="F10" t="s">
        <v>25</v>
      </c>
      <c r="G10" t="s">
        <v>26</v>
      </c>
      <c r="H10" t="s">
        <v>27</v>
      </c>
      <c r="I10" t="s">
        <v>27</v>
      </c>
      <c r="J10" s="1">
        <v>47445.37222222222</v>
      </c>
      <c r="K10" s="1">
        <v>47445.470833333333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</row>
    <row r="11" spans="1:24" hidden="1" x14ac:dyDescent="0.25">
      <c r="A11" t="s">
        <v>39</v>
      </c>
      <c r="B11" t="s">
        <v>52</v>
      </c>
      <c r="C11">
        <v>35347</v>
      </c>
      <c r="D11" t="s">
        <v>53</v>
      </c>
      <c r="E11" t="s">
        <v>24</v>
      </c>
      <c r="F11" t="s">
        <v>25</v>
      </c>
      <c r="G11" t="s">
        <v>26</v>
      </c>
      <c r="H11" t="s">
        <v>27</v>
      </c>
      <c r="I11" t="s">
        <v>27</v>
      </c>
      <c r="J11" s="1">
        <v>47080.725694444445</v>
      </c>
      <c r="K11" s="1">
        <v>47810.524305555555</v>
      </c>
      <c r="L11" t="s">
        <v>28</v>
      </c>
      <c r="M11" t="s">
        <v>42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45</v>
      </c>
    </row>
    <row r="12" spans="1:24" hidden="1" x14ac:dyDescent="0.25">
      <c r="A12" t="s">
        <v>21</v>
      </c>
      <c r="B12" t="s">
        <v>54</v>
      </c>
      <c r="C12">
        <v>35343</v>
      </c>
      <c r="D12" t="s">
        <v>55</v>
      </c>
      <c r="E12" t="s">
        <v>28</v>
      </c>
      <c r="F12" t="s">
        <v>28</v>
      </c>
      <c r="G12" t="s">
        <v>26</v>
      </c>
      <c r="H12" t="s">
        <v>27</v>
      </c>
      <c r="I12" t="s">
        <v>27</v>
      </c>
      <c r="J12" s="1">
        <v>47080.622916666667</v>
      </c>
      <c r="K12" s="1">
        <v>47080.666666666664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</row>
    <row r="13" spans="1:24" hidden="1" x14ac:dyDescent="0.25">
      <c r="A13" t="s">
        <v>21</v>
      </c>
      <c r="B13" t="s">
        <v>56</v>
      </c>
      <c r="C13">
        <v>35342</v>
      </c>
      <c r="D13" t="s">
        <v>57</v>
      </c>
      <c r="E13" t="s">
        <v>58</v>
      </c>
      <c r="F13" t="s">
        <v>59</v>
      </c>
      <c r="G13" t="s">
        <v>26</v>
      </c>
      <c r="H13" t="s">
        <v>27</v>
      </c>
      <c r="I13" t="s">
        <v>27</v>
      </c>
      <c r="J13" s="1">
        <v>47080.534722222219</v>
      </c>
      <c r="K13" s="1">
        <v>47080.645833333336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</row>
    <row r="14" spans="1:24" hidden="1" x14ac:dyDescent="0.25">
      <c r="A14" t="s">
        <v>21</v>
      </c>
      <c r="B14" t="s">
        <v>60</v>
      </c>
      <c r="C14">
        <v>35341</v>
      </c>
      <c r="D14" t="s">
        <v>61</v>
      </c>
      <c r="E14" t="s">
        <v>28</v>
      </c>
      <c r="F14" t="s">
        <v>28</v>
      </c>
      <c r="G14" t="s">
        <v>26</v>
      </c>
      <c r="H14" t="s">
        <v>27</v>
      </c>
      <c r="I14" t="s">
        <v>27</v>
      </c>
      <c r="J14" s="1">
        <v>47080.506944444445</v>
      </c>
      <c r="K14" s="1">
        <v>47080.559027777781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</row>
    <row r="15" spans="1:24" hidden="1" x14ac:dyDescent="0.25">
      <c r="A15" t="s">
        <v>21</v>
      </c>
      <c r="B15" t="s">
        <v>62</v>
      </c>
      <c r="C15">
        <v>35327</v>
      </c>
      <c r="D15" t="s">
        <v>63</v>
      </c>
      <c r="E15" t="s">
        <v>24</v>
      </c>
      <c r="F15" t="s">
        <v>25</v>
      </c>
      <c r="G15" t="s">
        <v>26</v>
      </c>
      <c r="H15" t="s">
        <v>27</v>
      </c>
      <c r="I15" t="s">
        <v>27</v>
      </c>
      <c r="J15" s="1">
        <v>46714.679861111108</v>
      </c>
      <c r="K15" s="1">
        <v>47445.35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</row>
    <row r="16" spans="1:24" hidden="1" x14ac:dyDescent="0.25">
      <c r="A16" t="s">
        <v>21</v>
      </c>
      <c r="B16" t="s">
        <v>64</v>
      </c>
      <c r="C16">
        <v>35325</v>
      </c>
      <c r="D16" t="s">
        <v>65</v>
      </c>
      <c r="E16" t="s">
        <v>24</v>
      </c>
      <c r="F16" t="s">
        <v>25</v>
      </c>
      <c r="G16" t="s">
        <v>26</v>
      </c>
      <c r="H16" t="s">
        <v>27</v>
      </c>
      <c r="I16" t="s">
        <v>27</v>
      </c>
      <c r="J16" s="1">
        <v>46714.623611111114</v>
      </c>
      <c r="K16" s="1">
        <v>46714.719444444447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</row>
    <row r="17" spans="1:22" hidden="1" x14ac:dyDescent="0.25">
      <c r="A17" t="s">
        <v>21</v>
      </c>
      <c r="B17" t="s">
        <v>66</v>
      </c>
      <c r="C17">
        <v>35324</v>
      </c>
      <c r="D17" t="s">
        <v>67</v>
      </c>
      <c r="E17" t="s">
        <v>68</v>
      </c>
      <c r="F17" t="s">
        <v>69</v>
      </c>
      <c r="G17" t="s">
        <v>26</v>
      </c>
      <c r="H17" t="s">
        <v>27</v>
      </c>
      <c r="I17" t="s">
        <v>27</v>
      </c>
      <c r="J17" s="1">
        <v>46714.617361111108</v>
      </c>
      <c r="K17" s="1">
        <v>46714.666666666664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</row>
    <row r="18" spans="1:22" hidden="1" x14ac:dyDescent="0.25">
      <c r="A18" t="s">
        <v>21</v>
      </c>
      <c r="B18" t="s">
        <v>70</v>
      </c>
      <c r="C18">
        <v>35323</v>
      </c>
      <c r="D18" t="s">
        <v>71</v>
      </c>
      <c r="E18" t="s">
        <v>24</v>
      </c>
      <c r="F18" t="s">
        <v>25</v>
      </c>
      <c r="G18" t="s">
        <v>26</v>
      </c>
      <c r="H18" t="s">
        <v>27</v>
      </c>
      <c r="I18" t="s">
        <v>27</v>
      </c>
      <c r="J18" s="1">
        <v>46714.612500000003</v>
      </c>
      <c r="K18" s="1">
        <v>46714.667361111111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</row>
    <row r="19" spans="1:22" hidden="1" x14ac:dyDescent="0.25">
      <c r="A19" t="s">
        <v>21</v>
      </c>
      <c r="B19" t="s">
        <v>72</v>
      </c>
      <c r="C19">
        <v>35320</v>
      </c>
      <c r="D19" t="s">
        <v>73</v>
      </c>
      <c r="E19" t="s">
        <v>68</v>
      </c>
      <c r="F19" t="s">
        <v>69</v>
      </c>
      <c r="G19" t="s">
        <v>26</v>
      </c>
      <c r="H19" t="s">
        <v>27</v>
      </c>
      <c r="I19" t="s">
        <v>27</v>
      </c>
      <c r="J19" s="1">
        <v>46714.55972222222</v>
      </c>
      <c r="K19" s="1">
        <v>46714.73333333333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</row>
    <row r="20" spans="1:22" hidden="1" x14ac:dyDescent="0.25">
      <c r="A20" t="s">
        <v>21</v>
      </c>
      <c r="B20" t="s">
        <v>74</v>
      </c>
      <c r="C20">
        <v>35319</v>
      </c>
      <c r="D20" t="s">
        <v>73</v>
      </c>
      <c r="E20" t="s">
        <v>68</v>
      </c>
      <c r="F20" t="s">
        <v>69</v>
      </c>
      <c r="G20" t="s">
        <v>26</v>
      </c>
      <c r="H20" t="s">
        <v>27</v>
      </c>
      <c r="I20" t="s">
        <v>27</v>
      </c>
      <c r="J20" s="1">
        <v>46714.538194444445</v>
      </c>
      <c r="K20" s="1">
        <v>46714.73333333333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</row>
    <row r="21" spans="1:22" hidden="1" x14ac:dyDescent="0.25">
      <c r="A21" t="s">
        <v>21</v>
      </c>
      <c r="B21" t="s">
        <v>75</v>
      </c>
      <c r="C21">
        <v>35315</v>
      </c>
      <c r="D21" t="s">
        <v>76</v>
      </c>
      <c r="E21" t="s">
        <v>24</v>
      </c>
      <c r="F21" t="s">
        <v>25</v>
      </c>
      <c r="G21" t="s">
        <v>26</v>
      </c>
      <c r="H21" t="s">
        <v>27</v>
      </c>
      <c r="I21" t="s">
        <v>27</v>
      </c>
      <c r="J21" s="1">
        <v>46714.394444444442</v>
      </c>
      <c r="K21" s="1">
        <v>46714.546527777777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</row>
    <row r="22" spans="1:22" hidden="1" x14ac:dyDescent="0.25">
      <c r="A22" t="s">
        <v>21</v>
      </c>
      <c r="B22" t="s">
        <v>77</v>
      </c>
      <c r="C22">
        <v>35310</v>
      </c>
      <c r="D22" t="s">
        <v>78</v>
      </c>
      <c r="E22" t="s">
        <v>24</v>
      </c>
      <c r="F22" t="s">
        <v>25</v>
      </c>
      <c r="G22" t="s">
        <v>26</v>
      </c>
      <c r="H22" t="s">
        <v>27</v>
      </c>
      <c r="I22" t="s">
        <v>27</v>
      </c>
      <c r="J22" s="1">
        <v>45619.759722222225</v>
      </c>
      <c r="K22" s="1">
        <v>47080.47152777778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</row>
    <row r="23" spans="1:22" hidden="1" x14ac:dyDescent="0.25">
      <c r="A23" t="s">
        <v>21</v>
      </c>
      <c r="B23" t="s">
        <v>79</v>
      </c>
      <c r="C23">
        <v>35304</v>
      </c>
      <c r="D23" t="s">
        <v>80</v>
      </c>
      <c r="E23" t="s">
        <v>68</v>
      </c>
      <c r="F23" t="s">
        <v>69</v>
      </c>
      <c r="G23" t="s">
        <v>26</v>
      </c>
      <c r="H23" t="s">
        <v>27</v>
      </c>
      <c r="I23" t="s">
        <v>27</v>
      </c>
      <c r="J23" s="1">
        <v>45619.657638888886</v>
      </c>
      <c r="K23" s="1">
        <v>46714.663194444445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</row>
    <row r="24" spans="1:22" hidden="1" x14ac:dyDescent="0.25">
      <c r="A24" t="s">
        <v>21</v>
      </c>
      <c r="B24" t="s">
        <v>81</v>
      </c>
      <c r="C24">
        <v>35290</v>
      </c>
      <c r="D24" t="s">
        <v>82</v>
      </c>
      <c r="E24" t="s">
        <v>24</v>
      </c>
      <c r="F24" t="s">
        <v>25</v>
      </c>
      <c r="G24" t="s">
        <v>26</v>
      </c>
      <c r="H24" t="s">
        <v>27</v>
      </c>
      <c r="I24" t="s">
        <v>27</v>
      </c>
      <c r="J24" s="1">
        <v>45253.754861111112</v>
      </c>
      <c r="K24" s="1">
        <v>45619.39166666667</v>
      </c>
      <c r="L24" t="s">
        <v>28</v>
      </c>
      <c r="M24" t="s">
        <v>28</v>
      </c>
      <c r="N24" t="s">
        <v>28</v>
      </c>
      <c r="O24" t="s">
        <v>28</v>
      </c>
      <c r="P24" t="s">
        <v>28</v>
      </c>
      <c r="Q24" t="s">
        <v>28</v>
      </c>
      <c r="R24" t="s">
        <v>28</v>
      </c>
      <c r="S24" t="s">
        <v>28</v>
      </c>
      <c r="T24" t="s">
        <v>28</v>
      </c>
      <c r="U24" t="s">
        <v>28</v>
      </c>
    </row>
    <row r="25" spans="1:22" hidden="1" x14ac:dyDescent="0.25">
      <c r="A25" t="s">
        <v>39</v>
      </c>
      <c r="B25" t="s">
        <v>83</v>
      </c>
      <c r="C25">
        <v>35272</v>
      </c>
      <c r="D25" t="s">
        <v>84</v>
      </c>
      <c r="E25" t="s">
        <v>24</v>
      </c>
      <c r="F25" t="s">
        <v>25</v>
      </c>
      <c r="G25" t="s">
        <v>26</v>
      </c>
      <c r="H25" t="s">
        <v>27</v>
      </c>
      <c r="I25" t="s">
        <v>27</v>
      </c>
      <c r="J25" s="1">
        <v>44888.750694444447</v>
      </c>
      <c r="K25" s="1">
        <v>38344.621527777781</v>
      </c>
      <c r="L25" t="s">
        <v>28</v>
      </c>
      <c r="M25" t="s">
        <v>85</v>
      </c>
      <c r="N25" t="s">
        <v>42</v>
      </c>
      <c r="O25" t="s">
        <v>44</v>
      </c>
      <c r="P25" t="s">
        <v>28</v>
      </c>
      <c r="R25" t="s">
        <v>28</v>
      </c>
      <c r="S25" t="s">
        <v>28</v>
      </c>
      <c r="T25" t="s">
        <v>28</v>
      </c>
      <c r="U25" t="s">
        <v>45</v>
      </c>
      <c r="V25">
        <v>1</v>
      </c>
    </row>
    <row r="26" spans="1:22" hidden="1" x14ac:dyDescent="0.25">
      <c r="A26" t="s">
        <v>21</v>
      </c>
      <c r="B26" t="s">
        <v>86</v>
      </c>
      <c r="C26">
        <v>35270</v>
      </c>
      <c r="D26" t="s">
        <v>87</v>
      </c>
      <c r="E26" t="s">
        <v>24</v>
      </c>
      <c r="F26" t="s">
        <v>25</v>
      </c>
      <c r="G26" t="s">
        <v>26</v>
      </c>
      <c r="H26" t="s">
        <v>27</v>
      </c>
      <c r="I26" t="s">
        <v>27</v>
      </c>
      <c r="J26" s="1">
        <v>44888.697916666664</v>
      </c>
      <c r="K26" s="1">
        <v>45253.409722222219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</row>
    <row r="27" spans="1:22" hidden="1" x14ac:dyDescent="0.25">
      <c r="A27" t="s">
        <v>21</v>
      </c>
      <c r="B27" t="s">
        <v>88</v>
      </c>
      <c r="C27">
        <v>35267</v>
      </c>
      <c r="D27" t="s">
        <v>89</v>
      </c>
      <c r="E27" t="s">
        <v>24</v>
      </c>
      <c r="F27" t="s">
        <v>25</v>
      </c>
      <c r="G27" t="s">
        <v>26</v>
      </c>
      <c r="H27" t="s">
        <v>27</v>
      </c>
      <c r="I27" t="s">
        <v>27</v>
      </c>
      <c r="J27" s="1">
        <v>44888.615277777775</v>
      </c>
      <c r="K27" s="1">
        <v>44888.738888888889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</row>
    <row r="28" spans="1:22" hidden="1" x14ac:dyDescent="0.25">
      <c r="A28" t="s">
        <v>21</v>
      </c>
      <c r="B28" t="s">
        <v>90</v>
      </c>
      <c r="C28">
        <v>35266</v>
      </c>
      <c r="D28" t="s">
        <v>91</v>
      </c>
      <c r="E28" t="s">
        <v>24</v>
      </c>
      <c r="F28" t="s">
        <v>25</v>
      </c>
      <c r="G28" t="s">
        <v>26</v>
      </c>
      <c r="H28" t="s">
        <v>27</v>
      </c>
      <c r="I28" t="s">
        <v>27</v>
      </c>
      <c r="J28" s="1">
        <v>44888.606944444444</v>
      </c>
      <c r="K28" s="1">
        <v>45253.666666666664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</row>
    <row r="29" spans="1:22" hidden="1" x14ac:dyDescent="0.25">
      <c r="A29" t="s">
        <v>39</v>
      </c>
      <c r="B29" t="s">
        <v>92</v>
      </c>
      <c r="C29">
        <v>35264</v>
      </c>
      <c r="D29" t="s">
        <v>93</v>
      </c>
      <c r="E29" t="s">
        <v>68</v>
      </c>
      <c r="F29" t="s">
        <v>69</v>
      </c>
      <c r="G29" t="s">
        <v>26</v>
      </c>
      <c r="H29" t="s">
        <v>27</v>
      </c>
      <c r="I29" t="s">
        <v>27</v>
      </c>
      <c r="J29" s="1">
        <v>44888.584722222222</v>
      </c>
      <c r="K29" s="1">
        <v>47810.517361111109</v>
      </c>
      <c r="L29" t="s">
        <v>28</v>
      </c>
      <c r="M29" t="s">
        <v>85</v>
      </c>
      <c r="N29" t="s">
        <v>42</v>
      </c>
      <c r="O29" t="s">
        <v>94</v>
      </c>
      <c r="P29" t="s">
        <v>28</v>
      </c>
      <c r="Q29" t="s">
        <v>28</v>
      </c>
      <c r="R29" t="s">
        <v>28</v>
      </c>
      <c r="S29" t="s">
        <v>28</v>
      </c>
      <c r="T29" t="s">
        <v>28</v>
      </c>
      <c r="U29" t="s">
        <v>45</v>
      </c>
      <c r="V29">
        <v>1</v>
      </c>
    </row>
    <row r="30" spans="1:22" hidden="1" x14ac:dyDescent="0.25">
      <c r="A30" t="s">
        <v>21</v>
      </c>
      <c r="B30" t="s">
        <v>95</v>
      </c>
      <c r="C30">
        <v>35260</v>
      </c>
      <c r="D30" t="s">
        <v>96</v>
      </c>
      <c r="E30" t="s">
        <v>24</v>
      </c>
      <c r="F30" t="s">
        <v>25</v>
      </c>
      <c r="G30" t="s">
        <v>26</v>
      </c>
      <c r="H30" t="s">
        <v>27</v>
      </c>
      <c r="I30" t="s">
        <v>27</v>
      </c>
      <c r="J30" s="1">
        <v>44888.374305555553</v>
      </c>
      <c r="K30" s="1">
        <v>44888.40902777778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</row>
    <row r="31" spans="1:22" hidden="1" x14ac:dyDescent="0.25">
      <c r="A31" t="s">
        <v>21</v>
      </c>
      <c r="B31" t="s">
        <v>97</v>
      </c>
      <c r="C31">
        <v>35243</v>
      </c>
      <c r="D31" t="s">
        <v>98</v>
      </c>
      <c r="E31" t="s">
        <v>24</v>
      </c>
      <c r="F31" t="s">
        <v>25</v>
      </c>
      <c r="G31" t="s">
        <v>26</v>
      </c>
      <c r="H31" t="s">
        <v>27</v>
      </c>
      <c r="I31" t="s">
        <v>27</v>
      </c>
      <c r="J31" s="1">
        <v>44158.76666666667</v>
      </c>
      <c r="K31" s="1">
        <v>47080.390277777777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</row>
    <row r="32" spans="1:22" hidden="1" x14ac:dyDescent="0.25">
      <c r="A32" t="s">
        <v>39</v>
      </c>
      <c r="B32" t="s">
        <v>99</v>
      </c>
      <c r="C32">
        <v>35238</v>
      </c>
      <c r="D32" t="s">
        <v>100</v>
      </c>
      <c r="E32" t="s">
        <v>24</v>
      </c>
      <c r="F32" t="s">
        <v>25</v>
      </c>
      <c r="G32" t="s">
        <v>26</v>
      </c>
      <c r="H32" t="s">
        <v>27</v>
      </c>
      <c r="I32" t="s">
        <v>27</v>
      </c>
      <c r="J32" s="1">
        <v>44158.673611111109</v>
      </c>
      <c r="K32" s="1">
        <v>47810.518750000003</v>
      </c>
      <c r="L32" t="s">
        <v>28</v>
      </c>
      <c r="M32" t="s">
        <v>85</v>
      </c>
      <c r="N32" t="s">
        <v>42</v>
      </c>
      <c r="O32" t="s">
        <v>43</v>
      </c>
      <c r="P32" t="s">
        <v>101</v>
      </c>
      <c r="Q32" t="s">
        <v>44</v>
      </c>
      <c r="R32" t="s">
        <v>28</v>
      </c>
      <c r="S32" t="s">
        <v>28</v>
      </c>
      <c r="T32" t="s">
        <v>28</v>
      </c>
      <c r="U32" t="s">
        <v>45</v>
      </c>
      <c r="V32">
        <v>1</v>
      </c>
    </row>
    <row r="33" spans="1:23" hidden="1" x14ac:dyDescent="0.25">
      <c r="A33" t="s">
        <v>21</v>
      </c>
      <c r="B33" t="s">
        <v>102</v>
      </c>
      <c r="C33">
        <v>35235</v>
      </c>
      <c r="D33" t="s">
        <v>103</v>
      </c>
      <c r="E33" t="s">
        <v>24</v>
      </c>
      <c r="F33" t="s">
        <v>25</v>
      </c>
      <c r="G33" t="s">
        <v>26</v>
      </c>
      <c r="H33" t="s">
        <v>27</v>
      </c>
      <c r="I33" t="s">
        <v>27</v>
      </c>
      <c r="J33" s="1">
        <v>44158.54791666667</v>
      </c>
      <c r="K33" s="1">
        <v>44158.559027777781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28</v>
      </c>
      <c r="S33" t="s">
        <v>28</v>
      </c>
      <c r="T33" t="s">
        <v>28</v>
      </c>
      <c r="U33" t="s">
        <v>28</v>
      </c>
    </row>
    <row r="34" spans="1:23" hidden="1" x14ac:dyDescent="0.25">
      <c r="A34" t="s">
        <v>21</v>
      </c>
      <c r="B34" t="s">
        <v>104</v>
      </c>
      <c r="C34">
        <v>35233</v>
      </c>
      <c r="D34" t="s">
        <v>105</v>
      </c>
      <c r="E34" t="s">
        <v>24</v>
      </c>
      <c r="F34" t="s">
        <v>25</v>
      </c>
      <c r="G34" t="s">
        <v>26</v>
      </c>
      <c r="H34" t="s">
        <v>27</v>
      </c>
      <c r="I34" t="s">
        <v>27</v>
      </c>
      <c r="J34" s="1">
        <v>44158.503472222219</v>
      </c>
      <c r="K34" s="1">
        <v>45253.635416666664</v>
      </c>
      <c r="L34" t="s">
        <v>28</v>
      </c>
      <c r="M34" t="s">
        <v>28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</row>
    <row r="35" spans="1:23" hidden="1" x14ac:dyDescent="0.25">
      <c r="A35" t="s">
        <v>21</v>
      </c>
      <c r="B35" t="s">
        <v>106</v>
      </c>
      <c r="C35">
        <v>35121</v>
      </c>
      <c r="D35" t="s">
        <v>107</v>
      </c>
      <c r="E35" t="s">
        <v>28</v>
      </c>
      <c r="F35" t="s">
        <v>28</v>
      </c>
      <c r="G35" t="s">
        <v>26</v>
      </c>
      <c r="H35" t="s">
        <v>27</v>
      </c>
      <c r="I35" t="s">
        <v>27</v>
      </c>
      <c r="J35" s="1">
        <v>42331.490277777775</v>
      </c>
      <c r="K35" s="1">
        <v>44158.424305555556</v>
      </c>
      <c r="L35" t="s">
        <v>28</v>
      </c>
      <c r="M35" t="s">
        <v>43</v>
      </c>
      <c r="N35" t="s">
        <v>28</v>
      </c>
      <c r="O35" t="s">
        <v>28</v>
      </c>
      <c r="P35" t="s">
        <v>28</v>
      </c>
      <c r="Q35" t="s">
        <v>28</v>
      </c>
      <c r="R35" t="s">
        <v>28</v>
      </c>
      <c r="S35" t="s">
        <v>28</v>
      </c>
      <c r="T35" t="s">
        <v>28</v>
      </c>
      <c r="U35" t="s">
        <v>28</v>
      </c>
    </row>
    <row r="36" spans="1:23" hidden="1" x14ac:dyDescent="0.25">
      <c r="A36" t="s">
        <v>39</v>
      </c>
      <c r="B36" t="s">
        <v>108</v>
      </c>
      <c r="C36">
        <v>35113</v>
      </c>
      <c r="D36" t="s">
        <v>109</v>
      </c>
      <c r="E36" t="s">
        <v>58</v>
      </c>
      <c r="F36" t="s">
        <v>59</v>
      </c>
      <c r="G36" t="s">
        <v>26</v>
      </c>
      <c r="H36" t="s">
        <v>27</v>
      </c>
      <c r="I36" t="s">
        <v>27</v>
      </c>
      <c r="J36" s="1">
        <v>41966.679861111108</v>
      </c>
      <c r="K36" s="1">
        <v>47810.521527777775</v>
      </c>
      <c r="L36" t="s">
        <v>28</v>
      </c>
      <c r="M36" t="s">
        <v>85</v>
      </c>
      <c r="N36" t="s">
        <v>42</v>
      </c>
      <c r="O36" t="s">
        <v>43</v>
      </c>
      <c r="P36" t="s">
        <v>101</v>
      </c>
      <c r="Q36" t="s">
        <v>44</v>
      </c>
      <c r="R36" t="s">
        <v>28</v>
      </c>
      <c r="S36" t="s">
        <v>28</v>
      </c>
      <c r="T36" t="s">
        <v>28</v>
      </c>
      <c r="U36" t="s">
        <v>45</v>
      </c>
      <c r="V36">
        <v>1</v>
      </c>
    </row>
    <row r="37" spans="1:23" hidden="1" x14ac:dyDescent="0.25">
      <c r="A37" t="s">
        <v>21</v>
      </c>
      <c r="B37" t="s">
        <v>110</v>
      </c>
      <c r="C37">
        <v>35110</v>
      </c>
      <c r="D37" t="s">
        <v>111</v>
      </c>
      <c r="E37" t="s">
        <v>28</v>
      </c>
      <c r="F37" t="s">
        <v>28</v>
      </c>
      <c r="G37" t="s">
        <v>26</v>
      </c>
      <c r="H37" t="s">
        <v>27</v>
      </c>
      <c r="I37" t="s">
        <v>27</v>
      </c>
      <c r="J37" s="1">
        <v>41966.655555555553</v>
      </c>
      <c r="K37" s="1">
        <v>41966.657638888886</v>
      </c>
      <c r="L37" t="s">
        <v>28</v>
      </c>
      <c r="M37" t="s">
        <v>28</v>
      </c>
      <c r="N37" t="s">
        <v>28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</row>
    <row r="38" spans="1:23" hidden="1" x14ac:dyDescent="0.25">
      <c r="A38" t="s">
        <v>21</v>
      </c>
      <c r="B38" t="s">
        <v>112</v>
      </c>
      <c r="C38">
        <v>35100</v>
      </c>
      <c r="D38" t="s">
        <v>113</v>
      </c>
      <c r="E38" t="s">
        <v>28</v>
      </c>
      <c r="F38" t="s">
        <v>28</v>
      </c>
      <c r="G38" t="s">
        <v>26</v>
      </c>
      <c r="H38" t="s">
        <v>27</v>
      </c>
      <c r="I38" t="s">
        <v>27</v>
      </c>
      <c r="J38" s="1">
        <v>41966.459027777775</v>
      </c>
      <c r="K38" s="1">
        <v>41966.547222222223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</row>
    <row r="39" spans="1:23" hidden="1" x14ac:dyDescent="0.25">
      <c r="A39" t="s">
        <v>21</v>
      </c>
      <c r="B39" t="s">
        <v>114</v>
      </c>
      <c r="C39">
        <v>35096</v>
      </c>
      <c r="D39" t="s">
        <v>115</v>
      </c>
      <c r="E39" t="s">
        <v>24</v>
      </c>
      <c r="F39" t="s">
        <v>25</v>
      </c>
      <c r="G39" t="s">
        <v>116</v>
      </c>
      <c r="H39" t="s">
        <v>27</v>
      </c>
      <c r="I39" t="s">
        <v>27</v>
      </c>
      <c r="J39" s="1">
        <v>41601.661805555559</v>
      </c>
      <c r="K39" s="1">
        <v>41966.688888888886</v>
      </c>
      <c r="L39" t="s">
        <v>28</v>
      </c>
      <c r="M39" t="s">
        <v>117</v>
      </c>
      <c r="N39" t="s">
        <v>28</v>
      </c>
      <c r="O39" t="s">
        <v>28</v>
      </c>
      <c r="P39" t="s">
        <v>28</v>
      </c>
      <c r="Q39" t="s">
        <v>28</v>
      </c>
      <c r="R39" t="s">
        <v>28</v>
      </c>
      <c r="S39" t="s">
        <v>28</v>
      </c>
      <c r="T39" t="s">
        <v>28</v>
      </c>
      <c r="U39" t="s">
        <v>28</v>
      </c>
    </row>
    <row r="40" spans="1:23" hidden="1" x14ac:dyDescent="0.25">
      <c r="A40" t="s">
        <v>21</v>
      </c>
      <c r="B40" t="s">
        <v>118</v>
      </c>
      <c r="C40">
        <v>34983</v>
      </c>
      <c r="D40" t="s">
        <v>119</v>
      </c>
      <c r="E40" t="s">
        <v>24</v>
      </c>
      <c r="F40" t="s">
        <v>25</v>
      </c>
      <c r="G40" t="s">
        <v>26</v>
      </c>
      <c r="H40" t="s">
        <v>27</v>
      </c>
      <c r="I40" t="s">
        <v>27</v>
      </c>
      <c r="J40" s="1">
        <v>41601.503472222219</v>
      </c>
      <c r="K40" s="1">
        <v>43062.680555555555</v>
      </c>
      <c r="L40" t="s">
        <v>28</v>
      </c>
      <c r="M40" t="s">
        <v>120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28</v>
      </c>
      <c r="T40" t="s">
        <v>28</v>
      </c>
      <c r="U40" t="s">
        <v>28</v>
      </c>
    </row>
    <row r="41" spans="1:23" hidden="1" x14ac:dyDescent="0.25">
      <c r="A41" t="s">
        <v>39</v>
      </c>
      <c r="B41" t="s">
        <v>121</v>
      </c>
      <c r="C41">
        <v>34974</v>
      </c>
      <c r="D41" t="s">
        <v>122</v>
      </c>
      <c r="E41" t="s">
        <v>24</v>
      </c>
      <c r="F41" t="s">
        <v>25</v>
      </c>
      <c r="G41" t="s">
        <v>26</v>
      </c>
      <c r="H41" t="s">
        <v>27</v>
      </c>
      <c r="I41" t="s">
        <v>27</v>
      </c>
      <c r="J41" s="1">
        <v>40505.611805555556</v>
      </c>
      <c r="K41" s="1">
        <v>46714.546527777777</v>
      </c>
      <c r="L41" t="s">
        <v>28</v>
      </c>
      <c r="M41" t="s">
        <v>85</v>
      </c>
      <c r="N41" t="s">
        <v>43</v>
      </c>
      <c r="O41" t="s">
        <v>101</v>
      </c>
      <c r="P41" t="s">
        <v>44</v>
      </c>
      <c r="Q41" t="s">
        <v>28</v>
      </c>
      <c r="R41" t="s">
        <v>28</v>
      </c>
      <c r="S41" t="s">
        <v>28</v>
      </c>
      <c r="T41" t="s">
        <v>28</v>
      </c>
      <c r="U41" t="s">
        <v>123</v>
      </c>
      <c r="V41">
        <v>2</v>
      </c>
    </row>
    <row r="42" spans="1:23" hidden="1" x14ac:dyDescent="0.25">
      <c r="A42" t="s">
        <v>21</v>
      </c>
      <c r="B42" t="s">
        <v>124</v>
      </c>
      <c r="C42">
        <v>34928</v>
      </c>
      <c r="D42" t="s">
        <v>125</v>
      </c>
      <c r="E42" t="s">
        <v>24</v>
      </c>
      <c r="F42" t="s">
        <v>25</v>
      </c>
      <c r="G42" t="s">
        <v>26</v>
      </c>
      <c r="H42" t="s">
        <v>27</v>
      </c>
      <c r="I42" t="s">
        <v>27</v>
      </c>
      <c r="J42" s="1">
        <v>40140.742361111108</v>
      </c>
      <c r="K42" s="1">
        <v>44158.586805555555</v>
      </c>
      <c r="L42" t="s">
        <v>28</v>
      </c>
      <c r="M42" t="s">
        <v>120</v>
      </c>
      <c r="N42" t="s">
        <v>126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  <c r="T42" t="s">
        <v>28</v>
      </c>
      <c r="U42" t="s">
        <v>28</v>
      </c>
    </row>
    <row r="43" spans="1:23" hidden="1" x14ac:dyDescent="0.25">
      <c r="A43" t="s">
        <v>39</v>
      </c>
      <c r="B43" t="s">
        <v>127</v>
      </c>
      <c r="C43">
        <v>34927</v>
      </c>
      <c r="D43" t="s">
        <v>128</v>
      </c>
      <c r="E43" t="s">
        <v>24</v>
      </c>
      <c r="F43" t="s">
        <v>25</v>
      </c>
      <c r="G43" t="s">
        <v>26</v>
      </c>
      <c r="H43" t="s">
        <v>27</v>
      </c>
      <c r="I43" t="s">
        <v>27</v>
      </c>
      <c r="J43" s="1">
        <v>40140.727083333331</v>
      </c>
      <c r="K43" s="1">
        <v>38344.620833333334</v>
      </c>
      <c r="L43" t="s">
        <v>28</v>
      </c>
      <c r="M43" t="s">
        <v>85</v>
      </c>
      <c r="N43" t="s">
        <v>43</v>
      </c>
      <c r="O43" t="s">
        <v>101</v>
      </c>
      <c r="P43" t="s">
        <v>44</v>
      </c>
      <c r="Q43" t="s">
        <v>126</v>
      </c>
      <c r="R43" t="s">
        <v>129</v>
      </c>
      <c r="S43" t="s">
        <v>28</v>
      </c>
      <c r="T43" t="s">
        <v>28</v>
      </c>
      <c r="U43" t="s">
        <v>45</v>
      </c>
      <c r="V43">
        <v>1</v>
      </c>
      <c r="W43" s="4"/>
    </row>
    <row r="44" spans="1:23" hidden="1" x14ac:dyDescent="0.25">
      <c r="A44" t="s">
        <v>39</v>
      </c>
      <c r="B44" t="s">
        <v>130</v>
      </c>
      <c r="C44">
        <v>34923</v>
      </c>
      <c r="D44" t="s">
        <v>131</v>
      </c>
      <c r="E44" t="s">
        <v>24</v>
      </c>
      <c r="F44" t="s">
        <v>25</v>
      </c>
      <c r="G44" t="s">
        <v>26</v>
      </c>
      <c r="H44" t="s">
        <v>27</v>
      </c>
      <c r="I44" t="s">
        <v>27</v>
      </c>
      <c r="J44" s="1">
        <v>40140.686111111114</v>
      </c>
      <c r="K44" s="1">
        <v>47810.523611111108</v>
      </c>
      <c r="L44" t="s">
        <v>28</v>
      </c>
      <c r="M44" t="s">
        <v>120</v>
      </c>
      <c r="N44" t="s">
        <v>85</v>
      </c>
      <c r="O44" t="s">
        <v>42</v>
      </c>
      <c r="P44" t="s">
        <v>43</v>
      </c>
      <c r="Q44" t="s">
        <v>101</v>
      </c>
      <c r="R44" t="s">
        <v>44</v>
      </c>
      <c r="S44" t="s">
        <v>28</v>
      </c>
      <c r="T44" t="s">
        <v>28</v>
      </c>
      <c r="U44" t="s">
        <v>45</v>
      </c>
      <c r="V44">
        <v>1</v>
      </c>
      <c r="W44" s="4"/>
    </row>
    <row r="45" spans="1:23" hidden="1" x14ac:dyDescent="0.25">
      <c r="A45" t="s">
        <v>21</v>
      </c>
      <c r="B45" t="s">
        <v>132</v>
      </c>
      <c r="C45">
        <v>34922</v>
      </c>
      <c r="D45" t="s">
        <v>133</v>
      </c>
      <c r="E45" t="s">
        <v>24</v>
      </c>
      <c r="F45" t="s">
        <v>25</v>
      </c>
      <c r="G45" t="s">
        <v>26</v>
      </c>
      <c r="H45" t="s">
        <v>27</v>
      </c>
      <c r="I45" t="s">
        <v>27</v>
      </c>
      <c r="J45" s="1">
        <v>40140.682638888888</v>
      </c>
      <c r="K45" s="1">
        <v>44523.529166666667</v>
      </c>
      <c r="L45" t="s">
        <v>28</v>
      </c>
      <c r="M45" t="s">
        <v>120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45</v>
      </c>
    </row>
    <row r="46" spans="1:23" hidden="1" x14ac:dyDescent="0.25">
      <c r="A46" t="s">
        <v>21</v>
      </c>
      <c r="B46" t="s">
        <v>134</v>
      </c>
      <c r="C46">
        <v>34921</v>
      </c>
      <c r="D46" t="s">
        <v>135</v>
      </c>
      <c r="E46" t="s">
        <v>24</v>
      </c>
      <c r="F46" t="s">
        <v>25</v>
      </c>
      <c r="G46" t="s">
        <v>26</v>
      </c>
      <c r="H46" t="s">
        <v>27</v>
      </c>
      <c r="I46" t="s">
        <v>27</v>
      </c>
      <c r="J46" s="1">
        <v>40140.680555555555</v>
      </c>
      <c r="K46" s="1">
        <v>43062.695833333331</v>
      </c>
      <c r="L46" t="s">
        <v>28</v>
      </c>
      <c r="M46" t="s">
        <v>120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136</v>
      </c>
    </row>
    <row r="47" spans="1:23" hidden="1" x14ac:dyDescent="0.25">
      <c r="A47" t="s">
        <v>21</v>
      </c>
      <c r="B47" t="s">
        <v>137</v>
      </c>
      <c r="C47">
        <v>34920</v>
      </c>
      <c r="D47" t="s">
        <v>138</v>
      </c>
      <c r="E47" t="s">
        <v>28</v>
      </c>
      <c r="F47" t="s">
        <v>28</v>
      </c>
      <c r="G47" t="s">
        <v>26</v>
      </c>
      <c r="H47" t="s">
        <v>27</v>
      </c>
      <c r="I47" t="s">
        <v>27</v>
      </c>
      <c r="J47" s="1">
        <v>40140.656944444447</v>
      </c>
      <c r="K47" s="1">
        <v>40140.663888888892</v>
      </c>
      <c r="L47" t="s">
        <v>28</v>
      </c>
      <c r="M47" t="s">
        <v>28</v>
      </c>
      <c r="N47" t="s">
        <v>28</v>
      </c>
      <c r="O47" t="s">
        <v>28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  <c r="U47" t="s">
        <v>28</v>
      </c>
    </row>
    <row r="48" spans="1:23" hidden="1" x14ac:dyDescent="0.25">
      <c r="A48" t="s">
        <v>21</v>
      </c>
      <c r="B48" t="s">
        <v>139</v>
      </c>
      <c r="C48">
        <v>34900</v>
      </c>
      <c r="D48" t="s">
        <v>140</v>
      </c>
      <c r="E48" t="s">
        <v>24</v>
      </c>
      <c r="F48" t="s">
        <v>25</v>
      </c>
      <c r="G48" t="s">
        <v>26</v>
      </c>
      <c r="H48" t="s">
        <v>27</v>
      </c>
      <c r="I48" t="s">
        <v>27</v>
      </c>
      <c r="J48" s="1">
        <v>39775.521527777775</v>
      </c>
      <c r="K48" s="1">
        <v>45253.411111111112</v>
      </c>
      <c r="L48" t="s">
        <v>28</v>
      </c>
      <c r="M48" t="s">
        <v>28</v>
      </c>
      <c r="N48" t="s">
        <v>28</v>
      </c>
      <c r="O48" t="s">
        <v>28</v>
      </c>
      <c r="P48" t="s">
        <v>28</v>
      </c>
      <c r="Q48" t="s">
        <v>28</v>
      </c>
      <c r="R48" t="s">
        <v>28</v>
      </c>
      <c r="S48" t="s">
        <v>28</v>
      </c>
      <c r="T48" t="s">
        <v>28</v>
      </c>
      <c r="U48" t="s">
        <v>136</v>
      </c>
    </row>
    <row r="49" spans="1:24" hidden="1" x14ac:dyDescent="0.25">
      <c r="A49" t="s">
        <v>39</v>
      </c>
      <c r="B49" t="s">
        <v>141</v>
      </c>
      <c r="C49">
        <v>34865</v>
      </c>
      <c r="D49" t="s">
        <v>142</v>
      </c>
      <c r="E49" t="s">
        <v>24</v>
      </c>
      <c r="F49" t="s">
        <v>25</v>
      </c>
      <c r="G49" t="s">
        <v>26</v>
      </c>
      <c r="H49" t="s">
        <v>27</v>
      </c>
      <c r="I49" t="s">
        <v>27</v>
      </c>
      <c r="J49" s="1">
        <v>39044.509027777778</v>
      </c>
      <c r="K49" s="1">
        <v>47810.520138888889</v>
      </c>
      <c r="L49" t="s">
        <v>28</v>
      </c>
      <c r="M49" t="s">
        <v>85</v>
      </c>
      <c r="N49" t="s">
        <v>42</v>
      </c>
      <c r="O49" t="s">
        <v>43</v>
      </c>
      <c r="P49" t="s">
        <v>101</v>
      </c>
      <c r="Q49" t="s">
        <v>44</v>
      </c>
      <c r="R49" t="s">
        <v>126</v>
      </c>
      <c r="S49" t="s">
        <v>28</v>
      </c>
      <c r="T49" t="s">
        <v>28</v>
      </c>
      <c r="U49" t="s">
        <v>45</v>
      </c>
      <c r="V49">
        <v>1</v>
      </c>
      <c r="W49" s="4"/>
    </row>
    <row r="50" spans="1:24" hidden="1" x14ac:dyDescent="0.25">
      <c r="A50" t="s">
        <v>39</v>
      </c>
      <c r="B50" t="s">
        <v>143</v>
      </c>
      <c r="C50">
        <v>34506</v>
      </c>
      <c r="D50" t="s">
        <v>144</v>
      </c>
      <c r="E50" t="s">
        <v>28</v>
      </c>
      <c r="F50" t="s">
        <v>28</v>
      </c>
      <c r="G50" t="s">
        <v>145</v>
      </c>
      <c r="H50" t="s">
        <v>27</v>
      </c>
      <c r="I50" t="s">
        <v>27</v>
      </c>
      <c r="J50" s="1">
        <v>37917.693055555559</v>
      </c>
      <c r="K50" s="1">
        <v>47810.521527777775</v>
      </c>
      <c r="L50" t="s">
        <v>28</v>
      </c>
      <c r="M50" t="s">
        <v>42</v>
      </c>
      <c r="N50" t="s">
        <v>28</v>
      </c>
      <c r="O50" t="s">
        <v>28</v>
      </c>
      <c r="P50" t="s">
        <v>28</v>
      </c>
      <c r="Q50" t="s">
        <v>28</v>
      </c>
      <c r="R50" t="s">
        <v>28</v>
      </c>
      <c r="S50" t="s">
        <v>28</v>
      </c>
      <c r="T50" t="s">
        <v>28</v>
      </c>
      <c r="U50" t="s">
        <v>136</v>
      </c>
    </row>
    <row r="51" spans="1:24" x14ac:dyDescent="0.25">
      <c r="A51" t="s">
        <v>39</v>
      </c>
      <c r="B51" t="s">
        <v>146</v>
      </c>
      <c r="C51">
        <v>34328</v>
      </c>
      <c r="D51" t="s">
        <v>147</v>
      </c>
      <c r="E51" t="s">
        <v>24</v>
      </c>
      <c r="F51" t="s">
        <v>25</v>
      </c>
      <c r="G51" t="s">
        <v>26</v>
      </c>
      <c r="H51" t="s">
        <v>27</v>
      </c>
      <c r="I51" t="s">
        <v>27</v>
      </c>
      <c r="J51" s="1">
        <v>41905.686805555553</v>
      </c>
      <c r="K51" s="1">
        <v>47080.622916666667</v>
      </c>
      <c r="L51" t="s">
        <v>28</v>
      </c>
      <c r="M51" t="s">
        <v>85</v>
      </c>
      <c r="N51" t="s">
        <v>101</v>
      </c>
      <c r="O51" t="s">
        <v>44</v>
      </c>
      <c r="P51" s="2" t="s">
        <v>148</v>
      </c>
      <c r="Q51" t="s">
        <v>126</v>
      </c>
      <c r="R51" t="s">
        <v>28</v>
      </c>
      <c r="S51" t="s">
        <v>28</v>
      </c>
      <c r="T51" t="s">
        <v>28</v>
      </c>
      <c r="U51" t="s">
        <v>123</v>
      </c>
      <c r="V51">
        <v>2</v>
      </c>
      <c r="W51" s="4"/>
      <c r="X51">
        <v>2</v>
      </c>
    </row>
    <row r="52" spans="1:24" hidden="1" x14ac:dyDescent="0.25">
      <c r="A52" t="s">
        <v>39</v>
      </c>
      <c r="B52" t="s">
        <v>149</v>
      </c>
      <c r="C52">
        <v>33433</v>
      </c>
      <c r="D52" t="s">
        <v>150</v>
      </c>
      <c r="E52" t="s">
        <v>28</v>
      </c>
      <c r="F52" t="s">
        <v>28</v>
      </c>
      <c r="G52" t="s">
        <v>26</v>
      </c>
      <c r="H52" t="s">
        <v>27</v>
      </c>
      <c r="I52" t="s">
        <v>27</v>
      </c>
      <c r="J52" s="1">
        <v>37065.584027777775</v>
      </c>
      <c r="K52" s="1">
        <v>47810.521527777775</v>
      </c>
      <c r="L52" t="s">
        <v>28</v>
      </c>
      <c r="M52" t="s">
        <v>85</v>
      </c>
      <c r="N52" t="s">
        <v>42</v>
      </c>
      <c r="O52" t="s">
        <v>101</v>
      </c>
      <c r="P52" t="s">
        <v>151</v>
      </c>
      <c r="Q52" s="2" t="s">
        <v>117</v>
      </c>
      <c r="R52" t="s">
        <v>28</v>
      </c>
      <c r="S52" t="s">
        <v>28</v>
      </c>
      <c r="T52" t="s">
        <v>28</v>
      </c>
      <c r="U52" t="s">
        <v>136</v>
      </c>
    </row>
    <row r="53" spans="1:24" hidden="1" x14ac:dyDescent="0.25">
      <c r="A53" t="s">
        <v>39</v>
      </c>
      <c r="B53" t="s">
        <v>152</v>
      </c>
      <c r="C53">
        <v>33428</v>
      </c>
      <c r="D53" t="s">
        <v>153</v>
      </c>
      <c r="E53" t="s">
        <v>24</v>
      </c>
      <c r="F53" t="s">
        <v>25</v>
      </c>
      <c r="G53" t="s">
        <v>116</v>
      </c>
      <c r="H53" t="s">
        <v>27</v>
      </c>
      <c r="I53" t="s">
        <v>27</v>
      </c>
      <c r="J53" s="1">
        <v>37065.584027777775</v>
      </c>
      <c r="K53" s="1">
        <v>47810.518055555556</v>
      </c>
      <c r="L53" t="s">
        <v>28</v>
      </c>
      <c r="M53" t="s">
        <v>154</v>
      </c>
      <c r="N53" t="s">
        <v>85</v>
      </c>
      <c r="O53" t="s">
        <v>42</v>
      </c>
      <c r="P53" t="s">
        <v>101</v>
      </c>
      <c r="Q53" t="s">
        <v>44</v>
      </c>
      <c r="R53" s="2" t="s">
        <v>117</v>
      </c>
      <c r="S53" t="s">
        <v>28</v>
      </c>
      <c r="T53" t="s">
        <v>28</v>
      </c>
      <c r="U53" t="s">
        <v>155</v>
      </c>
      <c r="V53">
        <v>3</v>
      </c>
      <c r="W53" s="4">
        <v>3</v>
      </c>
    </row>
    <row r="54" spans="1:24" hidden="1" x14ac:dyDescent="0.25">
      <c r="A54" t="s">
        <v>39</v>
      </c>
      <c r="B54" t="s">
        <v>156</v>
      </c>
      <c r="C54">
        <v>33425</v>
      </c>
      <c r="D54" t="s">
        <v>157</v>
      </c>
      <c r="E54" t="s">
        <v>24</v>
      </c>
      <c r="F54" t="s">
        <v>25</v>
      </c>
      <c r="G54" t="s">
        <v>26</v>
      </c>
      <c r="H54" t="s">
        <v>27</v>
      </c>
      <c r="I54" t="s">
        <v>27</v>
      </c>
      <c r="J54" s="1">
        <v>37065.584027777775</v>
      </c>
      <c r="K54" s="1">
        <v>47810.520138888889</v>
      </c>
      <c r="L54" t="s">
        <v>28</v>
      </c>
      <c r="M54" t="s">
        <v>85</v>
      </c>
      <c r="N54" t="s">
        <v>42</v>
      </c>
      <c r="O54" t="s">
        <v>43</v>
      </c>
      <c r="P54" t="s">
        <v>101</v>
      </c>
      <c r="Q54" t="s">
        <v>44</v>
      </c>
      <c r="R54" t="s">
        <v>28</v>
      </c>
      <c r="S54" t="s">
        <v>28</v>
      </c>
      <c r="T54" t="s">
        <v>28</v>
      </c>
      <c r="U54" t="s">
        <v>45</v>
      </c>
      <c r="V54">
        <v>1</v>
      </c>
      <c r="W54" s="4"/>
    </row>
    <row r="55" spans="1:24" hidden="1" x14ac:dyDescent="0.25">
      <c r="A55" t="s">
        <v>39</v>
      </c>
      <c r="B55" t="s">
        <v>158</v>
      </c>
      <c r="C55">
        <v>33424</v>
      </c>
      <c r="D55" t="s">
        <v>159</v>
      </c>
      <c r="E55" t="s">
        <v>24</v>
      </c>
      <c r="F55" t="s">
        <v>25</v>
      </c>
      <c r="G55" t="s">
        <v>160</v>
      </c>
      <c r="H55" t="s">
        <v>27</v>
      </c>
      <c r="I55" t="s">
        <v>27</v>
      </c>
      <c r="J55" s="1">
        <v>37065.584027777775</v>
      </c>
      <c r="K55" s="1">
        <v>47810.524305555555</v>
      </c>
      <c r="L55" t="s">
        <v>28</v>
      </c>
      <c r="M55" t="s">
        <v>85</v>
      </c>
      <c r="N55" t="s">
        <v>42</v>
      </c>
      <c r="O55" t="s">
        <v>43</v>
      </c>
      <c r="P55" t="s">
        <v>101</v>
      </c>
      <c r="Q55" t="s">
        <v>44</v>
      </c>
      <c r="R55" t="s">
        <v>28</v>
      </c>
      <c r="S55" t="s">
        <v>28</v>
      </c>
      <c r="T55" t="s">
        <v>28</v>
      </c>
      <c r="U55" t="s">
        <v>45</v>
      </c>
      <c r="V55">
        <v>1</v>
      </c>
      <c r="W55" s="4"/>
    </row>
    <row r="56" spans="1:24" x14ac:dyDescent="0.25">
      <c r="A56" t="s">
        <v>39</v>
      </c>
      <c r="B56" t="s">
        <v>161</v>
      </c>
      <c r="C56">
        <v>33423</v>
      </c>
      <c r="D56" t="s">
        <v>162</v>
      </c>
      <c r="E56" t="s">
        <v>24</v>
      </c>
      <c r="F56" t="s">
        <v>25</v>
      </c>
      <c r="G56" t="s">
        <v>26</v>
      </c>
      <c r="H56" t="s">
        <v>27</v>
      </c>
      <c r="I56" t="s">
        <v>27</v>
      </c>
      <c r="J56" s="1">
        <v>37065.584027777775</v>
      </c>
      <c r="K56" s="1">
        <v>47445.745138888888</v>
      </c>
      <c r="L56" t="s">
        <v>28</v>
      </c>
      <c r="M56" t="s">
        <v>154</v>
      </c>
      <c r="N56" t="s">
        <v>85</v>
      </c>
      <c r="O56" t="s">
        <v>101</v>
      </c>
      <c r="P56" t="s">
        <v>44</v>
      </c>
      <c r="Q56" s="3" t="s">
        <v>148</v>
      </c>
      <c r="R56" t="s">
        <v>126</v>
      </c>
      <c r="S56" t="s">
        <v>28</v>
      </c>
      <c r="T56" t="s">
        <v>28</v>
      </c>
      <c r="U56" t="s">
        <v>163</v>
      </c>
      <c r="V56">
        <v>8</v>
      </c>
      <c r="W56" s="4"/>
      <c r="X56">
        <v>8</v>
      </c>
    </row>
    <row r="57" spans="1:24" hidden="1" x14ac:dyDescent="0.25">
      <c r="A57" t="s">
        <v>39</v>
      </c>
      <c r="B57" t="s">
        <v>164</v>
      </c>
      <c r="C57">
        <v>33421</v>
      </c>
      <c r="D57" t="s">
        <v>165</v>
      </c>
      <c r="E57" t="s">
        <v>24</v>
      </c>
      <c r="F57" t="s">
        <v>25</v>
      </c>
      <c r="G57" t="s">
        <v>26</v>
      </c>
      <c r="H57" t="s">
        <v>27</v>
      </c>
      <c r="I57" t="s">
        <v>27</v>
      </c>
      <c r="J57" s="1">
        <v>37065.584027777775</v>
      </c>
      <c r="K57" s="1">
        <v>47810.519444444442</v>
      </c>
      <c r="L57" t="s">
        <v>28</v>
      </c>
      <c r="M57" t="s">
        <v>85</v>
      </c>
      <c r="N57" t="s">
        <v>42</v>
      </c>
      <c r="O57" t="s">
        <v>43</v>
      </c>
      <c r="P57" t="s">
        <v>101</v>
      </c>
      <c r="Q57" t="s">
        <v>44</v>
      </c>
      <c r="R57" t="s">
        <v>126</v>
      </c>
      <c r="S57" t="s">
        <v>28</v>
      </c>
      <c r="T57" t="s">
        <v>28</v>
      </c>
      <c r="U57" t="s">
        <v>45</v>
      </c>
      <c r="V57">
        <v>1</v>
      </c>
      <c r="W57" s="4"/>
    </row>
    <row r="58" spans="1:24" hidden="1" x14ac:dyDescent="0.25">
      <c r="A58" t="s">
        <v>39</v>
      </c>
      <c r="B58" t="s">
        <v>166</v>
      </c>
      <c r="C58">
        <v>33418</v>
      </c>
      <c r="D58" t="s">
        <v>167</v>
      </c>
      <c r="E58" t="s">
        <v>68</v>
      </c>
      <c r="F58" t="s">
        <v>69</v>
      </c>
      <c r="G58" t="s">
        <v>26</v>
      </c>
      <c r="H58" t="s">
        <v>27</v>
      </c>
      <c r="I58" t="s">
        <v>27</v>
      </c>
      <c r="J58" s="1">
        <v>37065.584027777775</v>
      </c>
      <c r="K58" s="1">
        <v>47810.518055555556</v>
      </c>
      <c r="L58" t="s">
        <v>28</v>
      </c>
      <c r="M58" t="s">
        <v>154</v>
      </c>
      <c r="N58" t="s">
        <v>85</v>
      </c>
      <c r="O58" t="s">
        <v>42</v>
      </c>
      <c r="P58" t="s">
        <v>44</v>
      </c>
      <c r="Q58" s="2" t="s">
        <v>117</v>
      </c>
      <c r="R58" t="s">
        <v>28</v>
      </c>
      <c r="S58" t="s">
        <v>28</v>
      </c>
      <c r="T58" t="s">
        <v>28</v>
      </c>
      <c r="U58" t="s">
        <v>45</v>
      </c>
      <c r="V58">
        <v>1</v>
      </c>
      <c r="W58" s="4">
        <v>1</v>
      </c>
    </row>
    <row r="59" spans="1:24" hidden="1" x14ac:dyDescent="0.25">
      <c r="A59" t="s">
        <v>39</v>
      </c>
      <c r="B59" t="s">
        <v>168</v>
      </c>
      <c r="C59">
        <v>33414</v>
      </c>
      <c r="D59" t="s">
        <v>169</v>
      </c>
      <c r="E59" t="s">
        <v>24</v>
      </c>
      <c r="F59" t="s">
        <v>25</v>
      </c>
      <c r="G59" t="s">
        <v>26</v>
      </c>
      <c r="H59" t="s">
        <v>27</v>
      </c>
      <c r="I59" t="s">
        <v>27</v>
      </c>
      <c r="J59" s="1">
        <v>37065.584027777775</v>
      </c>
      <c r="K59" s="1">
        <v>47810.519444444442</v>
      </c>
      <c r="L59" t="s">
        <v>28</v>
      </c>
      <c r="M59" t="s">
        <v>85</v>
      </c>
      <c r="N59" t="s">
        <v>42</v>
      </c>
      <c r="O59" t="s">
        <v>101</v>
      </c>
      <c r="P59" t="s">
        <v>44</v>
      </c>
      <c r="Q59" t="s">
        <v>126</v>
      </c>
      <c r="R59" t="s">
        <v>28</v>
      </c>
      <c r="S59" t="s">
        <v>28</v>
      </c>
      <c r="T59" t="s">
        <v>28</v>
      </c>
      <c r="U59" t="s">
        <v>45</v>
      </c>
      <c r="V59">
        <v>1</v>
      </c>
      <c r="W59" s="4"/>
    </row>
    <row r="60" spans="1:24" hidden="1" x14ac:dyDescent="0.25">
      <c r="A60" t="s">
        <v>39</v>
      </c>
      <c r="B60" t="s">
        <v>170</v>
      </c>
      <c r="C60">
        <v>33401</v>
      </c>
      <c r="D60" t="s">
        <v>171</v>
      </c>
      <c r="E60" t="s">
        <v>24</v>
      </c>
      <c r="F60" t="s">
        <v>25</v>
      </c>
      <c r="G60" t="s">
        <v>145</v>
      </c>
      <c r="H60" t="s">
        <v>27</v>
      </c>
      <c r="I60" t="s">
        <v>27</v>
      </c>
      <c r="J60" s="1">
        <v>37065.584027777775</v>
      </c>
      <c r="K60" s="1">
        <v>38344.535416666666</v>
      </c>
      <c r="L60" t="s">
        <v>28</v>
      </c>
      <c r="M60" t="s">
        <v>85</v>
      </c>
      <c r="N60" t="s">
        <v>42</v>
      </c>
      <c r="O60" t="s">
        <v>101</v>
      </c>
      <c r="P60" t="s">
        <v>44</v>
      </c>
      <c r="Q60" t="s">
        <v>28</v>
      </c>
      <c r="R60" t="s">
        <v>28</v>
      </c>
      <c r="S60" t="s">
        <v>28</v>
      </c>
      <c r="T60" t="s">
        <v>28</v>
      </c>
      <c r="U60" t="s">
        <v>123</v>
      </c>
      <c r="V60">
        <v>2</v>
      </c>
      <c r="W60" s="4"/>
    </row>
    <row r="61" spans="1:24" hidden="1" x14ac:dyDescent="0.25">
      <c r="A61" t="s">
        <v>39</v>
      </c>
      <c r="B61" t="s">
        <v>172</v>
      </c>
      <c r="C61">
        <v>33399</v>
      </c>
      <c r="D61" t="s">
        <v>173</v>
      </c>
      <c r="E61" t="s">
        <v>24</v>
      </c>
      <c r="F61" t="s">
        <v>25</v>
      </c>
      <c r="G61" t="s">
        <v>26</v>
      </c>
      <c r="H61" t="s">
        <v>27</v>
      </c>
      <c r="I61" t="s">
        <v>27</v>
      </c>
      <c r="J61" s="1">
        <v>37065.584027777775</v>
      </c>
      <c r="K61" s="1">
        <v>38344.534722222219</v>
      </c>
      <c r="L61" t="s">
        <v>28</v>
      </c>
      <c r="M61" t="s">
        <v>85</v>
      </c>
      <c r="N61" t="s">
        <v>42</v>
      </c>
      <c r="O61" t="s">
        <v>43</v>
      </c>
      <c r="P61" t="s">
        <v>101</v>
      </c>
      <c r="Q61" t="s">
        <v>44</v>
      </c>
      <c r="R61" t="s">
        <v>28</v>
      </c>
      <c r="S61" t="s">
        <v>28</v>
      </c>
      <c r="T61" t="s">
        <v>28</v>
      </c>
      <c r="U61" t="s">
        <v>174</v>
      </c>
      <c r="V61">
        <v>4</v>
      </c>
      <c r="W61" s="4"/>
    </row>
    <row r="62" spans="1:24" hidden="1" x14ac:dyDescent="0.25">
      <c r="A62" t="s">
        <v>39</v>
      </c>
      <c r="B62" t="s">
        <v>175</v>
      </c>
      <c r="C62">
        <v>33397</v>
      </c>
      <c r="D62" t="s">
        <v>176</v>
      </c>
      <c r="E62" t="s">
        <v>24</v>
      </c>
      <c r="F62" t="s">
        <v>25</v>
      </c>
      <c r="G62" t="s">
        <v>26</v>
      </c>
      <c r="H62" t="s">
        <v>27</v>
      </c>
      <c r="I62" t="s">
        <v>27</v>
      </c>
      <c r="J62" s="1">
        <v>37065.584027777775</v>
      </c>
      <c r="K62" s="1">
        <v>47810.519444444442</v>
      </c>
      <c r="L62" t="s">
        <v>28</v>
      </c>
      <c r="M62" t="s">
        <v>85</v>
      </c>
      <c r="N62" t="s">
        <v>42</v>
      </c>
      <c r="O62" t="s">
        <v>43</v>
      </c>
      <c r="P62" t="s">
        <v>101</v>
      </c>
      <c r="Q62" t="s">
        <v>44</v>
      </c>
      <c r="R62" t="s">
        <v>126</v>
      </c>
      <c r="S62" t="s">
        <v>28</v>
      </c>
      <c r="T62" t="s">
        <v>28</v>
      </c>
      <c r="U62" t="s">
        <v>45</v>
      </c>
      <c r="V62">
        <v>1</v>
      </c>
      <c r="W62" s="4"/>
    </row>
    <row r="63" spans="1:24" hidden="1" x14ac:dyDescent="0.25">
      <c r="A63" t="s">
        <v>39</v>
      </c>
      <c r="B63" t="s">
        <v>177</v>
      </c>
      <c r="C63">
        <v>33396</v>
      </c>
      <c r="D63" t="s">
        <v>178</v>
      </c>
      <c r="E63" t="s">
        <v>24</v>
      </c>
      <c r="F63" t="s">
        <v>25</v>
      </c>
      <c r="G63" t="s">
        <v>26</v>
      </c>
      <c r="H63" t="s">
        <v>27</v>
      </c>
      <c r="I63" t="s">
        <v>27</v>
      </c>
      <c r="J63" s="1">
        <v>37065.584027777775</v>
      </c>
      <c r="K63" s="1">
        <v>47810.595138888886</v>
      </c>
      <c r="L63" t="s">
        <v>28</v>
      </c>
      <c r="M63" t="s">
        <v>85</v>
      </c>
      <c r="N63" t="s">
        <v>42</v>
      </c>
      <c r="O63" t="s">
        <v>101</v>
      </c>
      <c r="P63" t="s">
        <v>44</v>
      </c>
      <c r="Q63" t="s">
        <v>126</v>
      </c>
      <c r="R63" t="s">
        <v>151</v>
      </c>
      <c r="S63" t="s">
        <v>28</v>
      </c>
      <c r="T63" t="s">
        <v>28</v>
      </c>
      <c r="U63" t="s">
        <v>45</v>
      </c>
      <c r="V63">
        <v>1</v>
      </c>
      <c r="W63" s="4"/>
    </row>
    <row r="64" spans="1:24" hidden="1" x14ac:dyDescent="0.25">
      <c r="A64" t="s">
        <v>39</v>
      </c>
      <c r="B64" t="s">
        <v>179</v>
      </c>
      <c r="C64">
        <v>33394</v>
      </c>
      <c r="D64" t="s">
        <v>180</v>
      </c>
      <c r="E64" t="s">
        <v>24</v>
      </c>
      <c r="F64" t="s">
        <v>25</v>
      </c>
      <c r="G64" t="s">
        <v>145</v>
      </c>
      <c r="H64" t="s">
        <v>27</v>
      </c>
      <c r="I64" t="s">
        <v>27</v>
      </c>
      <c r="J64" s="1">
        <v>37065.584027777775</v>
      </c>
      <c r="K64" s="1">
        <v>47810.519444444442</v>
      </c>
      <c r="L64" t="s">
        <v>28</v>
      </c>
      <c r="M64" t="s">
        <v>120</v>
      </c>
      <c r="N64" t="s">
        <v>85</v>
      </c>
      <c r="O64" t="s">
        <v>42</v>
      </c>
      <c r="P64" t="s">
        <v>101</v>
      </c>
      <c r="Q64" t="s">
        <v>44</v>
      </c>
      <c r="R64" t="s">
        <v>126</v>
      </c>
      <c r="S64" t="s">
        <v>151</v>
      </c>
      <c r="T64" t="s">
        <v>28</v>
      </c>
      <c r="U64" t="s">
        <v>45</v>
      </c>
      <c r="V64">
        <v>1</v>
      </c>
    </row>
    <row r="65" spans="1:24" x14ac:dyDescent="0.25">
      <c r="A65" t="s">
        <v>39</v>
      </c>
      <c r="B65" t="s">
        <v>181</v>
      </c>
      <c r="C65">
        <v>33390</v>
      </c>
      <c r="D65" t="s">
        <v>80</v>
      </c>
      <c r="E65" t="s">
        <v>68</v>
      </c>
      <c r="F65" t="s">
        <v>69</v>
      </c>
      <c r="G65" t="s">
        <v>116</v>
      </c>
      <c r="H65" t="s">
        <v>27</v>
      </c>
      <c r="I65" t="s">
        <v>27</v>
      </c>
      <c r="J65" s="1">
        <v>37065.584027777775</v>
      </c>
      <c r="K65" s="1">
        <v>47810.572222222225</v>
      </c>
      <c r="L65" t="s">
        <v>28</v>
      </c>
      <c r="M65" t="s">
        <v>154</v>
      </c>
      <c r="N65" t="s">
        <v>85</v>
      </c>
      <c r="O65" t="s">
        <v>101</v>
      </c>
      <c r="P65" t="s">
        <v>44</v>
      </c>
      <c r="Q65" s="2" t="s">
        <v>148</v>
      </c>
      <c r="R65" t="s">
        <v>151</v>
      </c>
      <c r="S65" t="s">
        <v>28</v>
      </c>
      <c r="T65" t="s">
        <v>28</v>
      </c>
      <c r="U65" t="s">
        <v>163</v>
      </c>
      <c r="V65">
        <v>8</v>
      </c>
      <c r="W65" s="4"/>
      <c r="X65">
        <v>8</v>
      </c>
    </row>
    <row r="66" spans="1:24" hidden="1" x14ac:dyDescent="0.25">
      <c r="A66" t="s">
        <v>39</v>
      </c>
      <c r="B66" t="s">
        <v>182</v>
      </c>
      <c r="C66">
        <v>33385</v>
      </c>
      <c r="D66" t="s">
        <v>183</v>
      </c>
      <c r="E66" t="s">
        <v>24</v>
      </c>
      <c r="F66" t="s">
        <v>25</v>
      </c>
      <c r="G66" t="s">
        <v>26</v>
      </c>
      <c r="H66" t="s">
        <v>27</v>
      </c>
      <c r="I66" t="s">
        <v>27</v>
      </c>
      <c r="J66" s="1">
        <v>37065.584027777775</v>
      </c>
      <c r="K66" s="1">
        <v>47810.524305555555</v>
      </c>
      <c r="L66" t="s">
        <v>28</v>
      </c>
      <c r="M66" t="s">
        <v>85</v>
      </c>
      <c r="N66" t="s">
        <v>42</v>
      </c>
      <c r="O66" t="s">
        <v>43</v>
      </c>
      <c r="P66" t="s">
        <v>101</v>
      </c>
      <c r="Q66" t="s">
        <v>44</v>
      </c>
      <c r="R66" t="s">
        <v>28</v>
      </c>
      <c r="S66" t="s">
        <v>28</v>
      </c>
      <c r="T66" t="s">
        <v>28</v>
      </c>
      <c r="U66" t="s">
        <v>45</v>
      </c>
      <c r="V66">
        <v>1</v>
      </c>
      <c r="W66" s="4"/>
    </row>
    <row r="67" spans="1:24" hidden="1" x14ac:dyDescent="0.25">
      <c r="A67" t="s">
        <v>39</v>
      </c>
      <c r="B67" t="s">
        <v>184</v>
      </c>
      <c r="C67">
        <v>33378</v>
      </c>
      <c r="D67" t="s">
        <v>185</v>
      </c>
      <c r="E67" t="s">
        <v>24</v>
      </c>
      <c r="F67" t="s">
        <v>25</v>
      </c>
      <c r="G67" t="s">
        <v>145</v>
      </c>
      <c r="H67" t="s">
        <v>27</v>
      </c>
      <c r="I67" t="s">
        <v>27</v>
      </c>
      <c r="J67" s="1">
        <v>37065.584027777775</v>
      </c>
      <c r="K67" s="1">
        <v>38344.534722222219</v>
      </c>
      <c r="L67" t="s">
        <v>28</v>
      </c>
      <c r="M67" t="s">
        <v>85</v>
      </c>
      <c r="N67" t="s">
        <v>42</v>
      </c>
      <c r="O67" t="s">
        <v>101</v>
      </c>
      <c r="P67" t="s">
        <v>44</v>
      </c>
      <c r="Q67" t="s">
        <v>28</v>
      </c>
      <c r="R67" t="s">
        <v>28</v>
      </c>
      <c r="S67" t="s">
        <v>28</v>
      </c>
      <c r="T67" t="s">
        <v>28</v>
      </c>
      <c r="U67" t="s">
        <v>155</v>
      </c>
      <c r="V67">
        <v>3</v>
      </c>
      <c r="W67" s="4"/>
    </row>
    <row r="68" spans="1:24" hidden="1" x14ac:dyDescent="0.25">
      <c r="A68" t="s">
        <v>39</v>
      </c>
      <c r="B68" t="s">
        <v>186</v>
      </c>
      <c r="C68">
        <v>33376</v>
      </c>
      <c r="D68" t="s">
        <v>187</v>
      </c>
      <c r="E68" t="s">
        <v>28</v>
      </c>
      <c r="F68" t="s">
        <v>28</v>
      </c>
      <c r="G68" t="s">
        <v>26</v>
      </c>
      <c r="H68" t="s">
        <v>27</v>
      </c>
      <c r="I68" t="s">
        <v>27</v>
      </c>
      <c r="J68" s="1">
        <v>37065.584027777775</v>
      </c>
      <c r="K68" s="1">
        <v>47810.517361111109</v>
      </c>
      <c r="L68" t="s">
        <v>28</v>
      </c>
      <c r="M68" t="s">
        <v>42</v>
      </c>
      <c r="N68" t="s">
        <v>43</v>
      </c>
      <c r="O68" t="s">
        <v>28</v>
      </c>
      <c r="P68" t="s">
        <v>28</v>
      </c>
      <c r="Q68" t="s">
        <v>28</v>
      </c>
      <c r="R68" t="s">
        <v>28</v>
      </c>
      <c r="S68" t="s">
        <v>28</v>
      </c>
      <c r="T68" t="s">
        <v>28</v>
      </c>
      <c r="U68" t="s">
        <v>45</v>
      </c>
      <c r="V68">
        <v>1</v>
      </c>
    </row>
    <row r="69" spans="1:24" hidden="1" x14ac:dyDescent="0.25">
      <c r="A69" t="s">
        <v>39</v>
      </c>
      <c r="B69" t="s">
        <v>188</v>
      </c>
      <c r="C69">
        <v>33372</v>
      </c>
      <c r="D69" t="s">
        <v>189</v>
      </c>
      <c r="E69" t="s">
        <v>24</v>
      </c>
      <c r="F69" t="s">
        <v>25</v>
      </c>
      <c r="G69" t="s">
        <v>26</v>
      </c>
      <c r="H69" t="s">
        <v>27</v>
      </c>
      <c r="I69" t="s">
        <v>27</v>
      </c>
      <c r="J69" s="1">
        <v>37065.584027777775</v>
      </c>
      <c r="K69" s="1">
        <v>47810.524305555555</v>
      </c>
      <c r="L69" t="s">
        <v>28</v>
      </c>
      <c r="M69" t="s">
        <v>85</v>
      </c>
      <c r="N69" t="s">
        <v>42</v>
      </c>
      <c r="O69" t="s">
        <v>43</v>
      </c>
      <c r="P69" t="s">
        <v>101</v>
      </c>
      <c r="Q69" t="s">
        <v>44</v>
      </c>
      <c r="R69" t="s">
        <v>126</v>
      </c>
      <c r="S69" t="s">
        <v>28</v>
      </c>
      <c r="T69" t="s">
        <v>28</v>
      </c>
      <c r="U69" t="s">
        <v>45</v>
      </c>
      <c r="V69">
        <v>1</v>
      </c>
      <c r="W69" s="4"/>
    </row>
    <row r="70" spans="1:24" x14ac:dyDescent="0.25">
      <c r="A70" t="s">
        <v>39</v>
      </c>
      <c r="B70" t="s">
        <v>190</v>
      </c>
      <c r="C70">
        <v>33366</v>
      </c>
      <c r="D70" t="s">
        <v>191</v>
      </c>
      <c r="E70" t="s">
        <v>68</v>
      </c>
      <c r="F70" t="s">
        <v>69</v>
      </c>
      <c r="G70" t="s">
        <v>116</v>
      </c>
      <c r="H70" t="s">
        <v>27</v>
      </c>
      <c r="I70" t="s">
        <v>27</v>
      </c>
      <c r="J70" s="1">
        <v>37065.583333333336</v>
      </c>
      <c r="K70" s="1">
        <v>38344.615972222222</v>
      </c>
      <c r="L70" t="s">
        <v>28</v>
      </c>
      <c r="M70" t="s">
        <v>154</v>
      </c>
      <c r="N70" t="s">
        <v>85</v>
      </c>
      <c r="O70" t="s">
        <v>101</v>
      </c>
      <c r="P70" t="s">
        <v>44</v>
      </c>
      <c r="Q70" s="2" t="s">
        <v>148</v>
      </c>
      <c r="R70" t="s">
        <v>126</v>
      </c>
      <c r="S70" s="2" t="s">
        <v>117</v>
      </c>
      <c r="T70" t="s">
        <v>129</v>
      </c>
      <c r="U70" t="s">
        <v>155</v>
      </c>
      <c r="V70">
        <v>3</v>
      </c>
      <c r="W70" s="4">
        <v>3</v>
      </c>
      <c r="X70">
        <v>3</v>
      </c>
    </row>
    <row r="71" spans="1:24" hidden="1" x14ac:dyDescent="0.25">
      <c r="A71" t="s">
        <v>39</v>
      </c>
      <c r="B71" t="s">
        <v>192</v>
      </c>
      <c r="C71">
        <v>33362</v>
      </c>
      <c r="D71" t="s">
        <v>193</v>
      </c>
      <c r="E71" t="s">
        <v>24</v>
      </c>
      <c r="F71" t="s">
        <v>25</v>
      </c>
      <c r="G71" t="s">
        <v>26</v>
      </c>
      <c r="H71" t="s">
        <v>27</v>
      </c>
      <c r="I71" t="s">
        <v>27</v>
      </c>
      <c r="J71" s="1">
        <v>37065.583333333336</v>
      </c>
      <c r="K71" s="1">
        <v>47810.520138888889</v>
      </c>
      <c r="L71" t="s">
        <v>28</v>
      </c>
      <c r="M71" t="s">
        <v>85</v>
      </c>
      <c r="N71" t="s">
        <v>42</v>
      </c>
      <c r="O71" t="s">
        <v>43</v>
      </c>
      <c r="P71" t="s">
        <v>101</v>
      </c>
      <c r="Q71" t="s">
        <v>44</v>
      </c>
      <c r="R71" t="s">
        <v>126</v>
      </c>
      <c r="S71" t="s">
        <v>28</v>
      </c>
      <c r="T71" t="s">
        <v>28</v>
      </c>
      <c r="U71" t="s">
        <v>45</v>
      </c>
      <c r="V71">
        <v>1</v>
      </c>
      <c r="W71" s="4"/>
    </row>
    <row r="72" spans="1:24" hidden="1" x14ac:dyDescent="0.25">
      <c r="A72" t="s">
        <v>39</v>
      </c>
      <c r="B72" t="s">
        <v>194</v>
      </c>
      <c r="C72">
        <v>33360</v>
      </c>
      <c r="D72" t="s">
        <v>195</v>
      </c>
      <c r="E72" t="s">
        <v>31</v>
      </c>
      <c r="F72" t="s">
        <v>32</v>
      </c>
      <c r="G72" t="s">
        <v>26</v>
      </c>
      <c r="H72" t="s">
        <v>27</v>
      </c>
      <c r="I72" t="s">
        <v>27</v>
      </c>
      <c r="J72" s="1">
        <v>37065.583333333336</v>
      </c>
      <c r="K72" s="1">
        <v>44523.57916666667</v>
      </c>
      <c r="L72" t="s">
        <v>28</v>
      </c>
      <c r="M72" t="s">
        <v>85</v>
      </c>
      <c r="N72" t="s">
        <v>43</v>
      </c>
      <c r="O72" t="s">
        <v>101</v>
      </c>
      <c r="P72" t="s">
        <v>44</v>
      </c>
      <c r="Q72" t="s">
        <v>28</v>
      </c>
      <c r="R72" t="s">
        <v>28</v>
      </c>
      <c r="S72" t="s">
        <v>28</v>
      </c>
      <c r="T72" t="s">
        <v>28</v>
      </c>
      <c r="U72" t="s">
        <v>155</v>
      </c>
      <c r="V72">
        <v>3</v>
      </c>
      <c r="W72" s="4"/>
    </row>
    <row r="73" spans="1:24" hidden="1" x14ac:dyDescent="0.25">
      <c r="A73" t="s">
        <v>39</v>
      </c>
      <c r="B73" t="s">
        <v>196</v>
      </c>
      <c r="C73">
        <v>33359</v>
      </c>
      <c r="D73" t="s">
        <v>197</v>
      </c>
      <c r="E73" t="s">
        <v>68</v>
      </c>
      <c r="F73" t="s">
        <v>69</v>
      </c>
      <c r="G73" t="s">
        <v>26</v>
      </c>
      <c r="H73" t="s">
        <v>27</v>
      </c>
      <c r="I73" t="s">
        <v>27</v>
      </c>
      <c r="J73" s="1">
        <v>37065.583333333336</v>
      </c>
      <c r="K73" s="1">
        <v>47445.402777777781</v>
      </c>
      <c r="L73" t="s">
        <v>28</v>
      </c>
      <c r="M73" t="s">
        <v>85</v>
      </c>
      <c r="N73" t="s">
        <v>101</v>
      </c>
      <c r="O73" t="s">
        <v>44</v>
      </c>
      <c r="P73" s="2" t="s">
        <v>117</v>
      </c>
      <c r="Q73" t="s">
        <v>28</v>
      </c>
      <c r="R73" t="s">
        <v>28</v>
      </c>
      <c r="S73" t="s">
        <v>28</v>
      </c>
      <c r="T73" t="s">
        <v>28</v>
      </c>
      <c r="U73" t="s">
        <v>45</v>
      </c>
      <c r="V73">
        <v>1</v>
      </c>
      <c r="W73" s="4">
        <v>1</v>
      </c>
    </row>
    <row r="74" spans="1:24" hidden="1" x14ac:dyDescent="0.25">
      <c r="A74" t="s">
        <v>39</v>
      </c>
      <c r="B74" t="s">
        <v>198</v>
      </c>
      <c r="C74">
        <v>33358</v>
      </c>
      <c r="D74" t="s">
        <v>199</v>
      </c>
      <c r="E74" t="s">
        <v>24</v>
      </c>
      <c r="F74" t="s">
        <v>25</v>
      </c>
      <c r="G74" t="s">
        <v>26</v>
      </c>
      <c r="H74" t="s">
        <v>27</v>
      </c>
      <c r="I74" t="s">
        <v>27</v>
      </c>
      <c r="J74" s="1">
        <v>37065.583333333336</v>
      </c>
      <c r="K74" s="1">
        <v>47810.520833333336</v>
      </c>
      <c r="L74" t="s">
        <v>28</v>
      </c>
      <c r="M74" t="s">
        <v>154</v>
      </c>
      <c r="N74" t="s">
        <v>85</v>
      </c>
      <c r="O74" t="s">
        <v>42</v>
      </c>
      <c r="P74" t="s">
        <v>101</v>
      </c>
      <c r="Q74" t="s">
        <v>44</v>
      </c>
      <c r="R74" t="s">
        <v>126</v>
      </c>
      <c r="S74" s="2" t="s">
        <v>117</v>
      </c>
      <c r="T74" t="s">
        <v>28</v>
      </c>
      <c r="U74" t="s">
        <v>123</v>
      </c>
      <c r="V74">
        <v>2</v>
      </c>
      <c r="W74" s="4">
        <v>2</v>
      </c>
    </row>
    <row r="75" spans="1:24" hidden="1" x14ac:dyDescent="0.25">
      <c r="A75" t="s">
        <v>39</v>
      </c>
      <c r="B75" t="s">
        <v>200</v>
      </c>
      <c r="C75">
        <v>33356</v>
      </c>
      <c r="D75" t="s">
        <v>201</v>
      </c>
      <c r="E75" t="s">
        <v>24</v>
      </c>
      <c r="F75" t="s">
        <v>25</v>
      </c>
      <c r="G75" t="s">
        <v>26</v>
      </c>
      <c r="H75" t="s">
        <v>27</v>
      </c>
      <c r="I75" t="s">
        <v>27</v>
      </c>
      <c r="J75" s="1">
        <v>37065.583333333336</v>
      </c>
      <c r="K75" s="1">
        <v>47810.520138888889</v>
      </c>
      <c r="L75" t="s">
        <v>28</v>
      </c>
      <c r="M75" t="s">
        <v>85</v>
      </c>
      <c r="N75" t="s">
        <v>42</v>
      </c>
      <c r="O75" t="s">
        <v>43</v>
      </c>
      <c r="P75" t="s">
        <v>101</v>
      </c>
      <c r="Q75" t="s">
        <v>44</v>
      </c>
      <c r="R75" t="s">
        <v>126</v>
      </c>
      <c r="S75" t="s">
        <v>28</v>
      </c>
      <c r="T75" t="s">
        <v>28</v>
      </c>
      <c r="U75" t="s">
        <v>45</v>
      </c>
      <c r="V75">
        <v>1</v>
      </c>
      <c r="W75" s="4"/>
    </row>
    <row r="76" spans="1:24" hidden="1" x14ac:dyDescent="0.25">
      <c r="A76" t="s">
        <v>39</v>
      </c>
      <c r="B76" t="s">
        <v>202</v>
      </c>
      <c r="C76">
        <v>33355</v>
      </c>
      <c r="D76" t="s">
        <v>203</v>
      </c>
      <c r="E76" t="s">
        <v>24</v>
      </c>
      <c r="F76" t="s">
        <v>25</v>
      </c>
      <c r="G76" t="s">
        <v>26</v>
      </c>
      <c r="H76" t="s">
        <v>27</v>
      </c>
      <c r="I76" t="s">
        <v>27</v>
      </c>
      <c r="J76" s="1">
        <v>37065.583333333336</v>
      </c>
      <c r="K76" s="1">
        <v>47810.523611111108</v>
      </c>
      <c r="L76" t="s">
        <v>28</v>
      </c>
      <c r="M76" t="s">
        <v>85</v>
      </c>
      <c r="N76" t="s">
        <v>42</v>
      </c>
      <c r="O76" t="s">
        <v>101</v>
      </c>
      <c r="P76" t="s">
        <v>44</v>
      </c>
      <c r="Q76" t="s">
        <v>28</v>
      </c>
      <c r="R76" t="s">
        <v>28</v>
      </c>
      <c r="S76" t="s">
        <v>28</v>
      </c>
      <c r="T76" t="s">
        <v>28</v>
      </c>
      <c r="U76" t="s">
        <v>45</v>
      </c>
      <c r="V76">
        <v>1</v>
      </c>
      <c r="W76" s="4"/>
    </row>
    <row r="77" spans="1:24" hidden="1" x14ac:dyDescent="0.25">
      <c r="A77" t="s">
        <v>39</v>
      </c>
      <c r="B77" t="s">
        <v>204</v>
      </c>
      <c r="C77">
        <v>33348</v>
      </c>
      <c r="D77" t="s">
        <v>205</v>
      </c>
      <c r="E77" t="s">
        <v>24</v>
      </c>
      <c r="F77" t="s">
        <v>25</v>
      </c>
      <c r="G77" t="s">
        <v>26</v>
      </c>
      <c r="H77" t="s">
        <v>27</v>
      </c>
      <c r="I77" t="s">
        <v>27</v>
      </c>
      <c r="J77" s="1">
        <v>37065.583333333336</v>
      </c>
      <c r="K77" s="1">
        <v>47810.519444444442</v>
      </c>
      <c r="L77" t="s">
        <v>28</v>
      </c>
      <c r="M77" t="s">
        <v>85</v>
      </c>
      <c r="N77" t="s">
        <v>42</v>
      </c>
      <c r="O77" t="s">
        <v>44</v>
      </c>
      <c r="P77" t="s">
        <v>126</v>
      </c>
      <c r="Q77" s="2" t="s">
        <v>117</v>
      </c>
      <c r="R77" t="s">
        <v>28</v>
      </c>
      <c r="S77" t="s">
        <v>28</v>
      </c>
      <c r="T77" t="s">
        <v>28</v>
      </c>
      <c r="U77" t="s">
        <v>45</v>
      </c>
      <c r="V77">
        <v>1</v>
      </c>
      <c r="W77" s="4">
        <v>1</v>
      </c>
    </row>
    <row r="78" spans="1:24" hidden="1" x14ac:dyDescent="0.25">
      <c r="A78" t="s">
        <v>39</v>
      </c>
      <c r="B78" t="s">
        <v>206</v>
      </c>
      <c r="C78">
        <v>33333</v>
      </c>
      <c r="D78" t="s">
        <v>207</v>
      </c>
      <c r="E78" t="s">
        <v>58</v>
      </c>
      <c r="F78" t="s">
        <v>59</v>
      </c>
      <c r="G78" t="s">
        <v>26</v>
      </c>
      <c r="H78" t="s">
        <v>27</v>
      </c>
      <c r="I78" t="s">
        <v>27</v>
      </c>
      <c r="J78" s="1">
        <v>37065.583333333336</v>
      </c>
      <c r="K78" s="1">
        <v>47810.520833333336</v>
      </c>
      <c r="L78" t="s">
        <v>28</v>
      </c>
      <c r="M78" t="s">
        <v>85</v>
      </c>
      <c r="N78" t="s">
        <v>42</v>
      </c>
      <c r="O78" t="s">
        <v>101</v>
      </c>
      <c r="P78" t="s">
        <v>44</v>
      </c>
      <c r="Q78" t="s">
        <v>151</v>
      </c>
      <c r="R78" t="s">
        <v>28</v>
      </c>
      <c r="S78" t="s">
        <v>28</v>
      </c>
      <c r="T78" t="s">
        <v>28</v>
      </c>
      <c r="U78" t="s">
        <v>155</v>
      </c>
      <c r="V78">
        <v>3</v>
      </c>
      <c r="W78" s="4"/>
    </row>
    <row r="79" spans="1:24" hidden="1" x14ac:dyDescent="0.25">
      <c r="A79" t="s">
        <v>39</v>
      </c>
      <c r="B79" t="s">
        <v>208</v>
      </c>
      <c r="C79">
        <v>33327</v>
      </c>
      <c r="D79" t="s">
        <v>209</v>
      </c>
      <c r="E79" t="s">
        <v>24</v>
      </c>
      <c r="F79" t="s">
        <v>25</v>
      </c>
      <c r="G79" t="s">
        <v>26</v>
      </c>
      <c r="H79" t="s">
        <v>27</v>
      </c>
      <c r="I79" t="s">
        <v>27</v>
      </c>
      <c r="J79" s="1">
        <v>37065.583333333336</v>
      </c>
      <c r="K79" s="1">
        <v>47810.520138888889</v>
      </c>
      <c r="L79" t="s">
        <v>28</v>
      </c>
      <c r="M79" t="s">
        <v>85</v>
      </c>
      <c r="N79" t="s">
        <v>42</v>
      </c>
      <c r="O79" t="s">
        <v>43</v>
      </c>
      <c r="P79" t="s">
        <v>101</v>
      </c>
      <c r="Q79" t="s">
        <v>44</v>
      </c>
      <c r="R79" t="s">
        <v>28</v>
      </c>
      <c r="S79" t="s">
        <v>28</v>
      </c>
      <c r="T79" t="s">
        <v>28</v>
      </c>
      <c r="U79" t="s">
        <v>45</v>
      </c>
      <c r="V79">
        <v>1</v>
      </c>
      <c r="W79" s="4"/>
    </row>
    <row r="80" spans="1:24" hidden="1" x14ac:dyDescent="0.25">
      <c r="A80" t="s">
        <v>39</v>
      </c>
      <c r="B80" t="s">
        <v>210</v>
      </c>
      <c r="C80">
        <v>33324</v>
      </c>
      <c r="D80" t="s">
        <v>211</v>
      </c>
      <c r="E80" t="s">
        <v>24</v>
      </c>
      <c r="F80" t="s">
        <v>25</v>
      </c>
      <c r="G80" t="s">
        <v>26</v>
      </c>
      <c r="H80" t="s">
        <v>27</v>
      </c>
      <c r="I80" t="s">
        <v>27</v>
      </c>
      <c r="J80" s="1">
        <v>37065.583333333336</v>
      </c>
      <c r="K80" s="1">
        <v>47810.519444444442</v>
      </c>
      <c r="L80" t="s">
        <v>28</v>
      </c>
      <c r="M80" t="s">
        <v>85</v>
      </c>
      <c r="N80" t="s">
        <v>42</v>
      </c>
      <c r="O80" t="s">
        <v>101</v>
      </c>
      <c r="P80" t="s">
        <v>44</v>
      </c>
      <c r="Q80" t="s">
        <v>126</v>
      </c>
      <c r="R80" t="s">
        <v>28</v>
      </c>
      <c r="S80" t="s">
        <v>28</v>
      </c>
      <c r="T80" t="s">
        <v>28</v>
      </c>
      <c r="U80" t="s">
        <v>45</v>
      </c>
      <c r="V80">
        <v>1</v>
      </c>
      <c r="W80" s="4"/>
    </row>
    <row r="81" spans="1:24" hidden="1" x14ac:dyDescent="0.25">
      <c r="A81" t="s">
        <v>39</v>
      </c>
      <c r="B81" t="s">
        <v>212</v>
      </c>
      <c r="C81">
        <v>33323</v>
      </c>
      <c r="D81" t="s">
        <v>213</v>
      </c>
      <c r="E81" t="s">
        <v>24</v>
      </c>
      <c r="F81" t="s">
        <v>25</v>
      </c>
      <c r="G81" t="s">
        <v>145</v>
      </c>
      <c r="H81" t="s">
        <v>27</v>
      </c>
      <c r="I81" t="s">
        <v>27</v>
      </c>
      <c r="J81" s="1">
        <v>37065.583333333336</v>
      </c>
      <c r="K81" s="1">
        <v>38344.53402777778</v>
      </c>
      <c r="L81" t="s">
        <v>28</v>
      </c>
      <c r="M81" t="s">
        <v>85</v>
      </c>
      <c r="N81" t="s">
        <v>42</v>
      </c>
      <c r="O81" t="s">
        <v>101</v>
      </c>
      <c r="P81" t="s">
        <v>44</v>
      </c>
      <c r="Q81" t="s">
        <v>126</v>
      </c>
      <c r="R81" t="s">
        <v>28</v>
      </c>
      <c r="S81" t="s">
        <v>28</v>
      </c>
      <c r="T81" t="s">
        <v>28</v>
      </c>
      <c r="U81" t="s">
        <v>214</v>
      </c>
      <c r="V81">
        <v>5</v>
      </c>
      <c r="W81" s="4"/>
    </row>
    <row r="82" spans="1:24" hidden="1" x14ac:dyDescent="0.25">
      <c r="A82" t="s">
        <v>39</v>
      </c>
      <c r="B82" t="s">
        <v>215</v>
      </c>
      <c r="C82">
        <v>33314</v>
      </c>
      <c r="D82" t="s">
        <v>216</v>
      </c>
      <c r="E82" t="s">
        <v>68</v>
      </c>
      <c r="F82" t="s">
        <v>69</v>
      </c>
      <c r="G82" t="s">
        <v>26</v>
      </c>
      <c r="H82" t="s">
        <v>27</v>
      </c>
      <c r="I82" t="s">
        <v>27</v>
      </c>
      <c r="J82" s="1">
        <v>37065.583333333336</v>
      </c>
      <c r="K82" s="1">
        <v>47810.517361111109</v>
      </c>
      <c r="L82" t="s">
        <v>28</v>
      </c>
      <c r="M82" t="s">
        <v>85</v>
      </c>
      <c r="N82" t="s">
        <v>42</v>
      </c>
      <c r="O82" t="s">
        <v>101</v>
      </c>
      <c r="P82" t="s">
        <v>44</v>
      </c>
      <c r="Q82" t="s">
        <v>28</v>
      </c>
      <c r="R82" t="s">
        <v>28</v>
      </c>
      <c r="S82" t="s">
        <v>28</v>
      </c>
      <c r="T82" t="s">
        <v>28</v>
      </c>
      <c r="U82" t="s">
        <v>123</v>
      </c>
      <c r="V82">
        <v>2</v>
      </c>
      <c r="W82" s="4"/>
    </row>
    <row r="83" spans="1:24" x14ac:dyDescent="0.25">
      <c r="A83" t="s">
        <v>39</v>
      </c>
      <c r="B83" t="s">
        <v>217</v>
      </c>
      <c r="C83">
        <v>33307</v>
      </c>
      <c r="D83" t="s">
        <v>218</v>
      </c>
      <c r="E83" t="s">
        <v>24</v>
      </c>
      <c r="F83" t="s">
        <v>25</v>
      </c>
      <c r="G83" t="s">
        <v>160</v>
      </c>
      <c r="H83" t="s">
        <v>27</v>
      </c>
      <c r="I83" t="s">
        <v>27</v>
      </c>
      <c r="J83" s="1">
        <v>37065.583333333336</v>
      </c>
      <c r="K83" s="1">
        <v>38344.631944444445</v>
      </c>
      <c r="L83" t="s">
        <v>28</v>
      </c>
      <c r="M83" t="s">
        <v>120</v>
      </c>
      <c r="N83" t="s">
        <v>85</v>
      </c>
      <c r="O83" t="s">
        <v>101</v>
      </c>
      <c r="P83" t="s">
        <v>44</v>
      </c>
      <c r="Q83" t="s">
        <v>126</v>
      </c>
      <c r="R83" t="s">
        <v>129</v>
      </c>
      <c r="S83" s="2" t="s">
        <v>148</v>
      </c>
      <c r="T83" t="s">
        <v>28</v>
      </c>
      <c r="U83" t="s">
        <v>123</v>
      </c>
      <c r="V83">
        <v>2</v>
      </c>
      <c r="W83" s="4"/>
      <c r="X83">
        <v>2</v>
      </c>
    </row>
    <row r="84" spans="1:24" hidden="1" x14ac:dyDescent="0.25">
      <c r="A84" t="s">
        <v>39</v>
      </c>
      <c r="B84" t="s">
        <v>219</v>
      </c>
      <c r="C84">
        <v>33305</v>
      </c>
      <c r="D84" t="s">
        <v>220</v>
      </c>
      <c r="E84" t="s">
        <v>28</v>
      </c>
      <c r="F84" t="s">
        <v>28</v>
      </c>
      <c r="G84" t="s">
        <v>26</v>
      </c>
      <c r="H84" t="s">
        <v>27</v>
      </c>
      <c r="I84" t="s">
        <v>27</v>
      </c>
      <c r="J84" s="1">
        <v>37065.583333333336</v>
      </c>
      <c r="K84" s="1">
        <v>47810.520833333336</v>
      </c>
      <c r="L84" t="s">
        <v>28</v>
      </c>
      <c r="M84" t="s">
        <v>85</v>
      </c>
      <c r="N84" t="s">
        <v>42</v>
      </c>
      <c r="O84" t="s">
        <v>101</v>
      </c>
      <c r="P84" t="s">
        <v>44</v>
      </c>
      <c r="Q84" t="s">
        <v>151</v>
      </c>
      <c r="R84" t="s">
        <v>28</v>
      </c>
      <c r="S84" t="s">
        <v>28</v>
      </c>
      <c r="T84" t="s">
        <v>28</v>
      </c>
      <c r="U84" t="s">
        <v>136</v>
      </c>
    </row>
    <row r="85" spans="1:24" x14ac:dyDescent="0.25">
      <c r="J85" s="1"/>
      <c r="K85" s="1"/>
      <c r="V85">
        <f>SUM(V7:V84)</f>
        <v>77</v>
      </c>
      <c r="W85" s="4">
        <f>SUM(W7:W84)</f>
        <v>11</v>
      </c>
      <c r="X85">
        <f>SUM(X7:X84)</f>
        <v>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2C56-EA18-4305-8AB6-01F5782384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C6CBDC-26BE-44D8-8A7B-90F385E59D1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F56949B-0C39-4151-B9A8-FD144B73A36D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1ffbd5dc-7a64-4097-8396-87f6c90b212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5B0B777-0387-4B54-9022-0709152B3B0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4C326B4-C652-483B-A064-5AAF4D6E83D2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6B2A7A22-C395-4E4F-84C5-AD128B6707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SB_Sprint 4 User Stories &amp; Bugs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Barrett</dc:creator>
  <cp:lastModifiedBy>Nikki Papenfus</cp:lastModifiedBy>
  <dcterms:created xsi:type="dcterms:W3CDTF">2023-12-04T13:38:52Z</dcterms:created>
  <dcterms:modified xsi:type="dcterms:W3CDTF">2023-12-04T15:41:25Z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