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alesforce - End of Tenancy/4. Development/"/>
    </mc:Choice>
  </mc:AlternateContent>
  <xr:revisionPtr revIDLastSave="0" documentId="8_{7E0216AA-EED4-EA47-AC9A-91F3A595FA1E}" xr6:coauthVersionLast="47" xr6:coauthVersionMax="47" xr10:uidLastSave="{00000000-0000-0000-0000-000000000000}"/>
  <bookViews>
    <workbookView xWindow="40" yWindow="1500" windowWidth="38400" windowHeight="21100" activeTab="1" xr2:uid="{00000000-000D-0000-FFFF-FFFF00000000}"/>
  </bookViews>
  <sheets>
    <sheet name="Predecessor Report Sam &amp; Anjali" sheetId="1" r:id="rId1"/>
    <sheet name="Test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2" l="1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6" i="2"/>
  <c r="J6" i="2" s="1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6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8" i="2"/>
  <c r="E7" i="2"/>
  <c r="E6" i="2"/>
  <c r="F8" i="2"/>
  <c r="D8" i="2"/>
  <c r="F6" i="2"/>
  <c r="D7" i="2"/>
  <c r="D6" i="2"/>
</calcChain>
</file>

<file path=xl/sharedStrings.xml><?xml version="1.0" encoding="utf-8"?>
<sst xmlns="http://schemas.openxmlformats.org/spreadsheetml/2006/main" count="211" uniqueCount="69">
  <si>
    <t>Predecessor Report Sam &amp; Anjali</t>
  </si>
  <si>
    <t>As of 2023-11-02 09:52:05 Greenwich Mean Time/GMT • Generated by Open box</t>
  </si>
  <si>
    <t>Filtered By</t>
  </si>
  <si>
    <t>Show: All end of tenancy tasks</t>
  </si>
  <si>
    <t>End Of Tenancy: End Of Tenancy Number equals EoT-00066</t>
  </si>
  <si>
    <t>End Of Tenancy Phase: Sequence  ↑</t>
  </si>
  <si>
    <t>End Of Tenancy Phase: End Of Tenancy Phase Name  ↑</t>
  </si>
  <si>
    <t>End Of Tenancy Task Name  ↑</t>
  </si>
  <si>
    <t>Start Date</t>
  </si>
  <si>
    <t>Start Date Type</t>
  </si>
  <si>
    <t>Actual End Date</t>
  </si>
  <si>
    <t>Target End Date</t>
  </si>
  <si>
    <t>Predecessor: End Of Tenancy Task Name</t>
  </si>
  <si>
    <t>Predecessor: Actual End Date</t>
  </si>
  <si>
    <t>Predecessor: Target End Date</t>
  </si>
  <si>
    <t>Receive Notice</t>
  </si>
  <si>
    <t>Confirm Notice</t>
  </si>
  <si>
    <t>24/10/2023</t>
  </si>
  <si>
    <t>End of Tenancy Start Date</t>
  </si>
  <si>
    <t>25/10/2023</t>
  </si>
  <si>
    <t/>
  </si>
  <si>
    <t>Validate Notice</t>
  </si>
  <si>
    <t>Notify Stakeholders</t>
  </si>
  <si>
    <t>Amend Direct Debit</t>
  </si>
  <si>
    <t>Predecessor Task</t>
  </si>
  <si>
    <t>26/10/2023</t>
  </si>
  <si>
    <t>Check Compliance</t>
  </si>
  <si>
    <t>31/10/2023</t>
  </si>
  <si>
    <t>Set Rent</t>
  </si>
  <si>
    <t>27/10/2023</t>
  </si>
  <si>
    <t>PVI</t>
  </si>
  <si>
    <t>05/11/2023</t>
  </si>
  <si>
    <t>PVI Date</t>
  </si>
  <si>
    <t>06/11/2023</t>
  </si>
  <si>
    <t>Book Works</t>
  </si>
  <si>
    <t>Approve Capex</t>
  </si>
  <si>
    <t>28/10/2023</t>
  </si>
  <si>
    <t>Move Out</t>
  </si>
  <si>
    <t>Cancel Direct Debit</t>
  </si>
  <si>
    <t>02/01/2024</t>
  </si>
  <si>
    <t>04/01/2024</t>
  </si>
  <si>
    <t>Check Out</t>
  </si>
  <si>
    <t>01/01/2024</t>
  </si>
  <si>
    <t>Future Vacant Date</t>
  </si>
  <si>
    <t>Check Unit Condition</t>
  </si>
  <si>
    <t>Refurb/Refresh</t>
  </si>
  <si>
    <t>Clean Unit</t>
  </si>
  <si>
    <t>05/01/2024</t>
  </si>
  <si>
    <t>Finalize Check Out</t>
  </si>
  <si>
    <t>08/01/2024</t>
  </si>
  <si>
    <t>Refresh</t>
  </si>
  <si>
    <t>Refurb</t>
  </si>
  <si>
    <t>Review Check Out Report</t>
  </si>
  <si>
    <t>07/01/2024</t>
  </si>
  <si>
    <t>Close Tenancy</t>
  </si>
  <si>
    <t>Close Down Tenancy</t>
  </si>
  <si>
    <t>13/01/2024</t>
  </si>
  <si>
    <t>Deposit Release</t>
  </si>
  <si>
    <t>11/01/2024</t>
  </si>
  <si>
    <t>Confidential Information - Do Not Distribute</t>
  </si>
  <si>
    <t>Copyright © 2000-2023 salesforce.com, inc. All rights reserved.</t>
  </si>
  <si>
    <t>EoT Start Date</t>
  </si>
  <si>
    <t>Task Name</t>
  </si>
  <si>
    <t>Expected Start Date</t>
  </si>
  <si>
    <t>Actual</t>
  </si>
  <si>
    <t>Start Date Correct?</t>
  </si>
  <si>
    <t>End Date Correct?</t>
  </si>
  <si>
    <t>Expected Target End Date</t>
  </si>
  <si>
    <t>Actual Target 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</si>
</sst>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sz val="18"/>
      <color rgb="FF56585B"/>
      <name val="Calibri"/>
      <family val="2"/>
    </font>
    <font>
      <sz val="12"/>
      <color rgb="FF56585B"/>
      <name val="Calibri"/>
      <family val="2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</fills>
  <borders count="10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  <border>
      <left/>
      <right/>
      <top style="thin">
        <color rgb="FFD5D3D1"/>
      </top>
      <bottom/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2" fillId="2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3" fillId="3" borderId="0" xfId="0" applyFont="1" applyFill="1"/>
    <xf numFmtId="0" fontId="4" fillId="3" borderId="0" xfId="0" applyFont="1" applyFill="1"/>
    <xf numFmtId="0" fontId="3" fillId="4" borderId="4" xfId="0" applyFont="1" applyFill="1" applyBorder="1"/>
    <xf numFmtId="0" fontId="4" fillId="2" borderId="5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center"/>
    </xf>
    <xf numFmtId="0" fontId="0" fillId="2" borderId="6" xfId="0" applyFill="1" applyBorder="1"/>
    <xf numFmtId="0" fontId="2" fillId="3" borderId="0" xfId="0" applyFont="1" applyFill="1"/>
    <xf numFmtId="0" fontId="2" fillId="3" borderId="7" xfId="0" applyFont="1" applyFill="1" applyBorder="1"/>
    <xf numFmtId="0" fontId="2" fillId="3" borderId="1" xfId="0" applyFont="1" applyFill="1" applyBorder="1"/>
    <xf numFmtId="0" fontId="2" fillId="3" borderId="8" xfId="0" applyFont="1" applyFill="1" applyBorder="1"/>
    <xf numFmtId="0" fontId="2" fillId="3" borderId="9" xfId="0" applyFont="1" applyFill="1" applyBorder="1"/>
    <xf numFmtId="0" fontId="3" fillId="4" borderId="4" xfId="0" applyFont="1" applyFill="1" applyBorder="1"/>
    <xf numFmtId="0" fontId="4" fillId="2" borderId="5" xfId="0" applyFont="1" applyFill="1" applyBorder="1" applyAlignment="1">
      <alignment horizontal="left"/>
    </xf>
    <xf numFmtId="0" fontId="0" fillId="2" borderId="6" xfId="0" applyFill="1" applyBorder="1"/>
    <xf numFmtId="14" fontId="0" fillId="0" borderId="0" xfId="0" applyNumberForma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"/>
  <sheetViews>
    <sheetView workbookViewId="0">
      <selection activeCell="J13" sqref="J13"/>
    </sheetView>
  </sheetViews>
  <sheetFormatPr baseColWidth="10" defaultColWidth="8.83203125" defaultRowHeight="15" x14ac:dyDescent="0.2"/>
  <cols>
    <col min="1" max="1" width="4.33203125" customWidth="1"/>
    <col min="2" max="2" width="35" customWidth="1"/>
    <col min="3" max="3" width="52" customWidth="1"/>
    <col min="4" max="4" width="29" customWidth="1"/>
    <col min="6" max="6" width="12" customWidth="1"/>
    <col min="7" max="7" width="27" customWidth="1"/>
    <col min="8" max="9" width="17" customWidth="1"/>
    <col min="10" max="10" width="39" customWidth="1"/>
    <col min="11" max="12" width="30" customWidth="1"/>
    <col min="13" max="13" width="4.33203125" customWidth="1"/>
  </cols>
  <sheetData>
    <row r="1" spans="1:13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spans="1:13" ht="24" x14ac:dyDescent="0.3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2"/>
    </row>
    <row r="3" spans="1:13" ht="16" x14ac:dyDescent="0.2">
      <c r="A3" s="1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2"/>
    </row>
    <row r="4" spans="1:13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6"/>
    </row>
    <row r="5" spans="1:13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8"/>
    </row>
    <row r="6" spans="1:13" ht="16" x14ac:dyDescent="0.2">
      <c r="A6" s="7"/>
      <c r="B6" s="9" t="s">
        <v>2</v>
      </c>
      <c r="C6" s="9"/>
      <c r="D6" s="9"/>
      <c r="E6" s="9"/>
      <c r="F6" s="9"/>
      <c r="G6" s="9"/>
      <c r="H6" s="9"/>
      <c r="I6" s="9"/>
      <c r="J6" s="9"/>
      <c r="K6" s="9"/>
      <c r="L6" s="9"/>
      <c r="M6" s="8"/>
    </row>
    <row r="7" spans="1:13" ht="16" x14ac:dyDescent="0.2">
      <c r="A7" s="7"/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8"/>
    </row>
    <row r="8" spans="1:13" ht="16" x14ac:dyDescent="0.2">
      <c r="A8" s="7"/>
      <c r="B8" s="10" t="s">
        <v>4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8"/>
    </row>
    <row r="9" spans="1:13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8"/>
    </row>
    <row r="10" spans="1:13" ht="16" x14ac:dyDescent="0.2">
      <c r="A10" s="7"/>
      <c r="B10" s="11" t="s">
        <v>5</v>
      </c>
      <c r="C10" s="11" t="s">
        <v>6</v>
      </c>
      <c r="D10" s="21" t="s">
        <v>7</v>
      </c>
      <c r="E10" s="21"/>
      <c r="F10" s="11" t="s">
        <v>8</v>
      </c>
      <c r="G10" s="11" t="s">
        <v>9</v>
      </c>
      <c r="H10" s="11" t="s">
        <v>10</v>
      </c>
      <c r="I10" s="11" t="s">
        <v>11</v>
      </c>
      <c r="J10" s="11" t="s">
        <v>12</v>
      </c>
      <c r="K10" s="11" t="s">
        <v>13</v>
      </c>
      <c r="L10" s="11" t="s">
        <v>14</v>
      </c>
      <c r="M10" s="8"/>
    </row>
    <row r="11" spans="1:13" ht="16" x14ac:dyDescent="0.2">
      <c r="A11" s="7"/>
      <c r="B11" s="12">
        <v>1</v>
      </c>
      <c r="C11" s="12" t="s">
        <v>15</v>
      </c>
      <c r="D11" s="22" t="s">
        <v>16</v>
      </c>
      <c r="E11" s="22"/>
      <c r="F11" s="13" t="s">
        <v>17</v>
      </c>
      <c r="G11" s="13" t="s">
        <v>18</v>
      </c>
      <c r="H11" s="13" t="s">
        <v>17</v>
      </c>
      <c r="I11" s="13" t="s">
        <v>19</v>
      </c>
      <c r="J11" s="13" t="s">
        <v>20</v>
      </c>
      <c r="K11" s="14"/>
      <c r="L11" s="14"/>
      <c r="M11" s="8"/>
    </row>
    <row r="12" spans="1:13" ht="16" x14ac:dyDescent="0.2">
      <c r="A12" s="7"/>
      <c r="B12" s="15"/>
      <c r="C12" s="15"/>
      <c r="D12" s="22" t="s">
        <v>21</v>
      </c>
      <c r="E12" s="22"/>
      <c r="F12" s="13" t="s">
        <v>17</v>
      </c>
      <c r="G12" s="13" t="s">
        <v>18</v>
      </c>
      <c r="H12" s="13" t="s">
        <v>17</v>
      </c>
      <c r="I12" s="13" t="s">
        <v>19</v>
      </c>
      <c r="J12" s="13" t="s">
        <v>20</v>
      </c>
      <c r="K12" s="14"/>
      <c r="L12" s="14"/>
      <c r="M12" s="8"/>
    </row>
    <row r="13" spans="1:13" ht="16" x14ac:dyDescent="0.2">
      <c r="A13" s="7"/>
      <c r="B13" s="12">
        <v>2</v>
      </c>
      <c r="C13" s="12" t="s">
        <v>22</v>
      </c>
      <c r="D13" s="22" t="s">
        <v>23</v>
      </c>
      <c r="E13" s="22"/>
      <c r="F13" s="13" t="s">
        <v>17</v>
      </c>
      <c r="G13" s="13" t="s">
        <v>24</v>
      </c>
      <c r="H13" s="13" t="s">
        <v>17</v>
      </c>
      <c r="I13" s="13" t="s">
        <v>25</v>
      </c>
      <c r="J13" s="13" t="s">
        <v>16</v>
      </c>
      <c r="K13" s="13" t="s">
        <v>17</v>
      </c>
      <c r="L13" s="13" t="s">
        <v>19</v>
      </c>
      <c r="M13" s="8"/>
    </row>
    <row r="14" spans="1:13" ht="16" x14ac:dyDescent="0.2">
      <c r="A14" s="7"/>
      <c r="B14" s="15"/>
      <c r="C14" s="15"/>
      <c r="D14" s="22" t="s">
        <v>26</v>
      </c>
      <c r="E14" s="22"/>
      <c r="F14" s="13" t="s">
        <v>17</v>
      </c>
      <c r="G14" s="13" t="s">
        <v>24</v>
      </c>
      <c r="H14" s="13" t="s">
        <v>17</v>
      </c>
      <c r="I14" s="13" t="s">
        <v>27</v>
      </c>
      <c r="J14" s="13" t="s">
        <v>16</v>
      </c>
      <c r="K14" s="13" t="s">
        <v>17</v>
      </c>
      <c r="L14" s="13" t="s">
        <v>19</v>
      </c>
      <c r="M14" s="8"/>
    </row>
    <row r="15" spans="1:13" ht="16" x14ac:dyDescent="0.2">
      <c r="A15" s="7"/>
      <c r="B15" s="15"/>
      <c r="C15" s="15"/>
      <c r="D15" s="22" t="s">
        <v>22</v>
      </c>
      <c r="E15" s="22"/>
      <c r="F15" s="13" t="s">
        <v>17</v>
      </c>
      <c r="G15" s="13" t="s">
        <v>24</v>
      </c>
      <c r="H15" s="13" t="s">
        <v>17</v>
      </c>
      <c r="I15" s="13" t="s">
        <v>19</v>
      </c>
      <c r="J15" s="13" t="s">
        <v>16</v>
      </c>
      <c r="K15" s="13" t="s">
        <v>17</v>
      </c>
      <c r="L15" s="13" t="s">
        <v>19</v>
      </c>
      <c r="M15" s="8"/>
    </row>
    <row r="16" spans="1:13" ht="16" x14ac:dyDescent="0.2">
      <c r="A16" s="7"/>
      <c r="B16" s="15"/>
      <c r="C16" s="15"/>
      <c r="D16" s="22" t="s">
        <v>28</v>
      </c>
      <c r="E16" s="22"/>
      <c r="F16" s="13" t="s">
        <v>17</v>
      </c>
      <c r="G16" s="13" t="s">
        <v>24</v>
      </c>
      <c r="H16" s="13" t="s">
        <v>17</v>
      </c>
      <c r="I16" s="13" t="s">
        <v>29</v>
      </c>
      <c r="J16" s="13" t="s">
        <v>16</v>
      </c>
      <c r="K16" s="13" t="s">
        <v>17</v>
      </c>
      <c r="L16" s="13" t="s">
        <v>19</v>
      </c>
      <c r="M16" s="8"/>
    </row>
    <row r="17" spans="1:13" ht="16" x14ac:dyDescent="0.2">
      <c r="A17" s="7"/>
      <c r="B17" s="12">
        <v>3</v>
      </c>
      <c r="C17" s="12" t="s">
        <v>30</v>
      </c>
      <c r="D17" s="22" t="s">
        <v>30</v>
      </c>
      <c r="E17" s="22"/>
      <c r="F17" s="13" t="s">
        <v>31</v>
      </c>
      <c r="G17" s="13" t="s">
        <v>32</v>
      </c>
      <c r="H17" s="13" t="s">
        <v>17</v>
      </c>
      <c r="I17" s="13" t="s">
        <v>33</v>
      </c>
      <c r="J17" s="13" t="s">
        <v>20</v>
      </c>
      <c r="K17" s="14"/>
      <c r="L17" s="14"/>
      <c r="M17" s="8"/>
    </row>
    <row r="18" spans="1:13" ht="16" x14ac:dyDescent="0.2">
      <c r="A18" s="7"/>
      <c r="B18" s="12">
        <v>4</v>
      </c>
      <c r="C18" s="12" t="s">
        <v>34</v>
      </c>
      <c r="D18" s="22" t="s">
        <v>35</v>
      </c>
      <c r="E18" s="22"/>
      <c r="F18" s="14"/>
      <c r="G18" s="13" t="s">
        <v>24</v>
      </c>
      <c r="H18" s="14"/>
      <c r="I18" s="14"/>
      <c r="J18" s="13" t="s">
        <v>30</v>
      </c>
      <c r="K18" s="13" t="s">
        <v>17</v>
      </c>
      <c r="L18" s="13" t="s">
        <v>33</v>
      </c>
      <c r="M18" s="8"/>
    </row>
    <row r="19" spans="1:13" ht="16" x14ac:dyDescent="0.2">
      <c r="A19" s="7"/>
      <c r="B19" s="15"/>
      <c r="C19" s="15"/>
      <c r="D19" s="22" t="s">
        <v>34</v>
      </c>
      <c r="E19" s="22"/>
      <c r="F19" s="13" t="s">
        <v>17</v>
      </c>
      <c r="G19" s="13" t="s">
        <v>24</v>
      </c>
      <c r="H19" s="14"/>
      <c r="I19" s="13" t="s">
        <v>36</v>
      </c>
      <c r="J19" s="13" t="s">
        <v>30</v>
      </c>
      <c r="K19" s="13" t="s">
        <v>17</v>
      </c>
      <c r="L19" s="13" t="s">
        <v>33</v>
      </c>
      <c r="M19" s="8"/>
    </row>
    <row r="20" spans="1:13" ht="16" x14ac:dyDescent="0.2">
      <c r="A20" s="7"/>
      <c r="B20" s="12">
        <v>5</v>
      </c>
      <c r="C20" s="12" t="s">
        <v>37</v>
      </c>
      <c r="D20" s="22" t="s">
        <v>38</v>
      </c>
      <c r="E20" s="22"/>
      <c r="F20" s="13" t="s">
        <v>39</v>
      </c>
      <c r="G20" s="13" t="s">
        <v>24</v>
      </c>
      <c r="H20" s="14"/>
      <c r="I20" s="13" t="s">
        <v>40</v>
      </c>
      <c r="J20" s="13" t="s">
        <v>41</v>
      </c>
      <c r="K20" s="14"/>
      <c r="L20" s="13" t="s">
        <v>39</v>
      </c>
      <c r="M20" s="8"/>
    </row>
    <row r="21" spans="1:13" ht="16" x14ac:dyDescent="0.2">
      <c r="A21" s="7"/>
      <c r="B21" s="15"/>
      <c r="C21" s="15"/>
      <c r="D21" s="22" t="s">
        <v>41</v>
      </c>
      <c r="E21" s="22"/>
      <c r="F21" s="13" t="s">
        <v>42</v>
      </c>
      <c r="G21" s="13" t="s">
        <v>43</v>
      </c>
      <c r="H21" s="14"/>
      <c r="I21" s="13" t="s">
        <v>39</v>
      </c>
      <c r="J21" s="13" t="s">
        <v>20</v>
      </c>
      <c r="K21" s="14"/>
      <c r="L21" s="14"/>
      <c r="M21" s="8"/>
    </row>
    <row r="22" spans="1:13" ht="16" x14ac:dyDescent="0.2">
      <c r="A22" s="7"/>
      <c r="B22" s="15"/>
      <c r="C22" s="15"/>
      <c r="D22" s="22" t="s">
        <v>44</v>
      </c>
      <c r="E22" s="22"/>
      <c r="F22" s="13" t="s">
        <v>42</v>
      </c>
      <c r="G22" s="13" t="s">
        <v>43</v>
      </c>
      <c r="H22" s="14"/>
      <c r="I22" s="13" t="s">
        <v>40</v>
      </c>
      <c r="J22" s="13" t="s">
        <v>20</v>
      </c>
      <c r="K22" s="14"/>
      <c r="L22" s="14"/>
      <c r="M22" s="8"/>
    </row>
    <row r="23" spans="1:13" ht="16" x14ac:dyDescent="0.2">
      <c r="A23" s="7"/>
      <c r="B23" s="12">
        <v>6</v>
      </c>
      <c r="C23" s="12" t="s">
        <v>45</v>
      </c>
      <c r="D23" s="22" t="s">
        <v>46</v>
      </c>
      <c r="E23" s="22"/>
      <c r="F23" s="13" t="s">
        <v>40</v>
      </c>
      <c r="G23" s="13" t="s">
        <v>24</v>
      </c>
      <c r="H23" s="14"/>
      <c r="I23" s="13" t="s">
        <v>47</v>
      </c>
      <c r="J23" s="13" t="s">
        <v>44</v>
      </c>
      <c r="K23" s="14"/>
      <c r="L23" s="13" t="s">
        <v>40</v>
      </c>
      <c r="M23" s="8"/>
    </row>
    <row r="24" spans="1:13" ht="16" x14ac:dyDescent="0.2">
      <c r="A24" s="7"/>
      <c r="B24" s="15"/>
      <c r="C24" s="15"/>
      <c r="D24" s="22" t="s">
        <v>48</v>
      </c>
      <c r="E24" s="22"/>
      <c r="F24" s="13" t="s">
        <v>40</v>
      </c>
      <c r="G24" s="13" t="s">
        <v>24</v>
      </c>
      <c r="H24" s="14"/>
      <c r="I24" s="13" t="s">
        <v>49</v>
      </c>
      <c r="J24" s="13" t="s">
        <v>44</v>
      </c>
      <c r="K24" s="14"/>
      <c r="L24" s="13" t="s">
        <v>40</v>
      </c>
      <c r="M24" s="8"/>
    </row>
    <row r="25" spans="1:13" ht="16" x14ac:dyDescent="0.2">
      <c r="A25" s="7"/>
      <c r="B25" s="15"/>
      <c r="C25" s="15"/>
      <c r="D25" s="22" t="s">
        <v>50</v>
      </c>
      <c r="E25" s="22"/>
      <c r="F25" s="14"/>
      <c r="G25" s="13" t="s">
        <v>24</v>
      </c>
      <c r="H25" s="14"/>
      <c r="I25" s="14"/>
      <c r="J25" s="13" t="s">
        <v>44</v>
      </c>
      <c r="K25" s="14"/>
      <c r="L25" s="13" t="s">
        <v>40</v>
      </c>
      <c r="M25" s="8"/>
    </row>
    <row r="26" spans="1:13" ht="16" x14ac:dyDescent="0.2">
      <c r="A26" s="7"/>
      <c r="B26" s="15"/>
      <c r="C26" s="15"/>
      <c r="D26" s="22" t="s">
        <v>51</v>
      </c>
      <c r="E26" s="22"/>
      <c r="F26" s="14"/>
      <c r="G26" s="13" t="s">
        <v>24</v>
      </c>
      <c r="H26" s="14"/>
      <c r="I26" s="14"/>
      <c r="J26" s="13" t="s">
        <v>44</v>
      </c>
      <c r="K26" s="14"/>
      <c r="L26" s="13" t="s">
        <v>40</v>
      </c>
      <c r="M26" s="8"/>
    </row>
    <row r="27" spans="1:13" ht="16" x14ac:dyDescent="0.2">
      <c r="A27" s="7"/>
      <c r="B27" s="15"/>
      <c r="C27" s="15"/>
      <c r="D27" s="22" t="s">
        <v>52</v>
      </c>
      <c r="E27" s="22"/>
      <c r="F27" s="13" t="s">
        <v>40</v>
      </c>
      <c r="G27" s="13" t="s">
        <v>24</v>
      </c>
      <c r="H27" s="14"/>
      <c r="I27" s="13" t="s">
        <v>53</v>
      </c>
      <c r="J27" s="13" t="s">
        <v>44</v>
      </c>
      <c r="K27" s="14"/>
      <c r="L27" s="13" t="s">
        <v>40</v>
      </c>
      <c r="M27" s="8"/>
    </row>
    <row r="28" spans="1:13" ht="16" x14ac:dyDescent="0.2">
      <c r="A28" s="7"/>
      <c r="B28" s="12">
        <v>7</v>
      </c>
      <c r="C28" s="12" t="s">
        <v>54</v>
      </c>
      <c r="D28" s="22" t="s">
        <v>55</v>
      </c>
      <c r="E28" s="22"/>
      <c r="F28" s="13" t="s">
        <v>49</v>
      </c>
      <c r="G28" s="13" t="s">
        <v>24</v>
      </c>
      <c r="H28" s="14"/>
      <c r="I28" s="13" t="s">
        <v>56</v>
      </c>
      <c r="J28" s="13" t="s">
        <v>51</v>
      </c>
      <c r="K28" s="14"/>
      <c r="L28" s="14"/>
      <c r="M28" s="8"/>
    </row>
    <row r="29" spans="1:13" ht="16" x14ac:dyDescent="0.2">
      <c r="A29" s="7"/>
      <c r="B29" s="15"/>
      <c r="C29" s="15"/>
      <c r="D29" s="23"/>
      <c r="E29" s="23"/>
      <c r="F29" s="13" t="s">
        <v>49</v>
      </c>
      <c r="G29" s="13" t="s">
        <v>24</v>
      </c>
      <c r="H29" s="14"/>
      <c r="I29" s="13" t="s">
        <v>56</v>
      </c>
      <c r="J29" s="13" t="s">
        <v>50</v>
      </c>
      <c r="K29" s="14"/>
      <c r="L29" s="14"/>
      <c r="M29" s="8"/>
    </row>
    <row r="30" spans="1:13" ht="16" x14ac:dyDescent="0.2">
      <c r="A30" s="7"/>
      <c r="B30" s="15"/>
      <c r="C30" s="15"/>
      <c r="D30" s="23"/>
      <c r="E30" s="23"/>
      <c r="F30" s="13" t="s">
        <v>49</v>
      </c>
      <c r="G30" s="13" t="s">
        <v>24</v>
      </c>
      <c r="H30" s="14"/>
      <c r="I30" s="13" t="s">
        <v>56</v>
      </c>
      <c r="J30" s="13" t="s">
        <v>46</v>
      </c>
      <c r="K30" s="14"/>
      <c r="L30" s="13" t="s">
        <v>47</v>
      </c>
      <c r="M30" s="8"/>
    </row>
    <row r="31" spans="1:13" ht="16" x14ac:dyDescent="0.2">
      <c r="A31" s="7"/>
      <c r="B31" s="15"/>
      <c r="C31" s="15"/>
      <c r="D31" s="23"/>
      <c r="E31" s="23"/>
      <c r="F31" s="13" t="s">
        <v>49</v>
      </c>
      <c r="G31" s="13" t="s">
        <v>24</v>
      </c>
      <c r="H31" s="14"/>
      <c r="I31" s="13" t="s">
        <v>56</v>
      </c>
      <c r="J31" s="13" t="s">
        <v>48</v>
      </c>
      <c r="K31" s="14"/>
      <c r="L31" s="13" t="s">
        <v>49</v>
      </c>
      <c r="M31" s="8"/>
    </row>
    <row r="32" spans="1:13" ht="16" x14ac:dyDescent="0.2">
      <c r="A32" s="7"/>
      <c r="B32" s="15"/>
      <c r="C32" s="15"/>
      <c r="D32" s="23"/>
      <c r="E32" s="23"/>
      <c r="F32" s="13" t="s">
        <v>49</v>
      </c>
      <c r="G32" s="13" t="s">
        <v>24</v>
      </c>
      <c r="H32" s="14"/>
      <c r="I32" s="13" t="s">
        <v>56</v>
      </c>
      <c r="J32" s="13" t="s">
        <v>38</v>
      </c>
      <c r="K32" s="14"/>
      <c r="L32" s="13" t="s">
        <v>40</v>
      </c>
      <c r="M32" s="8"/>
    </row>
    <row r="33" spans="1:13" ht="16" x14ac:dyDescent="0.2">
      <c r="A33" s="7"/>
      <c r="B33" s="15"/>
      <c r="C33" s="15"/>
      <c r="D33" s="22" t="s">
        <v>57</v>
      </c>
      <c r="E33" s="22"/>
      <c r="F33" s="13" t="s">
        <v>49</v>
      </c>
      <c r="G33" s="13" t="s">
        <v>24</v>
      </c>
      <c r="H33" s="14"/>
      <c r="I33" s="13" t="s">
        <v>58</v>
      </c>
      <c r="J33" s="13" t="s">
        <v>48</v>
      </c>
      <c r="K33" s="14"/>
      <c r="L33" s="13" t="s">
        <v>49</v>
      </c>
      <c r="M33" s="8"/>
    </row>
    <row r="34" spans="1:13" ht="16" x14ac:dyDescent="0.2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8"/>
    </row>
    <row r="35" spans="1:13" ht="16" x14ac:dyDescent="0.2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8"/>
    </row>
    <row r="36" spans="1:13" ht="16" x14ac:dyDescent="0.2">
      <c r="A36" s="16"/>
      <c r="B36" s="16" t="s">
        <v>59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8"/>
    </row>
    <row r="37" spans="1:13" ht="16" x14ac:dyDescent="0.2">
      <c r="A37" s="19"/>
      <c r="B37" s="19" t="s">
        <v>60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20"/>
    </row>
  </sheetData>
  <mergeCells count="24">
    <mergeCell ref="D30:E30"/>
    <mergeCell ref="D31:E31"/>
    <mergeCell ref="D32:E32"/>
    <mergeCell ref="D33:E33"/>
    <mergeCell ref="D25:E25"/>
    <mergeCell ref="D26:E26"/>
    <mergeCell ref="D27:E27"/>
    <mergeCell ref="D28:E28"/>
    <mergeCell ref="D29:E29"/>
    <mergeCell ref="D20:E20"/>
    <mergeCell ref="D21:E21"/>
    <mergeCell ref="D22:E22"/>
    <mergeCell ref="D23:E23"/>
    <mergeCell ref="D24:E24"/>
    <mergeCell ref="D15:E15"/>
    <mergeCell ref="D16:E16"/>
    <mergeCell ref="D17:E17"/>
    <mergeCell ref="D18:E18"/>
    <mergeCell ref="D19:E19"/>
    <mergeCell ref="D10:E10"/>
    <mergeCell ref="D11:E11"/>
    <mergeCell ref="D12:E12"/>
    <mergeCell ref="D13:E13"/>
    <mergeCell ref="D14:E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C4855-2C5B-3144-86C7-7AEA8BB889D9}">
  <dimension ref="A1:J28"/>
  <sheetViews>
    <sheetView tabSelected="1" workbookViewId="0">
      <selection activeCell="D8" sqref="D8"/>
    </sheetView>
  </sheetViews>
  <sheetFormatPr baseColWidth="10" defaultRowHeight="15" x14ac:dyDescent="0.2"/>
  <cols>
    <col min="1" max="1" width="15.5" bestFit="1" customWidth="1"/>
    <col min="3" max="3" width="22.6640625" bestFit="1" customWidth="1"/>
    <col min="4" max="4" width="15.83203125" bestFit="1" customWidth="1"/>
    <col min="6" max="6" width="20.1640625" bestFit="1" customWidth="1"/>
    <col min="7" max="7" width="18.1640625" bestFit="1" customWidth="1"/>
    <col min="9" max="9" width="15.5" bestFit="1" customWidth="1"/>
  </cols>
  <sheetData>
    <row r="1" spans="1:10" x14ac:dyDescent="0.2">
      <c r="A1" t="s">
        <v>61</v>
      </c>
      <c r="B1" s="24">
        <v>45232</v>
      </c>
    </row>
    <row r="2" spans="1:10" x14ac:dyDescent="0.2">
      <c r="A2" t="s">
        <v>43</v>
      </c>
      <c r="B2" s="24">
        <v>45285</v>
      </c>
    </row>
    <row r="3" spans="1:10" x14ac:dyDescent="0.2">
      <c r="A3" t="s">
        <v>32</v>
      </c>
      <c r="B3" s="24">
        <v>45275</v>
      </c>
    </row>
    <row r="5" spans="1:10" s="25" customFormat="1" x14ac:dyDescent="0.2">
      <c r="A5" s="25" t="s">
        <v>62</v>
      </c>
      <c r="C5" s="25" t="s">
        <v>9</v>
      </c>
      <c r="D5" s="25" t="s">
        <v>63</v>
      </c>
      <c r="E5" s="25" t="s">
        <v>64</v>
      </c>
      <c r="F5" s="25" t="s">
        <v>67</v>
      </c>
      <c r="G5" s="25" t="s">
        <v>68</v>
      </c>
      <c r="I5" s="25" t="s">
        <v>65</v>
      </c>
      <c r="J5" s="25" t="s">
        <v>66</v>
      </c>
    </row>
    <row r="6" spans="1:10" ht="16" x14ac:dyDescent="0.2">
      <c r="A6" s="22" t="s">
        <v>16</v>
      </c>
      <c r="B6" s="22"/>
      <c r="C6" s="13" t="s">
        <v>18</v>
      </c>
      <c r="D6" s="24">
        <f>B1</f>
        <v>45232</v>
      </c>
      <c r="E6" t="str">
        <f>'Predecessor Report Sam &amp; Anjali'!F11</f>
        <v>24/10/2023</v>
      </c>
      <c r="F6" s="24">
        <f>D6+1</f>
        <v>45233</v>
      </c>
      <c r="G6" t="str">
        <f>'Predecessor Report Sam &amp; Anjali'!I11</f>
        <v>25/10/2023</v>
      </c>
      <c r="I6" t="b">
        <f>E6=D6</f>
        <v>0</v>
      </c>
      <c r="J6" t="b">
        <f>G6=F6</f>
        <v>0</v>
      </c>
    </row>
    <row r="7" spans="1:10" ht="16" x14ac:dyDescent="0.2">
      <c r="A7" s="22" t="s">
        <v>21</v>
      </c>
      <c r="B7" s="22"/>
      <c r="C7" s="13" t="s">
        <v>18</v>
      </c>
      <c r="D7" s="24">
        <f>B1</f>
        <v>45232</v>
      </c>
      <c r="E7" t="str">
        <f>'Predecessor Report Sam &amp; Anjali'!F12</f>
        <v>24/10/2023</v>
      </c>
      <c r="G7" t="str">
        <f>'Predecessor Report Sam &amp; Anjali'!I12</f>
        <v>25/10/2023</v>
      </c>
      <c r="I7" t="b">
        <f t="shared" ref="I7:I28" si="0">E7=D7</f>
        <v>0</v>
      </c>
      <c r="J7" t="b">
        <f t="shared" ref="J7:J28" si="1">G7=F7</f>
        <v>0</v>
      </c>
    </row>
    <row r="8" spans="1:10" ht="16" x14ac:dyDescent="0.2">
      <c r="A8" s="22" t="s">
        <v>23</v>
      </c>
      <c r="B8" s="22"/>
      <c r="C8" s="13" t="s">
        <v>24</v>
      </c>
      <c r="D8" s="24">
        <f>F6</f>
        <v>45233</v>
      </c>
      <c r="E8" t="str">
        <f>'Predecessor Report Sam &amp; Anjali'!F13</f>
        <v>24/10/2023</v>
      </c>
      <c r="F8" s="24">
        <f>D8+1</f>
        <v>45234</v>
      </c>
      <c r="G8" t="str">
        <f>'Predecessor Report Sam &amp; Anjali'!I13</f>
        <v>26/10/2023</v>
      </c>
      <c r="I8" t="b">
        <f t="shared" si="0"/>
        <v>0</v>
      </c>
      <c r="J8" t="b">
        <f t="shared" si="1"/>
        <v>0</v>
      </c>
    </row>
    <row r="9" spans="1:10" ht="16" x14ac:dyDescent="0.2">
      <c r="A9" s="22" t="s">
        <v>26</v>
      </c>
      <c r="B9" s="22"/>
      <c r="C9" s="13" t="s">
        <v>24</v>
      </c>
      <c r="E9" t="str">
        <f>'Predecessor Report Sam &amp; Anjali'!F14</f>
        <v>24/10/2023</v>
      </c>
      <c r="G9" t="str">
        <f>'Predecessor Report Sam &amp; Anjali'!I14</f>
        <v>31/10/2023</v>
      </c>
      <c r="I9" t="b">
        <f t="shared" si="0"/>
        <v>0</v>
      </c>
      <c r="J9" t="b">
        <f t="shared" si="1"/>
        <v>0</v>
      </c>
    </row>
    <row r="10" spans="1:10" ht="16" x14ac:dyDescent="0.2">
      <c r="A10" s="22" t="s">
        <v>22</v>
      </c>
      <c r="B10" s="22"/>
      <c r="C10" s="13" t="s">
        <v>24</v>
      </c>
      <c r="E10" t="str">
        <f>'Predecessor Report Sam &amp; Anjali'!F15</f>
        <v>24/10/2023</v>
      </c>
      <c r="G10" t="str">
        <f>'Predecessor Report Sam &amp; Anjali'!I15</f>
        <v>25/10/2023</v>
      </c>
      <c r="I10" t="b">
        <f t="shared" si="0"/>
        <v>0</v>
      </c>
      <c r="J10" t="b">
        <f t="shared" si="1"/>
        <v>0</v>
      </c>
    </row>
    <row r="11" spans="1:10" ht="16" x14ac:dyDescent="0.2">
      <c r="A11" s="22" t="s">
        <v>28</v>
      </c>
      <c r="B11" s="22"/>
      <c r="C11" s="13" t="s">
        <v>24</v>
      </c>
      <c r="E11" t="str">
        <f>'Predecessor Report Sam &amp; Anjali'!F16</f>
        <v>24/10/2023</v>
      </c>
      <c r="G11" t="str">
        <f>'Predecessor Report Sam &amp; Anjali'!I16</f>
        <v>27/10/2023</v>
      </c>
      <c r="I11" t="b">
        <f t="shared" si="0"/>
        <v>0</v>
      </c>
      <c r="J11" t="b">
        <f t="shared" si="1"/>
        <v>0</v>
      </c>
    </row>
    <row r="12" spans="1:10" ht="16" x14ac:dyDescent="0.2">
      <c r="A12" s="22" t="s">
        <v>30</v>
      </c>
      <c r="B12" s="22"/>
      <c r="C12" s="13" t="s">
        <v>32</v>
      </c>
      <c r="E12" t="str">
        <f>'Predecessor Report Sam &amp; Anjali'!F17</f>
        <v>05/11/2023</v>
      </c>
      <c r="G12" t="str">
        <f>'Predecessor Report Sam &amp; Anjali'!I17</f>
        <v>06/11/2023</v>
      </c>
      <c r="I12" t="b">
        <f t="shared" si="0"/>
        <v>0</v>
      </c>
      <c r="J12" t="b">
        <f t="shared" si="1"/>
        <v>0</v>
      </c>
    </row>
    <row r="13" spans="1:10" ht="16" x14ac:dyDescent="0.2">
      <c r="A13" s="22" t="s">
        <v>35</v>
      </c>
      <c r="B13" s="22"/>
      <c r="C13" s="13" t="s">
        <v>24</v>
      </c>
      <c r="E13">
        <f>'Predecessor Report Sam &amp; Anjali'!F18</f>
        <v>0</v>
      </c>
      <c r="G13">
        <f>'Predecessor Report Sam &amp; Anjali'!I18</f>
        <v>0</v>
      </c>
      <c r="I13" t="b">
        <f t="shared" si="0"/>
        <v>1</v>
      </c>
      <c r="J13" t="b">
        <f t="shared" si="1"/>
        <v>1</v>
      </c>
    </row>
    <row r="14" spans="1:10" ht="16" x14ac:dyDescent="0.2">
      <c r="A14" s="22" t="s">
        <v>34</v>
      </c>
      <c r="B14" s="22"/>
      <c r="C14" s="13" t="s">
        <v>24</v>
      </c>
      <c r="E14" t="str">
        <f>'Predecessor Report Sam &amp; Anjali'!F19</f>
        <v>24/10/2023</v>
      </c>
      <c r="G14" t="str">
        <f>'Predecessor Report Sam &amp; Anjali'!I19</f>
        <v>28/10/2023</v>
      </c>
      <c r="I14" t="b">
        <f t="shared" si="0"/>
        <v>0</v>
      </c>
      <c r="J14" t="b">
        <f t="shared" si="1"/>
        <v>0</v>
      </c>
    </row>
    <row r="15" spans="1:10" ht="16" x14ac:dyDescent="0.2">
      <c r="A15" s="22" t="s">
        <v>38</v>
      </c>
      <c r="B15" s="22"/>
      <c r="C15" s="13" t="s">
        <v>24</v>
      </c>
      <c r="E15" t="str">
        <f>'Predecessor Report Sam &amp; Anjali'!F20</f>
        <v>02/01/2024</v>
      </c>
      <c r="G15" t="str">
        <f>'Predecessor Report Sam &amp; Anjali'!I20</f>
        <v>04/01/2024</v>
      </c>
      <c r="I15" t="b">
        <f t="shared" si="0"/>
        <v>0</v>
      </c>
      <c r="J15" t="b">
        <f t="shared" si="1"/>
        <v>0</v>
      </c>
    </row>
    <row r="16" spans="1:10" ht="16" x14ac:dyDescent="0.2">
      <c r="A16" s="22" t="s">
        <v>41</v>
      </c>
      <c r="B16" s="22"/>
      <c r="C16" s="13" t="s">
        <v>43</v>
      </c>
      <c r="E16" t="str">
        <f>'Predecessor Report Sam &amp; Anjali'!F21</f>
        <v>01/01/2024</v>
      </c>
      <c r="G16" t="str">
        <f>'Predecessor Report Sam &amp; Anjali'!I21</f>
        <v>02/01/2024</v>
      </c>
      <c r="I16" t="b">
        <f t="shared" si="0"/>
        <v>0</v>
      </c>
      <c r="J16" t="b">
        <f t="shared" si="1"/>
        <v>0</v>
      </c>
    </row>
    <row r="17" spans="1:10" ht="16" x14ac:dyDescent="0.2">
      <c r="A17" s="22" t="s">
        <v>44</v>
      </c>
      <c r="B17" s="22"/>
      <c r="C17" s="13" t="s">
        <v>43</v>
      </c>
      <c r="E17" t="str">
        <f>'Predecessor Report Sam &amp; Anjali'!F22</f>
        <v>01/01/2024</v>
      </c>
      <c r="G17" t="str">
        <f>'Predecessor Report Sam &amp; Anjali'!I22</f>
        <v>04/01/2024</v>
      </c>
      <c r="I17" t="b">
        <f t="shared" si="0"/>
        <v>0</v>
      </c>
      <c r="J17" t="b">
        <f t="shared" si="1"/>
        <v>0</v>
      </c>
    </row>
    <row r="18" spans="1:10" ht="16" x14ac:dyDescent="0.2">
      <c r="A18" s="22" t="s">
        <v>46</v>
      </c>
      <c r="B18" s="22"/>
      <c r="C18" s="13" t="s">
        <v>24</v>
      </c>
      <c r="E18" t="str">
        <f>'Predecessor Report Sam &amp; Anjali'!F23</f>
        <v>04/01/2024</v>
      </c>
      <c r="G18" t="str">
        <f>'Predecessor Report Sam &amp; Anjali'!I23</f>
        <v>05/01/2024</v>
      </c>
      <c r="I18" t="b">
        <f t="shared" si="0"/>
        <v>0</v>
      </c>
      <c r="J18" t="b">
        <f t="shared" si="1"/>
        <v>0</v>
      </c>
    </row>
    <row r="19" spans="1:10" ht="16" x14ac:dyDescent="0.2">
      <c r="A19" s="22" t="s">
        <v>48</v>
      </c>
      <c r="B19" s="22"/>
      <c r="C19" s="13" t="s">
        <v>24</v>
      </c>
      <c r="E19" t="str">
        <f>'Predecessor Report Sam &amp; Anjali'!F24</f>
        <v>04/01/2024</v>
      </c>
      <c r="G19" t="str">
        <f>'Predecessor Report Sam &amp; Anjali'!I24</f>
        <v>08/01/2024</v>
      </c>
      <c r="I19" t="b">
        <f t="shared" si="0"/>
        <v>0</v>
      </c>
      <c r="J19" t="b">
        <f t="shared" si="1"/>
        <v>0</v>
      </c>
    </row>
    <row r="20" spans="1:10" ht="16" x14ac:dyDescent="0.2">
      <c r="A20" s="22" t="s">
        <v>50</v>
      </c>
      <c r="B20" s="22"/>
      <c r="C20" s="13" t="s">
        <v>24</v>
      </c>
      <c r="E20">
        <f>'Predecessor Report Sam &amp; Anjali'!F25</f>
        <v>0</v>
      </c>
      <c r="G20">
        <f>'Predecessor Report Sam &amp; Anjali'!I25</f>
        <v>0</v>
      </c>
      <c r="I20" t="b">
        <f t="shared" si="0"/>
        <v>1</v>
      </c>
      <c r="J20" t="b">
        <f t="shared" si="1"/>
        <v>1</v>
      </c>
    </row>
    <row r="21" spans="1:10" ht="16" x14ac:dyDescent="0.2">
      <c r="A21" s="22" t="s">
        <v>51</v>
      </c>
      <c r="B21" s="22"/>
      <c r="C21" s="13" t="s">
        <v>24</v>
      </c>
      <c r="E21">
        <f>'Predecessor Report Sam &amp; Anjali'!F26</f>
        <v>0</v>
      </c>
      <c r="G21">
        <f>'Predecessor Report Sam &amp; Anjali'!I26</f>
        <v>0</v>
      </c>
      <c r="I21" t="b">
        <f t="shared" si="0"/>
        <v>1</v>
      </c>
      <c r="J21" t="b">
        <f t="shared" si="1"/>
        <v>1</v>
      </c>
    </row>
    <row r="22" spans="1:10" ht="16" x14ac:dyDescent="0.2">
      <c r="A22" s="22" t="s">
        <v>52</v>
      </c>
      <c r="B22" s="22"/>
      <c r="C22" s="13" t="s">
        <v>24</v>
      </c>
      <c r="E22" t="str">
        <f>'Predecessor Report Sam &amp; Anjali'!F27</f>
        <v>04/01/2024</v>
      </c>
      <c r="G22" t="str">
        <f>'Predecessor Report Sam &amp; Anjali'!I27</f>
        <v>07/01/2024</v>
      </c>
      <c r="I22" t="b">
        <f t="shared" si="0"/>
        <v>0</v>
      </c>
      <c r="J22" t="b">
        <f t="shared" si="1"/>
        <v>0</v>
      </c>
    </row>
    <row r="23" spans="1:10" ht="16" x14ac:dyDescent="0.2">
      <c r="A23" s="22" t="s">
        <v>55</v>
      </c>
      <c r="B23" s="22"/>
      <c r="C23" s="13" t="s">
        <v>24</v>
      </c>
      <c r="E23" t="str">
        <f>'Predecessor Report Sam &amp; Anjali'!F28</f>
        <v>08/01/2024</v>
      </c>
      <c r="G23" t="str">
        <f>'Predecessor Report Sam &amp; Anjali'!I28</f>
        <v>13/01/2024</v>
      </c>
      <c r="I23" t="b">
        <f t="shared" si="0"/>
        <v>0</v>
      </c>
      <c r="J23" t="b">
        <f t="shared" si="1"/>
        <v>0</v>
      </c>
    </row>
    <row r="24" spans="1:10" ht="16" x14ac:dyDescent="0.2">
      <c r="A24" s="23"/>
      <c r="B24" s="23"/>
      <c r="C24" s="13" t="s">
        <v>24</v>
      </c>
      <c r="E24" t="str">
        <f>'Predecessor Report Sam &amp; Anjali'!F29</f>
        <v>08/01/2024</v>
      </c>
      <c r="G24" t="str">
        <f>'Predecessor Report Sam &amp; Anjali'!I29</f>
        <v>13/01/2024</v>
      </c>
      <c r="I24" t="b">
        <f t="shared" si="0"/>
        <v>0</v>
      </c>
      <c r="J24" t="b">
        <f t="shared" si="1"/>
        <v>0</v>
      </c>
    </row>
    <row r="25" spans="1:10" ht="16" x14ac:dyDescent="0.2">
      <c r="A25" s="23"/>
      <c r="B25" s="23"/>
      <c r="C25" s="13" t="s">
        <v>24</v>
      </c>
      <c r="E25" t="str">
        <f>'Predecessor Report Sam &amp; Anjali'!F30</f>
        <v>08/01/2024</v>
      </c>
      <c r="G25" t="str">
        <f>'Predecessor Report Sam &amp; Anjali'!I30</f>
        <v>13/01/2024</v>
      </c>
      <c r="I25" t="b">
        <f t="shared" si="0"/>
        <v>0</v>
      </c>
      <c r="J25" t="b">
        <f t="shared" si="1"/>
        <v>0</v>
      </c>
    </row>
    <row r="26" spans="1:10" ht="16" x14ac:dyDescent="0.2">
      <c r="A26" s="23"/>
      <c r="B26" s="23"/>
      <c r="C26" s="13" t="s">
        <v>24</v>
      </c>
      <c r="E26" t="str">
        <f>'Predecessor Report Sam &amp; Anjali'!F31</f>
        <v>08/01/2024</v>
      </c>
      <c r="G26" t="str">
        <f>'Predecessor Report Sam &amp; Anjali'!I31</f>
        <v>13/01/2024</v>
      </c>
      <c r="I26" t="b">
        <f t="shared" si="0"/>
        <v>0</v>
      </c>
      <c r="J26" t="b">
        <f t="shared" si="1"/>
        <v>0</v>
      </c>
    </row>
    <row r="27" spans="1:10" ht="16" x14ac:dyDescent="0.2">
      <c r="A27" s="23"/>
      <c r="B27" s="23"/>
      <c r="C27" s="13" t="s">
        <v>24</v>
      </c>
      <c r="E27" t="str">
        <f>'Predecessor Report Sam &amp; Anjali'!F32</f>
        <v>08/01/2024</v>
      </c>
      <c r="G27" t="str">
        <f>'Predecessor Report Sam &amp; Anjali'!I32</f>
        <v>13/01/2024</v>
      </c>
      <c r="I27" t="b">
        <f t="shared" si="0"/>
        <v>0</v>
      </c>
      <c r="J27" t="b">
        <f t="shared" si="1"/>
        <v>0</v>
      </c>
    </row>
    <row r="28" spans="1:10" ht="16" x14ac:dyDescent="0.2">
      <c r="A28" s="22" t="s">
        <v>57</v>
      </c>
      <c r="B28" s="22"/>
      <c r="C28" s="13" t="s">
        <v>24</v>
      </c>
      <c r="E28" t="str">
        <f>'Predecessor Report Sam &amp; Anjali'!F33</f>
        <v>08/01/2024</v>
      </c>
      <c r="G28" t="str">
        <f>'Predecessor Report Sam &amp; Anjali'!I33</f>
        <v>11/01/2024</v>
      </c>
      <c r="I28" t="b">
        <f t="shared" si="0"/>
        <v>0</v>
      </c>
      <c r="J28" t="b">
        <f t="shared" si="1"/>
        <v>0</v>
      </c>
    </row>
  </sheetData>
  <mergeCells count="23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B4261F49-DF1E-4218-841B-0306E3729D29}"/>
</file>

<file path=customXml/itemProps2.xml><?xml version="1.0" encoding="utf-8"?>
<ds:datastoreItem xmlns:ds="http://schemas.openxmlformats.org/officeDocument/2006/customXml" ds:itemID="{17B40CDA-ACD7-4B58-857B-7E0CEB83C14C}"/>
</file>

<file path=customXml/itemProps3.xml><?xml version="1.0" encoding="utf-8"?>
<ds:datastoreItem xmlns:ds="http://schemas.openxmlformats.org/officeDocument/2006/customXml" ds:itemID="{0C1630DE-EDB3-4B4A-BABC-E3602B135535}"/>
</file>

<file path=customXml/itemProps4.xml><?xml version="1.0" encoding="utf-8"?>
<ds:datastoreItem xmlns:ds="http://schemas.openxmlformats.org/officeDocument/2006/customXml" ds:itemID="{672001F4-4100-4DCE-93AA-2E4A53E17C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Predecessor Report Sam &amp; Anjali</vt:lpstr>
      <vt:lpstr>Test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Sam Duncan</cp:lastModifiedBy>
  <dcterms:created xsi:type="dcterms:W3CDTF">2023-11-02T09:52:05Z</dcterms:created>
  <dcterms:modified xsi:type="dcterms:W3CDTF">2023-11-02T10:01:17Z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  <property fmtid="{D5CDD505-2E9C-101B-9397-08002B2CF9AE}" pid="7" name="SharedWithUsers">
    <vt:lpwstr>39;#Khonani Davhana</vt:lpwstr>
  </property>
  <property fmtid="{D5CDD505-2E9C-101B-9397-08002B2CF9AE}" pid="8" name="MediaServiceImageTags">
    <vt:lpwstr/>
  </property>
  <property fmtid="{D5CDD505-2E9C-101B-9397-08002B2CF9AE}" pid="9" name="Project_x0020_Document_x0020_Type">
    <vt:lpwstr>4;#Generic Project Document|258c2ed6-b93b-4ffe-8901-a23f2dc98ec9</vt:lpwstr>
  </property>
  <property fmtid="{D5CDD505-2E9C-101B-9397-08002B2CF9AE}" pid="10" name="Client_x0020_Project">
    <vt:lpwstr/>
  </property>
  <property fmtid="{D5CDD505-2E9C-101B-9397-08002B2CF9AE}" pid="11" name="lcf76f155ced4ddcb4097134ff3c332f">
    <vt:lpwstr/>
  </property>
</Properties>
</file>