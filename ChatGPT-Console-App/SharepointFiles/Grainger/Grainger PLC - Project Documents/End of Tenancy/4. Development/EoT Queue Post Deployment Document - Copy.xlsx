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alesforce - End of Tenancy/4. Development/"/>
    </mc:Choice>
  </mc:AlternateContent>
  <xr:revisionPtr revIDLastSave="3" documentId="8_{0CCE0B5C-BF90-4EB1-930D-713B9039475F}" xr6:coauthVersionLast="47" xr6:coauthVersionMax="47" xr10:uidLastSave="{F5E780E8-FD76-4E58-83BE-0386740B0629}"/>
  <bookViews>
    <workbookView xWindow="300" yWindow="540" windowWidth="38640" windowHeight="21100" firstSheet="1" activeTab="1" xr2:uid="{978892E8-231E-4E30-884B-88D2215EF2E9}"/>
  </bookViews>
  <sheets>
    <sheet name="Old Building Queues" sheetId="1" state="hidden" r:id="rId1"/>
    <sheet name="Building Queues" sheetId="4" r:id="rId2"/>
    <sheet name="Salesforce Queues" sheetId="3" r:id="rId3"/>
    <sheet name="Distinct Queues" sheetId="5" r:id="rId4"/>
    <sheet name="GroupMember Insert" sheetId="6" r:id="rId5"/>
    <sheet name="EoT user perm set assignment" sheetId="8" r:id="rId6"/>
    <sheet name="Unit Manager perm set" sheetId="9" r:id="rId7"/>
    <sheet name="User Extract" sheetId="7" r:id="rId8"/>
  </sheets>
  <definedNames>
    <definedName name="_xlnm._FilterDatabase" localSheetId="5" hidden="1">'EoT user perm set assignment'!$A$1:$D$123</definedName>
    <definedName name="_xlnm._FilterDatabase" localSheetId="4" hidden="1">'GroupMember Insert'!$A$1:$C$138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4" i="4" l="1"/>
  <c r="J48" i="4"/>
  <c r="D2" i="7"/>
  <c r="C131" i="6"/>
  <c r="C124" i="6"/>
  <c r="C121" i="6"/>
  <c r="C119" i="6"/>
  <c r="C102" i="6"/>
  <c r="D483" i="7"/>
  <c r="D484" i="7"/>
  <c r="D485" i="7"/>
  <c r="D486" i="7"/>
  <c r="D487" i="7"/>
  <c r="D488" i="7"/>
  <c r="D489" i="7"/>
  <c r="D490" i="7"/>
  <c r="D491" i="7"/>
  <c r="C81" i="6" s="1"/>
  <c r="D492" i="7"/>
  <c r="C82" i="6" s="1"/>
  <c r="D493" i="7"/>
  <c r="D494" i="7"/>
  <c r="D495" i="7"/>
  <c r="D496" i="7"/>
  <c r="D497" i="7"/>
  <c r="C84" i="6" s="1"/>
  <c r="D498" i="7"/>
  <c r="D499" i="7"/>
  <c r="C83" i="6" s="1"/>
  <c r="D500" i="7"/>
  <c r="D501" i="7"/>
  <c r="D502" i="7"/>
  <c r="C86" i="6" s="1"/>
  <c r="D503" i="7"/>
  <c r="D504" i="7"/>
  <c r="C85" i="6" s="1"/>
  <c r="D505" i="7"/>
  <c r="D506" i="7"/>
  <c r="D507" i="7"/>
  <c r="D508" i="7"/>
  <c r="C108" i="6" s="1"/>
  <c r="D509" i="7"/>
  <c r="D510" i="7"/>
  <c r="C109" i="6" s="1"/>
  <c r="D511" i="7"/>
  <c r="C87" i="6" s="1"/>
  <c r="D512" i="7"/>
  <c r="C88" i="6" s="1"/>
  <c r="D513" i="7"/>
  <c r="D514" i="7"/>
  <c r="D515" i="7"/>
  <c r="C91" i="6" s="1"/>
  <c r="D516" i="7"/>
  <c r="C100" i="6" s="1"/>
  <c r="D517" i="7"/>
  <c r="D518" i="7"/>
  <c r="D519" i="7"/>
  <c r="C92" i="6" s="1"/>
  <c r="D520" i="7"/>
  <c r="D521" i="7"/>
  <c r="C94" i="6" s="1"/>
  <c r="D522" i="7"/>
  <c r="D523" i="7"/>
  <c r="C101" i="6" s="1"/>
  <c r="D524" i="7"/>
  <c r="C95" i="6" s="1"/>
  <c r="D525" i="7"/>
  <c r="C96" i="6" s="1"/>
  <c r="D526" i="7"/>
  <c r="D527" i="7"/>
  <c r="C97" i="6" s="1"/>
  <c r="D528" i="7"/>
  <c r="D529" i="7"/>
  <c r="C104" i="6" s="1"/>
  <c r="D530" i="7"/>
  <c r="D531" i="7"/>
  <c r="D532" i="7"/>
  <c r="D533" i="7"/>
  <c r="D534" i="7"/>
  <c r="C132" i="6" s="1"/>
  <c r="D535" i="7"/>
  <c r="D536" i="7"/>
  <c r="D537" i="7"/>
  <c r="D538" i="7"/>
  <c r="D539" i="7"/>
  <c r="C98" i="6" s="1"/>
  <c r="D540" i="7"/>
  <c r="D541" i="7"/>
  <c r="D542" i="7"/>
  <c r="D543" i="7"/>
  <c r="C117" i="6" s="1"/>
  <c r="D544" i="7"/>
  <c r="C113" i="6" s="1"/>
  <c r="D545" i="7"/>
  <c r="C112" i="6" s="1"/>
  <c r="D546" i="7"/>
  <c r="C111" i="6" s="1"/>
  <c r="D547" i="7"/>
  <c r="D548" i="7"/>
  <c r="D549" i="7"/>
  <c r="D550" i="7"/>
  <c r="D551" i="7"/>
  <c r="D552" i="7"/>
  <c r="D553" i="7"/>
  <c r="D554" i="7"/>
  <c r="D555" i="7"/>
  <c r="C120" i="6" s="1"/>
  <c r="D556" i="7"/>
  <c r="D557" i="7"/>
  <c r="C133" i="6" s="1"/>
  <c r="D558" i="7"/>
  <c r="C137" i="6" s="1"/>
  <c r="D559" i="7"/>
  <c r="C134" i="6" s="1"/>
  <c r="D560" i="7"/>
  <c r="C138" i="6" s="1"/>
  <c r="D561" i="7"/>
  <c r="D562" i="7"/>
  <c r="D563" i="7"/>
  <c r="C136" i="6" s="1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3" i="4"/>
  <c r="J4" i="4"/>
  <c r="K4" i="4"/>
  <c r="L4" i="4"/>
  <c r="M4" i="4"/>
  <c r="N4" i="4"/>
  <c r="J5" i="4"/>
  <c r="K5" i="4"/>
  <c r="L5" i="4"/>
  <c r="M5" i="4"/>
  <c r="N5" i="4"/>
  <c r="J6" i="4"/>
  <c r="K6" i="4"/>
  <c r="L6" i="4"/>
  <c r="M6" i="4"/>
  <c r="N6" i="4"/>
  <c r="J7" i="4"/>
  <c r="K7" i="4"/>
  <c r="L7" i="4"/>
  <c r="M7" i="4"/>
  <c r="N7" i="4"/>
  <c r="J8" i="4"/>
  <c r="K8" i="4"/>
  <c r="L8" i="4"/>
  <c r="M8" i="4"/>
  <c r="N8" i="4"/>
  <c r="J9" i="4"/>
  <c r="K9" i="4"/>
  <c r="L9" i="4"/>
  <c r="M9" i="4"/>
  <c r="N9" i="4"/>
  <c r="J10" i="4"/>
  <c r="K10" i="4"/>
  <c r="L10" i="4"/>
  <c r="M10" i="4"/>
  <c r="N10" i="4"/>
  <c r="J11" i="4"/>
  <c r="K11" i="4"/>
  <c r="L11" i="4"/>
  <c r="M11" i="4"/>
  <c r="N11" i="4"/>
  <c r="J12" i="4"/>
  <c r="K12" i="4"/>
  <c r="L12" i="4"/>
  <c r="M12" i="4"/>
  <c r="N12" i="4"/>
  <c r="J13" i="4"/>
  <c r="K13" i="4"/>
  <c r="L13" i="4"/>
  <c r="M13" i="4"/>
  <c r="N13" i="4"/>
  <c r="J14" i="4"/>
  <c r="K14" i="4"/>
  <c r="L14" i="4"/>
  <c r="M14" i="4"/>
  <c r="N14" i="4"/>
  <c r="J15" i="4"/>
  <c r="K15" i="4"/>
  <c r="L15" i="4"/>
  <c r="M15" i="4"/>
  <c r="N15" i="4"/>
  <c r="J16" i="4"/>
  <c r="K16" i="4"/>
  <c r="L16" i="4"/>
  <c r="M16" i="4"/>
  <c r="N16" i="4"/>
  <c r="J17" i="4"/>
  <c r="K17" i="4"/>
  <c r="L17" i="4"/>
  <c r="M17" i="4"/>
  <c r="N17" i="4"/>
  <c r="J18" i="4"/>
  <c r="K18" i="4"/>
  <c r="L18" i="4"/>
  <c r="M18" i="4"/>
  <c r="N18" i="4"/>
  <c r="J19" i="4"/>
  <c r="K19" i="4"/>
  <c r="L19" i="4"/>
  <c r="M19" i="4"/>
  <c r="N19" i="4"/>
  <c r="J20" i="4"/>
  <c r="K20" i="4"/>
  <c r="L20" i="4"/>
  <c r="M20" i="4"/>
  <c r="N20" i="4"/>
  <c r="J21" i="4"/>
  <c r="K21" i="4"/>
  <c r="L21" i="4"/>
  <c r="M21" i="4"/>
  <c r="N21" i="4"/>
  <c r="J22" i="4"/>
  <c r="K22" i="4"/>
  <c r="L22" i="4"/>
  <c r="M22" i="4"/>
  <c r="N22" i="4"/>
  <c r="J23" i="4"/>
  <c r="K23" i="4"/>
  <c r="L23" i="4"/>
  <c r="M23" i="4"/>
  <c r="N23" i="4"/>
  <c r="J24" i="4"/>
  <c r="K24" i="4"/>
  <c r="L24" i="4"/>
  <c r="M24" i="4"/>
  <c r="N24" i="4"/>
  <c r="J25" i="4"/>
  <c r="K25" i="4"/>
  <c r="L25" i="4"/>
  <c r="M25" i="4"/>
  <c r="N25" i="4"/>
  <c r="J26" i="4"/>
  <c r="K26" i="4"/>
  <c r="L26" i="4"/>
  <c r="M26" i="4"/>
  <c r="N26" i="4"/>
  <c r="J27" i="4"/>
  <c r="K27" i="4"/>
  <c r="L27" i="4"/>
  <c r="M27" i="4"/>
  <c r="N27" i="4"/>
  <c r="J28" i="4"/>
  <c r="K28" i="4"/>
  <c r="L28" i="4"/>
  <c r="M28" i="4"/>
  <c r="N28" i="4"/>
  <c r="J29" i="4"/>
  <c r="K29" i="4"/>
  <c r="L29" i="4"/>
  <c r="M29" i="4"/>
  <c r="N29" i="4"/>
  <c r="J30" i="4"/>
  <c r="K30" i="4"/>
  <c r="L30" i="4"/>
  <c r="M30" i="4"/>
  <c r="N30" i="4"/>
  <c r="J31" i="4"/>
  <c r="K31" i="4"/>
  <c r="L31" i="4"/>
  <c r="M31" i="4"/>
  <c r="N31" i="4"/>
  <c r="J32" i="4"/>
  <c r="K32" i="4"/>
  <c r="L32" i="4"/>
  <c r="M32" i="4"/>
  <c r="N32" i="4"/>
  <c r="J33" i="4"/>
  <c r="K33" i="4"/>
  <c r="L33" i="4"/>
  <c r="M33" i="4"/>
  <c r="N33" i="4"/>
  <c r="J34" i="4"/>
  <c r="K34" i="4"/>
  <c r="L34" i="4"/>
  <c r="M34" i="4"/>
  <c r="N34" i="4"/>
  <c r="J35" i="4"/>
  <c r="K35" i="4"/>
  <c r="L35" i="4"/>
  <c r="M35" i="4"/>
  <c r="N35" i="4"/>
  <c r="J36" i="4"/>
  <c r="K36" i="4"/>
  <c r="L36" i="4"/>
  <c r="M36" i="4"/>
  <c r="N36" i="4"/>
  <c r="J37" i="4"/>
  <c r="K37" i="4"/>
  <c r="L37" i="4"/>
  <c r="M37" i="4"/>
  <c r="N37" i="4"/>
  <c r="J38" i="4"/>
  <c r="K38" i="4"/>
  <c r="L38" i="4"/>
  <c r="M38" i="4"/>
  <c r="N38" i="4"/>
  <c r="J39" i="4"/>
  <c r="K39" i="4"/>
  <c r="L39" i="4"/>
  <c r="M39" i="4"/>
  <c r="N39" i="4"/>
  <c r="J40" i="4"/>
  <c r="K40" i="4"/>
  <c r="L40" i="4"/>
  <c r="M40" i="4"/>
  <c r="N40" i="4"/>
  <c r="J41" i="4"/>
  <c r="K41" i="4"/>
  <c r="L41" i="4"/>
  <c r="M41" i="4"/>
  <c r="N41" i="4"/>
  <c r="J42" i="4"/>
  <c r="K42" i="4"/>
  <c r="L42" i="4"/>
  <c r="M42" i="4"/>
  <c r="N42" i="4"/>
  <c r="J43" i="4"/>
  <c r="K43" i="4"/>
  <c r="L43" i="4"/>
  <c r="M43" i="4"/>
  <c r="N43" i="4"/>
  <c r="J44" i="4"/>
  <c r="K44" i="4"/>
  <c r="L44" i="4"/>
  <c r="M44" i="4"/>
  <c r="N44" i="4"/>
  <c r="J45" i="4"/>
  <c r="K45" i="4"/>
  <c r="L45" i="4"/>
  <c r="M45" i="4"/>
  <c r="N45" i="4"/>
  <c r="J46" i="4"/>
  <c r="K46" i="4"/>
  <c r="L46" i="4"/>
  <c r="M46" i="4"/>
  <c r="N46" i="4"/>
  <c r="J47" i="4"/>
  <c r="K47" i="4"/>
  <c r="L47" i="4"/>
  <c r="M47" i="4"/>
  <c r="N47" i="4"/>
  <c r="K48" i="4"/>
  <c r="L48" i="4"/>
  <c r="M48" i="4"/>
  <c r="N48" i="4"/>
  <c r="J49" i="4"/>
  <c r="K49" i="4"/>
  <c r="L49" i="4"/>
  <c r="M49" i="4"/>
  <c r="N49" i="4"/>
  <c r="J50" i="4"/>
  <c r="K50" i="4"/>
  <c r="L50" i="4"/>
  <c r="M50" i="4"/>
  <c r="N50" i="4"/>
  <c r="J51" i="4"/>
  <c r="K51" i="4"/>
  <c r="L51" i="4"/>
  <c r="M51" i="4"/>
  <c r="N51" i="4"/>
  <c r="J52" i="4"/>
  <c r="K52" i="4"/>
  <c r="L52" i="4"/>
  <c r="M52" i="4"/>
  <c r="N52" i="4"/>
  <c r="J53" i="4"/>
  <c r="K53" i="4"/>
  <c r="L53" i="4"/>
  <c r="M53" i="4"/>
  <c r="N53" i="4"/>
  <c r="J54" i="4"/>
  <c r="L54" i="4"/>
  <c r="M54" i="4"/>
  <c r="N54" i="4"/>
  <c r="J55" i="4"/>
  <c r="K55" i="4"/>
  <c r="L55" i="4"/>
  <c r="M55" i="4"/>
  <c r="N55" i="4"/>
  <c r="J56" i="4"/>
  <c r="K56" i="4"/>
  <c r="L56" i="4"/>
  <c r="M56" i="4"/>
  <c r="N56" i="4"/>
  <c r="J57" i="4"/>
  <c r="K57" i="4"/>
  <c r="L57" i="4"/>
  <c r="M57" i="4"/>
  <c r="N57" i="4"/>
  <c r="J58" i="4"/>
  <c r="K58" i="4"/>
  <c r="L58" i="4"/>
  <c r="M58" i="4"/>
  <c r="N58" i="4"/>
  <c r="J59" i="4"/>
  <c r="K59" i="4"/>
  <c r="L59" i="4"/>
  <c r="M59" i="4"/>
  <c r="N59" i="4"/>
  <c r="J60" i="4"/>
  <c r="K60" i="4"/>
  <c r="L60" i="4"/>
  <c r="M60" i="4"/>
  <c r="N60" i="4"/>
  <c r="J61" i="4"/>
  <c r="K61" i="4"/>
  <c r="L61" i="4"/>
  <c r="M61" i="4"/>
  <c r="N61" i="4"/>
  <c r="J62" i="4"/>
  <c r="K62" i="4"/>
  <c r="L62" i="4"/>
  <c r="M62" i="4"/>
  <c r="N62" i="4"/>
  <c r="J63" i="4"/>
  <c r="K63" i="4"/>
  <c r="L63" i="4"/>
  <c r="M63" i="4"/>
  <c r="N63" i="4"/>
  <c r="J64" i="4"/>
  <c r="K64" i="4"/>
  <c r="L64" i="4"/>
  <c r="M64" i="4"/>
  <c r="N64" i="4"/>
  <c r="J65" i="4"/>
  <c r="K65" i="4"/>
  <c r="L65" i="4"/>
  <c r="M65" i="4"/>
  <c r="N65" i="4"/>
  <c r="J66" i="4"/>
  <c r="K66" i="4"/>
  <c r="L66" i="4"/>
  <c r="M66" i="4"/>
  <c r="N66" i="4"/>
  <c r="J67" i="4"/>
  <c r="K67" i="4"/>
  <c r="L67" i="4"/>
  <c r="M67" i="4"/>
  <c r="N67" i="4"/>
  <c r="J68" i="4"/>
  <c r="K68" i="4"/>
  <c r="L68" i="4"/>
  <c r="M68" i="4"/>
  <c r="N68" i="4"/>
  <c r="J69" i="4"/>
  <c r="K69" i="4"/>
  <c r="L69" i="4"/>
  <c r="M69" i="4"/>
  <c r="N69" i="4"/>
  <c r="J70" i="4"/>
  <c r="K70" i="4"/>
  <c r="L70" i="4"/>
  <c r="M70" i="4"/>
  <c r="N70" i="4"/>
  <c r="J71" i="4"/>
  <c r="K71" i="4"/>
  <c r="L71" i="4"/>
  <c r="M71" i="4"/>
  <c r="N71" i="4"/>
  <c r="J72" i="4"/>
  <c r="K72" i="4"/>
  <c r="L72" i="4"/>
  <c r="M72" i="4"/>
  <c r="N72" i="4"/>
  <c r="J73" i="4"/>
  <c r="K73" i="4"/>
  <c r="L73" i="4"/>
  <c r="M73" i="4"/>
  <c r="N73" i="4"/>
  <c r="J74" i="4"/>
  <c r="K74" i="4"/>
  <c r="L74" i="4"/>
  <c r="M74" i="4"/>
  <c r="N74" i="4"/>
  <c r="J75" i="4"/>
  <c r="K75" i="4"/>
  <c r="L75" i="4"/>
  <c r="M75" i="4"/>
  <c r="N75" i="4"/>
  <c r="J76" i="4"/>
  <c r="K76" i="4"/>
  <c r="L76" i="4"/>
  <c r="M76" i="4"/>
  <c r="N76" i="4"/>
  <c r="J77" i="4"/>
  <c r="K77" i="4"/>
  <c r="L77" i="4"/>
  <c r="M77" i="4"/>
  <c r="N77" i="4"/>
  <c r="J78" i="4"/>
  <c r="K78" i="4"/>
  <c r="L78" i="4"/>
  <c r="M78" i="4"/>
  <c r="N78" i="4"/>
  <c r="J79" i="4"/>
  <c r="K79" i="4"/>
  <c r="L79" i="4"/>
  <c r="M79" i="4"/>
  <c r="N79" i="4"/>
  <c r="J80" i="4"/>
  <c r="K80" i="4"/>
  <c r="L80" i="4"/>
  <c r="M80" i="4"/>
  <c r="N80" i="4"/>
  <c r="J81" i="4"/>
  <c r="K81" i="4"/>
  <c r="L81" i="4"/>
  <c r="M81" i="4"/>
  <c r="N81" i="4"/>
  <c r="J82" i="4"/>
  <c r="K82" i="4"/>
  <c r="L82" i="4"/>
  <c r="M82" i="4"/>
  <c r="N82" i="4"/>
  <c r="J83" i="4"/>
  <c r="K83" i="4"/>
  <c r="L83" i="4"/>
  <c r="M83" i="4"/>
  <c r="N83" i="4"/>
  <c r="J84" i="4"/>
  <c r="K84" i="4"/>
  <c r="L84" i="4"/>
  <c r="M84" i="4"/>
  <c r="N84" i="4"/>
  <c r="J85" i="4"/>
  <c r="K85" i="4"/>
  <c r="L85" i="4"/>
  <c r="M85" i="4"/>
  <c r="N85" i="4"/>
  <c r="J86" i="4"/>
  <c r="K86" i="4"/>
  <c r="L86" i="4"/>
  <c r="M86" i="4"/>
  <c r="N86" i="4"/>
  <c r="J87" i="4"/>
  <c r="K87" i="4"/>
  <c r="L87" i="4"/>
  <c r="M87" i="4"/>
  <c r="N87" i="4"/>
  <c r="J88" i="4"/>
  <c r="K88" i="4"/>
  <c r="L88" i="4"/>
  <c r="M88" i="4"/>
  <c r="N88" i="4"/>
  <c r="J89" i="4"/>
  <c r="K89" i="4"/>
  <c r="L89" i="4"/>
  <c r="M89" i="4"/>
  <c r="N89" i="4"/>
  <c r="J90" i="4"/>
  <c r="K90" i="4"/>
  <c r="L90" i="4"/>
  <c r="M90" i="4"/>
  <c r="N90" i="4"/>
  <c r="J91" i="4"/>
  <c r="K91" i="4"/>
  <c r="L91" i="4"/>
  <c r="M91" i="4"/>
  <c r="N91" i="4"/>
  <c r="J92" i="4"/>
  <c r="K92" i="4"/>
  <c r="L92" i="4"/>
  <c r="M92" i="4"/>
  <c r="N92" i="4"/>
  <c r="J93" i="4"/>
  <c r="K93" i="4"/>
  <c r="L93" i="4"/>
  <c r="M93" i="4"/>
  <c r="N93" i="4"/>
  <c r="J94" i="4"/>
  <c r="K94" i="4"/>
  <c r="L94" i="4"/>
  <c r="M94" i="4"/>
  <c r="N94" i="4"/>
  <c r="J95" i="4"/>
  <c r="K95" i="4"/>
  <c r="L95" i="4"/>
  <c r="M95" i="4"/>
  <c r="N95" i="4"/>
  <c r="J96" i="4"/>
  <c r="K96" i="4"/>
  <c r="L96" i="4"/>
  <c r="M96" i="4"/>
  <c r="N96" i="4"/>
  <c r="J97" i="4"/>
  <c r="K97" i="4"/>
  <c r="L97" i="4"/>
  <c r="M97" i="4"/>
  <c r="N97" i="4"/>
  <c r="J98" i="4"/>
  <c r="K98" i="4"/>
  <c r="L98" i="4"/>
  <c r="M98" i="4"/>
  <c r="N98" i="4"/>
  <c r="J99" i="4"/>
  <c r="K99" i="4"/>
  <c r="L99" i="4"/>
  <c r="M99" i="4"/>
  <c r="N99" i="4"/>
  <c r="J100" i="4"/>
  <c r="K100" i="4"/>
  <c r="L100" i="4"/>
  <c r="M100" i="4"/>
  <c r="N100" i="4"/>
  <c r="J101" i="4"/>
  <c r="K101" i="4"/>
  <c r="L101" i="4"/>
  <c r="M101" i="4"/>
  <c r="N101" i="4"/>
  <c r="J102" i="4"/>
  <c r="K102" i="4"/>
  <c r="L102" i="4"/>
  <c r="M102" i="4"/>
  <c r="N102" i="4"/>
  <c r="J103" i="4"/>
  <c r="K103" i="4"/>
  <c r="L103" i="4"/>
  <c r="M103" i="4"/>
  <c r="N103" i="4"/>
  <c r="J104" i="4"/>
  <c r="K104" i="4"/>
  <c r="L104" i="4"/>
  <c r="M104" i="4"/>
  <c r="N104" i="4"/>
  <c r="J105" i="4"/>
  <c r="K105" i="4"/>
  <c r="L105" i="4"/>
  <c r="M105" i="4"/>
  <c r="N105" i="4"/>
  <c r="J106" i="4"/>
  <c r="K106" i="4"/>
  <c r="L106" i="4"/>
  <c r="M106" i="4"/>
  <c r="N106" i="4"/>
  <c r="J107" i="4"/>
  <c r="K107" i="4"/>
  <c r="L107" i="4"/>
  <c r="M107" i="4"/>
  <c r="N107" i="4"/>
  <c r="J108" i="4"/>
  <c r="K108" i="4"/>
  <c r="L108" i="4"/>
  <c r="M108" i="4"/>
  <c r="N108" i="4"/>
  <c r="J109" i="4"/>
  <c r="K109" i="4"/>
  <c r="L109" i="4"/>
  <c r="M109" i="4"/>
  <c r="N109" i="4"/>
  <c r="J110" i="4"/>
  <c r="K110" i="4"/>
  <c r="L110" i="4"/>
  <c r="M110" i="4"/>
  <c r="N110" i="4"/>
  <c r="J111" i="4"/>
  <c r="K111" i="4"/>
  <c r="L111" i="4"/>
  <c r="M111" i="4"/>
  <c r="N111" i="4"/>
  <c r="J112" i="4"/>
  <c r="K112" i="4"/>
  <c r="L112" i="4"/>
  <c r="M112" i="4"/>
  <c r="N112" i="4"/>
  <c r="J113" i="4"/>
  <c r="K113" i="4"/>
  <c r="L113" i="4"/>
  <c r="M113" i="4"/>
  <c r="N113" i="4"/>
  <c r="J114" i="4"/>
  <c r="K114" i="4"/>
  <c r="L114" i="4"/>
  <c r="M114" i="4"/>
  <c r="N114" i="4"/>
  <c r="J115" i="4"/>
  <c r="K115" i="4"/>
  <c r="L115" i="4"/>
  <c r="M115" i="4"/>
  <c r="N115" i="4"/>
  <c r="J116" i="4"/>
  <c r="K116" i="4"/>
  <c r="L116" i="4"/>
  <c r="M116" i="4"/>
  <c r="N116" i="4"/>
  <c r="J117" i="4"/>
  <c r="K117" i="4"/>
  <c r="L117" i="4"/>
  <c r="M117" i="4"/>
  <c r="N117" i="4"/>
  <c r="J118" i="4"/>
  <c r="K118" i="4"/>
  <c r="L118" i="4"/>
  <c r="M118" i="4"/>
  <c r="N118" i="4"/>
  <c r="J119" i="4"/>
  <c r="K119" i="4"/>
  <c r="L119" i="4"/>
  <c r="M119" i="4"/>
  <c r="N119" i="4"/>
  <c r="J120" i="4"/>
  <c r="K120" i="4"/>
  <c r="L120" i="4"/>
  <c r="M120" i="4"/>
  <c r="N120" i="4"/>
  <c r="J121" i="4"/>
  <c r="K121" i="4"/>
  <c r="L121" i="4"/>
  <c r="M121" i="4"/>
  <c r="N121" i="4"/>
  <c r="J122" i="4"/>
  <c r="K122" i="4"/>
  <c r="L122" i="4"/>
  <c r="M122" i="4"/>
  <c r="N122" i="4"/>
  <c r="J123" i="4"/>
  <c r="K123" i="4"/>
  <c r="L123" i="4"/>
  <c r="M123" i="4"/>
  <c r="N123" i="4"/>
  <c r="J124" i="4"/>
  <c r="K124" i="4"/>
  <c r="L124" i="4"/>
  <c r="M124" i="4"/>
  <c r="N124" i="4"/>
  <c r="J125" i="4"/>
  <c r="K125" i="4"/>
  <c r="L125" i="4"/>
  <c r="M125" i="4"/>
  <c r="N125" i="4"/>
  <c r="J126" i="4"/>
  <c r="K126" i="4"/>
  <c r="L126" i="4"/>
  <c r="M126" i="4"/>
  <c r="N126" i="4"/>
  <c r="J127" i="4"/>
  <c r="K127" i="4"/>
  <c r="L127" i="4"/>
  <c r="M127" i="4"/>
  <c r="N127" i="4"/>
  <c r="J128" i="4"/>
  <c r="K128" i="4"/>
  <c r="L128" i="4"/>
  <c r="M128" i="4"/>
  <c r="N128" i="4"/>
  <c r="J129" i="4"/>
  <c r="K129" i="4"/>
  <c r="L129" i="4"/>
  <c r="M129" i="4"/>
  <c r="N129" i="4"/>
  <c r="J130" i="4"/>
  <c r="K130" i="4"/>
  <c r="L130" i="4"/>
  <c r="M130" i="4"/>
  <c r="N130" i="4"/>
  <c r="J131" i="4"/>
  <c r="K131" i="4"/>
  <c r="L131" i="4"/>
  <c r="M131" i="4"/>
  <c r="N131" i="4"/>
  <c r="J132" i="4"/>
  <c r="K132" i="4"/>
  <c r="L132" i="4"/>
  <c r="M132" i="4"/>
  <c r="N132" i="4"/>
  <c r="J133" i="4"/>
  <c r="K133" i="4"/>
  <c r="L133" i="4"/>
  <c r="M133" i="4"/>
  <c r="N133" i="4"/>
  <c r="J134" i="4"/>
  <c r="K134" i="4"/>
  <c r="L134" i="4"/>
  <c r="M134" i="4"/>
  <c r="N134" i="4"/>
  <c r="J135" i="4"/>
  <c r="K135" i="4"/>
  <c r="L135" i="4"/>
  <c r="M135" i="4"/>
  <c r="N135" i="4"/>
  <c r="J136" i="4"/>
  <c r="K136" i="4"/>
  <c r="L136" i="4"/>
  <c r="M136" i="4"/>
  <c r="N136" i="4"/>
  <c r="J137" i="4"/>
  <c r="K137" i="4"/>
  <c r="L137" i="4"/>
  <c r="M137" i="4"/>
  <c r="N137" i="4"/>
  <c r="J138" i="4"/>
  <c r="K138" i="4"/>
  <c r="L138" i="4"/>
  <c r="M138" i="4"/>
  <c r="N138" i="4"/>
  <c r="J139" i="4"/>
  <c r="K139" i="4"/>
  <c r="L139" i="4"/>
  <c r="M139" i="4"/>
  <c r="N139" i="4"/>
  <c r="J140" i="4"/>
  <c r="K140" i="4"/>
  <c r="L140" i="4"/>
  <c r="M140" i="4"/>
  <c r="N140" i="4"/>
  <c r="J141" i="4"/>
  <c r="K141" i="4"/>
  <c r="L141" i="4"/>
  <c r="M141" i="4"/>
  <c r="N141" i="4"/>
  <c r="J142" i="4"/>
  <c r="K142" i="4"/>
  <c r="L142" i="4"/>
  <c r="M142" i="4"/>
  <c r="N142" i="4"/>
  <c r="J143" i="4"/>
  <c r="K143" i="4"/>
  <c r="L143" i="4"/>
  <c r="M143" i="4"/>
  <c r="N143" i="4"/>
  <c r="J144" i="4"/>
  <c r="K144" i="4"/>
  <c r="L144" i="4"/>
  <c r="M144" i="4"/>
  <c r="N144" i="4"/>
  <c r="J145" i="4"/>
  <c r="K145" i="4"/>
  <c r="L145" i="4"/>
  <c r="M145" i="4"/>
  <c r="N145" i="4"/>
  <c r="J146" i="4"/>
  <c r="K146" i="4"/>
  <c r="L146" i="4"/>
  <c r="M146" i="4"/>
  <c r="N146" i="4"/>
  <c r="J147" i="4"/>
  <c r="K147" i="4"/>
  <c r="L147" i="4"/>
  <c r="M147" i="4"/>
  <c r="N147" i="4"/>
  <c r="J148" i="4"/>
  <c r="K148" i="4"/>
  <c r="L148" i="4"/>
  <c r="M148" i="4"/>
  <c r="N148" i="4"/>
  <c r="J149" i="4"/>
  <c r="K149" i="4"/>
  <c r="L149" i="4"/>
  <c r="M149" i="4"/>
  <c r="N149" i="4"/>
  <c r="J150" i="4"/>
  <c r="K150" i="4"/>
  <c r="L150" i="4"/>
  <c r="M150" i="4"/>
  <c r="N150" i="4"/>
  <c r="J151" i="4"/>
  <c r="K151" i="4"/>
  <c r="L151" i="4"/>
  <c r="M151" i="4"/>
  <c r="N151" i="4"/>
  <c r="J152" i="4"/>
  <c r="K152" i="4"/>
  <c r="L152" i="4"/>
  <c r="M152" i="4"/>
  <c r="N152" i="4"/>
  <c r="J153" i="4"/>
  <c r="K153" i="4"/>
  <c r="L153" i="4"/>
  <c r="M153" i="4"/>
  <c r="N153" i="4"/>
  <c r="J154" i="4"/>
  <c r="K154" i="4"/>
  <c r="L154" i="4"/>
  <c r="M154" i="4"/>
  <c r="N154" i="4"/>
  <c r="J155" i="4"/>
  <c r="K155" i="4"/>
  <c r="L155" i="4"/>
  <c r="M155" i="4"/>
  <c r="N155" i="4"/>
  <c r="J156" i="4"/>
  <c r="K156" i="4"/>
  <c r="L156" i="4"/>
  <c r="M156" i="4"/>
  <c r="N156" i="4"/>
  <c r="J157" i="4"/>
  <c r="K157" i="4"/>
  <c r="L157" i="4"/>
  <c r="M157" i="4"/>
  <c r="N157" i="4"/>
  <c r="J158" i="4"/>
  <c r="K158" i="4"/>
  <c r="L158" i="4"/>
  <c r="M158" i="4"/>
  <c r="N158" i="4"/>
  <c r="J159" i="4"/>
  <c r="K159" i="4"/>
  <c r="L159" i="4"/>
  <c r="M159" i="4"/>
  <c r="N159" i="4"/>
  <c r="J160" i="4"/>
  <c r="K160" i="4"/>
  <c r="L160" i="4"/>
  <c r="M160" i="4"/>
  <c r="N160" i="4"/>
  <c r="J161" i="4"/>
  <c r="K161" i="4"/>
  <c r="L161" i="4"/>
  <c r="M161" i="4"/>
  <c r="N161" i="4"/>
  <c r="J162" i="4"/>
  <c r="K162" i="4"/>
  <c r="L162" i="4"/>
  <c r="M162" i="4"/>
  <c r="N162" i="4"/>
  <c r="J163" i="4"/>
  <c r="K163" i="4"/>
  <c r="L163" i="4"/>
  <c r="M163" i="4"/>
  <c r="N163" i="4"/>
  <c r="J164" i="4"/>
  <c r="K164" i="4"/>
  <c r="L164" i="4"/>
  <c r="M164" i="4"/>
  <c r="N164" i="4"/>
  <c r="J165" i="4"/>
  <c r="K165" i="4"/>
  <c r="L165" i="4"/>
  <c r="M165" i="4"/>
  <c r="N165" i="4"/>
  <c r="J166" i="4"/>
  <c r="K166" i="4"/>
  <c r="L166" i="4"/>
  <c r="M166" i="4"/>
  <c r="N166" i="4"/>
  <c r="J167" i="4"/>
  <c r="K167" i="4"/>
  <c r="L167" i="4"/>
  <c r="M167" i="4"/>
  <c r="N167" i="4"/>
  <c r="J168" i="4"/>
  <c r="K168" i="4"/>
  <c r="L168" i="4"/>
  <c r="M168" i="4"/>
  <c r="N168" i="4"/>
  <c r="J169" i="4"/>
  <c r="K169" i="4"/>
  <c r="L169" i="4"/>
  <c r="M169" i="4"/>
  <c r="N169" i="4"/>
  <c r="J170" i="4"/>
  <c r="K170" i="4"/>
  <c r="L170" i="4"/>
  <c r="M170" i="4"/>
  <c r="N170" i="4"/>
  <c r="J171" i="4"/>
  <c r="K171" i="4"/>
  <c r="L171" i="4"/>
  <c r="M171" i="4"/>
  <c r="N171" i="4"/>
  <c r="J172" i="4"/>
  <c r="K172" i="4"/>
  <c r="L172" i="4"/>
  <c r="M172" i="4"/>
  <c r="N172" i="4"/>
  <c r="J173" i="4"/>
  <c r="K173" i="4"/>
  <c r="L173" i="4"/>
  <c r="M173" i="4"/>
  <c r="N173" i="4"/>
  <c r="J174" i="4"/>
  <c r="K174" i="4"/>
  <c r="L174" i="4"/>
  <c r="M174" i="4"/>
  <c r="N174" i="4"/>
  <c r="J175" i="4"/>
  <c r="K175" i="4"/>
  <c r="L175" i="4"/>
  <c r="M175" i="4"/>
  <c r="N175" i="4"/>
  <c r="J176" i="4"/>
  <c r="K176" i="4"/>
  <c r="L176" i="4"/>
  <c r="M176" i="4"/>
  <c r="N176" i="4"/>
  <c r="J177" i="4"/>
  <c r="K177" i="4"/>
  <c r="L177" i="4"/>
  <c r="M177" i="4"/>
  <c r="N177" i="4"/>
  <c r="J178" i="4"/>
  <c r="K178" i="4"/>
  <c r="L178" i="4"/>
  <c r="M178" i="4"/>
  <c r="N178" i="4"/>
  <c r="J179" i="4"/>
  <c r="K179" i="4"/>
  <c r="L179" i="4"/>
  <c r="M179" i="4"/>
  <c r="N179" i="4"/>
  <c r="J180" i="4"/>
  <c r="K180" i="4"/>
  <c r="L180" i="4"/>
  <c r="M180" i="4"/>
  <c r="N180" i="4"/>
  <c r="J181" i="4"/>
  <c r="K181" i="4"/>
  <c r="L181" i="4"/>
  <c r="M181" i="4"/>
  <c r="N181" i="4"/>
  <c r="J182" i="4"/>
  <c r="K182" i="4"/>
  <c r="L182" i="4"/>
  <c r="M182" i="4"/>
  <c r="N182" i="4"/>
  <c r="J183" i="4"/>
  <c r="K183" i="4"/>
  <c r="L183" i="4"/>
  <c r="M183" i="4"/>
  <c r="N183" i="4"/>
  <c r="J184" i="4"/>
  <c r="K184" i="4"/>
  <c r="L184" i="4"/>
  <c r="M184" i="4"/>
  <c r="N184" i="4"/>
  <c r="J185" i="4"/>
  <c r="K185" i="4"/>
  <c r="L185" i="4"/>
  <c r="M185" i="4"/>
  <c r="N185" i="4"/>
  <c r="J186" i="4"/>
  <c r="K186" i="4"/>
  <c r="L186" i="4"/>
  <c r="M186" i="4"/>
  <c r="N186" i="4"/>
  <c r="J187" i="4"/>
  <c r="K187" i="4"/>
  <c r="L187" i="4"/>
  <c r="M187" i="4"/>
  <c r="N187" i="4"/>
  <c r="J188" i="4"/>
  <c r="K188" i="4"/>
  <c r="L188" i="4"/>
  <c r="M188" i="4"/>
  <c r="N188" i="4"/>
  <c r="J189" i="4"/>
  <c r="K189" i="4"/>
  <c r="L189" i="4"/>
  <c r="M189" i="4"/>
  <c r="N189" i="4"/>
  <c r="J190" i="4"/>
  <c r="K190" i="4"/>
  <c r="L190" i="4"/>
  <c r="M190" i="4"/>
  <c r="N190" i="4"/>
  <c r="J191" i="4"/>
  <c r="K191" i="4"/>
  <c r="L191" i="4"/>
  <c r="M191" i="4"/>
  <c r="N191" i="4"/>
  <c r="J192" i="4"/>
  <c r="K192" i="4"/>
  <c r="L192" i="4"/>
  <c r="M192" i="4"/>
  <c r="N192" i="4"/>
  <c r="J193" i="4"/>
  <c r="K193" i="4"/>
  <c r="L193" i="4"/>
  <c r="M193" i="4"/>
  <c r="N193" i="4"/>
  <c r="J194" i="4"/>
  <c r="K194" i="4"/>
  <c r="L194" i="4"/>
  <c r="M194" i="4"/>
  <c r="N194" i="4"/>
  <c r="J195" i="4"/>
  <c r="K195" i="4"/>
  <c r="L195" i="4"/>
  <c r="M195" i="4"/>
  <c r="N195" i="4"/>
  <c r="J196" i="4"/>
  <c r="K196" i="4"/>
  <c r="L196" i="4"/>
  <c r="M196" i="4"/>
  <c r="N196" i="4"/>
  <c r="J197" i="4"/>
  <c r="K197" i="4"/>
  <c r="L197" i="4"/>
  <c r="M197" i="4"/>
  <c r="N197" i="4"/>
  <c r="J198" i="4"/>
  <c r="K198" i="4"/>
  <c r="L198" i="4"/>
  <c r="M198" i="4"/>
  <c r="N198" i="4"/>
  <c r="J199" i="4"/>
  <c r="K199" i="4"/>
  <c r="L199" i="4"/>
  <c r="M199" i="4"/>
  <c r="N199" i="4"/>
  <c r="J200" i="4"/>
  <c r="K200" i="4"/>
  <c r="L200" i="4"/>
  <c r="M200" i="4"/>
  <c r="N200" i="4"/>
  <c r="J201" i="4"/>
  <c r="K201" i="4"/>
  <c r="L201" i="4"/>
  <c r="M201" i="4"/>
  <c r="N201" i="4"/>
  <c r="J202" i="4"/>
  <c r="K202" i="4"/>
  <c r="L202" i="4"/>
  <c r="M202" i="4"/>
  <c r="N202" i="4"/>
  <c r="J203" i="4"/>
  <c r="K203" i="4"/>
  <c r="L203" i="4"/>
  <c r="M203" i="4"/>
  <c r="N203" i="4"/>
  <c r="J204" i="4"/>
  <c r="K204" i="4"/>
  <c r="L204" i="4"/>
  <c r="M204" i="4"/>
  <c r="N204" i="4"/>
  <c r="J205" i="4"/>
  <c r="K205" i="4"/>
  <c r="L205" i="4"/>
  <c r="M205" i="4"/>
  <c r="N205" i="4"/>
  <c r="J206" i="4"/>
  <c r="K206" i="4"/>
  <c r="L206" i="4"/>
  <c r="M206" i="4"/>
  <c r="N206" i="4"/>
  <c r="J207" i="4"/>
  <c r="K207" i="4"/>
  <c r="L207" i="4"/>
  <c r="M207" i="4"/>
  <c r="N207" i="4"/>
  <c r="J208" i="4"/>
  <c r="K208" i="4"/>
  <c r="L208" i="4"/>
  <c r="M208" i="4"/>
  <c r="N208" i="4"/>
  <c r="J209" i="4"/>
  <c r="K209" i="4"/>
  <c r="L209" i="4"/>
  <c r="M209" i="4"/>
  <c r="N209" i="4"/>
  <c r="J210" i="4"/>
  <c r="K210" i="4"/>
  <c r="L210" i="4"/>
  <c r="M210" i="4"/>
  <c r="N210" i="4"/>
  <c r="J211" i="4"/>
  <c r="K211" i="4"/>
  <c r="L211" i="4"/>
  <c r="M211" i="4"/>
  <c r="N211" i="4"/>
  <c r="J212" i="4"/>
  <c r="K212" i="4"/>
  <c r="L212" i="4"/>
  <c r="M212" i="4"/>
  <c r="N212" i="4"/>
  <c r="J213" i="4"/>
  <c r="K213" i="4"/>
  <c r="L213" i="4"/>
  <c r="M213" i="4"/>
  <c r="N213" i="4"/>
  <c r="J214" i="4"/>
  <c r="K214" i="4"/>
  <c r="L214" i="4"/>
  <c r="M214" i="4"/>
  <c r="N214" i="4"/>
  <c r="J215" i="4"/>
  <c r="K215" i="4"/>
  <c r="L215" i="4"/>
  <c r="M215" i="4"/>
  <c r="N215" i="4"/>
  <c r="J216" i="4"/>
  <c r="K216" i="4"/>
  <c r="L216" i="4"/>
  <c r="M216" i="4"/>
  <c r="N216" i="4"/>
  <c r="J217" i="4"/>
  <c r="K217" i="4"/>
  <c r="L217" i="4"/>
  <c r="M217" i="4"/>
  <c r="N217" i="4"/>
  <c r="J218" i="4"/>
  <c r="K218" i="4"/>
  <c r="L218" i="4"/>
  <c r="M218" i="4"/>
  <c r="N218" i="4"/>
  <c r="J219" i="4"/>
  <c r="K219" i="4"/>
  <c r="L219" i="4"/>
  <c r="M219" i="4"/>
  <c r="N219" i="4"/>
  <c r="J220" i="4"/>
  <c r="K220" i="4"/>
  <c r="L220" i="4"/>
  <c r="M220" i="4"/>
  <c r="N220" i="4"/>
  <c r="J221" i="4"/>
  <c r="K221" i="4"/>
  <c r="L221" i="4"/>
  <c r="M221" i="4"/>
  <c r="N221" i="4"/>
  <c r="J222" i="4"/>
  <c r="K222" i="4"/>
  <c r="L222" i="4"/>
  <c r="M222" i="4"/>
  <c r="N222" i="4"/>
  <c r="J223" i="4"/>
  <c r="K223" i="4"/>
  <c r="L223" i="4"/>
  <c r="M223" i="4"/>
  <c r="N223" i="4"/>
  <c r="J224" i="4"/>
  <c r="K224" i="4"/>
  <c r="L224" i="4"/>
  <c r="M224" i="4"/>
  <c r="N224" i="4"/>
  <c r="J225" i="4"/>
  <c r="K225" i="4"/>
  <c r="L225" i="4"/>
  <c r="M225" i="4"/>
  <c r="N225" i="4"/>
  <c r="J226" i="4"/>
  <c r="K226" i="4"/>
  <c r="L226" i="4"/>
  <c r="M226" i="4"/>
  <c r="N226" i="4"/>
  <c r="J227" i="4"/>
  <c r="K227" i="4"/>
  <c r="L227" i="4"/>
  <c r="M227" i="4"/>
  <c r="N227" i="4"/>
  <c r="J228" i="4"/>
  <c r="K228" i="4"/>
  <c r="L228" i="4"/>
  <c r="M228" i="4"/>
  <c r="N228" i="4"/>
  <c r="J229" i="4"/>
  <c r="K229" i="4"/>
  <c r="L229" i="4"/>
  <c r="M229" i="4"/>
  <c r="N229" i="4"/>
  <c r="J230" i="4"/>
  <c r="K230" i="4"/>
  <c r="L230" i="4"/>
  <c r="M230" i="4"/>
  <c r="N230" i="4"/>
  <c r="J231" i="4"/>
  <c r="K231" i="4"/>
  <c r="L231" i="4"/>
  <c r="M231" i="4"/>
  <c r="N231" i="4"/>
  <c r="J232" i="4"/>
  <c r="K232" i="4"/>
  <c r="L232" i="4"/>
  <c r="M232" i="4"/>
  <c r="N232" i="4"/>
  <c r="J233" i="4"/>
  <c r="K233" i="4"/>
  <c r="L233" i="4"/>
  <c r="M233" i="4"/>
  <c r="N233" i="4"/>
  <c r="J234" i="4"/>
  <c r="K234" i="4"/>
  <c r="L234" i="4"/>
  <c r="M234" i="4"/>
  <c r="N234" i="4"/>
  <c r="J235" i="4"/>
  <c r="K235" i="4"/>
  <c r="L235" i="4"/>
  <c r="M235" i="4"/>
  <c r="N235" i="4"/>
  <c r="J236" i="4"/>
  <c r="K236" i="4"/>
  <c r="L236" i="4"/>
  <c r="M236" i="4"/>
  <c r="N236" i="4"/>
  <c r="J237" i="4"/>
  <c r="K237" i="4"/>
  <c r="L237" i="4"/>
  <c r="M237" i="4"/>
  <c r="N237" i="4"/>
  <c r="J238" i="4"/>
  <c r="K238" i="4"/>
  <c r="L238" i="4"/>
  <c r="M238" i="4"/>
  <c r="N238" i="4"/>
  <c r="J239" i="4"/>
  <c r="K239" i="4"/>
  <c r="L239" i="4"/>
  <c r="M239" i="4"/>
  <c r="N239" i="4"/>
  <c r="J240" i="4"/>
  <c r="K240" i="4"/>
  <c r="L240" i="4"/>
  <c r="M240" i="4"/>
  <c r="N240" i="4"/>
  <c r="J241" i="4"/>
  <c r="K241" i="4"/>
  <c r="L241" i="4"/>
  <c r="M241" i="4"/>
  <c r="N241" i="4"/>
  <c r="J242" i="4"/>
  <c r="K242" i="4"/>
  <c r="L242" i="4"/>
  <c r="M242" i="4"/>
  <c r="N242" i="4"/>
  <c r="J243" i="4"/>
  <c r="K243" i="4"/>
  <c r="L243" i="4"/>
  <c r="M243" i="4"/>
  <c r="N243" i="4"/>
  <c r="J244" i="4"/>
  <c r="K244" i="4"/>
  <c r="L244" i="4"/>
  <c r="M244" i="4"/>
  <c r="N244" i="4"/>
  <c r="J245" i="4"/>
  <c r="K245" i="4"/>
  <c r="L245" i="4"/>
  <c r="M245" i="4"/>
  <c r="N245" i="4"/>
  <c r="J246" i="4"/>
  <c r="K246" i="4"/>
  <c r="L246" i="4"/>
  <c r="M246" i="4"/>
  <c r="N246" i="4"/>
  <c r="J247" i="4"/>
  <c r="K247" i="4"/>
  <c r="L247" i="4"/>
  <c r="M247" i="4"/>
  <c r="N247" i="4"/>
  <c r="J248" i="4"/>
  <c r="K248" i="4"/>
  <c r="L248" i="4"/>
  <c r="M248" i="4"/>
  <c r="N248" i="4"/>
  <c r="J249" i="4"/>
  <c r="K249" i="4"/>
  <c r="L249" i="4"/>
  <c r="M249" i="4"/>
  <c r="N249" i="4"/>
  <c r="J250" i="4"/>
  <c r="K250" i="4"/>
  <c r="L250" i="4"/>
  <c r="M250" i="4"/>
  <c r="N250" i="4"/>
  <c r="J251" i="4"/>
  <c r="K251" i="4"/>
  <c r="L251" i="4"/>
  <c r="M251" i="4"/>
  <c r="N251" i="4"/>
  <c r="J252" i="4"/>
  <c r="K252" i="4"/>
  <c r="L252" i="4"/>
  <c r="M252" i="4"/>
  <c r="N252" i="4"/>
  <c r="J253" i="4"/>
  <c r="K253" i="4"/>
  <c r="L253" i="4"/>
  <c r="M253" i="4"/>
  <c r="N253" i="4"/>
  <c r="J254" i="4"/>
  <c r="K254" i="4"/>
  <c r="L254" i="4"/>
  <c r="M254" i="4"/>
  <c r="N254" i="4"/>
  <c r="J255" i="4"/>
  <c r="K255" i="4"/>
  <c r="L255" i="4"/>
  <c r="M255" i="4"/>
  <c r="N255" i="4"/>
  <c r="J256" i="4"/>
  <c r="K256" i="4"/>
  <c r="L256" i="4"/>
  <c r="M256" i="4"/>
  <c r="N256" i="4"/>
  <c r="J257" i="4"/>
  <c r="K257" i="4"/>
  <c r="L257" i="4"/>
  <c r="M257" i="4"/>
  <c r="N257" i="4"/>
  <c r="J258" i="4"/>
  <c r="K258" i="4"/>
  <c r="L258" i="4"/>
  <c r="M258" i="4"/>
  <c r="N258" i="4"/>
  <c r="J259" i="4"/>
  <c r="K259" i="4"/>
  <c r="L259" i="4"/>
  <c r="M259" i="4"/>
  <c r="N259" i="4"/>
  <c r="J260" i="4"/>
  <c r="K260" i="4"/>
  <c r="L260" i="4"/>
  <c r="M260" i="4"/>
  <c r="N260" i="4"/>
  <c r="J261" i="4"/>
  <c r="K261" i="4"/>
  <c r="L261" i="4"/>
  <c r="M261" i="4"/>
  <c r="N261" i="4"/>
  <c r="J262" i="4"/>
  <c r="K262" i="4"/>
  <c r="L262" i="4"/>
  <c r="M262" i="4"/>
  <c r="N262" i="4"/>
  <c r="J263" i="4"/>
  <c r="K263" i="4"/>
  <c r="L263" i="4"/>
  <c r="M263" i="4"/>
  <c r="N263" i="4"/>
  <c r="J264" i="4"/>
  <c r="K264" i="4"/>
  <c r="L264" i="4"/>
  <c r="M264" i="4"/>
  <c r="N264" i="4"/>
  <c r="J265" i="4"/>
  <c r="K265" i="4"/>
  <c r="L265" i="4"/>
  <c r="M265" i="4"/>
  <c r="N265" i="4"/>
  <c r="J266" i="4"/>
  <c r="K266" i="4"/>
  <c r="L266" i="4"/>
  <c r="M266" i="4"/>
  <c r="N266" i="4"/>
  <c r="J267" i="4"/>
  <c r="K267" i="4"/>
  <c r="L267" i="4"/>
  <c r="M267" i="4"/>
  <c r="N267" i="4"/>
  <c r="J268" i="4"/>
  <c r="K268" i="4"/>
  <c r="L268" i="4"/>
  <c r="M268" i="4"/>
  <c r="N268" i="4"/>
  <c r="J269" i="4"/>
  <c r="K269" i="4"/>
  <c r="L269" i="4"/>
  <c r="M269" i="4"/>
  <c r="N269" i="4"/>
  <c r="J270" i="4"/>
  <c r="K270" i="4"/>
  <c r="L270" i="4"/>
  <c r="M270" i="4"/>
  <c r="N270" i="4"/>
  <c r="J271" i="4"/>
  <c r="K271" i="4"/>
  <c r="L271" i="4"/>
  <c r="M271" i="4"/>
  <c r="N271" i="4"/>
  <c r="J272" i="4"/>
  <c r="K272" i="4"/>
  <c r="L272" i="4"/>
  <c r="M272" i="4"/>
  <c r="N272" i="4"/>
  <c r="J273" i="4"/>
  <c r="K273" i="4"/>
  <c r="L273" i="4"/>
  <c r="M273" i="4"/>
  <c r="N273" i="4"/>
  <c r="J274" i="4"/>
  <c r="K274" i="4"/>
  <c r="L274" i="4"/>
  <c r="M274" i="4"/>
  <c r="N274" i="4"/>
  <c r="J275" i="4"/>
  <c r="K275" i="4"/>
  <c r="L275" i="4"/>
  <c r="M275" i="4"/>
  <c r="N275" i="4"/>
  <c r="J276" i="4"/>
  <c r="K276" i="4"/>
  <c r="L276" i="4"/>
  <c r="M276" i="4"/>
  <c r="N276" i="4"/>
  <c r="J277" i="4"/>
  <c r="K277" i="4"/>
  <c r="L277" i="4"/>
  <c r="M277" i="4"/>
  <c r="N277" i="4"/>
  <c r="J278" i="4"/>
  <c r="K278" i="4"/>
  <c r="L278" i="4"/>
  <c r="M278" i="4"/>
  <c r="N278" i="4"/>
  <c r="J279" i="4"/>
  <c r="K279" i="4"/>
  <c r="L279" i="4"/>
  <c r="M279" i="4"/>
  <c r="N279" i="4"/>
  <c r="J280" i="4"/>
  <c r="K280" i="4"/>
  <c r="L280" i="4"/>
  <c r="M280" i="4"/>
  <c r="N280" i="4"/>
  <c r="J281" i="4"/>
  <c r="K281" i="4"/>
  <c r="L281" i="4"/>
  <c r="M281" i="4"/>
  <c r="N281" i="4"/>
  <c r="J282" i="4"/>
  <c r="K282" i="4"/>
  <c r="L282" i="4"/>
  <c r="M282" i="4"/>
  <c r="N282" i="4"/>
  <c r="J283" i="4"/>
  <c r="K283" i="4"/>
  <c r="L283" i="4"/>
  <c r="M283" i="4"/>
  <c r="N283" i="4"/>
  <c r="J284" i="4"/>
  <c r="K284" i="4"/>
  <c r="L284" i="4"/>
  <c r="M284" i="4"/>
  <c r="N284" i="4"/>
  <c r="J285" i="4"/>
  <c r="K285" i="4"/>
  <c r="L285" i="4"/>
  <c r="M285" i="4"/>
  <c r="N285" i="4"/>
  <c r="J286" i="4"/>
  <c r="K286" i="4"/>
  <c r="L286" i="4"/>
  <c r="M286" i="4"/>
  <c r="N286" i="4"/>
  <c r="J287" i="4"/>
  <c r="K287" i="4"/>
  <c r="L287" i="4"/>
  <c r="M287" i="4"/>
  <c r="N287" i="4"/>
  <c r="J288" i="4"/>
  <c r="K288" i="4"/>
  <c r="L288" i="4"/>
  <c r="M288" i="4"/>
  <c r="N288" i="4"/>
  <c r="J289" i="4"/>
  <c r="K289" i="4"/>
  <c r="L289" i="4"/>
  <c r="M289" i="4"/>
  <c r="N289" i="4"/>
  <c r="J290" i="4"/>
  <c r="K290" i="4"/>
  <c r="L290" i="4"/>
  <c r="M290" i="4"/>
  <c r="N290" i="4"/>
  <c r="J291" i="4"/>
  <c r="K291" i="4"/>
  <c r="L291" i="4"/>
  <c r="M291" i="4"/>
  <c r="N291" i="4"/>
  <c r="J292" i="4"/>
  <c r="K292" i="4"/>
  <c r="L292" i="4"/>
  <c r="M292" i="4"/>
  <c r="N292" i="4"/>
  <c r="J293" i="4"/>
  <c r="K293" i="4"/>
  <c r="L293" i="4"/>
  <c r="M293" i="4"/>
  <c r="N293" i="4"/>
  <c r="J294" i="4"/>
  <c r="K294" i="4"/>
  <c r="L294" i="4"/>
  <c r="M294" i="4"/>
  <c r="N294" i="4"/>
  <c r="J295" i="4"/>
  <c r="K295" i="4"/>
  <c r="L295" i="4"/>
  <c r="M295" i="4"/>
  <c r="N295" i="4"/>
  <c r="J296" i="4"/>
  <c r="K296" i="4"/>
  <c r="L296" i="4"/>
  <c r="M296" i="4"/>
  <c r="N296" i="4"/>
  <c r="J297" i="4"/>
  <c r="K297" i="4"/>
  <c r="L297" i="4"/>
  <c r="M297" i="4"/>
  <c r="N297" i="4"/>
  <c r="J298" i="4"/>
  <c r="K298" i="4"/>
  <c r="L298" i="4"/>
  <c r="M298" i="4"/>
  <c r="N298" i="4"/>
  <c r="J299" i="4"/>
  <c r="K299" i="4"/>
  <c r="L299" i="4"/>
  <c r="M299" i="4"/>
  <c r="N299" i="4"/>
  <c r="J300" i="4"/>
  <c r="K300" i="4"/>
  <c r="L300" i="4"/>
  <c r="M300" i="4"/>
  <c r="N300" i="4"/>
  <c r="J301" i="4"/>
  <c r="K301" i="4"/>
  <c r="L301" i="4"/>
  <c r="M301" i="4"/>
  <c r="N301" i="4"/>
  <c r="J302" i="4"/>
  <c r="K302" i="4"/>
  <c r="L302" i="4"/>
  <c r="M302" i="4"/>
  <c r="N302" i="4"/>
  <c r="J303" i="4"/>
  <c r="K303" i="4"/>
  <c r="L303" i="4"/>
  <c r="M303" i="4"/>
  <c r="N303" i="4"/>
  <c r="J304" i="4"/>
  <c r="K304" i="4"/>
  <c r="L304" i="4"/>
  <c r="M304" i="4"/>
  <c r="N304" i="4"/>
  <c r="J305" i="4"/>
  <c r="K305" i="4"/>
  <c r="L305" i="4"/>
  <c r="M305" i="4"/>
  <c r="N305" i="4"/>
  <c r="J306" i="4"/>
  <c r="K306" i="4"/>
  <c r="L306" i="4"/>
  <c r="M306" i="4"/>
  <c r="N306" i="4"/>
  <c r="J307" i="4"/>
  <c r="K307" i="4"/>
  <c r="L307" i="4"/>
  <c r="M307" i="4"/>
  <c r="N307" i="4"/>
  <c r="J308" i="4"/>
  <c r="K308" i="4"/>
  <c r="L308" i="4"/>
  <c r="M308" i="4"/>
  <c r="N308" i="4"/>
  <c r="J309" i="4"/>
  <c r="K309" i="4"/>
  <c r="L309" i="4"/>
  <c r="M309" i="4"/>
  <c r="N309" i="4"/>
  <c r="J310" i="4"/>
  <c r="K310" i="4"/>
  <c r="L310" i="4"/>
  <c r="M310" i="4"/>
  <c r="N310" i="4"/>
  <c r="J311" i="4"/>
  <c r="K311" i="4"/>
  <c r="L311" i="4"/>
  <c r="M311" i="4"/>
  <c r="N311" i="4"/>
  <c r="J312" i="4"/>
  <c r="K312" i="4"/>
  <c r="L312" i="4"/>
  <c r="M312" i="4"/>
  <c r="N312" i="4"/>
  <c r="J313" i="4"/>
  <c r="K313" i="4"/>
  <c r="L313" i="4"/>
  <c r="M313" i="4"/>
  <c r="N313" i="4"/>
  <c r="J314" i="4"/>
  <c r="K314" i="4"/>
  <c r="L314" i="4"/>
  <c r="M314" i="4"/>
  <c r="N314" i="4"/>
  <c r="J315" i="4"/>
  <c r="K315" i="4"/>
  <c r="L315" i="4"/>
  <c r="M315" i="4"/>
  <c r="N315" i="4"/>
  <c r="J316" i="4"/>
  <c r="K316" i="4"/>
  <c r="L316" i="4"/>
  <c r="M316" i="4"/>
  <c r="N316" i="4"/>
  <c r="J317" i="4"/>
  <c r="K317" i="4"/>
  <c r="L317" i="4"/>
  <c r="M317" i="4"/>
  <c r="N317" i="4"/>
  <c r="J318" i="4"/>
  <c r="K318" i="4"/>
  <c r="L318" i="4"/>
  <c r="M318" i="4"/>
  <c r="N318" i="4"/>
  <c r="J319" i="4"/>
  <c r="K319" i="4"/>
  <c r="L319" i="4"/>
  <c r="M319" i="4"/>
  <c r="N319" i="4"/>
  <c r="J320" i="4"/>
  <c r="K320" i="4"/>
  <c r="L320" i="4"/>
  <c r="M320" i="4"/>
  <c r="N320" i="4"/>
  <c r="J321" i="4"/>
  <c r="K321" i="4"/>
  <c r="L321" i="4"/>
  <c r="M321" i="4"/>
  <c r="N321" i="4"/>
  <c r="J322" i="4"/>
  <c r="K322" i="4"/>
  <c r="L322" i="4"/>
  <c r="M322" i="4"/>
  <c r="N322" i="4"/>
  <c r="J323" i="4"/>
  <c r="K323" i="4"/>
  <c r="L323" i="4"/>
  <c r="M323" i="4"/>
  <c r="N323" i="4"/>
  <c r="J324" i="4"/>
  <c r="K324" i="4"/>
  <c r="L324" i="4"/>
  <c r="M324" i="4"/>
  <c r="N324" i="4"/>
  <c r="J325" i="4"/>
  <c r="K325" i="4"/>
  <c r="L325" i="4"/>
  <c r="M325" i="4"/>
  <c r="N325" i="4"/>
  <c r="J326" i="4"/>
  <c r="K326" i="4"/>
  <c r="L326" i="4"/>
  <c r="M326" i="4"/>
  <c r="N326" i="4"/>
  <c r="J327" i="4"/>
  <c r="K327" i="4"/>
  <c r="L327" i="4"/>
  <c r="M327" i="4"/>
  <c r="N327" i="4"/>
  <c r="J328" i="4"/>
  <c r="K328" i="4"/>
  <c r="L328" i="4"/>
  <c r="M328" i="4"/>
  <c r="N328" i="4"/>
  <c r="J329" i="4"/>
  <c r="K329" i="4"/>
  <c r="L329" i="4"/>
  <c r="M329" i="4"/>
  <c r="N329" i="4"/>
  <c r="J330" i="4"/>
  <c r="K330" i="4"/>
  <c r="L330" i="4"/>
  <c r="M330" i="4"/>
  <c r="N330" i="4"/>
  <c r="J331" i="4"/>
  <c r="K331" i="4"/>
  <c r="L331" i="4"/>
  <c r="M331" i="4"/>
  <c r="N331" i="4"/>
  <c r="J332" i="4"/>
  <c r="K332" i="4"/>
  <c r="L332" i="4"/>
  <c r="M332" i="4"/>
  <c r="N332" i="4"/>
  <c r="J333" i="4"/>
  <c r="K333" i="4"/>
  <c r="L333" i="4"/>
  <c r="M333" i="4"/>
  <c r="N333" i="4"/>
  <c r="J334" i="4"/>
  <c r="K334" i="4"/>
  <c r="L334" i="4"/>
  <c r="M334" i="4"/>
  <c r="N334" i="4"/>
  <c r="J335" i="4"/>
  <c r="K335" i="4"/>
  <c r="L335" i="4"/>
  <c r="M335" i="4"/>
  <c r="N335" i="4"/>
  <c r="J336" i="4"/>
  <c r="K336" i="4"/>
  <c r="L336" i="4"/>
  <c r="M336" i="4"/>
  <c r="N336" i="4"/>
  <c r="J337" i="4"/>
  <c r="K337" i="4"/>
  <c r="L337" i="4"/>
  <c r="M337" i="4"/>
  <c r="N337" i="4"/>
  <c r="J338" i="4"/>
  <c r="K338" i="4"/>
  <c r="L338" i="4"/>
  <c r="M338" i="4"/>
  <c r="N338" i="4"/>
  <c r="J339" i="4"/>
  <c r="K339" i="4"/>
  <c r="L339" i="4"/>
  <c r="M339" i="4"/>
  <c r="N339" i="4"/>
  <c r="J340" i="4"/>
  <c r="K340" i="4"/>
  <c r="L340" i="4"/>
  <c r="M340" i="4"/>
  <c r="N340" i="4"/>
  <c r="J341" i="4"/>
  <c r="K341" i="4"/>
  <c r="L341" i="4"/>
  <c r="M341" i="4"/>
  <c r="N341" i="4"/>
  <c r="J342" i="4"/>
  <c r="K342" i="4"/>
  <c r="L342" i="4"/>
  <c r="M342" i="4"/>
  <c r="N342" i="4"/>
  <c r="J343" i="4"/>
  <c r="K343" i="4"/>
  <c r="L343" i="4"/>
  <c r="M343" i="4"/>
  <c r="N343" i="4"/>
  <c r="J344" i="4"/>
  <c r="K344" i="4"/>
  <c r="L344" i="4"/>
  <c r="M344" i="4"/>
  <c r="N344" i="4"/>
  <c r="J345" i="4"/>
  <c r="K345" i="4"/>
  <c r="L345" i="4"/>
  <c r="M345" i="4"/>
  <c r="N345" i="4"/>
  <c r="K3" i="4"/>
  <c r="L3" i="4"/>
  <c r="M3" i="4"/>
  <c r="N3" i="4"/>
  <c r="J3" i="4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C12" i="6" s="1"/>
  <c r="D76" i="7"/>
  <c r="C7" i="6" s="1"/>
  <c r="D77" i="7"/>
  <c r="C57" i="6" s="1"/>
  <c r="D78" i="7"/>
  <c r="D79" i="7"/>
  <c r="C38" i="6" s="1"/>
  <c r="D80" i="7"/>
  <c r="C23" i="6" s="1"/>
  <c r="D81" i="7"/>
  <c r="C55" i="6" s="1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C62" i="6" s="1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C80" i="6" s="1"/>
  <c r="D134" i="7"/>
  <c r="D135" i="7"/>
  <c r="D136" i="7"/>
  <c r="D137" i="7"/>
  <c r="D138" i="7"/>
  <c r="D139" i="7"/>
  <c r="D140" i="7"/>
  <c r="C64" i="6" s="1"/>
  <c r="D141" i="7"/>
  <c r="C76" i="6" s="1"/>
  <c r="D142" i="7"/>
  <c r="D143" i="7"/>
  <c r="D144" i="7"/>
  <c r="D145" i="7"/>
  <c r="D146" i="7"/>
  <c r="D147" i="7"/>
  <c r="D148" i="7"/>
  <c r="C25" i="6" s="1"/>
  <c r="D149" i="7"/>
  <c r="C29" i="6" s="1"/>
  <c r="D150" i="7"/>
  <c r="D151" i="7"/>
  <c r="D152" i="7"/>
  <c r="D153" i="7"/>
  <c r="D154" i="7"/>
  <c r="D155" i="7"/>
  <c r="D156" i="7"/>
  <c r="D157" i="7"/>
  <c r="D158" i="7"/>
  <c r="D159" i="7"/>
  <c r="D160" i="7"/>
  <c r="D161" i="7"/>
  <c r="C60" i="6" s="1"/>
  <c r="D162" i="7"/>
  <c r="D163" i="7"/>
  <c r="C58" i="6" s="1"/>
  <c r="D164" i="7"/>
  <c r="C8" i="6" s="1"/>
  <c r="D165" i="7"/>
  <c r="C9" i="6" s="1"/>
  <c r="D166" i="7"/>
  <c r="D167" i="7"/>
  <c r="D168" i="7"/>
  <c r="D169" i="7"/>
  <c r="D170" i="7"/>
  <c r="D171" i="7"/>
  <c r="D172" i="7"/>
  <c r="C10" i="6" s="1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C26" i="6" s="1"/>
  <c r="D194" i="7"/>
  <c r="D195" i="7"/>
  <c r="C42" i="6" s="1"/>
  <c r="D196" i="7"/>
  <c r="D197" i="7"/>
  <c r="D198" i="7"/>
  <c r="D199" i="7"/>
  <c r="C126" i="6" s="1"/>
  <c r="D200" i="7"/>
  <c r="D201" i="7"/>
  <c r="D202" i="7"/>
  <c r="D203" i="7"/>
  <c r="D204" i="7"/>
  <c r="D205" i="7"/>
  <c r="D206" i="7"/>
  <c r="C107" i="6" s="1"/>
  <c r="D207" i="7"/>
  <c r="D208" i="7"/>
  <c r="D209" i="7"/>
  <c r="D210" i="7"/>
  <c r="D211" i="7"/>
  <c r="D212" i="7"/>
  <c r="D213" i="7"/>
  <c r="D214" i="7"/>
  <c r="D215" i="7"/>
  <c r="D216" i="7"/>
  <c r="C66" i="6" s="1"/>
  <c r="D217" i="7"/>
  <c r="D218" i="7"/>
  <c r="D219" i="7"/>
  <c r="D220" i="7"/>
  <c r="D221" i="7"/>
  <c r="D222" i="7"/>
  <c r="D223" i="7"/>
  <c r="C41" i="6" s="1"/>
  <c r="D224" i="7"/>
  <c r="C35" i="6" s="1"/>
  <c r="D225" i="7"/>
  <c r="D226" i="7"/>
  <c r="D227" i="7"/>
  <c r="C61" i="6" s="1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C18" i="6" s="1"/>
  <c r="D256" i="7"/>
  <c r="D257" i="7"/>
  <c r="D258" i="7"/>
  <c r="D259" i="7"/>
  <c r="D260" i="7"/>
  <c r="D261" i="7"/>
  <c r="C33" i="6" s="1"/>
  <c r="D262" i="7"/>
  <c r="D263" i="7"/>
  <c r="D264" i="7"/>
  <c r="D265" i="7"/>
  <c r="D266" i="7"/>
  <c r="D267" i="7"/>
  <c r="D268" i="7"/>
  <c r="D269" i="7"/>
  <c r="D270" i="7"/>
  <c r="C34" i="6" s="1"/>
  <c r="D271" i="7"/>
  <c r="D272" i="7"/>
  <c r="C31" i="6" s="1"/>
  <c r="D273" i="7"/>
  <c r="C54" i="6" s="1"/>
  <c r="D274" i="7"/>
  <c r="C129" i="6" s="1"/>
  <c r="D275" i="7"/>
  <c r="D276" i="7"/>
  <c r="D277" i="7"/>
  <c r="D278" i="7"/>
  <c r="D279" i="7"/>
  <c r="D280" i="7"/>
  <c r="D281" i="7"/>
  <c r="D282" i="7"/>
  <c r="C46" i="6" s="1"/>
  <c r="D283" i="7"/>
  <c r="D284" i="7"/>
  <c r="D285" i="7"/>
  <c r="C28" i="6" s="1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C32" i="6" s="1"/>
  <c r="D311" i="7"/>
  <c r="C43" i="6" s="1"/>
  <c r="D312" i="7"/>
  <c r="D313" i="7"/>
  <c r="C49" i="6" s="1"/>
  <c r="D314" i="7"/>
  <c r="D315" i="7"/>
  <c r="D316" i="7"/>
  <c r="D317" i="7"/>
  <c r="D318" i="7"/>
  <c r="D319" i="7"/>
  <c r="D320" i="7"/>
  <c r="D321" i="7"/>
  <c r="D322" i="7"/>
  <c r="D323" i="7"/>
  <c r="D324" i="7"/>
  <c r="C65" i="6" s="1"/>
  <c r="D325" i="7"/>
  <c r="C50" i="6" s="1"/>
  <c r="D326" i="7"/>
  <c r="D327" i="7"/>
  <c r="D328" i="7"/>
  <c r="C37" i="6" s="1"/>
  <c r="D329" i="7"/>
  <c r="C36" i="6" s="1"/>
  <c r="D330" i="7"/>
  <c r="C135" i="6" s="1"/>
  <c r="D331" i="7"/>
  <c r="D332" i="7"/>
  <c r="D333" i="7"/>
  <c r="D334" i="7"/>
  <c r="D335" i="7"/>
  <c r="C116" i="6" s="1"/>
  <c r="D336" i="7"/>
  <c r="D337" i="7"/>
  <c r="C40" i="6" s="1"/>
  <c r="D338" i="7"/>
  <c r="D339" i="7"/>
  <c r="C48" i="6" s="1"/>
  <c r="D340" i="7"/>
  <c r="C118" i="6" s="1"/>
  <c r="D341" i="7"/>
  <c r="C127" i="6" s="1"/>
  <c r="D342" i="7"/>
  <c r="D343" i="7"/>
  <c r="C21" i="6" s="1"/>
  <c r="D344" i="7"/>
  <c r="C51" i="6" s="1"/>
  <c r="D345" i="7"/>
  <c r="D346" i="7"/>
  <c r="D347" i="7"/>
  <c r="D348" i="7"/>
  <c r="D349" i="7"/>
  <c r="C115" i="6" s="1"/>
  <c r="D350" i="7"/>
  <c r="C6" i="6" s="1"/>
  <c r="D351" i="7"/>
  <c r="D352" i="7"/>
  <c r="D353" i="7"/>
  <c r="D354" i="7"/>
  <c r="D355" i="7"/>
  <c r="C30" i="6" s="1"/>
  <c r="D356" i="7"/>
  <c r="D357" i="7"/>
  <c r="D358" i="7"/>
  <c r="D359" i="7"/>
  <c r="D360" i="7"/>
  <c r="D361" i="7"/>
  <c r="D362" i="7"/>
  <c r="C47" i="6" s="1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C68" i="6" s="1"/>
  <c r="D458" i="7"/>
  <c r="D459" i="7"/>
  <c r="D460" i="7"/>
  <c r="D461" i="7"/>
  <c r="D462" i="7"/>
  <c r="D463" i="7"/>
  <c r="D464" i="7"/>
  <c r="D465" i="7"/>
  <c r="D466" i="7"/>
  <c r="D467" i="7"/>
  <c r="D468" i="7"/>
  <c r="C71" i="6" s="1"/>
  <c r="D469" i="7"/>
  <c r="D470" i="7"/>
  <c r="D471" i="7"/>
  <c r="D472" i="7"/>
  <c r="D473" i="7"/>
  <c r="D474" i="7"/>
  <c r="D475" i="7"/>
  <c r="D476" i="7"/>
  <c r="C73" i="6" s="1"/>
  <c r="D477" i="7"/>
  <c r="C74" i="6" s="1"/>
  <c r="D478" i="7"/>
  <c r="D479" i="7"/>
  <c r="D480" i="7"/>
  <c r="D481" i="7"/>
  <c r="D482" i="7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3" i="5"/>
  <c r="C130" i="6" l="1"/>
  <c r="C77" i="6"/>
  <c r="C24" i="6"/>
  <c r="C56" i="6"/>
  <c r="C63" i="6"/>
  <c r="C39" i="6"/>
  <c r="C59" i="6"/>
  <c r="C53" i="6"/>
  <c r="C11" i="6"/>
  <c r="C13" i="6"/>
  <c r="C14" i="6"/>
  <c r="C72" i="6"/>
  <c r="C75" i="6"/>
  <c r="C103" i="6"/>
  <c r="C105" i="6"/>
  <c r="C4" i="6"/>
  <c r="C5" i="6"/>
  <c r="C3" i="6"/>
  <c r="C2" i="6"/>
  <c r="C17" i="6"/>
  <c r="C128" i="6"/>
  <c r="C125" i="6"/>
  <c r="C44" i="6"/>
  <c r="C22" i="6"/>
  <c r="C122" i="6"/>
  <c r="C16" i="6"/>
  <c r="C78" i="6"/>
  <c r="C27" i="6"/>
  <c r="C15" i="6"/>
  <c r="C67" i="6"/>
  <c r="C69" i="6"/>
  <c r="C70" i="6"/>
  <c r="C20" i="6"/>
  <c r="C93" i="6"/>
  <c r="C99" i="6"/>
  <c r="C45" i="6"/>
  <c r="C19" i="6"/>
  <c r="C123" i="6"/>
  <c r="C52" i="6"/>
  <c r="C79" i="6"/>
  <c r="C106" i="6"/>
  <c r="C89" i="6"/>
  <c r="C90" i="6"/>
  <c r="C110" i="6"/>
  <c r="C1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tc={D0E26F4C-4324-DE44-9C09-F5D35772B2C8}</author>
  </authors>
  <commentList>
    <comment ref="B1" authorId="0" shapeId="0" xr:uid="{D0E26F4C-4324-DE44-9C09-F5D35772B2C8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id,name,username,email,profile.name,FederationIdentifier from User where IsActive = true and profile.name != 'Chatter Free User'</t>
      </text>
    </comment>
  </commentList>
</comments>
</file>

<file path=xl/sharedStrings.xml><?xml version="1.0" encoding="utf-8"?>
<sst xmlns="http://schemas.openxmlformats.org/spreadsheetml/2006/main" count="5909" uniqueCount="1640">
  <si>
    <t>Name</t>
  </si>
  <si>
    <t>Building ID</t>
  </si>
  <si>
    <t>Queue Type</t>
  </si>
  <si>
    <t>Salesforce Queue Name / User</t>
  </si>
  <si>
    <t>Pin Yard - Apartments</t>
  </si>
  <si>
    <t>a188d0000009nRPAAY</t>
  </si>
  <si>
    <t>Finance</t>
  </si>
  <si>
    <t>Centralised PM</t>
  </si>
  <si>
    <t>Pin Yard Team</t>
  </si>
  <si>
    <t>Onsite PM</t>
  </si>
  <si>
    <t>Asset Management</t>
  </si>
  <si>
    <t>AM: BTR-Regions</t>
  </si>
  <si>
    <t>Letting</t>
  </si>
  <si>
    <t>Lettings North East</t>
  </si>
  <si>
    <t>Pin Yard - Car Parking</t>
  </si>
  <si>
    <t>a188d0000009nRUAAY</t>
  </si>
  <si>
    <t>The Headline Apts, Wellington Park Way, Leeds</t>
  </si>
  <si>
    <t>a184J000001UvzFQAS</t>
  </si>
  <si>
    <t>The Headline Team</t>
  </si>
  <si>
    <t>The Headline Car Pk Wellington Park Way Leeds</t>
  </si>
  <si>
    <t>a184J000001UvzKQAS</t>
  </si>
  <si>
    <t>The Forge Apts, North, Newcastle, NE1 3AA</t>
  </si>
  <si>
    <t>a188d0000008PiSAAU</t>
  </si>
  <si>
    <t>The Forge Team</t>
  </si>
  <si>
    <t>The Forge Apts, South, Newcastle, NE1 3AA</t>
  </si>
  <si>
    <t>a188d0000008PiXAAU</t>
  </si>
  <si>
    <t>The Forge Apts, West, Newcastle, NE1 3AA</t>
  </si>
  <si>
    <t>a188d0000008PicAAE</t>
  </si>
  <si>
    <t>The Tilt Works - Ingot Place</t>
  </si>
  <si>
    <t>a18Nz000000cxbqIAA</t>
  </si>
  <si>
    <t>The Tilt Works Team</t>
  </si>
  <si>
    <t>AM: New Launches</t>
  </si>
  <si>
    <t>The Tilt Works - Car Parking</t>
  </si>
  <si>
    <t>a18Nz000000cy6UIAQ</t>
  </si>
  <si>
    <t>The Tilt Works - Nickel Place</t>
  </si>
  <si>
    <t>a18Nz000000d2efIAA</t>
  </si>
  <si>
    <t>Brook Place Apts, Car Parking</t>
  </si>
  <si>
    <t>a184J000001Uj13QAC</t>
  </si>
  <si>
    <t>Brook Place Team</t>
  </si>
  <si>
    <t>Brook Place Apts, 10 Summerfield Street, Shef</t>
  </si>
  <si>
    <t>a184J000001Uj5jQAC</t>
  </si>
  <si>
    <t>Clippers - Ambassador Apartments</t>
  </si>
  <si>
    <t>a184J000001Uj1rQAC</t>
  </si>
  <si>
    <t>Clippers Quay Team</t>
  </si>
  <si>
    <t>Lettings North West</t>
  </si>
  <si>
    <t>Clippers - Tayleur Apartments</t>
  </si>
  <si>
    <t>a184J000001UipeQAC</t>
  </si>
  <si>
    <t>Clippers - Car Parking</t>
  </si>
  <si>
    <t>a184J000001Uin7QAC</t>
  </si>
  <si>
    <t>Clippers - Torrens Apartments</t>
  </si>
  <si>
    <t>a184J000001UivWQAS</t>
  </si>
  <si>
    <t>Clippers - Syren Apartments</t>
  </si>
  <si>
    <t>a184J000001UixBQAS</t>
  </si>
  <si>
    <t>HG - Hawkins and George Parking</t>
  </si>
  <si>
    <t>a184J000001UikzQAC</t>
  </si>
  <si>
    <t>Hawkins &amp; George Team</t>
  </si>
  <si>
    <t>Lettings Midlands</t>
  </si>
  <si>
    <t>HG-Georges Whrf, Finzels Reach, Bristol, BS1</t>
  </si>
  <si>
    <t>a184J000001Uil7QAC</t>
  </si>
  <si>
    <t>HG-Georges Whrf, Finzels Reach, Bristol, BS2</t>
  </si>
  <si>
    <t>HG-Georges Whrf, Finzels Reach, Bristol, BS3</t>
  </si>
  <si>
    <t>HG-Georges Whrf, Finzels Reach, Bristol, BS4</t>
  </si>
  <si>
    <t>HG-Georges Whrf, Finzels Reach, Bristol, BS5</t>
  </si>
  <si>
    <t>HG-Hawkins Ln, Finzels Reach, Bristol, BS1</t>
  </si>
  <si>
    <t>a184J000001UiyoQAC</t>
  </si>
  <si>
    <t>HG-Hawkins Ln, Finzels Reach, Bristol, BS2</t>
  </si>
  <si>
    <t>HG-Hawkins Ln, Finzels Reach, Bristol, BS3</t>
  </si>
  <si>
    <t>HG-Hawkins Ln, Finzels Reach, Bristol, BS4</t>
  </si>
  <si>
    <t>HG-Hawkins Ln, Finzels Reach, Bristol, BS5</t>
  </si>
  <si>
    <t>The Condor  - Car Parking</t>
  </si>
  <si>
    <t>a188d000002xL7FAAU</t>
  </si>
  <si>
    <t>The Condor Team</t>
  </si>
  <si>
    <t>The Condor  - Apartments</t>
  </si>
  <si>
    <t>a188d000002xL75AAE</t>
  </si>
  <si>
    <t>The Barnum  - Car Parking</t>
  </si>
  <si>
    <t>a18Nz000000jBH4IAM</t>
  </si>
  <si>
    <t>The Barnum Team</t>
  </si>
  <si>
    <t>The Barnum  - Apartments</t>
  </si>
  <si>
    <t>a18Nz000000jDZ0IAM</t>
  </si>
  <si>
    <t>Enigma Square  - Car Parking</t>
  </si>
  <si>
    <t>a188d000000BNjbAAG</t>
  </si>
  <si>
    <t>Enigma Square Team</t>
  </si>
  <si>
    <t>Enigma Square  - Apartments</t>
  </si>
  <si>
    <t>a188d000000BNjgAAG</t>
  </si>
  <si>
    <t>Solstice Apts, 801 Silbury Boulevard, MK9</t>
  </si>
  <si>
    <t>a184J000001Uj5ZQAS</t>
  </si>
  <si>
    <t>Solstice Apts, 801 Silbury Boulevard, MK10</t>
  </si>
  <si>
    <t>Solstice Apartments Team</t>
  </si>
  <si>
    <t>Solstice Apts, 801 Silbury Boulevard, MK11</t>
  </si>
  <si>
    <t>Solstice Apts, 801 Silbury Boulevard, MK12</t>
  </si>
  <si>
    <t>Solstice Apts, 801 Silbury Boulevard, MK13</t>
  </si>
  <si>
    <t>Solstice Apts, Car Parking, Silbury Boulevard</t>
  </si>
  <si>
    <t>a184J000001Uj26QAC</t>
  </si>
  <si>
    <t>The Filaments, 215 Chapel St, Salford, M3 5PE</t>
  </si>
  <si>
    <t>a184J000001UiuPQAS</t>
  </si>
  <si>
    <t>The Filaments Team</t>
  </si>
  <si>
    <t>The Filaments, Car Parking, Chapel St, Salfor</t>
  </si>
  <si>
    <t>a184J000001UiwJQAS</t>
  </si>
  <si>
    <t>The Filaments, 207 Chapel St, Salford, M3 5PF</t>
  </si>
  <si>
    <t>a184J000001UizMQAS</t>
  </si>
  <si>
    <t>The Filaments, 217 Chapel St, Salford, M3 5PA</t>
  </si>
  <si>
    <t>a184J000001UizWQAS</t>
  </si>
  <si>
    <t>Gilders Yard - Apartments D</t>
  </si>
  <si>
    <t>a188d0000009vcQAAQ</t>
  </si>
  <si>
    <t>Gilders Yard Team</t>
  </si>
  <si>
    <t>Gilders Yard - Apartments A-C</t>
  </si>
  <si>
    <t>a188d0000009vcaAAA</t>
  </si>
  <si>
    <t>Gilders Yard - Car Parking</t>
  </si>
  <si>
    <t>a188d0000009vcVAAQ</t>
  </si>
  <si>
    <t>Copperworks - Apartments</t>
  </si>
  <si>
    <t>a18Nz0000005nUjIAI</t>
  </si>
  <si>
    <t>Copperworks Team</t>
  </si>
  <si>
    <t>Lettings Wales</t>
  </si>
  <si>
    <t>Copperworks - Car Parking</t>
  </si>
  <si>
    <t>a18Nz0000005iWjIAI</t>
  </si>
  <si>
    <t>Copperworks - MSCP</t>
  </si>
  <si>
    <t>a18Nz0000005myWIAQ</t>
  </si>
  <si>
    <t>Weavers Yard - Bamboo House</t>
  </si>
  <si>
    <t>a188d000000ANw9AAG</t>
  </si>
  <si>
    <t>Weavers Yard Team</t>
  </si>
  <si>
    <t>AM: BTR-London</t>
  </si>
  <si>
    <t>Weavers Yard - Block D</t>
  </si>
  <si>
    <t>a188d000000ANwEAAW</t>
  </si>
  <si>
    <t>Weavers Yard - Cable House</t>
  </si>
  <si>
    <t>a188d000000ANvzAAG</t>
  </si>
  <si>
    <t>Weavers Yard - Car Parking</t>
  </si>
  <si>
    <t>a188d000000ANvaAAG</t>
  </si>
  <si>
    <t>Weavers Yard - Purl House</t>
  </si>
  <si>
    <t>a188d000000ANvVAAW</t>
  </si>
  <si>
    <t>Weavers Yard - Farrow House</t>
  </si>
  <si>
    <t>a188d000000ANvfAAG</t>
  </si>
  <si>
    <t>Weavers Yard - Garter House</t>
  </si>
  <si>
    <t>a188d000000ANvuAAG</t>
  </si>
  <si>
    <t>Weavers Yard - Herringbone House</t>
  </si>
  <si>
    <t>a188d000000ANvpAAG</t>
  </si>
  <si>
    <t>The Mint - Car Parking</t>
  </si>
  <si>
    <t>a188d000002x9f2AAA</t>
  </si>
  <si>
    <t>The Mint Team</t>
  </si>
  <si>
    <t>The Mint - Assay Apartments</t>
  </si>
  <si>
    <t>a188d000002x9exAAA</t>
  </si>
  <si>
    <t>Argo Apartments</t>
  </si>
  <si>
    <t>a184J000001Uj8fQAC</t>
  </si>
  <si>
    <t>Argo Apartments Team</t>
  </si>
  <si>
    <t>Nautilus - Apartments</t>
  </si>
  <si>
    <t>a188d000002xL6qAAE</t>
  </si>
  <si>
    <t>Nautilus Apartments Team</t>
  </si>
  <si>
    <t>Nautilus - Car Parking</t>
  </si>
  <si>
    <t>a188d000002xL6vAAE</t>
  </si>
  <si>
    <t>Abbeville Apartments, 37 London Road, Barking</t>
  </si>
  <si>
    <t>a184J000001UiWFQA0</t>
  </si>
  <si>
    <t>a184J000001UiWFQA1</t>
  </si>
  <si>
    <t>Abbeville Apartments</t>
  </si>
  <si>
    <t>a184J000001UiWFQA2</t>
  </si>
  <si>
    <t>a184J000001UiWFQA3</t>
  </si>
  <si>
    <t>a184J000001UiWFQA4</t>
  </si>
  <si>
    <t>Adlay Apartments, 3 Millet Place, London E16</t>
  </si>
  <si>
    <t>a184J000001UjEJQA0</t>
  </si>
  <si>
    <t>Adlay Apartments, 3 Millet Place, London E17</t>
  </si>
  <si>
    <t>a184J000001UjEJQA1</t>
  </si>
  <si>
    <t>Millet Place Team</t>
  </si>
  <si>
    <t>Adlay Apartments, 3 Millet Place, London E18</t>
  </si>
  <si>
    <t>a184J000001UjEJQA2</t>
  </si>
  <si>
    <t>Adlay Apartments, 3 Millet Place, London E19</t>
  </si>
  <si>
    <t>a184J000001UjEJQA3</t>
  </si>
  <si>
    <t>Adlay Apartments, 3 Millet Place, London E20</t>
  </si>
  <si>
    <t>a184J000001UjEJQA4</t>
  </si>
  <si>
    <t>Adlay Apt, Parking bays, 3 Millet Place, E16</t>
  </si>
  <si>
    <t>a184J000001UjTcQAK</t>
  </si>
  <si>
    <t>Adlay Apt, Parking bays, 3 Millet Place, E17</t>
  </si>
  <si>
    <t>Adlay Apt, Parking bays, 3 Millet Place, E18</t>
  </si>
  <si>
    <t>Adlay Apt, Parking bays, 3 Millet Place, E19</t>
  </si>
  <si>
    <t>Adlay Apt, Parking bays, 3 Millet Place, E20</t>
  </si>
  <si>
    <t>Poppy Apartments, 11 Millet Place, London E16</t>
  </si>
  <si>
    <t>a184J000001UiVrQAK</t>
  </si>
  <si>
    <t>Poppy Apartments, 11 Millet Place, London E17</t>
  </si>
  <si>
    <t>Poppy Apartments, 11 Millet Place, London E18</t>
  </si>
  <si>
    <t>Poppy Apartments, 11 Millet Place, London E19</t>
  </si>
  <si>
    <t>Poppy Apartments, 11 Millet Place, London E20</t>
  </si>
  <si>
    <t>Poppy Apt, Parking bays, 11 Millet Place, E16</t>
  </si>
  <si>
    <t>a184J000001UilZQAS</t>
  </si>
  <si>
    <t>Poppy Apt, Parking bays, 11 Millet Place, E17</t>
  </si>
  <si>
    <t>Poppy Apt, Parking bays, 11 Millet Place, E18</t>
  </si>
  <si>
    <t>Poppy Apt, Parking bays, 11 Millet Place, E19</t>
  </si>
  <si>
    <t>Poppy Apt, Parking bays, 11 Millet Place, E20</t>
  </si>
  <si>
    <t>GT â€“ Apex Gardens - Aster Apts</t>
  </si>
  <si>
    <t>a184J000001Uid4QAC</t>
  </si>
  <si>
    <t>Apex Gardens Team</t>
  </si>
  <si>
    <t>Apex Gardens, Aster Apts, PRS</t>
  </si>
  <si>
    <t>a184J000001UizHQAS</t>
  </si>
  <si>
    <t>Apex Gardens, Juniper House, GT</t>
  </si>
  <si>
    <t>a184J000001Uin6QAC</t>
  </si>
  <si>
    <t>Windlass Apts - Amenity, 4 Hale Wharf, N17</t>
  </si>
  <si>
    <t>a184J000001Ur0HQAS</t>
  </si>
  <si>
    <t>Windlass Apts - Amenity, 4 Hale Wharf, N18</t>
  </si>
  <si>
    <t>Windlass Apartments Team</t>
  </si>
  <si>
    <t>Windlass Apts - Amenity, 4 Hale Wharf, N19</t>
  </si>
  <si>
    <t>Windlass Apts - Amenity, 4 Hale Wharf, N20</t>
  </si>
  <si>
    <t>Windlass Apts - Amenity, 4 Hale Wharf, N21</t>
  </si>
  <si>
    <t>Table 1:</t>
  </si>
  <si>
    <t>Table 2:</t>
  </si>
  <si>
    <t>ID</t>
  </si>
  <si>
    <t>Finance_Team__c</t>
  </si>
  <si>
    <t>Centralised_PM_Team__c</t>
  </si>
  <si>
    <t>Onsite_PM_Team__c</t>
  </si>
  <si>
    <t>Asset_Management_Team__c</t>
  </si>
  <si>
    <t>Lettings_Team__c</t>
  </si>
  <si>
    <t>123 Union Street, London, SE1 0LG</t>
  </si>
  <si>
    <t>a1826000001pj8kAAA</t>
  </si>
  <si>
    <t>Finance Team</t>
  </si>
  <si>
    <t>Customer Service Team</t>
  </si>
  <si>
    <t>PRS: London</t>
  </si>
  <si>
    <t>AM: PRS-London</t>
  </si>
  <si>
    <t>Lettings South</t>
  </si>
  <si>
    <t>13 Ufford Street, London, SE1 8QD</t>
  </si>
  <si>
    <t>a1826000001pj0HAAQ</t>
  </si>
  <si>
    <t>15 Ufford Street, London, SE1 8QD</t>
  </si>
  <si>
    <t>a1826000001pj1AAAQ</t>
  </si>
  <si>
    <t>Ability Plaza</t>
  </si>
  <si>
    <t>a1826000001piYOAAY</t>
  </si>
  <si>
    <t>Ability View</t>
  </si>
  <si>
    <t>a1826000001SA7BAAW</t>
  </si>
  <si>
    <t>a1826000001SB7aAAG</t>
  </si>
  <si>
    <t>a1826000001peHKAAY</t>
  </si>
  <si>
    <t>Agate Mews, Colman Gardens, M53LP</t>
  </si>
  <si>
    <t>a1826000001raxbAAA</t>
  </si>
  <si>
    <t>PRS: Regions</t>
  </si>
  <si>
    <t>AM: PRS-Regions</t>
  </si>
  <si>
    <t>Aldwyn House, Davidson Gardens, London, SW8 2</t>
  </si>
  <si>
    <t>a1826000001pj9cAAA</t>
  </si>
  <si>
    <t>Ancoats, Manchester, M4 6BZ</t>
  </si>
  <si>
    <t>a1826000001pivuAAA</t>
  </si>
  <si>
    <t>a1826000001SZpeAAG</t>
  </si>
  <si>
    <t>a1826000001SRknAAG</t>
  </si>
  <si>
    <t>a1826000001SG8RAAW</t>
  </si>
  <si>
    <t>Bakers Row</t>
  </si>
  <si>
    <t>a1826000001piWqAAI</t>
  </si>
  <si>
    <t>Barry Road, 10, London, SE22 0HU</t>
  </si>
  <si>
    <t>a1826000001piZtAAI</t>
  </si>
  <si>
    <t>Barry Road, 12, London, SE22 0HU</t>
  </si>
  <si>
    <t>a1826000001piWRAAY</t>
  </si>
  <si>
    <t>Barry Road, 8, London, SE22 0HU</t>
  </si>
  <si>
    <t>a1826000001piZoAAI</t>
  </si>
  <si>
    <t>Benson House, Hatfields, Waterloo, London, SE</t>
  </si>
  <si>
    <t>a1826000001pj2CAAQ</t>
  </si>
  <si>
    <t>Berry Street, 6</t>
  </si>
  <si>
    <t>a1826000001piWlAAI</t>
  </si>
  <si>
    <t>Bishops Court</t>
  </si>
  <si>
    <t>a1826000001piZGAAY</t>
  </si>
  <si>
    <t>Block D, Hulton Square, Salford, M5</t>
  </si>
  <si>
    <t>a1826000001piF5AAI</t>
  </si>
  <si>
    <t>Block E, Hulton Square, Salford, M5</t>
  </si>
  <si>
    <t>a1826000001piEbAAI</t>
  </si>
  <si>
    <t>Bloomburg Street</t>
  </si>
  <si>
    <t>a1826000001piZAAAY</t>
  </si>
  <si>
    <t>a1826000001pix8AAA</t>
  </si>
  <si>
    <t>a1826000001pj0kAAA</t>
  </si>
  <si>
    <t>Brookfield Cottage, Liverpool, L17</t>
  </si>
  <si>
    <t>a1826000001pi5CAAQ</t>
  </si>
  <si>
    <t>Burden House, Thorncroft Street, London, SW8</t>
  </si>
  <si>
    <t>a1826000001pj2RAAQ</t>
  </si>
  <si>
    <t>Cambridge Place, 1, Salford, M5</t>
  </si>
  <si>
    <t>a1826000001piFZAAY</t>
  </si>
  <si>
    <t>Cambridge Place, 2, Salford, M5</t>
  </si>
  <si>
    <t>a1826000001piFtAAI</t>
  </si>
  <si>
    <t>Cambridge Place, 3, Salford, M5</t>
  </si>
  <si>
    <t>a1826000001piFUAAY</t>
  </si>
  <si>
    <t>Cambridge Place, 4, Salford, M5</t>
  </si>
  <si>
    <t>a1826000001piFeAAI</t>
  </si>
  <si>
    <t>Cambridge Place, 5, Salford, M5</t>
  </si>
  <si>
    <t>a1826000001piFKAAY</t>
  </si>
  <si>
    <t>Cambridge Place, 6, Salford, M5</t>
  </si>
  <si>
    <t>a1826000001piFjAAI</t>
  </si>
  <si>
    <t>Cambridge Place, 7, Salford, M5</t>
  </si>
  <si>
    <t>a1826000001piFPAAY</t>
  </si>
  <si>
    <t>Cambridge Place, 8, Salford, M5</t>
  </si>
  <si>
    <t>a1826000001piFoAAI</t>
  </si>
  <si>
    <t>Canrobert Street</t>
  </si>
  <si>
    <t>a1826000001piVUAAY</t>
  </si>
  <si>
    <t>Carmel Avenue, Salford. M5</t>
  </si>
  <si>
    <t>a1826000001piFFAAY</t>
  </si>
  <si>
    <t>Caversham Place, 42-56, Sutton Coldfield, B73</t>
  </si>
  <si>
    <t>a1826000001piGrAAI</t>
  </si>
  <si>
    <t>Charing House, Windmill Walk, Waterloo, Londo</t>
  </si>
  <si>
    <t>a1826000001pjA1AAI</t>
  </si>
  <si>
    <t>Churston Close,162-164 Tulse Hill,London,1-8</t>
  </si>
  <si>
    <t>a1826000001piYMAAY</t>
  </si>
  <si>
    <t>Churston Close,162-164 Tulse Hill,London,9-62</t>
  </si>
  <si>
    <t>a1826000001piYCAAY</t>
  </si>
  <si>
    <t>a1826000001pixcAAA</t>
  </si>
  <si>
    <t>a1826000001piyjAAA</t>
  </si>
  <si>
    <t>a1826000001piyeAAA</t>
  </si>
  <si>
    <t>a1826000001piyBAAQ</t>
  </si>
  <si>
    <t>a1826000001rdUgAAI</t>
  </si>
  <si>
    <t>a1826000001rdToAAI</t>
  </si>
  <si>
    <t>a1826000001rdV5AAI</t>
  </si>
  <si>
    <t>Corbar Hill House, Buxton, SK17</t>
  </si>
  <si>
    <t>a1826000001piAHAAY</t>
  </si>
  <si>
    <t>Cornwall Flats, Cornwall Road, Waterloo, Lond</t>
  </si>
  <si>
    <t>a1826000001pjAGAAY</t>
  </si>
  <si>
    <t>Courthope House, Hartington Road, London, SW</t>
  </si>
  <si>
    <t>a1826000001pj2WAAQ</t>
  </si>
  <si>
    <t>Crawford Passage</t>
  </si>
  <si>
    <t>a1826000001piYbAAI</t>
  </si>
  <si>
    <t>Crofton Cottage, Liverpool, L17</t>
  </si>
  <si>
    <t>a1826000001piCaAAI</t>
  </si>
  <si>
    <t>Crofton Gate Lodge, Liverpool, L17</t>
  </si>
  <si>
    <t>a1826000001piCkAAI</t>
  </si>
  <si>
    <t>Crofton Mansion, Liverpool, L17</t>
  </si>
  <si>
    <t>a1826000001piCQAAY</t>
  </si>
  <si>
    <t>Croydon House, Wootton Street, Waterloo, Lond</t>
  </si>
  <si>
    <t>a1826000001rckuAAA</t>
  </si>
  <si>
    <t>Daryngton House Flat 1 London SW8 2HR</t>
  </si>
  <si>
    <t>a1826000001pixhAAA</t>
  </si>
  <si>
    <t>Daryngton House, Hartington Road, London, SW8</t>
  </si>
  <si>
    <t>a1826000001pj1yAAA</t>
  </si>
  <si>
    <t>Davidson Gardens 1-30, London, SW8 2XB</t>
  </si>
  <si>
    <t>a1826000001pj30AAA</t>
  </si>
  <si>
    <t>Davidson Gardens, Flat 11, London SW8 2XB</t>
  </si>
  <si>
    <t>a1826000001piutAAA</t>
  </si>
  <si>
    <t>Denman House, Lordship Terrace</t>
  </si>
  <si>
    <t>a1826000001pYkFAAU</t>
  </si>
  <si>
    <t>Dibdin House, Block A, Maida Vale, London, W9</t>
  </si>
  <si>
    <t>a1826000001SORgAAO</t>
  </si>
  <si>
    <t>Dibdin House, Block B, Maida Vale, London, W9</t>
  </si>
  <si>
    <t>a1826000001pj27AAA</t>
  </si>
  <si>
    <t>Dibdin Sheds, Andover Place, Maida Vale, Lond</t>
  </si>
  <si>
    <t>a1826000001SoAVAA0</t>
  </si>
  <si>
    <t>Dominic Court, The Gardens, 43, London, SE22</t>
  </si>
  <si>
    <t>a1826000001pibkAAA</t>
  </si>
  <si>
    <t>Dove Road, 8-28 East</t>
  </si>
  <si>
    <t>a1826000001RxEtAAK</t>
  </si>
  <si>
    <t>Eagle House</t>
  </si>
  <si>
    <t>a1826000001SA1nAAG</t>
  </si>
  <si>
    <t>East Quarter, Manchester, M4 7LB</t>
  </si>
  <si>
    <t>a1826000001pivpAAA</t>
  </si>
  <si>
    <t>Eastry House, Hartington Road, London, SW8 2H</t>
  </si>
  <si>
    <t>a1826000001pj2bAAA</t>
  </si>
  <si>
    <t>Enigma Square - Apartments</t>
  </si>
  <si>
    <t>a1826000001rdSNAAY</t>
  </si>
  <si>
    <t>Enigma Square - Car Parking</t>
  </si>
  <si>
    <t>Ennerdale Road, 87, Formby, L37</t>
  </si>
  <si>
    <t>a1826000001pi8jAAA</t>
  </si>
  <si>
    <t>Ennerdale Road, 91, Formby, L37</t>
  </si>
  <si>
    <t>a1826000001piC1AAI</t>
  </si>
  <si>
    <t>Ennerdale Road, 95, Formby, L37</t>
  </si>
  <si>
    <t>a1826000001piBwAAI</t>
  </si>
  <si>
    <t>Ennerdale Road, 97, Formby, L37</t>
  </si>
  <si>
    <t>a1826000001piC6AAI</t>
  </si>
  <si>
    <t>Ennerdale Road, 99, Formby, L37 2EA</t>
  </si>
  <si>
    <t>a1826000001piCLAAY</t>
  </si>
  <si>
    <t>Farnham House, Union Street, London, SE1 0LD</t>
  </si>
  <si>
    <t>a1826000001pjAVAAY</t>
  </si>
  <si>
    <t>Fosbrooke House, Davidson Gardens, London, SW</t>
  </si>
  <si>
    <t>a1826000001pj9SAAQ</t>
  </si>
  <si>
    <t>Foundry Court 17-24, Newcastle upon Tyne, NE6</t>
  </si>
  <si>
    <t>a1826000001piuJAAQ</t>
  </si>
  <si>
    <t>Foundry Court, 9-16, Newcastle upon Tyne, NE6</t>
  </si>
  <si>
    <t>a1826000001piqHAAQ</t>
  </si>
  <si>
    <t>Freshfields, Manchester, M9</t>
  </si>
  <si>
    <t>a1826000001piCuAAI</t>
  </si>
  <si>
    <t>Gatehouse Apts, 86 East St, Southampton</t>
  </si>
  <si>
    <t>a1826000001RwlXAAS</t>
  </si>
  <si>
    <t>Gatehouse Team</t>
  </si>
  <si>
    <t>Gatehouse Apts, Car Park, 86 East St</t>
  </si>
  <si>
    <t>a1826000001pj1JAAQ</t>
  </si>
  <si>
    <t>a1826000001S1aFAAS</t>
  </si>
  <si>
    <t>a1826000001S1ZVAA0</t>
  </si>
  <si>
    <t>Gracefield Gardens 10/52</t>
  </si>
  <si>
    <t>a1826000001piZKAAY</t>
  </si>
  <si>
    <t>Great Sutton Street</t>
  </si>
  <si>
    <t>a1826000001SageAAC</t>
  </si>
  <si>
    <t>Grove House, Tudor Grove</t>
  </si>
  <si>
    <t>a1826000001piZyAAI</t>
  </si>
  <si>
    <t>a1826000001pigIAAQ</t>
  </si>
  <si>
    <t>Heysmoor Heights, Liverpool, L8</t>
  </si>
  <si>
    <t>a1826000001piCVAAY</t>
  </si>
  <si>
    <t>a1826000001pj0fAAA</t>
  </si>
  <si>
    <t>a1826000001pixmAAA</t>
  </si>
  <si>
    <t>a1826000001pj0aAAA</t>
  </si>
  <si>
    <t>Hoadly House, Union Street, London, SE1 0LB</t>
  </si>
  <si>
    <t>a1826000001pj94AAA</t>
  </si>
  <si>
    <t>Hollies Lane</t>
  </si>
  <si>
    <t>a1826000001rb51AAA</t>
  </si>
  <si>
    <t>Homelands, 17, Guyhirn, Wisbech, PE13</t>
  </si>
  <si>
    <t>a1826000001piDoAAI</t>
  </si>
  <si>
    <t>Homelands, 3, Guyhirn, Wisbech, PE13</t>
  </si>
  <si>
    <t>a1826000001piFuAAI</t>
  </si>
  <si>
    <t>Homelands, 5, Guyhirn, Wisbech, PE13</t>
  </si>
  <si>
    <t>a1826000001piDFAAY</t>
  </si>
  <si>
    <t>Indigoblu, 14 Crown Point Road, Leeds, LS10</t>
  </si>
  <si>
    <t>a1826000001piuYAAQ</t>
  </si>
  <si>
    <t>Jesmond Place, 10-21, Newcastle upon Tyne NE2</t>
  </si>
  <si>
    <t>a1826000001piuSAAQ</t>
  </si>
  <si>
    <t>Jesmond Place, 1-9, Newcastle upon Tyne, NE2</t>
  </si>
  <si>
    <t>a1826000001piuXAAQ</t>
  </si>
  <si>
    <t>Jesmond Place, 22-30, Newcastle upon Tyne NE2</t>
  </si>
  <si>
    <t>a1826000001piucAAA</t>
  </si>
  <si>
    <t>Juniper House, Salford, M5</t>
  </si>
  <si>
    <t>a1826000001phjXAAQ</t>
  </si>
  <si>
    <t>Kew Bridge Court 1-12 (Priory Lodge)</t>
  </si>
  <si>
    <t>a1826000001piXLAAY</t>
  </si>
  <si>
    <t>Kew Bridge Court 13-18 (The Annexe &amp; Office)</t>
  </si>
  <si>
    <t>a1826000001piayAAA</t>
  </si>
  <si>
    <t>Kew Bridge Court 19-50</t>
  </si>
  <si>
    <t>a1826000001piaFAAQ</t>
  </si>
  <si>
    <t>Kew Bridge Court 51-82</t>
  </si>
  <si>
    <t>a1826000001picJAAQ</t>
  </si>
  <si>
    <t>Kew Bridge Court 83-94</t>
  </si>
  <si>
    <t>a1826000001piX0AAI</t>
  </si>
  <si>
    <t>Kew Bridge Court Advertising Hoarding</t>
  </si>
  <si>
    <t>a1826000001pifIAAQ</t>
  </si>
  <si>
    <t>Kew Bridge Court Car Spaces 1-80 and Road</t>
  </si>
  <si>
    <t>a1826000001piXMAAY</t>
  </si>
  <si>
    <t>Kew Bridge Court Mews House No 1</t>
  </si>
  <si>
    <t>a1826000001picTAAQ</t>
  </si>
  <si>
    <t>Kew Bridge Court Mews House No 2</t>
  </si>
  <si>
    <t>a1826000001picYAAQ</t>
  </si>
  <si>
    <t>Kew Bridge Court Row House No 1</t>
  </si>
  <si>
    <t>a1826000001piXNAAY</t>
  </si>
  <si>
    <t>Kew Bridge Court Row House No 2</t>
  </si>
  <si>
    <t>a1826000001picOAAQ</t>
  </si>
  <si>
    <t>Kimmerston House</t>
  </si>
  <si>
    <t>a1826000001piYhAAI</t>
  </si>
  <si>
    <t>Kings Dock Mill, Liverpool, L1</t>
  </si>
  <si>
    <t>a1826000001pitGAAQ</t>
  </si>
  <si>
    <t>Lakeside Rise, T1, Manchester, M9</t>
  </si>
  <si>
    <t>a1826000001pi4XAAQ</t>
  </si>
  <si>
    <t>Lakeside Rise, T3, Manchester, M9</t>
  </si>
  <si>
    <t>a1826000001piCpAAI</t>
  </si>
  <si>
    <t>Lakeside Rise, T4, Manchester, M9</t>
  </si>
  <si>
    <t>a1826000001phjEAAQ</t>
  </si>
  <si>
    <t>Lakeside Rise, Villa 10, Manchester, M9</t>
  </si>
  <si>
    <t>a1826000001pi6oAAA</t>
  </si>
  <si>
    <t>Lakeside Rise, Villa 17, Manchester, M9</t>
  </si>
  <si>
    <t>a1826000001piCzAAI</t>
  </si>
  <si>
    <t>Lakeside Rise, Villa 23, Manchester, M9</t>
  </si>
  <si>
    <t>a1826000001piDJAAY</t>
  </si>
  <si>
    <t>Lakeside Rise, Villa 24, Manchester, M9</t>
  </si>
  <si>
    <t>a1826000001piD4AAI</t>
  </si>
  <si>
    <t>Lakeside Rise, Villa 25, Manchester, M9</t>
  </si>
  <si>
    <t>a1826000001piDOAAY</t>
  </si>
  <si>
    <t>Lakeside Rise, Villa 26, Manchester, M9</t>
  </si>
  <si>
    <t>a1826000001piDEAAY</t>
  </si>
  <si>
    <t>Lakeside Rise, Villa 27, Manchester, M9</t>
  </si>
  <si>
    <t>a1826000001piDTAAY</t>
  </si>
  <si>
    <t>Lakeside Rise, Villa 28, Manchester, M9</t>
  </si>
  <si>
    <t>a1826000001piD9AAI</t>
  </si>
  <si>
    <t>Lakeside Rise, Villa 29, Manchester, M9</t>
  </si>
  <si>
    <t>a1826000001piDYAAY</t>
  </si>
  <si>
    <t>Lakeside Rise, Villa 32, Manchester, M9</t>
  </si>
  <si>
    <t>a1826000001piB4AAI</t>
  </si>
  <si>
    <t>Lakeside Rise, Villa 33, Manchester, M9</t>
  </si>
  <si>
    <t>a1826000001piCWAAY</t>
  </si>
  <si>
    <t>Lakeside Rise, Villa 34, Manchester, M9</t>
  </si>
  <si>
    <t>a1826000001pi4YAAQ</t>
  </si>
  <si>
    <t>Lakeside Rise, Villa 35, Manchester, M9</t>
  </si>
  <si>
    <t>a1826000001piDdAAI</t>
  </si>
  <si>
    <t>Lakeside Rise, Villa 36, Manchester, M9</t>
  </si>
  <si>
    <t>a1826000001piDsAAI</t>
  </si>
  <si>
    <t>Lakeside Rise, Villa 37, Manchester, M9</t>
  </si>
  <si>
    <t>a1826000001piDnAAI</t>
  </si>
  <si>
    <t>Lakeside Rise, Villa 38, Manchester, M9</t>
  </si>
  <si>
    <t>a1826000001piBxAAI</t>
  </si>
  <si>
    <t>Lakeside Rise, Villa 39, Manchester, M9</t>
  </si>
  <si>
    <t>a1826000001piDiAAI</t>
  </si>
  <si>
    <t>Lakeside Rise, Villa 40, Manchester, M9</t>
  </si>
  <si>
    <t>a1826000001piCqAAI</t>
  </si>
  <si>
    <t>Lakeside Rise, Villa 41, Manchester, M9</t>
  </si>
  <si>
    <t>a1826000001piDeAAI</t>
  </si>
  <si>
    <t>Lakeside Rise, Villa 42, Manchester, M9</t>
  </si>
  <si>
    <t>a1826000001pi7CAAQ</t>
  </si>
  <si>
    <t>Lakeside Rise, Villa 43, Manchester, M9</t>
  </si>
  <si>
    <t>a1826000001piDUAAY</t>
  </si>
  <si>
    <t>Lakeside Rise, Villa 44, Manchester, M9</t>
  </si>
  <si>
    <t>a1826000001piE2AAI</t>
  </si>
  <si>
    <t>Lang House, Hartington Road, London, SW8 2HT</t>
  </si>
  <si>
    <t>a1826000001SagoAAC</t>
  </si>
  <si>
    <t>Langley Mere, 1-22, Newcastle upon Tyne, NE12</t>
  </si>
  <si>
    <t>a1826000001SpwVAAS</t>
  </si>
  <si>
    <t>Markendale Place, 10, Salford, M5</t>
  </si>
  <si>
    <t>a1826000001piEgAAI</t>
  </si>
  <si>
    <t>Markendale Place, 4, Salford, M5</t>
  </si>
  <si>
    <t>a1826000001piElAAI</t>
  </si>
  <si>
    <t>Markendale Place, 6, Salford, M5</t>
  </si>
  <si>
    <t>a1826000001pi2rAAA</t>
  </si>
  <si>
    <t>Middleton House Block A, Causton Street, Lon</t>
  </si>
  <si>
    <t>a1826000001pj2gAAA</t>
  </si>
  <si>
    <t>Middleton House, Block B, Causton Street, Lon</t>
  </si>
  <si>
    <t>a1826000001pj2lAAA</t>
  </si>
  <si>
    <t>Mitre Road 101-107, London, SE1 8PT</t>
  </si>
  <si>
    <t>a1826000001pj8ZAAQ</t>
  </si>
  <si>
    <t>Mitre Road 108, London, SE1 8PT</t>
  </si>
  <si>
    <t>a1826000001pj9mAAA</t>
  </si>
  <si>
    <t>Mitre Road 109-114, London, SE1 8PT</t>
  </si>
  <si>
    <t>a1826000001pj8fAAA</t>
  </si>
  <si>
    <t>Mitre Road 1A-1C , London, SE1 8PY</t>
  </si>
  <si>
    <t>a1826000001pj7gAAA</t>
  </si>
  <si>
    <t>Mitre Road 2 A-D, London, SE1 8PY</t>
  </si>
  <si>
    <t>a1826000001pj7qAAA</t>
  </si>
  <si>
    <t>Mitre Road 3 A-C, London, SE1 8PY</t>
  </si>
  <si>
    <t>a1826000001pj7lAAA</t>
  </si>
  <si>
    <t>Mitre Road 4 A-F, London SE1 8PY</t>
  </si>
  <si>
    <t>a1826000001pj7vAAA</t>
  </si>
  <si>
    <t>Mitre Road 49-51, London, SE1 8PX</t>
  </si>
  <si>
    <t>a1826000001pjA6AAI</t>
  </si>
  <si>
    <t>Mitre Road 5 A-C, London, SE1 8PY</t>
  </si>
  <si>
    <t>a1826000001pj80AAA</t>
  </si>
  <si>
    <t>Mitre Road 52-55, London, SE1 8PX</t>
  </si>
  <si>
    <t>a1826000001pj7mAAA</t>
  </si>
  <si>
    <t>Mitre Road 56-59, London, SE1 8PX</t>
  </si>
  <si>
    <t>a1826000001pj9rAAA</t>
  </si>
  <si>
    <t>Mitre Road 6 A-F, London, SE1 8PY</t>
  </si>
  <si>
    <t>a1826000001pj81AAA</t>
  </si>
  <si>
    <t>Mitre Road 60-64, London, SE1 8PX</t>
  </si>
  <si>
    <t>a1826000001pj9wAAA</t>
  </si>
  <si>
    <t>Mitre Road 65-67, London, SE1 8PU</t>
  </si>
  <si>
    <t>a1826000001pj85AAA</t>
  </si>
  <si>
    <t>Mitre Road 68-70 , London, SE1 8PU</t>
  </si>
  <si>
    <t>a1826000001pj8FAAQ</t>
  </si>
  <si>
    <t>Mitre Road 7 A-E , London, SE1 8PY</t>
  </si>
  <si>
    <t>a1826000001pj9hAAA</t>
  </si>
  <si>
    <t>Mitre Road 71-75, London, SE1 8PU</t>
  </si>
  <si>
    <t>a1826000001pj8PAAQ</t>
  </si>
  <si>
    <t>Mitre Road 76-78, London, SE1 8PU</t>
  </si>
  <si>
    <t>a1826000001pj7hAAA</t>
  </si>
  <si>
    <t>Mitre Road 79-83, London, SE1 8PU</t>
  </si>
  <si>
    <t>a1826000001pj8AAAQ</t>
  </si>
  <si>
    <t>Mitre Road 8 A-D, London, SE1 8PY</t>
  </si>
  <si>
    <t>a1826000001pj8pAAA</t>
  </si>
  <si>
    <t>Mitre Road 84-86, London, SE1 8PU</t>
  </si>
  <si>
    <t>a1826000001pj8KAAQ</t>
  </si>
  <si>
    <t>Mitre Road 87-89, London, SE1 8PU</t>
  </si>
  <si>
    <t>a1826000001pj8tAAA</t>
  </si>
  <si>
    <t>Mitre Road 90-94, London, SE1 8PT</t>
  </si>
  <si>
    <t>a1826000001pj8jAAA</t>
  </si>
  <si>
    <t>Mitre Road 95-97, London, SE1 8PT</t>
  </si>
  <si>
    <t>a1826000001pj8eAAA</t>
  </si>
  <si>
    <t>Mitre Road 98-100, London, SE1 8PT</t>
  </si>
  <si>
    <t>a1826000001pj8UAAQ</t>
  </si>
  <si>
    <t>Mitre Road Sheds</t>
  </si>
  <si>
    <t>a1826000001pjAuAAI</t>
  </si>
  <si>
    <t>a1826000001s0aKAAQ</t>
  </si>
  <si>
    <t>a1826000001rdUbAAI</t>
  </si>
  <si>
    <t>New Islington, Manchester, M4 6BY</t>
  </si>
  <si>
    <t>a1826000001SgPDAA0</t>
  </si>
  <si>
    <t>North Sudley Road, 100D, Liverpool, L17</t>
  </si>
  <si>
    <t>a1826000001phVNAAY</t>
  </si>
  <si>
    <t>North Sudley Road, 100E, Liverpool, L17</t>
  </si>
  <si>
    <t>a1826000001piBnAAI</t>
  </si>
  <si>
    <t>North Sudley Road, 104A, Liverpool, L17</t>
  </si>
  <si>
    <t>a1826000001piAwAAI</t>
  </si>
  <si>
    <t>North Sudley Road, 104B, Liverpool, L17</t>
  </si>
  <si>
    <t>a1826000001piCfAAI</t>
  </si>
  <si>
    <t>Oakhurst Grove, 39, London, SE22 9AH</t>
  </si>
  <si>
    <t>a1826000001pib7AAA</t>
  </si>
  <si>
    <t>Oakhurst Grove, 57, London, SE22 9AH</t>
  </si>
  <si>
    <t>a1826000001pia8AAA</t>
  </si>
  <si>
    <t>Oakleigh House, The Avenue, Sale, M33 4PH</t>
  </si>
  <si>
    <t>a1826000001piFyAAI</t>
  </si>
  <si>
    <t>Ospringe House, Wootton Street, Waterloo, Lon</t>
  </si>
  <si>
    <t>a1826000001pipOAAQ</t>
  </si>
  <si>
    <t>Peckham Rye, 184, London, SE22 9QA</t>
  </si>
  <si>
    <t>a1826000001piaDAAQ</t>
  </si>
  <si>
    <t>Pellatt Road, 58, London, SE22 9JB</t>
  </si>
  <si>
    <t>a1826000001pia3AAA</t>
  </si>
  <si>
    <t>Piermont Road, 1, London, SE22 0LN</t>
  </si>
  <si>
    <t>a1826000001piZzAAI</t>
  </si>
  <si>
    <t>a1826000001rdRtAAI</t>
  </si>
  <si>
    <t>a1826000001rdTdAAI</t>
  </si>
  <si>
    <t>Poplar House, Salford, M5</t>
  </si>
  <si>
    <t>a1826000001piDxAAI</t>
  </si>
  <si>
    <t>a1826000001piiSAAQ</t>
  </si>
  <si>
    <t>a1826000001pihtAAA</t>
  </si>
  <si>
    <t>Robert Hall Street, 10, Salford, M5</t>
  </si>
  <si>
    <t>a1826000001piCCAAY</t>
  </si>
  <si>
    <t>Robert Hall Street, 12, Salford, M5</t>
  </si>
  <si>
    <t>a1826000001piEvAAI</t>
  </si>
  <si>
    <t>Robert Hall Street, 14, Salford, M5</t>
  </si>
  <si>
    <t>a1826000001piFAAAY</t>
  </si>
  <si>
    <t>Robert Hall Street, 16, Salford, M5</t>
  </si>
  <si>
    <t>a1826000001phYaAAI</t>
  </si>
  <si>
    <t>Robert Hall Street, 18, Salford, M5</t>
  </si>
  <si>
    <t>a1826000001piENAAY</t>
  </si>
  <si>
    <t>Robert Hall Street, 20, Salford, M5</t>
  </si>
  <si>
    <t>a1826000001piEhAAI</t>
  </si>
  <si>
    <t>Robert Hall Street, 22, Salford, M5</t>
  </si>
  <si>
    <t>a1826000001piCDAAY</t>
  </si>
  <si>
    <t>Robert Hall Street, 24, Salford, M5</t>
  </si>
  <si>
    <t>a1826000001piEXAAY</t>
  </si>
  <si>
    <t>Robert Hall Street, 4, Salford, M5</t>
  </si>
  <si>
    <t>a1826000001phK8AAI</t>
  </si>
  <si>
    <t>Robert Hall Street, 6, Salford, M5</t>
  </si>
  <si>
    <t>a1826000001piEqAAI</t>
  </si>
  <si>
    <t>Robert Hall Street, 8, Salford, M5</t>
  </si>
  <si>
    <t>a1826000001piF0AAI</t>
  </si>
  <si>
    <t>Sandown, 1-11, Whitley Bay, NE25</t>
  </si>
  <si>
    <t>a1826000001piqoAAA</t>
  </si>
  <si>
    <t>Sandown, 12-19, Whitley Bay, NE25</t>
  </si>
  <si>
    <t>a1826000001piurAAA</t>
  </si>
  <si>
    <t>Sandown, 20-35, Whitley Bay, NE25</t>
  </si>
  <si>
    <t>a1826000001piuhAAA</t>
  </si>
  <si>
    <t>Sandown, 36-47, Whitley Bay, NE25</t>
  </si>
  <si>
    <t>a1826000001piuwAAA</t>
  </si>
  <si>
    <t>Sandown, 48-67, Whitley Bay, NE25</t>
  </si>
  <si>
    <t>a1826000001piumAAA</t>
  </si>
  <si>
    <t>Sandown, 68-74, Whitley Bay, NE25</t>
  </si>
  <si>
    <t>a1826000001piv1AAA</t>
  </si>
  <si>
    <t>Shillington Old School</t>
  </si>
  <si>
    <t>a1826000001piYgAAI</t>
  </si>
  <si>
    <t>a1826000001pj0pAAA</t>
  </si>
  <si>
    <t>a1826000001pj0qAAA</t>
  </si>
  <si>
    <t>Sorrel Way, Baildon, Shipley, BD17</t>
  </si>
  <si>
    <t>a1826000001pib4AAA</t>
  </si>
  <si>
    <t>Springfield House Lofts</t>
  </si>
  <si>
    <t>a1826000001piXyAAI</t>
  </si>
  <si>
    <t>St Annes Ct, Howard Place, Brighton, BN1 3UP</t>
  </si>
  <si>
    <t>a1826000001piYHAAY</t>
  </si>
  <si>
    <t>St Annes Hs, 49 Buckingham Plc, Brighton, BN1</t>
  </si>
  <si>
    <t>a1826000001piYWAAY</t>
  </si>
  <si>
    <t>St. Johns Gardens, 15, Bury, Lancs, BL9</t>
  </si>
  <si>
    <t>a1826000001pivQAAQ</t>
  </si>
  <si>
    <t>St. Johns Gardens, 5, Bury, Lancs, BL9</t>
  </si>
  <si>
    <t>a1826000001pivVAAQ</t>
  </si>
  <si>
    <t>Tabernacle Street</t>
  </si>
  <si>
    <t>a1826000001piYlAAI</t>
  </si>
  <si>
    <t>Tait House, Greet Street, Waterloo, London, S</t>
  </si>
  <si>
    <t>a1826000001pj2HAAQ</t>
  </si>
  <si>
    <t>Temple Dwellings</t>
  </si>
  <si>
    <t>a1826000001piYmAAI</t>
  </si>
  <si>
    <t>Temple Street</t>
  </si>
  <si>
    <t>a1826000001piWbAAI</t>
  </si>
  <si>
    <t>Temple Street-C</t>
  </si>
  <si>
    <t>a1826000001piZPAAY</t>
  </si>
  <si>
    <t>The Barnum - Apartments</t>
  </si>
  <si>
    <t>a1826000001rdVKAAY</t>
  </si>
  <si>
    <t>The Barnum - Car Parking</t>
  </si>
  <si>
    <t>The Condor - Apartments</t>
  </si>
  <si>
    <t>a1826000001rdUMAAY</t>
  </si>
  <si>
    <t>The Condor - Car Parking</t>
  </si>
  <si>
    <t>a1826000001piyuAAA</t>
  </si>
  <si>
    <t>a1826000001pj14AAA</t>
  </si>
  <si>
    <t>a1826000001pj0zAAA</t>
  </si>
  <si>
    <t>a1826000001piyVAAQ</t>
  </si>
  <si>
    <t>a1826000001peHUAAY</t>
  </si>
  <si>
    <t>a1826000001pj07AAA</t>
  </si>
  <si>
    <t>a1826000001SA0qAAG</t>
  </si>
  <si>
    <t>The Gardens, 19, London, SE22 9QE</t>
  </si>
  <si>
    <t>a1826000001piaIAAQ</t>
  </si>
  <si>
    <t>The Gardens, 20, London, SE22 9QE</t>
  </si>
  <si>
    <t>a1826000001piaNAAQ</t>
  </si>
  <si>
    <t>The Gardens, 21, London, SE22 9QE</t>
  </si>
  <si>
    <t>a1826000001piVVAAY</t>
  </si>
  <si>
    <t>The Gardens, 22, London, SE22 9QE</t>
  </si>
  <si>
    <t>a1826000001piaSAAQ</t>
  </si>
  <si>
    <t>The Gardens, 23, London, SE22 9QE</t>
  </si>
  <si>
    <t>a1826000001piacAAA</t>
  </si>
  <si>
    <t>The Gardens, 24, London, SE22 9QE</t>
  </si>
  <si>
    <t>a1826000001piaXAAQ</t>
  </si>
  <si>
    <t>The Gardens, 25, London, SE22 9QE</t>
  </si>
  <si>
    <t>a1826000001piaTAAQ</t>
  </si>
  <si>
    <t>The Gardens, 26, London, SE22 9QE</t>
  </si>
  <si>
    <t>a1826000001piWNAAY</t>
  </si>
  <si>
    <t>The Gardens, 27, London, SE22 9QE</t>
  </si>
  <si>
    <t>a1826000001piZkAAI</t>
  </si>
  <si>
    <t>The Gardens, 28, London, SE22 9QE</t>
  </si>
  <si>
    <t>a1826000001piamAAA</t>
  </si>
  <si>
    <t>The Gardens, 29, London, SE22 9QE</t>
  </si>
  <si>
    <t>a1826000001piahAAA</t>
  </si>
  <si>
    <t>The Gardens, 30, London, SE22 9QF</t>
  </si>
  <si>
    <t>a1826000001piarAAA</t>
  </si>
  <si>
    <t>The Gardens, 31, London, SE22 9QF</t>
  </si>
  <si>
    <t>a1826000001piawAAA</t>
  </si>
  <si>
    <t>The Gardens, 32, London, SE22 9QF</t>
  </si>
  <si>
    <t>a1826000001piaEAAQ</t>
  </si>
  <si>
    <t>The Gardens, 32a, London, SE22 9QF</t>
  </si>
  <si>
    <t>a1826000001pibBAAQ</t>
  </si>
  <si>
    <t>The Gardens, 33, London, SE22 9QF</t>
  </si>
  <si>
    <t>a1826000001pib6AAA</t>
  </si>
  <si>
    <t>The Gardens, 34, London, SE22 9QF</t>
  </si>
  <si>
    <t>a1826000001pib1AAA</t>
  </si>
  <si>
    <t>The Gardens, 35, London, SE22 9QF</t>
  </si>
  <si>
    <t>a1826000001pibGAAQ</t>
  </si>
  <si>
    <t>The Gardens, 36, London, SE22 9QF</t>
  </si>
  <si>
    <t>a1826000001piXeAAI</t>
  </si>
  <si>
    <t>The Gardens, 37, London, SE22 9QF</t>
  </si>
  <si>
    <t>a1826000001pibLAAQ</t>
  </si>
  <si>
    <t>The Gardens, 38, London, SE22 9QF</t>
  </si>
  <si>
    <t>a1826000001pibQAAQ</t>
  </si>
  <si>
    <t>The Gardens, 39, London, SE22 9QG</t>
  </si>
  <si>
    <t>a1826000001pibfAAA</t>
  </si>
  <si>
    <t>The Gardens, 40, London, SE22 9QG</t>
  </si>
  <si>
    <t>a1826000001pibVAAQ</t>
  </si>
  <si>
    <t>The Gardens, 41, London, SE22 9QG</t>
  </si>
  <si>
    <t>a1826000001piWgAAI</t>
  </si>
  <si>
    <t>The Gardens, 42, London, SE22 9QG</t>
  </si>
  <si>
    <t>a1826000001pibaAAA</t>
  </si>
  <si>
    <t>The Gardens, 44, London, SE22 9QQ</t>
  </si>
  <si>
    <t>a1826000001piaxAAA</t>
  </si>
  <si>
    <t>The Gardens, 46, London, SE22 9QQ</t>
  </si>
  <si>
    <t>a1826000001pibuAAA</t>
  </si>
  <si>
    <t>The Gardens, 47, London, SE22 9QQ</t>
  </si>
  <si>
    <t>a1826000001pibpAAA</t>
  </si>
  <si>
    <t>The Gardens, 48, London, SE22 9QQ</t>
  </si>
  <si>
    <t>a1826000001pibzAAA</t>
  </si>
  <si>
    <t>The Gardens, 49, London, SE22 9QQ</t>
  </si>
  <si>
    <t>a1826000001pic4AAA</t>
  </si>
  <si>
    <t>The Gardens, 50, London, SE22 9QQ</t>
  </si>
  <si>
    <t>a1826000001piZ1AAI</t>
  </si>
  <si>
    <t>The Gardens, 51, London, SE22 9QQ</t>
  </si>
  <si>
    <t>a1826000001pic9AAA</t>
  </si>
  <si>
    <t>a1826000001pj1PAAQ</t>
  </si>
  <si>
    <t>a1826000001pif3AAA</t>
  </si>
  <si>
    <t>a1826000001rdUWAAY</t>
  </si>
  <si>
    <t>a1826000001rdXoAAI</t>
  </si>
  <si>
    <t>The Poplars, 1 Whalley Road, Manchester, M16</t>
  </si>
  <si>
    <t>a1826000001piA6AAI</t>
  </si>
  <si>
    <t>The Rock, 110, Bury, Lancs, BL9</t>
  </si>
  <si>
    <t>a1826000001SA43AAG</t>
  </si>
  <si>
    <t>The Rock, 112, Bury, Lancs, BL9</t>
  </si>
  <si>
    <t>a1826000001pivaAAA</t>
  </si>
  <si>
    <t>The Rock, 124, Bury, Lancs, BL9</t>
  </si>
  <si>
    <t>a1826000001pitQAAQ</t>
  </si>
  <si>
    <t>The Rock, Car Spaces, Bury, Lancs, BL9</t>
  </si>
  <si>
    <t>a1826000001pivHAAQ</t>
  </si>
  <si>
    <t>The Sandwarren, Formby, L37</t>
  </si>
  <si>
    <t>a1826000001piCGAAY</t>
  </si>
  <si>
    <t>The Spectrum, 72-76 Duke St, Liverpool</t>
  </si>
  <si>
    <t>a1826000001piunAAA</t>
  </si>
  <si>
    <t>The Spectrum, 72-76 Duke St, Liverpool, L1</t>
  </si>
  <si>
    <t>a1826000001pis5AAA</t>
  </si>
  <si>
    <t>a1826000001rcLhAAI</t>
  </si>
  <si>
    <t>a18UE000000G5lKYAS</t>
  </si>
  <si>
    <t>a1826000001rdUvAAI</t>
  </si>
  <si>
    <t>Thorold House, Pepper Street, London, SE1 0EL</t>
  </si>
  <si>
    <t>a1826000001pj7oAAA</t>
  </si>
  <si>
    <t>Tomline House, Union Street, London, SE1 0ET</t>
  </si>
  <si>
    <t>a1826000001pj7wAAA</t>
  </si>
  <si>
    <t>Trelawney House, Union Street, London, SE1 0L</t>
  </si>
  <si>
    <t>a1826000001pj8lAAA</t>
  </si>
  <si>
    <t>Ufford Street 56 A-C, London, SE1 8QB</t>
  </si>
  <si>
    <t>a1826000001pj8yAAA</t>
  </si>
  <si>
    <t>Ufford Street 57 A-F, London, SE1 8QB</t>
  </si>
  <si>
    <t>a1826000001pj8oAAA</t>
  </si>
  <si>
    <t>Ufford Street 58 A-C, London, SE1 8QB</t>
  </si>
  <si>
    <t>a1826000001pj98AAA</t>
  </si>
  <si>
    <t>Ufford Street 59 A-F, London, SE1 8QB</t>
  </si>
  <si>
    <t>a1826000001pj93AAA</t>
  </si>
  <si>
    <t>Ufford Street Sheds</t>
  </si>
  <si>
    <t>a1826000001pjApAAI</t>
  </si>
  <si>
    <t>Ulverscroft Road, 88, London, SE22 9HG</t>
  </si>
  <si>
    <t>a1826000001picEAAQ</t>
  </si>
  <si>
    <t>Upland Road, 347, London, SE22 0DL</t>
  </si>
  <si>
    <t>a1826000001piYiAAI</t>
  </si>
  <si>
    <t>Vincent Square, 49</t>
  </si>
  <si>
    <t>a1826000001piYqAAI</t>
  </si>
  <si>
    <t>Vincent Square, 50</t>
  </si>
  <si>
    <t>a1826000001piYvAAI</t>
  </si>
  <si>
    <t>Vincent Square, 51</t>
  </si>
  <si>
    <t>a1826000001piZ0AAI</t>
  </si>
  <si>
    <t>Vincent Square, 52</t>
  </si>
  <si>
    <t>a1826000001piXoAAI</t>
  </si>
  <si>
    <t>Vincent Square, 53</t>
  </si>
  <si>
    <t>a1826000001piZ5AAI</t>
  </si>
  <si>
    <t>Vincent Square, 54</t>
  </si>
  <si>
    <t>a1826000001piZFAAY</t>
  </si>
  <si>
    <t>Vincent Square, 55</t>
  </si>
  <si>
    <t>a1826000001piXPAAY</t>
  </si>
  <si>
    <t>Waynflete House, Union Street, London, SE1 0L</t>
  </si>
  <si>
    <t>a1826000001pjAfAAI</t>
  </si>
  <si>
    <t>a1826000001S1Z9AAK</t>
  </si>
  <si>
    <t>a1826000001pis6AAA</t>
  </si>
  <si>
    <t>a1826000001pj1nAAA</t>
  </si>
  <si>
    <t>a1826000001pj1sAAA</t>
  </si>
  <si>
    <t>a1826000001pj22AAA</t>
  </si>
  <si>
    <t>a1826000001pj1dAAA</t>
  </si>
  <si>
    <t>a1826000001piwjAAA</t>
  </si>
  <si>
    <t>a1826000001S1YnAAK</t>
  </si>
  <si>
    <t>Webber Street 3A-3D, London, SE1 8PZ</t>
  </si>
  <si>
    <t>a1826000001pj9IAAQ</t>
  </si>
  <si>
    <t>Webber Street 5A-5D, London, SE1 8PZ</t>
  </si>
  <si>
    <t>a1826000001pj9DAAQ</t>
  </si>
  <si>
    <t>Webber Street 7A-7F, London, SE1 8PZ</t>
  </si>
  <si>
    <t>a1826000001pj9NAAQ</t>
  </si>
  <si>
    <t>Webber Street Sheds</t>
  </si>
  <si>
    <t>a1826000001pjAkAAI</t>
  </si>
  <si>
    <t>West Craven Street, 21, Salford, M5</t>
  </si>
  <si>
    <t>a1826000001piECAAY</t>
  </si>
  <si>
    <t>West Craven Street, 23, Salford, M5</t>
  </si>
  <si>
    <t>a1826000001phK7AAI</t>
  </si>
  <si>
    <t>West Craven Street, 25, Salford, M5</t>
  </si>
  <si>
    <t>a1826000001phjFAAQ</t>
  </si>
  <si>
    <t>West Craven Street, 27, Salford, M5</t>
  </si>
  <si>
    <t>a1826000001piE7AAI</t>
  </si>
  <si>
    <t>West Craven Street, 29, Salford, M5</t>
  </si>
  <si>
    <t>a1826000001piEMAAY</t>
  </si>
  <si>
    <t>West Craven Street, 31, Salford, M5</t>
  </si>
  <si>
    <t>a1826000001piEHAAY</t>
  </si>
  <si>
    <t>West Craven Street, 33, Salford, M5</t>
  </si>
  <si>
    <t>a1826000001piEWAAY</t>
  </si>
  <si>
    <t>West Craven Street, 35, Salford, M5</t>
  </si>
  <si>
    <t>a1826000001piERAAY</t>
  </si>
  <si>
    <t>West Craven Street, 37, Salford, M5</t>
  </si>
  <si>
    <t>a1826000001piBiAAI</t>
  </si>
  <si>
    <t>Wilbraham House, Wandsworth Road, London, SW8</t>
  </si>
  <si>
    <t>a1826000001pj9XAAQ</t>
  </si>
  <si>
    <t>Winchester Park Sheds</t>
  </si>
  <si>
    <t>a1826000001pjAaAAI</t>
  </si>
  <si>
    <t>a1826000001pixSAAQ</t>
  </si>
  <si>
    <t>Winkley Street</t>
  </si>
  <si>
    <t>a1826000001piYNAAY</t>
  </si>
  <si>
    <t>Woodleigh Gardens 14/68</t>
  </si>
  <si>
    <t>a1826000001piZUAAY</t>
  </si>
  <si>
    <t>Wykeham House, Union Street, London, SE1 0LG</t>
  </si>
  <si>
    <t>a1826000001pj82AAA</t>
  </si>
  <si>
    <t>User</t>
  </si>
  <si>
    <t>Salesforce Queue Name</t>
  </si>
  <si>
    <t>Jack Howe</t>
  </si>
  <si>
    <t>Deanne Coss</t>
  </si>
  <si>
    <t>Nathan White</t>
  </si>
  <si>
    <t>Ruth Friend</t>
  </si>
  <si>
    <t>Bailey King</t>
  </si>
  <si>
    <t>Jessica Warnes</t>
  </si>
  <si>
    <t>Rachel Creer</t>
  </si>
  <si>
    <t>Joseph Scarrott</t>
  </si>
  <si>
    <t>Coren Macniven</t>
  </si>
  <si>
    <t>Corinne Lawrenson</t>
  </si>
  <si>
    <t>Sam Robson</t>
  </si>
  <si>
    <t>Charlotte Bell</t>
  </si>
  <si>
    <t>Christina Cassidy</t>
  </si>
  <si>
    <t xml:space="preserve">Mark Churchard </t>
  </si>
  <si>
    <t xml:space="preserve">Jodie Hoyle </t>
  </si>
  <si>
    <t xml:space="preserve">Annie Carley </t>
  </si>
  <si>
    <t xml:space="preserve">Abbigail Sturman </t>
  </si>
  <si>
    <t>Emma Cramer-Mitchell</t>
  </si>
  <si>
    <t xml:space="preserve">Isaac Turner </t>
  </si>
  <si>
    <t xml:space="preserve">Harry Furniss </t>
  </si>
  <si>
    <t>Helen Bowers</t>
  </si>
  <si>
    <t xml:space="preserve">Darren Pritchard </t>
  </si>
  <si>
    <t xml:space="preserve">Shalma Nibbs </t>
  </si>
  <si>
    <t>Haginson Mtuku</t>
  </si>
  <si>
    <t xml:space="preserve">Connor Berry </t>
  </si>
  <si>
    <t>Samantha Lancaster</t>
  </si>
  <si>
    <t>Jessica Illingworth</t>
  </si>
  <si>
    <t>Shaun Sidibe</t>
  </si>
  <si>
    <t>Trudy Yates</t>
  </si>
  <si>
    <t>Chiara Manfron</t>
  </si>
  <si>
    <t>Ruben Cancio</t>
  </si>
  <si>
    <t>Laxmi Mistry</t>
  </si>
  <si>
    <t>Colette Taylor</t>
  </si>
  <si>
    <t>Jack Wellings</t>
  </si>
  <si>
    <t>Lucy Staniland</t>
  </si>
  <si>
    <t>Sarah Regan</t>
  </si>
  <si>
    <t>Craig Parkinson</t>
  </si>
  <si>
    <t>Olivia Baker</t>
  </si>
  <si>
    <t>Owen Reed</t>
  </si>
  <si>
    <t>Sean Bromley</t>
  </si>
  <si>
    <t>Jessica Coates</t>
  </si>
  <si>
    <t>Santija Dave</t>
  </si>
  <si>
    <t>Jacqueline Cooper</t>
  </si>
  <si>
    <t>Natasha Burns</t>
  </si>
  <si>
    <t xml:space="preserve">Amy Truong </t>
  </si>
  <si>
    <t xml:space="preserve">Sophie Turrill </t>
  </si>
  <si>
    <t xml:space="preserve">Grace Fiske </t>
  </si>
  <si>
    <t>Josh Niles</t>
  </si>
  <si>
    <t>Barbara Kaszuba</t>
  </si>
  <si>
    <t>Tina Viragh</t>
  </si>
  <si>
    <t>Sharon Goyder-Smith</t>
  </si>
  <si>
    <t>Danielle Stewart</t>
  </si>
  <si>
    <t xml:space="preserve">Rachel Steventon </t>
  </si>
  <si>
    <t>Vicki Turnbull</t>
  </si>
  <si>
    <t>Sarah Norstrom</t>
  </si>
  <si>
    <t>James Bell</t>
  </si>
  <si>
    <t xml:space="preserve">Gurinder Punia </t>
  </si>
  <si>
    <t>Zara Gulistan</t>
  </si>
  <si>
    <t xml:space="preserve">Sonia Duffus </t>
  </si>
  <si>
    <t>Karen Meek</t>
  </si>
  <si>
    <t>Jasmine Roberts</t>
  </si>
  <si>
    <t>Kimberley Pope</t>
  </si>
  <si>
    <t>Daniel Hind</t>
  </si>
  <si>
    <t>Carmen Wong</t>
  </si>
  <si>
    <t>Kate McKim</t>
  </si>
  <si>
    <t>Harriet Shaw</t>
  </si>
  <si>
    <t>Ray Rahman</t>
  </si>
  <si>
    <t>Victoria Phillips</t>
  </si>
  <si>
    <t>Holly Boggis</t>
  </si>
  <si>
    <t>Shahan Hussain</t>
  </si>
  <si>
    <t>Simon Healy</t>
  </si>
  <si>
    <t>Tatyana Gordon</t>
  </si>
  <si>
    <t>Mohammed Khan</t>
  </si>
  <si>
    <t>Samson Olaniyan</t>
  </si>
  <si>
    <t>Orsalia Munkeni</t>
  </si>
  <si>
    <t>Erelinda Bala</t>
  </si>
  <si>
    <t>Angela Okhumoya</t>
  </si>
  <si>
    <t>Nicole Freeman</t>
  </si>
  <si>
    <t>Tina Bedeau</t>
  </si>
  <si>
    <t>Nyijah Bullen</t>
  </si>
  <si>
    <t xml:space="preserve">Suna Uyar </t>
  </si>
  <si>
    <t>Khaled Rahman</t>
  </si>
  <si>
    <t>Jordan Greaves</t>
  </si>
  <si>
    <t>Megan Flemming</t>
  </si>
  <si>
    <t>Berewood &amp; Wellesley Team</t>
  </si>
  <si>
    <t>Gemma Gavin</t>
  </si>
  <si>
    <t>Alice Shaw</t>
  </si>
  <si>
    <t>Hayley Fry</t>
  </si>
  <si>
    <t>Rimvydas Tumas</t>
  </si>
  <si>
    <t>Treasa Larke</t>
  </si>
  <si>
    <t>Mark Weedon</t>
  </si>
  <si>
    <t>Luke Pollard</t>
  </si>
  <si>
    <t>Louise Spooner</t>
  </si>
  <si>
    <t>David Hancock</t>
  </si>
  <si>
    <t>Darin Solomon</t>
  </si>
  <si>
    <t>Edyta Forysiuk</t>
  </si>
  <si>
    <t>Katherine Castle</t>
  </si>
  <si>
    <t>Miranda Rowe</t>
  </si>
  <si>
    <t>Nadia Rogers</t>
  </si>
  <si>
    <t>Nicolette McRae</t>
  </si>
  <si>
    <t>Robert Steel</t>
  </si>
  <si>
    <t>Younis Miho</t>
  </si>
  <si>
    <t>Yvonne Leggett</t>
  </si>
  <si>
    <t>Alexa Byrne</t>
  </si>
  <si>
    <t>Daisy Stuckey</t>
  </si>
  <si>
    <t>Anne Stephenson</t>
  </si>
  <si>
    <t>Grace Thompson</t>
  </si>
  <si>
    <t>Lesley Richardson</t>
  </si>
  <si>
    <t>Melanie Haughey</t>
  </si>
  <si>
    <t>Scott Cooley</t>
  </si>
  <si>
    <t>Kirsty Marrin</t>
  </si>
  <si>
    <t>Sarah Cooke</t>
  </si>
  <si>
    <t>Hazel Armstrong</t>
  </si>
  <si>
    <t>Margaret Alston</t>
  </si>
  <si>
    <t>Alison Adamson</t>
  </si>
  <si>
    <t>Helen Bell</t>
  </si>
  <si>
    <t>Alison Rock</t>
  </si>
  <si>
    <t>Melanie Cain</t>
  </si>
  <si>
    <t>Bradley Brown</t>
  </si>
  <si>
    <t>Hugh Peel</t>
  </si>
  <si>
    <t>Olivia Ribeiro</t>
  </si>
  <si>
    <t>Tayla Bonwick</t>
  </si>
  <si>
    <t>Conor Howlin</t>
  </si>
  <si>
    <t>Jacqui Dobson</t>
  </si>
  <si>
    <t>Gav Rowley</t>
  </si>
  <si>
    <t>Matthew Grayton</t>
  </si>
  <si>
    <t>Joanne Wraith</t>
  </si>
  <si>
    <t>Lynn Robson</t>
  </si>
  <si>
    <t>DeveloperName</t>
  </si>
  <si>
    <t>Type</t>
  </si>
  <si>
    <t>Queue:Group:Name</t>
  </si>
  <si>
    <t>SobjectType</t>
  </si>
  <si>
    <t>Finance_Team</t>
  </si>
  <si>
    <t>Queue</t>
  </si>
  <si>
    <t>End_of_Tenancy_Task__c</t>
  </si>
  <si>
    <t>Pin_Yard_Team</t>
  </si>
  <si>
    <t>The_Headline_Team</t>
  </si>
  <si>
    <t>The_Forge_Team</t>
  </si>
  <si>
    <t>The_Tilt_Works_Team</t>
  </si>
  <si>
    <t>Brook_Place_Team</t>
  </si>
  <si>
    <t>Clippers_Quay_Team</t>
  </si>
  <si>
    <t>Hawkins_and_George_Team</t>
  </si>
  <si>
    <t>The_Condor_Team</t>
  </si>
  <si>
    <t>The_Barnum_Team</t>
  </si>
  <si>
    <t>Enigma_Square_Team</t>
  </si>
  <si>
    <t>Solstice_Apartments_Team</t>
  </si>
  <si>
    <t>The_Filaments_Team</t>
  </si>
  <si>
    <t>Gilders_Yard_Team</t>
  </si>
  <si>
    <t>Copperworks_Team</t>
  </si>
  <si>
    <t>Weavers_Yard_Team</t>
  </si>
  <si>
    <t>The_Mint_Team</t>
  </si>
  <si>
    <t>Argo_Apartments_Team</t>
  </si>
  <si>
    <t>Nautilus_Apartments_Team</t>
  </si>
  <si>
    <t>Abbeville_Apartments</t>
  </si>
  <si>
    <t>Millet_Place_Team</t>
  </si>
  <si>
    <t>Apex_Gardens_Team</t>
  </si>
  <si>
    <t>Windlass_Apartments_Team</t>
  </si>
  <si>
    <t>Gatehouse_Team</t>
  </si>
  <si>
    <t>Customer_Service_Team</t>
  </si>
  <si>
    <t>PRS_Regions</t>
  </si>
  <si>
    <t>PRS_London</t>
  </si>
  <si>
    <t>AM_BTR_Regions</t>
  </si>
  <si>
    <t>AM_New_Launches</t>
  </si>
  <si>
    <t>AM_BTR_London</t>
  </si>
  <si>
    <t>AM_PRS_Regions</t>
  </si>
  <si>
    <t>AM_PRS_London</t>
  </si>
  <si>
    <t>Lettings_North_East</t>
  </si>
  <si>
    <t>Lettings_North_West</t>
  </si>
  <si>
    <t>Lettings_Midlands</t>
  </si>
  <si>
    <t>Lettings_Wales</t>
  </si>
  <si>
    <t>Lettings_South</t>
  </si>
  <si>
    <t>Group:Group:Name</t>
  </si>
  <si>
    <t>UserOrGroupId</t>
  </si>
  <si>
    <t>EOT Lettings South</t>
  </si>
  <si>
    <t>AssigneeId</t>
  </si>
  <si>
    <t>PermissionSetId</t>
  </si>
  <si>
    <t>Result</t>
  </si>
  <si>
    <t>0054J000004vm8VQAQ</t>
  </si>
  <si>
    <t>0PSNz0000001NXIOA2</t>
  </si>
  <si>
    <t>Succeeded</t>
  </si>
  <si>
    <t>0054J000004vm8YQAQ</t>
  </si>
  <si>
    <t>0054J000004vm99QAA</t>
  </si>
  <si>
    <t>0054J000004vm9BQAQ</t>
  </si>
  <si>
    <t>0054J000004vm9CQAQ</t>
  </si>
  <si>
    <t>0054J000004vm9DQAQ</t>
  </si>
  <si>
    <t>0054J000004vm9KQAQ</t>
  </si>
  <si>
    <t>0054J000004vXObQAM</t>
  </si>
  <si>
    <t>Failed - inactive user</t>
  </si>
  <si>
    <t>0054J000004vXOWQA2</t>
  </si>
  <si>
    <t>0054J000004vXOYQA2</t>
  </si>
  <si>
    <t>0054J000004vXOyQAM</t>
  </si>
  <si>
    <t>0054J000004vXOZQA2</t>
  </si>
  <si>
    <t>0054J000004vXPHQA2</t>
  </si>
  <si>
    <t>0054J000004vXPIQA2</t>
  </si>
  <si>
    <t>0054J000004vXPJQA2</t>
  </si>
  <si>
    <t>0054J000004vXPLQA2</t>
  </si>
  <si>
    <t>0054J000004vXPMQA2</t>
  </si>
  <si>
    <t>0054J000004vXPNQA2</t>
  </si>
  <si>
    <t>0054J000004waNuQAI</t>
  </si>
  <si>
    <t>0054J000004wQh7QAE</t>
  </si>
  <si>
    <t>0054J000004wSINQA2</t>
  </si>
  <si>
    <t>0054J000005JMoGQAW</t>
  </si>
  <si>
    <t>0054J000006BkQgQAK</t>
  </si>
  <si>
    <t>0054J000006BlkiQAC</t>
  </si>
  <si>
    <t>0054J000006BlkxQAC</t>
  </si>
  <si>
    <t>0058d000000mAE2AAM</t>
  </si>
  <si>
    <t>0058d000000muLYAAY</t>
  </si>
  <si>
    <t>0058d000001yXepAAE</t>
  </si>
  <si>
    <t>0058d000001yXerAAE</t>
  </si>
  <si>
    <t>0058d000001yXeuAAE</t>
  </si>
  <si>
    <t>0058d000001zVWjAAM</t>
  </si>
  <si>
    <t>0058d00000202rVAAQ</t>
  </si>
  <si>
    <t>0058d0000020QoXAAU</t>
  </si>
  <si>
    <t>0058d0000021IvSAAU</t>
  </si>
  <si>
    <t>0058d00000348ApAAI</t>
  </si>
  <si>
    <t>0058d00000348B4AAI</t>
  </si>
  <si>
    <t>0058d0000034c7KAAQ</t>
  </si>
  <si>
    <t>0058d0000034e9SAAQ</t>
  </si>
  <si>
    <t>0058d0000034KlTAAU</t>
  </si>
  <si>
    <t>0058d0000034Km2AAE</t>
  </si>
  <si>
    <t>0058d0000034Km7AAE</t>
  </si>
  <si>
    <t>0058d0000034KmgAAE</t>
  </si>
  <si>
    <t>0058d0000034Kn5AAE</t>
  </si>
  <si>
    <t>0058d0000034Ks6AAE</t>
  </si>
  <si>
    <t>0058d0000034KskAAE</t>
  </si>
  <si>
    <t>0058d0000034KXaAAM</t>
  </si>
  <si>
    <t>0058d0000034KXpAAM</t>
  </si>
  <si>
    <t>0058d0000034KYTAA2</t>
  </si>
  <si>
    <t>0058d0000034KZ2AAM</t>
  </si>
  <si>
    <t>0058d0000034L6QAAU</t>
  </si>
  <si>
    <t>0058d000004Cx8uAAC</t>
  </si>
  <si>
    <t>0058d000004DM6nAAG</t>
  </si>
  <si>
    <t>0058d000004En5hAAC</t>
  </si>
  <si>
    <t>0058d000004FsUgAAK</t>
  </si>
  <si>
    <t>0058d000004GuDNAA0</t>
  </si>
  <si>
    <t>0058d000005QXRuAAO</t>
  </si>
  <si>
    <t>0058d000005QzutAAC</t>
  </si>
  <si>
    <t>0058d000005R8xzAAC</t>
  </si>
  <si>
    <t>0058d000005RclOAAS</t>
  </si>
  <si>
    <t>0058d000005RQ1sAAG</t>
  </si>
  <si>
    <t>0058d000005TEYFAA4</t>
  </si>
  <si>
    <t>0058d000006aMRdAAM</t>
  </si>
  <si>
    <t>0058d000006b6mpAAA</t>
  </si>
  <si>
    <t>0058d000006bhjxAAA</t>
  </si>
  <si>
    <t>0058d000006bn2jAAA</t>
  </si>
  <si>
    <t>0058d000006c3QUAAY</t>
  </si>
  <si>
    <t>0058d000006cbqpAAA</t>
  </si>
  <si>
    <t>0058d000006chw2AAA</t>
  </si>
  <si>
    <t>0058d000006chw3AAA</t>
  </si>
  <si>
    <t>0058d000006csAqAAI</t>
  </si>
  <si>
    <t>0058d000006d4S2AAI</t>
  </si>
  <si>
    <t>0058d000006d4S3AAI</t>
  </si>
  <si>
    <t>0058d000006dfzCAAQ</t>
  </si>
  <si>
    <t>0058d000006dXh7AAE</t>
  </si>
  <si>
    <t>0058d000007SmUDAA0</t>
  </si>
  <si>
    <t>0058d000007SQWFAA4</t>
  </si>
  <si>
    <t>005Nz000000AzrqIAC</t>
  </si>
  <si>
    <t>005Nz000000B1bvIAC</t>
  </si>
  <si>
    <t>005Nz000000C72YIAS</t>
  </si>
  <si>
    <t>005Nz000000FVd0IAG</t>
  </si>
  <si>
    <t>005Nz000000ImixIAC</t>
  </si>
  <si>
    <t>005Nz000000ImiyIAC</t>
  </si>
  <si>
    <t>005Nz000000KDSXIA4</t>
  </si>
  <si>
    <t>005Nz000000O0DPIA0</t>
  </si>
  <si>
    <t>005Nz000000O0DQIA0</t>
  </si>
  <si>
    <t>005Nz000000PrlvIAC</t>
  </si>
  <si>
    <t>005Nz000000kC30IAE</t>
  </si>
  <si>
    <t>0054J000004vm86QAA</t>
  </si>
  <si>
    <t>005Nz000000HVU4IAO</t>
  </si>
  <si>
    <t>005Nz000000NhU5IAK</t>
  </si>
  <si>
    <t>0058d0000034KliAAE</t>
  </si>
  <si>
    <t>005Nz000000R0K6IAK</t>
  </si>
  <si>
    <t>0058d000004H4neAAC</t>
  </si>
  <si>
    <t>0058d0000034KtEAAU</t>
  </si>
  <si>
    <t>0058d000004GtmhAAC</t>
  </si>
  <si>
    <t>005Nz0000006puIIAQ</t>
  </si>
  <si>
    <t>005Nz000000A2YQIA0</t>
  </si>
  <si>
    <t>0058d00000343K8AAI</t>
  </si>
  <si>
    <t>005Nz0000013xmEIAQ</t>
  </si>
  <si>
    <t>005Nz0000013xmDIAQ</t>
  </si>
  <si>
    <t>005Nz0000013xmCIAQ</t>
  </si>
  <si>
    <t>0058d0000034KYsAAM</t>
  </si>
  <si>
    <t>0058d000004FHK0AAO</t>
  </si>
  <si>
    <t>005Nz000000eYuFIAU</t>
  </si>
  <si>
    <t>005Nz0000013sHqIAI</t>
  </si>
  <si>
    <t>0058d000005ToH7AAK</t>
  </si>
  <si>
    <t>005Nz000001xLUaIAM</t>
  </si>
  <si>
    <t>0054J000004vm8wQAA</t>
  </si>
  <si>
    <t>0054J000004vm8xQAA</t>
  </si>
  <si>
    <t>0054J000004vm8oQAA</t>
  </si>
  <si>
    <t>0054J000005JVuPQAW</t>
  </si>
  <si>
    <t>0054J000004vm8pQAA</t>
  </si>
  <si>
    <t>0054J000004vm8hQAA</t>
  </si>
  <si>
    <t>0058d000001yXevAAE</t>
  </si>
  <si>
    <t>0054J000004vm8GQAQ</t>
  </si>
  <si>
    <t>005Nz000000ZInOIAW</t>
  </si>
  <si>
    <t>005Nz0000020vGTIAY</t>
  </si>
  <si>
    <t>005Nz0000020w1FIAQ</t>
  </si>
  <si>
    <t>005Nz0000020wMDIAY</t>
  </si>
  <si>
    <t>005Nz0000023yjFIAQ</t>
  </si>
  <si>
    <t>005Nz0000020vgHIAQ</t>
  </si>
  <si>
    <t>005Nz0000020wIzIAI</t>
  </si>
  <si>
    <t>Status</t>
  </si>
  <si>
    <t>Mark Churchard</t>
  </si>
  <si>
    <t>0PSNz0000001NXHOA2</t>
  </si>
  <si>
    <t>Mark Weeden</t>
  </si>
  <si>
    <t>0054J000004vm95QAA</t>
  </si>
  <si>
    <t>Kathrine Castle</t>
  </si>
  <si>
    <t>0054J000004wQh8QAE</t>
  </si>
  <si>
    <t>Fatma Azakli</t>
  </si>
  <si>
    <t>0054J000005JMoIQAW</t>
  </si>
  <si>
    <t>_</t>
  </si>
  <si>
    <t>Id</t>
  </si>
  <si>
    <t>[User]</t>
  </si>
  <si>
    <t>0052600000Ac7aoAAB</t>
  </si>
  <si>
    <t>Sam Duncan</t>
  </si>
  <si>
    <t>0052600000Ac7atAAB</t>
  </si>
  <si>
    <t>Nikki Papenfus</t>
  </si>
  <si>
    <t>0052600000AcPSIAA3</t>
  </si>
  <si>
    <t>G SAJI</t>
  </si>
  <si>
    <t>0052600000AcPzmAAF</t>
  </si>
  <si>
    <t>Anjali Salecha</t>
  </si>
  <si>
    <t>0052600000Ar27XAAR</t>
  </si>
  <si>
    <t>Nevin Lia</t>
  </si>
  <si>
    <t>0052600000ArJSbAAN</t>
  </si>
  <si>
    <t>Abigale Boaler</t>
  </si>
  <si>
    <t>0052600000ArwIhAAJ</t>
  </si>
  <si>
    <t>Khonani Davhana</t>
  </si>
  <si>
    <t>0052600000AtV3EAAV</t>
  </si>
  <si>
    <t>Jameelah Forfarnah</t>
  </si>
  <si>
    <t>0052600000B30btAAB</t>
  </si>
  <si>
    <t>David Hitt</t>
  </si>
  <si>
    <t>0052600000B30bzAAB</t>
  </si>
  <si>
    <t>Simon Aldridge</t>
  </si>
  <si>
    <t>0052600000B30c0AAB</t>
  </si>
  <si>
    <t>Connor Manuel</t>
  </si>
  <si>
    <t>0052600000B30c2AAB</t>
  </si>
  <si>
    <t>Sarah Nolan</t>
  </si>
  <si>
    <t>0052600000B30c4AAB</t>
  </si>
  <si>
    <t>Greg Cornish</t>
  </si>
  <si>
    <t>0052600000B4td2AAB</t>
  </si>
  <si>
    <t>Faith Dowdy</t>
  </si>
  <si>
    <t>0052600000BbyE7AAJ</t>
  </si>
  <si>
    <t>Constance Vickers</t>
  </si>
  <si>
    <t>0052600000Bn2SoAAJ</t>
  </si>
  <si>
    <t>Matthew Pitcairn</t>
  </si>
  <si>
    <t>0052600000BnJchAAF</t>
  </si>
  <si>
    <t>Catherine Allen</t>
  </si>
  <si>
    <t>0052600000BnJg5AAF</t>
  </si>
  <si>
    <t>Brandon Fuller</t>
  </si>
  <si>
    <t>0052600000BnKKbAAN</t>
  </si>
  <si>
    <t>0052600000BnKKcAAN</t>
  </si>
  <si>
    <t>Etamba Sabuni</t>
  </si>
  <si>
    <t>0052600000BnKKdAAN</t>
  </si>
  <si>
    <t>0052600000Bp2I4AAJ</t>
  </si>
  <si>
    <t>HomeLet Integration</t>
  </si>
  <si>
    <t>0052600000Bp3nNAAR</t>
  </si>
  <si>
    <t>Jignesh Chovatiya</t>
  </si>
  <si>
    <t>0052600000BpqvqAAB</t>
  </si>
  <si>
    <t>Jenny Lorimer</t>
  </si>
  <si>
    <t>0052600000C0DtdAAF</t>
  </si>
  <si>
    <t>Dave Jackson</t>
  </si>
  <si>
    <t>0052600000C0dZTAAZ</t>
  </si>
  <si>
    <t>Saji Guna</t>
  </si>
  <si>
    <t>0052600000C0tZKAAZ</t>
  </si>
  <si>
    <t>Corrina Gibson</t>
  </si>
  <si>
    <t>0052600000C1reuAAB</t>
  </si>
  <si>
    <t>Mo'nique Craib</t>
  </si>
  <si>
    <t>0054J0000012JWQQA2</t>
  </si>
  <si>
    <t>WebApp Integration User</t>
  </si>
  <si>
    <t>0054J0000012JwyQAE</t>
  </si>
  <si>
    <t>GREP Integration User</t>
  </si>
  <si>
    <t>0054J0000012JxDQAU</t>
  </si>
  <si>
    <t>Van Mildert Integration User</t>
  </si>
  <si>
    <t>0054J0000012KE9QAM</t>
  </si>
  <si>
    <t>GREP Data Platform User</t>
  </si>
  <si>
    <t>0054J00000297NQQAY</t>
  </si>
  <si>
    <t>Automated Process</t>
  </si>
  <si>
    <t>0054J00000297NWQAY</t>
  </si>
  <si>
    <t>Chatter Expert</t>
  </si>
  <si>
    <t>0054J000002G8OUQA0</t>
  </si>
  <si>
    <t>Scott Knight</t>
  </si>
  <si>
    <t>0054J000002G8OjQAK</t>
  </si>
  <si>
    <t>System</t>
  </si>
  <si>
    <t>0054J000002G8fZQAS</t>
  </si>
  <si>
    <t>Platform Integration User</t>
  </si>
  <si>
    <t>0054J000002JFLKQA4</t>
  </si>
  <si>
    <t>Daniel Snelling</t>
  </si>
  <si>
    <t>0054J000004vXOaQAM</t>
  </si>
  <si>
    <t>Joseph Cook</t>
  </si>
  <si>
    <t>0054J000004vXOdQAM</t>
  </si>
  <si>
    <t>Jonathan Hyde</t>
  </si>
  <si>
    <t>0054J000004vXOgQAM</t>
  </si>
  <si>
    <t>Jonathan Pitt</t>
  </si>
  <si>
    <t>0054J000004vXOhQAM</t>
  </si>
  <si>
    <t>Matas Sutkus</t>
  </si>
  <si>
    <t>0054J000004vXOiQAM</t>
  </si>
  <si>
    <t>Lacey Malin</t>
  </si>
  <si>
    <t>0054J000004vXOlQAM</t>
  </si>
  <si>
    <t>Anthony Candler</t>
  </si>
  <si>
    <t>0054J000004vXOnQAM</t>
  </si>
  <si>
    <t>Jemma Herring</t>
  </si>
  <si>
    <t>0054J000004vXOoQAM</t>
  </si>
  <si>
    <t>Rachel Ofili</t>
  </si>
  <si>
    <t>0054J000004vXOpQAM</t>
  </si>
  <si>
    <t>Suzanne Shearer</t>
  </si>
  <si>
    <t>0054J000004vXOqQAM</t>
  </si>
  <si>
    <t>Jessica Howe</t>
  </si>
  <si>
    <t>0054J000004vXOsQAM</t>
  </si>
  <si>
    <t>Leesa Ingham</t>
  </si>
  <si>
    <t>0054J000004vXOvQAM</t>
  </si>
  <si>
    <t>Jacob Smycz</t>
  </si>
  <si>
    <t>0054J000004vXOwQAM</t>
  </si>
  <si>
    <t>James Robertson</t>
  </si>
  <si>
    <t>0054J000004vXOxQAM</t>
  </si>
  <si>
    <t>Sam Brown</t>
  </si>
  <si>
    <t>0054J000004vXP0QAM</t>
  </si>
  <si>
    <t>Mark Whitehead</t>
  </si>
  <si>
    <t>0054J000004vXP1QAM</t>
  </si>
  <si>
    <t>Patricia Johnson</t>
  </si>
  <si>
    <t>0054J000004vXP2QAM</t>
  </si>
  <si>
    <t>Sophie Farr</t>
  </si>
  <si>
    <t>0054J000004vXP3QAM</t>
  </si>
  <si>
    <t>Patricia Glasper</t>
  </si>
  <si>
    <t>0054J000004vXP4QAM</t>
  </si>
  <si>
    <t>Colette Hunter</t>
  </si>
  <si>
    <t>0054J000004vXP6QAM</t>
  </si>
  <si>
    <t>Lauren Mennell</t>
  </si>
  <si>
    <t>0054J000004vXPBQA2</t>
  </si>
  <si>
    <t>Clair Habgood</t>
  </si>
  <si>
    <t>0054J000004vXPFQA2</t>
  </si>
  <si>
    <t>Janice McCluskey</t>
  </si>
  <si>
    <t>0054J000004vXPGQA2</t>
  </si>
  <si>
    <t>Anita Masters</t>
  </si>
  <si>
    <t>0054J000004vXPOQA2</t>
  </si>
  <si>
    <t>Anish Thobhani</t>
  </si>
  <si>
    <t>0054J000004vluqQAA</t>
  </si>
  <si>
    <t>Jaic George</t>
  </si>
  <si>
    <t>0054J000004vm7wQAA</t>
  </si>
  <si>
    <t>Leah Lakomski</t>
  </si>
  <si>
    <t>0054J000004vm7xQAA</t>
  </si>
  <si>
    <t>Joe Mason</t>
  </si>
  <si>
    <t>0054J000004vm7yQAA</t>
  </si>
  <si>
    <t>Shantel Sikanartey</t>
  </si>
  <si>
    <t>0054J000004vm7zQAA</t>
  </si>
  <si>
    <t>Jamie Hall</t>
  </si>
  <si>
    <t>0054J000004vm80QAA</t>
  </si>
  <si>
    <t>Deandra Grovell</t>
  </si>
  <si>
    <t>0054J000004vm81QAA</t>
  </si>
  <si>
    <t>Kalpesh Patel</t>
  </si>
  <si>
    <t>0054J000004vm82QAA</t>
  </si>
  <si>
    <t>Amanda Royle</t>
  </si>
  <si>
    <t>0054J000004vm83QAA</t>
  </si>
  <si>
    <t>Abdifuad Guleid</t>
  </si>
  <si>
    <t>0054J000004vm84QAA</t>
  </si>
  <si>
    <t>0054J000004vm87QAA</t>
  </si>
  <si>
    <t>Jodie Buck</t>
  </si>
  <si>
    <t>0054J000004vm88QAA</t>
  </si>
  <si>
    <t>Anne Moorhouse</t>
  </si>
  <si>
    <t>0054J000004vm89QAA</t>
  </si>
  <si>
    <t>Jake Matthews</t>
  </si>
  <si>
    <t>0054J000004vm8BQAQ</t>
  </si>
  <si>
    <t>Sarah Georgiades</t>
  </si>
  <si>
    <t>0054J000004vm8CQAQ</t>
  </si>
  <si>
    <t>Beth Crossan</t>
  </si>
  <si>
    <t>0054J000004vm8DQAQ</t>
  </si>
  <si>
    <t>Destiny Ojo</t>
  </si>
  <si>
    <t>0054J000004vm8FQAQ</t>
  </si>
  <si>
    <t>Ben Taylor</t>
  </si>
  <si>
    <t>0054J000004vm8HQAQ</t>
  </si>
  <si>
    <t>Dimitris Tsompanidis</t>
  </si>
  <si>
    <t>0054J000004vm8IQAQ</t>
  </si>
  <si>
    <t>Kellie Stokes</t>
  </si>
  <si>
    <t>0054J000004vm8JQAQ</t>
  </si>
  <si>
    <t>Stephen Whitcombe</t>
  </si>
  <si>
    <t>0054J000004vm8KQAQ</t>
  </si>
  <si>
    <t>Manuela Culita</t>
  </si>
  <si>
    <t>0054J000004vm8LQAQ</t>
  </si>
  <si>
    <t>Karen Jefferies</t>
  </si>
  <si>
    <t>0054J000004vm8MQAQ</t>
  </si>
  <si>
    <t>Helena Jansson</t>
  </si>
  <si>
    <t>0054J000004vm8OQAQ</t>
  </si>
  <si>
    <t>Daniel Kempner</t>
  </si>
  <si>
    <t>0054J000004vm8QQAQ</t>
  </si>
  <si>
    <t>0054J000004vm8RQAQ</t>
  </si>
  <si>
    <t>Robin Keates</t>
  </si>
  <si>
    <t>0054J000004vm8TQAQ</t>
  </si>
  <si>
    <t>Harriet Griffiths</t>
  </si>
  <si>
    <t>0054J000004vm8UQAQ</t>
  </si>
  <si>
    <t>Paul McGowan</t>
  </si>
  <si>
    <t>0054J000004vm8WQAQ</t>
  </si>
  <si>
    <t>Kerry Campbell</t>
  </si>
  <si>
    <t>0054J000004vm8XQAQ</t>
  </si>
  <si>
    <t>Angela Brooks</t>
  </si>
  <si>
    <t>0054J000004vm8ZQAQ</t>
  </si>
  <si>
    <t>Eliza Pattinson</t>
  </si>
  <si>
    <t>0054J000004vm8aQAA</t>
  </si>
  <si>
    <t>Samantha Heseltine</t>
  </si>
  <si>
    <t>0054J000004vm8bQAA</t>
  </si>
  <si>
    <t>Alan Chitson</t>
  </si>
  <si>
    <t>0054J000004vm8cQAA</t>
  </si>
  <si>
    <t>Eleanor Gray</t>
  </si>
  <si>
    <t>0054J000004vm8dQAA</t>
  </si>
  <si>
    <t>Mahesh Parmar</t>
  </si>
  <si>
    <t>0054J000004vm8eQAA</t>
  </si>
  <si>
    <t>Ryan Tucker</t>
  </si>
  <si>
    <t>0054J000004vm8fQAA</t>
  </si>
  <si>
    <t>Simon Pritchett</t>
  </si>
  <si>
    <t>0054J000004vm8gQAA</t>
  </si>
  <si>
    <t>Rebecca Crow</t>
  </si>
  <si>
    <t>0054J000004vm8iQAA</t>
  </si>
  <si>
    <t>Sarah Baptiste</t>
  </si>
  <si>
    <t>0054J000004vm8jQAA</t>
  </si>
  <si>
    <t>Rebecca Linnell</t>
  </si>
  <si>
    <t>0054J000004vm8kQAA</t>
  </si>
  <si>
    <t>Paul Ruston</t>
  </si>
  <si>
    <t>0054J000004vm8nQAA</t>
  </si>
  <si>
    <t>Nenad Rankovic</t>
  </si>
  <si>
    <t>0054J000004vm8qQAA</t>
  </si>
  <si>
    <t>Nicholas Holmes</t>
  </si>
  <si>
    <t>0054J000004vm8sQAA</t>
  </si>
  <si>
    <t>Karen Burfield</t>
  </si>
  <si>
    <t>0054J000004vm8tQAA</t>
  </si>
  <si>
    <t>Josh Barker</t>
  </si>
  <si>
    <t>0054J000004vm8uQAA</t>
  </si>
  <si>
    <t>Holly Pears</t>
  </si>
  <si>
    <t>0054J000004vm8vQAA</t>
  </si>
  <si>
    <t>James Peppiatt</t>
  </si>
  <si>
    <t>0054J000004vm8zQAA</t>
  </si>
  <si>
    <t>Andrew Saunderson</t>
  </si>
  <si>
    <t>0054J000004vm90QAA</t>
  </si>
  <si>
    <t>Christopher Fletcher</t>
  </si>
  <si>
    <t>0054J000004vm91QAA</t>
  </si>
  <si>
    <t>Amanda Obioha</t>
  </si>
  <si>
    <t>0054J000004vm92QAA</t>
  </si>
  <si>
    <t>Adam Sherley-Dale</t>
  </si>
  <si>
    <t>0054J000004vm98QAA</t>
  </si>
  <si>
    <t>Melissa Hudson</t>
  </si>
  <si>
    <t>0054J000004vm9AQAQ</t>
  </si>
  <si>
    <t>Emma Stockley</t>
  </si>
  <si>
    <t>0054J000004vm9EQAQ</t>
  </si>
  <si>
    <t>Richard Demby</t>
  </si>
  <si>
    <t>0054J000004vm9FQAQ</t>
  </si>
  <si>
    <t>Leanne Hargreaves</t>
  </si>
  <si>
    <t>0054J000004vm9GQAQ</t>
  </si>
  <si>
    <t>Michael Tomlinson</t>
  </si>
  <si>
    <t>0054J000004vm9IQAQ</t>
  </si>
  <si>
    <t>Ashanti Julien-Clarke</t>
  </si>
  <si>
    <t>0054J000004vm9JQAQ</t>
  </si>
  <si>
    <t>Harrison Portch</t>
  </si>
  <si>
    <t>0054J000004vm9NQAQ</t>
  </si>
  <si>
    <t>Maria Sabat</t>
  </si>
  <si>
    <t>0054J000004vm9PQAQ</t>
  </si>
  <si>
    <t>Neil Harker</t>
  </si>
  <si>
    <t>0054J000004vmFtQAI</t>
  </si>
  <si>
    <t>Hanna Thompson</t>
  </si>
  <si>
    <t>0054J000004vtYxQAI</t>
  </si>
  <si>
    <t>asperato user</t>
  </si>
  <si>
    <t>0054J000004vyEnQAI</t>
  </si>
  <si>
    <t>Adobe User</t>
  </si>
  <si>
    <t>0054J000004vyKbQAI</t>
  </si>
  <si>
    <t>Grainger Homes</t>
  </si>
  <si>
    <t>0054J000004vzhCQAQ</t>
  </si>
  <si>
    <t>Nathan Mullaney</t>
  </si>
  <si>
    <t>0054J000004wJdkQAE</t>
  </si>
  <si>
    <t>Adam Data</t>
  </si>
  <si>
    <t>0054J000004wOMUQA2</t>
  </si>
  <si>
    <t>Elisabeta Mihalache</t>
  </si>
  <si>
    <t>0054J000004wVAgQAM</t>
  </si>
  <si>
    <t>Michael Martin-Jones</t>
  </si>
  <si>
    <t>0054J000004wZgCQAU</t>
  </si>
  <si>
    <t>Georgia Davis</t>
  </si>
  <si>
    <t>0054J000004wZgRQAU</t>
  </si>
  <si>
    <t>Jack Gardner</t>
  </si>
  <si>
    <t>0054J000004wbROQAY</t>
  </si>
  <si>
    <t>data support</t>
  </si>
  <si>
    <t>0054J000004wbYFQAY</t>
  </si>
  <si>
    <t>Deborah Stein</t>
  </si>
  <si>
    <t>0054J000004wc4kQAA</t>
  </si>
  <si>
    <t>marketing cloud connector</t>
  </si>
  <si>
    <t>0054J000005HfxjQAC</t>
  </si>
  <si>
    <t>GREP Account</t>
  </si>
  <si>
    <t>0054J000005JVgSQAW</t>
  </si>
  <si>
    <t>Kim Miller</t>
  </si>
  <si>
    <t>0054J000005JWtDQAW</t>
  </si>
  <si>
    <t>Lewis Morton</t>
  </si>
  <si>
    <t>0054J000005jcbMQAQ</t>
  </si>
  <si>
    <t>Gary Hunter</t>
  </si>
  <si>
    <t>0054J000005jcbNQAQ</t>
  </si>
  <si>
    <t>Kyle Duggan</t>
  </si>
  <si>
    <t>0054J000006BnvNQAS</t>
  </si>
  <si>
    <t>Julie Deighton</t>
  </si>
  <si>
    <t>0054J000006BnvSQAS</t>
  </si>
  <si>
    <t>Katherine Merrell</t>
  </si>
  <si>
    <t>0054J000006BpXNQA0</t>
  </si>
  <si>
    <t>Georgia Kirby-Watt</t>
  </si>
  <si>
    <t>0058d000000l9ViAAI</t>
  </si>
  <si>
    <t>Julia Morrow</t>
  </si>
  <si>
    <t>0058d000000lACRAA2</t>
  </si>
  <si>
    <t>Saji Gunasekaran</t>
  </si>
  <si>
    <t>0058d000000lNbGAAU</t>
  </si>
  <si>
    <t>Helen Douglas-Teggart</t>
  </si>
  <si>
    <t>0058d000000m3ZRAAY</t>
  </si>
  <si>
    <t>Ros Thornton</t>
  </si>
  <si>
    <t>0058d000000m53IAAQ</t>
  </si>
  <si>
    <t>Ricardo Ribeiro</t>
  </si>
  <si>
    <t>0058d000000mIsvAAE</t>
  </si>
  <si>
    <t>Robyn Hines</t>
  </si>
  <si>
    <t>0058d000000mPEAAA2</t>
  </si>
  <si>
    <t>Janine Bainbridge</t>
  </si>
  <si>
    <t>0058d000000mnkVAAQ</t>
  </si>
  <si>
    <t>Maria Kay</t>
  </si>
  <si>
    <t>0058d000000n6XtAAI</t>
  </si>
  <si>
    <t>Sam While</t>
  </si>
  <si>
    <t>0058d000001yXZhAAM</t>
  </si>
  <si>
    <t>Debbie Wilkie</t>
  </si>
  <si>
    <t>0058d000001yXeeAAE</t>
  </si>
  <si>
    <t>Dominic Comac</t>
  </si>
  <si>
    <t>0058d000001yXenAAE</t>
  </si>
  <si>
    <t>Ashley Grey</t>
  </si>
  <si>
    <t>0058d000001z0PjAAI</t>
  </si>
  <si>
    <t>Steven Clark</t>
  </si>
  <si>
    <t>0058d000001zWfOAAU</t>
  </si>
  <si>
    <t>Beckham Tuplin</t>
  </si>
  <si>
    <t>0058d000001zsqDAAQ</t>
  </si>
  <si>
    <t>Fiona McDonald</t>
  </si>
  <si>
    <t>0058d00000204EOAAY</t>
  </si>
  <si>
    <t>Segun Dickson</t>
  </si>
  <si>
    <t>0058d0000020XkeAAE</t>
  </si>
  <si>
    <t>Richard Brazier</t>
  </si>
  <si>
    <t>0058d0000020feeAAA</t>
  </si>
  <si>
    <t>Corrina Clarke</t>
  </si>
  <si>
    <t>0058d0000021922AAA</t>
  </si>
  <si>
    <t>Andrea Cockbain</t>
  </si>
  <si>
    <t>0058d0000021JRSAA2</t>
  </si>
  <si>
    <t>Yasmin Atkinson</t>
  </si>
  <si>
    <t>0058d0000021Xl1AAE</t>
  </si>
  <si>
    <t>Francois Forest</t>
  </si>
  <si>
    <t>0058d0000021cPlAAI</t>
  </si>
  <si>
    <t>Sarah Cook</t>
  </si>
  <si>
    <t>0058d00000223F2AAI</t>
  </si>
  <si>
    <t>Cara Quinn</t>
  </si>
  <si>
    <t>0058d0000022NeRAAU</t>
  </si>
  <si>
    <t>LettingsPortal Site Guest User</t>
  </si>
  <si>
    <t>0058d0000022OHDAA2</t>
  </si>
  <si>
    <t>Letting Agent</t>
  </si>
  <si>
    <t>0058d0000033sXzAAI</t>
  </si>
  <si>
    <t>Raza Rehman</t>
  </si>
  <si>
    <t>Grace Fiske</t>
  </si>
  <si>
    <t>0058d00000348vtAAA</t>
  </si>
  <si>
    <t>Andrea Gorman</t>
  </si>
  <si>
    <t>0058d00000348wwAAA</t>
  </si>
  <si>
    <t>James Biley</t>
  </si>
  <si>
    <t>0058d00000348xVAAQ</t>
  </si>
  <si>
    <t>0058d00000348xkAAA</t>
  </si>
  <si>
    <t>0058d00000348y4AAA</t>
  </si>
  <si>
    <t>Shelby Overington</t>
  </si>
  <si>
    <t>Gurinder Punia</t>
  </si>
  <si>
    <t>Isaac Turner</t>
  </si>
  <si>
    <t>0058d0000034KsVAAU</t>
  </si>
  <si>
    <t>Ahmed Aldofani</t>
  </si>
  <si>
    <t>0058d0000034KsuAAE</t>
  </si>
  <si>
    <t>Martin Dymiter</t>
  </si>
  <si>
    <t>Shalma Nibbs</t>
  </si>
  <si>
    <t>0058d0000034SvqAAE</t>
  </si>
  <si>
    <t>Chiara Rosati</t>
  </si>
  <si>
    <t>0058d0000034c7JAAQ</t>
  </si>
  <si>
    <t>0058d0000034c7LAAQ</t>
  </si>
  <si>
    <t>Geoffrey Eze</t>
  </si>
  <si>
    <t>0058d0000034cXMAAY</t>
  </si>
  <si>
    <t>Popson Abraham</t>
  </si>
  <si>
    <t>0058d0000034cXOAAY</t>
  </si>
  <si>
    <t>Andrew Mason</t>
  </si>
  <si>
    <t>0058d0000034i83AAA</t>
  </si>
  <si>
    <t>Honey Campbell</t>
  </si>
  <si>
    <t>0058d0000034qWaAAI</t>
  </si>
  <si>
    <t>John Carroll</t>
  </si>
  <si>
    <t>0058d0000034t2xAAA</t>
  </si>
  <si>
    <t>James Keen</t>
  </si>
  <si>
    <t>0058d0000034t7KAAQ</t>
  </si>
  <si>
    <t>Jenna Miles</t>
  </si>
  <si>
    <t>0058d0000034t82AAA</t>
  </si>
  <si>
    <t>Julian Bishop</t>
  </si>
  <si>
    <t>0058d0000034t8JAAQ</t>
  </si>
  <si>
    <t>Danielle Glance</t>
  </si>
  <si>
    <t>0058d0000034t8WAAQ</t>
  </si>
  <si>
    <t>Raj Manandhar</t>
  </si>
  <si>
    <t>0058d0000034t90AAA</t>
  </si>
  <si>
    <t>Jason Jones</t>
  </si>
  <si>
    <t>0058d0000034tImAAI</t>
  </si>
  <si>
    <t>Oliver Simcox</t>
  </si>
  <si>
    <t>0058d0000034tIrAAI</t>
  </si>
  <si>
    <t>Olivia Brocklebank-Fowler</t>
  </si>
  <si>
    <t>0058d0000034tRkAAI</t>
  </si>
  <si>
    <t>Chris Campbell</t>
  </si>
  <si>
    <t>0058d0000034tRuAAI</t>
  </si>
  <si>
    <t>Angela Clarke</t>
  </si>
  <si>
    <t>0058d0000034tS4AAI</t>
  </si>
  <si>
    <t>Jonathan Daykin</t>
  </si>
  <si>
    <t>0058d0000034tSJAAY</t>
  </si>
  <si>
    <t>Sophie Fox</t>
  </si>
  <si>
    <t>0058d0000034tSdAAI</t>
  </si>
  <si>
    <t>Esin Gilgil</t>
  </si>
  <si>
    <t>0058d0000034tTRAAY</t>
  </si>
  <si>
    <t>Elliot Hancox</t>
  </si>
  <si>
    <t>0058d0000034tTbAAI</t>
  </si>
  <si>
    <t>Beattie Kirchner</t>
  </si>
  <si>
    <t>0058d0000034tTvAAI</t>
  </si>
  <si>
    <t>Joshua Magume</t>
  </si>
  <si>
    <t>0058d0000034tUKAAY</t>
  </si>
  <si>
    <t>Jenalyn Masalunga</t>
  </si>
  <si>
    <t>0058d0000034tUjAAI</t>
  </si>
  <si>
    <t>Gareth Mawdsley</t>
  </si>
  <si>
    <t>0058d0000034tV8AAI</t>
  </si>
  <si>
    <t>Dipan Shah</t>
  </si>
  <si>
    <t>0058d0000034tVNAAY</t>
  </si>
  <si>
    <t>Anna Steventon</t>
  </si>
  <si>
    <t>0058d0000034tVmAAI</t>
  </si>
  <si>
    <t>Ketan Sudra</t>
  </si>
  <si>
    <t>0058d0000034tW1AAI</t>
  </si>
  <si>
    <t>Tim Watson</t>
  </si>
  <si>
    <t>0058d0000034tW6AAI</t>
  </si>
  <si>
    <t>Francis Woodhead</t>
  </si>
  <si>
    <t>0058d0000035784AAA</t>
  </si>
  <si>
    <t>Hannah Al-Sayyah</t>
  </si>
  <si>
    <t>0058d000003578JAAQ</t>
  </si>
  <si>
    <t>Ashley Mitson</t>
  </si>
  <si>
    <t>0058d0000035B23AAE</t>
  </si>
  <si>
    <t>Bobby Coshall</t>
  </si>
  <si>
    <t>0058d0000035B3GAAU</t>
  </si>
  <si>
    <t>Ryan Gray</t>
  </si>
  <si>
    <t>0058d0000035B3LAAU</t>
  </si>
  <si>
    <t>Seth Griffiths</t>
  </si>
  <si>
    <t>0058d0000035B3kAAE</t>
  </si>
  <si>
    <t>La'Shaun Austin</t>
  </si>
  <si>
    <t>0058d0000035B44AAE</t>
  </si>
  <si>
    <t>Barbara Namale</t>
  </si>
  <si>
    <t>0058d0000035B4YAAU</t>
  </si>
  <si>
    <t>Charlie Heim</t>
  </si>
  <si>
    <t>0058d0000035B95AAE</t>
  </si>
  <si>
    <t>Liam Winnard</t>
  </si>
  <si>
    <t>0058d0000035B9tAAE</t>
  </si>
  <si>
    <t>Ben Rayner</t>
  </si>
  <si>
    <t>0058d0000035BAwAAM</t>
  </si>
  <si>
    <t>Naomi Meade</t>
  </si>
  <si>
    <t>0058d0000035BB1AAM</t>
  </si>
  <si>
    <t>Nicole Furrer</t>
  </si>
  <si>
    <t>0058d0000035BBLAA2</t>
  </si>
  <si>
    <t>Rezah Jaufuraully</t>
  </si>
  <si>
    <t>0058d0000035BBkAAM</t>
  </si>
  <si>
    <t>Josh Wilson</t>
  </si>
  <si>
    <t>0058d0000043jUlAAI</t>
  </si>
  <si>
    <t>DeliveryTeam Globant</t>
  </si>
  <si>
    <t>0058d0000043mtfAAA</t>
  </si>
  <si>
    <t>Emily East</t>
  </si>
  <si>
    <t>0058d0000043sEOAAY</t>
  </si>
  <si>
    <t>Wesley Greaves</t>
  </si>
  <si>
    <t>0058d0000043sJEAAY</t>
  </si>
  <si>
    <t>Ezekiel Akinjagunla</t>
  </si>
  <si>
    <t>0058d0000043ssPAAQ</t>
  </si>
  <si>
    <t>Fiona Craske</t>
  </si>
  <si>
    <t>0058d00000449t6AAA</t>
  </si>
  <si>
    <t>Cristina Solonar</t>
  </si>
  <si>
    <t>0058d000004D1hUAAS</t>
  </si>
  <si>
    <t>Thomas Grounds</t>
  </si>
  <si>
    <t>0058d000004D2IcAAK</t>
  </si>
  <si>
    <t>Arnaldo Bolivar</t>
  </si>
  <si>
    <t>0058d000004DOMXAA4</t>
  </si>
  <si>
    <t>Joshua Mitchell</t>
  </si>
  <si>
    <t>0058d000004DynQAAS</t>
  </si>
  <si>
    <t>Megan Fleming</t>
  </si>
  <si>
    <t>0058d000004E4NCAA0</t>
  </si>
  <si>
    <t>Agata Brennan</t>
  </si>
  <si>
    <t>0058d000004EqA5AAK</t>
  </si>
  <si>
    <t>Rebecca Stein</t>
  </si>
  <si>
    <t>Sonia Duffus</t>
  </si>
  <si>
    <t>0058d000004GTmUAAW</t>
  </si>
  <si>
    <t>Kate Easterling</t>
  </si>
  <si>
    <t>Connor Berry</t>
  </si>
  <si>
    <t>0058d000004GuOhAAK</t>
  </si>
  <si>
    <t>Aaron Ward</t>
  </si>
  <si>
    <t>0058d000004H0b4AAC</t>
  </si>
  <si>
    <t>Henry Gervaise-Jones</t>
  </si>
  <si>
    <t>Darren Pritchard</t>
  </si>
  <si>
    <t>0058d000005Rf3MAAS</t>
  </si>
  <si>
    <t>Nadia Turkulin</t>
  </si>
  <si>
    <t>0058d000005Rx0uAAC</t>
  </si>
  <si>
    <t>Syed Ali</t>
  </si>
  <si>
    <t>0058d000005SY9KAAW</t>
  </si>
  <si>
    <t>Shaneya Roye</t>
  </si>
  <si>
    <t>0058d000005TgdbAAC</t>
  </si>
  <si>
    <t>Lauren Akallach</t>
  </si>
  <si>
    <t>Suna Uyar</t>
  </si>
  <si>
    <t>0058d000006a54kAAA</t>
  </si>
  <si>
    <t>Marc Yerrell</t>
  </si>
  <si>
    <t>0058d000006aqUrAAI</t>
  </si>
  <si>
    <t>Molli Smyth</t>
  </si>
  <si>
    <t>0058d000006b67QAAQ</t>
  </si>
  <si>
    <t>Safaa Suleiman</t>
  </si>
  <si>
    <t>0058d000006bfxBAAQ</t>
  </si>
  <si>
    <t>Trail Tracker</t>
  </si>
  <si>
    <t>0058d000006c3ivAAA</t>
  </si>
  <si>
    <t>Grocott Richard</t>
  </si>
  <si>
    <t>0058d000006cFljAAE</t>
  </si>
  <si>
    <t>Raihana Parveen</t>
  </si>
  <si>
    <t>0058d000006cQAaAAM</t>
  </si>
  <si>
    <t>Anne Findlay</t>
  </si>
  <si>
    <t>0058d000006caH9AAI</t>
  </si>
  <si>
    <t>Tufayel Rahman</t>
  </si>
  <si>
    <t>0058d000006cf2pAAA</t>
  </si>
  <si>
    <t>Rachel Cooper</t>
  </si>
  <si>
    <t>0058d000006chmkAAA</t>
  </si>
  <si>
    <t>Jon Sherriff</t>
  </si>
  <si>
    <t>005UE000000lVmjYAE</t>
  </si>
  <si>
    <t>Open Box Administrator</t>
  </si>
  <si>
    <t>005UE000000orPZYAY</t>
  </si>
  <si>
    <t>Open Box Testing User</t>
  </si>
  <si>
    <t>005UE000001SQwfYAG</t>
  </si>
  <si>
    <t>Maisie Whittaker</t>
  </si>
  <si>
    <t>005UE000001ZaVxYAK</t>
  </si>
  <si>
    <t>Jessica Robson</t>
  </si>
  <si>
    <t>005UE000001aCGbYAM</t>
  </si>
  <si>
    <t>005UE000001lHaLYAU</t>
  </si>
  <si>
    <t>New Marketing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</si>
</sst>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sz val="13"/>
      <color rgb="FF16325C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0" tint="-0.14999847407452621"/>
      </patternFill>
    </fill>
    <fill>
      <patternFill patternType="solid">
        <fgColor rgb="FFD9D9D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4">
    <xf numFmtId="0" fontId="0" fillId="0" borderId="0" xfId="0"/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3" borderId="0" xfId="0" applyFill="1"/>
    <xf numFmtId="0" fontId="4" fillId="0" borderId="0" xfId="0" applyFont="1"/>
    <xf numFmtId="0" fontId="0" fillId="2" borderId="1" xfId="0" applyFill="1" applyBorder="1"/>
    <xf numFmtId="0" fontId="0" fillId="4" borderId="0" xfId="0" applyFill="1"/>
    <xf numFmtId="0" fontId="2" fillId="4" borderId="0" xfId="0" applyFont="1" applyFill="1"/>
    <xf numFmtId="0" fontId="0" fillId="5" borderId="0" xfId="0" applyFill="1"/>
    <xf numFmtId="0" fontId="0" fillId="4" borderId="1" xfId="0" applyFill="1" applyBorder="1"/>
    <xf numFmtId="0" fontId="0" fillId="5" borderId="1" xfId="0" applyFill="1" applyBorder="1"/>
    <xf numFmtId="0" fontId="0" fillId="0" borderId="0" xfId="0" applyAlignment="1">
      <alignment vertical="center"/>
    </xf>
    <xf numFmtId="0" fontId="1" fillId="0" borderId="2" xfId="0" applyFont="1" applyBorder="1"/>
    <xf numFmtId="0" fontId="0" fillId="0" borderId="3" xfId="0" applyBorder="1"/>
    <xf numFmtId="0" fontId="1" fillId="0" borderId="4" xfId="0" applyFont="1" applyBorder="1"/>
    <xf numFmtId="0" fontId="5" fillId="0" borderId="3" xfId="0" applyFont="1" applyBorder="1"/>
    <xf numFmtId="0" fontId="1" fillId="0" borderId="5" xfId="0" applyFont="1" applyBorder="1"/>
    <xf numFmtId="0" fontId="0" fillId="0" borderId="5" xfId="0" applyBorder="1"/>
    <xf numFmtId="0" fontId="2" fillId="0" borderId="5" xfId="0" applyFont="1" applyBorder="1"/>
    <xf numFmtId="0" fontId="0" fillId="0" borderId="5" xfId="0" applyBorder="1" applyAlignment="1">
      <alignment vertical="center"/>
    </xf>
    <xf numFmtId="0" fontId="6" fillId="0" borderId="0" xfId="1"/>
    <xf numFmtId="0" fontId="7" fillId="6" borderId="6" xfId="0" applyFont="1" applyFill="1" applyBorder="1" applyAlignment="1">
      <alignment readingOrder="1"/>
    </xf>
    <xf numFmtId="0" fontId="7" fillId="6" borderId="7" xfId="0" applyFont="1" applyFill="1" applyBorder="1" applyAlignment="1">
      <alignment readingOrder="1"/>
    </xf>
    <xf numFmtId="0" fontId="7" fillId="6" borderId="8" xfId="0" applyFont="1" applyFill="1" applyBorder="1" applyAlignment="1">
      <alignment readingOrder="1"/>
    </xf>
    <xf numFmtId="0" fontId="7" fillId="0" borderId="9" xfId="0" applyFont="1" applyBorder="1" applyAlignment="1">
      <alignment readingOrder="1"/>
    </xf>
    <xf numFmtId="0" fontId="7" fillId="6" borderId="10" xfId="0" applyFont="1" applyFill="1" applyBorder="1" applyAlignment="1">
      <alignment readingOrder="1"/>
    </xf>
    <xf numFmtId="0" fontId="7" fillId="0" borderId="10" xfId="0" applyFont="1" applyBorder="1" applyAlignment="1">
      <alignment readingOrder="1"/>
    </xf>
    <xf numFmtId="0" fontId="7" fillId="0" borderId="11" xfId="0" applyFont="1" applyBorder="1" applyAlignment="1">
      <alignment readingOrder="1"/>
    </xf>
    <xf numFmtId="0" fontId="7" fillId="6" borderId="9" xfId="0" applyFont="1" applyFill="1" applyBorder="1" applyAlignment="1">
      <alignment readingOrder="1"/>
    </xf>
    <xf numFmtId="0" fontId="7" fillId="6" borderId="11" xfId="0" applyFont="1" applyFill="1" applyBorder="1" applyAlignment="1">
      <alignment readingOrder="1"/>
    </xf>
    <xf numFmtId="0" fontId="7" fillId="6" borderId="12" xfId="0" applyFont="1" applyFill="1" applyBorder="1" applyAlignment="1">
      <alignment readingOrder="1"/>
    </xf>
    <xf numFmtId="0" fontId="7" fillId="6" borderId="13" xfId="0" applyFont="1" applyFill="1" applyBorder="1" applyAlignment="1">
      <alignment readingOrder="1"/>
    </xf>
    <xf numFmtId="0" fontId="7" fillId="6" borderId="14" xfId="0" applyFont="1" applyFill="1" applyBorder="1" applyAlignment="1">
      <alignment readingOrder="1"/>
    </xf>
  </cellXfs>
  <cellStyles count="2">
    <cellStyle name="Hyperlink" xfId="1" builtinId="8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fgColor theme="0" tint="-0.14999847407452621"/>
          <bgColor auto="1"/>
        </patternFill>
      </fill>
    </dxf>
    <dxf>
      <fill>
        <patternFill patternType="none">
          <fgColor theme="0" tint="-0.1499984740745262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m Duncan" id="{512F78F6-5510-D74C-A99A-7A6E40C113A6}" userId="S::sduncan@openboxsoftware.com::c1d0992b-0ec5-443a-8c6c-87e1361e2b1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0F7616-1E9D-4014-B0FA-51A444951B24}" name="Table1" displayName="Table1" ref="A2:G345" totalsRowShown="0" headerRowDxfId="8" dataDxfId="7">
  <autoFilter ref="A2:G345" xr:uid="{C80F7616-1E9D-4014-B0FA-51A444951B24}"/>
  <sortState xmlns:xlrd2="http://schemas.microsoft.com/office/spreadsheetml/2017/richdata2" ref="A3:G345">
    <sortCondition ref="A2:A345"/>
  </sortState>
  <tableColumns count="7">
    <tableColumn id="1" xr3:uid="{89CB2D3B-1634-45FF-98D1-1EC0F89A296B}" name="Name" dataDxfId="6"/>
    <tableColumn id="2" xr3:uid="{E9E36E3A-7F6B-4F0C-AD73-1735055E99B6}" name="Building ID" dataDxfId="5"/>
    <tableColumn id="3" xr3:uid="{F2660FB3-1CB1-4938-999B-0E9BE1408CE0}" name="Finance" dataDxfId="4"/>
    <tableColumn id="4" xr3:uid="{4FCF43BF-7C38-40C2-BC6C-D40F5A2C4603}" name="Centralised PM" dataDxfId="3"/>
    <tableColumn id="5" xr3:uid="{5EF499E8-28F7-4E13-81D5-CFE14D33FEF7}" name="Onsite PM" dataDxfId="2"/>
    <tableColumn id="6" xr3:uid="{87D21AB3-DE2F-426E-BC15-AEB89ACF0AC7}" name="Asset Management" dataDxfId="1"/>
    <tableColumn id="7" xr3:uid="{BF205DA6-24E5-4416-82A7-9B345C1D9A11}" name="Letting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3-11-22T14:31:10.23" personId="{512F78F6-5510-D74C-A99A-7A6E40C113A6}" id="{D0E26F4C-4324-DE44-9C09-F5D35772B2C8}">
    <text>select id,name,username,email,profile.name,FederationIdentifier from User where IsActive = true and profile.name != 'Chatter Free User'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7283A-B93F-4DD6-8FEA-3D3B1A473863}">
  <dimension ref="A1:D456"/>
  <sheetViews>
    <sheetView topLeftCell="A255" zoomScale="70" zoomScaleNormal="70" workbookViewId="0">
      <selection activeCell="D298" sqref="D298:D300"/>
    </sheetView>
  </sheetViews>
  <sheetFormatPr defaultColWidth="8.85546875" defaultRowHeight="15"/>
  <cols>
    <col min="1" max="1" width="47.42578125" bestFit="1" customWidth="1"/>
    <col min="2" max="2" width="24.42578125" bestFit="1" customWidth="1"/>
    <col min="3" max="3" width="19.7109375" bestFit="1" customWidth="1"/>
    <col min="4" max="4" width="37.28515625" bestFit="1" customWidth="1"/>
    <col min="5" max="5" width="22.85546875" bestFit="1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7" t="s">
        <v>4</v>
      </c>
      <c r="B2" s="7" t="s">
        <v>5</v>
      </c>
      <c r="C2" s="7" t="s">
        <v>6</v>
      </c>
      <c r="D2" s="7"/>
    </row>
    <row r="3" spans="1:4">
      <c r="A3" s="7" t="s">
        <v>4</v>
      </c>
      <c r="B3" s="7" t="s">
        <v>5</v>
      </c>
      <c r="C3" s="7" t="s">
        <v>7</v>
      </c>
      <c r="D3" s="7" t="s">
        <v>8</v>
      </c>
    </row>
    <row r="4" spans="1:4">
      <c r="A4" s="7" t="s">
        <v>4</v>
      </c>
      <c r="B4" s="7" t="s">
        <v>5</v>
      </c>
      <c r="C4" s="7" t="s">
        <v>9</v>
      </c>
      <c r="D4" s="7" t="s">
        <v>8</v>
      </c>
    </row>
    <row r="5" spans="1:4">
      <c r="A5" s="7" t="s">
        <v>4</v>
      </c>
      <c r="B5" s="7" t="s">
        <v>5</v>
      </c>
      <c r="C5" s="7" t="s">
        <v>10</v>
      </c>
      <c r="D5" s="8" t="s">
        <v>11</v>
      </c>
    </row>
    <row r="6" spans="1:4">
      <c r="A6" s="7" t="s">
        <v>4</v>
      </c>
      <c r="B6" s="7" t="s">
        <v>5</v>
      </c>
      <c r="C6" s="7" t="s">
        <v>12</v>
      </c>
      <c r="D6" s="7" t="s">
        <v>13</v>
      </c>
    </row>
    <row r="7" spans="1:4">
      <c r="A7" s="9" t="s">
        <v>14</v>
      </c>
      <c r="B7" s="9" t="s">
        <v>15</v>
      </c>
      <c r="C7" s="7" t="s">
        <v>6</v>
      </c>
      <c r="D7" s="7"/>
    </row>
    <row r="8" spans="1:4">
      <c r="A8" s="9" t="s">
        <v>14</v>
      </c>
      <c r="B8" s="9" t="s">
        <v>15</v>
      </c>
      <c r="C8" s="7" t="s">
        <v>7</v>
      </c>
      <c r="D8" s="7" t="s">
        <v>8</v>
      </c>
    </row>
    <row r="9" spans="1:4">
      <c r="A9" s="9" t="s">
        <v>14</v>
      </c>
      <c r="B9" s="9" t="s">
        <v>15</v>
      </c>
      <c r="C9" s="7" t="s">
        <v>9</v>
      </c>
      <c r="D9" s="7" t="s">
        <v>8</v>
      </c>
    </row>
    <row r="10" spans="1:4">
      <c r="A10" s="9" t="s">
        <v>14</v>
      </c>
      <c r="B10" s="9" t="s">
        <v>15</v>
      </c>
      <c r="C10" s="7" t="s">
        <v>10</v>
      </c>
      <c r="D10" s="8" t="s">
        <v>11</v>
      </c>
    </row>
    <row r="11" spans="1:4">
      <c r="A11" s="9" t="s">
        <v>14</v>
      </c>
      <c r="B11" s="9" t="s">
        <v>15</v>
      </c>
      <c r="C11" s="7" t="s">
        <v>12</v>
      </c>
      <c r="D11" s="7" t="s">
        <v>13</v>
      </c>
    </row>
    <row r="12" spans="1:4">
      <c r="A12" s="7" t="s">
        <v>16</v>
      </c>
      <c r="B12" s="7" t="s">
        <v>17</v>
      </c>
      <c r="C12" s="7" t="s">
        <v>6</v>
      </c>
      <c r="D12" s="7"/>
    </row>
    <row r="13" spans="1:4">
      <c r="A13" s="7" t="s">
        <v>16</v>
      </c>
      <c r="B13" s="7" t="s">
        <v>17</v>
      </c>
      <c r="C13" s="7" t="s">
        <v>7</v>
      </c>
      <c r="D13" s="7" t="s">
        <v>18</v>
      </c>
    </row>
    <row r="14" spans="1:4">
      <c r="A14" s="7" t="s">
        <v>16</v>
      </c>
      <c r="B14" s="7" t="s">
        <v>17</v>
      </c>
      <c r="C14" s="7" t="s">
        <v>9</v>
      </c>
      <c r="D14" s="7" t="s">
        <v>18</v>
      </c>
    </row>
    <row r="15" spans="1:4">
      <c r="A15" s="7" t="s">
        <v>16</v>
      </c>
      <c r="B15" s="7" t="s">
        <v>17</v>
      </c>
      <c r="C15" s="7" t="s">
        <v>10</v>
      </c>
      <c r="D15" s="8" t="s">
        <v>11</v>
      </c>
    </row>
    <row r="16" spans="1:4">
      <c r="A16" s="7" t="s">
        <v>16</v>
      </c>
      <c r="B16" s="7" t="s">
        <v>17</v>
      </c>
      <c r="C16" s="7" t="s">
        <v>12</v>
      </c>
      <c r="D16" s="7" t="s">
        <v>13</v>
      </c>
    </row>
    <row r="17" spans="1:4">
      <c r="A17" s="9" t="s">
        <v>19</v>
      </c>
      <c r="B17" s="9" t="s">
        <v>20</v>
      </c>
      <c r="C17" s="7" t="s">
        <v>6</v>
      </c>
      <c r="D17" s="7"/>
    </row>
    <row r="18" spans="1:4">
      <c r="A18" s="9" t="s">
        <v>19</v>
      </c>
      <c r="B18" s="9" t="s">
        <v>20</v>
      </c>
      <c r="C18" s="7" t="s">
        <v>7</v>
      </c>
      <c r="D18" s="7" t="s">
        <v>18</v>
      </c>
    </row>
    <row r="19" spans="1:4">
      <c r="A19" s="9" t="s">
        <v>19</v>
      </c>
      <c r="B19" s="9" t="s">
        <v>20</v>
      </c>
      <c r="C19" s="7" t="s">
        <v>9</v>
      </c>
      <c r="D19" s="7" t="s">
        <v>18</v>
      </c>
    </row>
    <row r="20" spans="1:4">
      <c r="A20" s="9" t="s">
        <v>19</v>
      </c>
      <c r="B20" s="9" t="s">
        <v>20</v>
      </c>
      <c r="C20" s="7" t="s">
        <v>10</v>
      </c>
      <c r="D20" s="8" t="s">
        <v>11</v>
      </c>
    </row>
    <row r="21" spans="1:4">
      <c r="A21" s="9" t="s">
        <v>19</v>
      </c>
      <c r="B21" s="9" t="s">
        <v>20</v>
      </c>
      <c r="C21" s="7" t="s">
        <v>12</v>
      </c>
      <c r="D21" s="7" t="s">
        <v>13</v>
      </c>
    </row>
    <row r="22" spans="1:4">
      <c r="A22" s="7" t="s">
        <v>21</v>
      </c>
      <c r="B22" s="7" t="s">
        <v>22</v>
      </c>
      <c r="C22" s="7" t="s">
        <v>6</v>
      </c>
      <c r="D22" s="7"/>
    </row>
    <row r="23" spans="1:4">
      <c r="A23" s="7" t="s">
        <v>21</v>
      </c>
      <c r="B23" s="7" t="s">
        <v>22</v>
      </c>
      <c r="C23" s="7" t="s">
        <v>7</v>
      </c>
      <c r="D23" s="7" t="s">
        <v>23</v>
      </c>
    </row>
    <row r="24" spans="1:4">
      <c r="A24" s="7" t="s">
        <v>21</v>
      </c>
      <c r="B24" s="7" t="s">
        <v>22</v>
      </c>
      <c r="C24" s="7" t="s">
        <v>9</v>
      </c>
      <c r="D24" s="7" t="s">
        <v>23</v>
      </c>
    </row>
    <row r="25" spans="1:4">
      <c r="A25" s="7" t="s">
        <v>21</v>
      </c>
      <c r="B25" s="7" t="s">
        <v>22</v>
      </c>
      <c r="C25" s="7" t="s">
        <v>10</v>
      </c>
      <c r="D25" s="8" t="s">
        <v>11</v>
      </c>
    </row>
    <row r="26" spans="1:4">
      <c r="A26" s="7" t="s">
        <v>21</v>
      </c>
      <c r="B26" s="7" t="s">
        <v>22</v>
      </c>
      <c r="C26" s="7" t="s">
        <v>12</v>
      </c>
      <c r="D26" s="7" t="s">
        <v>13</v>
      </c>
    </row>
    <row r="27" spans="1:4">
      <c r="A27" s="9" t="s">
        <v>24</v>
      </c>
      <c r="B27" s="9" t="s">
        <v>25</v>
      </c>
      <c r="C27" s="7" t="s">
        <v>6</v>
      </c>
      <c r="D27" s="7"/>
    </row>
    <row r="28" spans="1:4">
      <c r="A28" s="9" t="s">
        <v>24</v>
      </c>
      <c r="B28" s="9" t="s">
        <v>25</v>
      </c>
      <c r="C28" s="7" t="s">
        <v>7</v>
      </c>
      <c r="D28" s="7" t="s">
        <v>23</v>
      </c>
    </row>
    <row r="29" spans="1:4">
      <c r="A29" s="9" t="s">
        <v>24</v>
      </c>
      <c r="B29" s="9" t="s">
        <v>25</v>
      </c>
      <c r="C29" s="7" t="s">
        <v>9</v>
      </c>
      <c r="D29" s="7" t="s">
        <v>23</v>
      </c>
    </row>
    <row r="30" spans="1:4">
      <c r="A30" s="9" t="s">
        <v>24</v>
      </c>
      <c r="B30" s="9" t="s">
        <v>25</v>
      </c>
      <c r="C30" s="7" t="s">
        <v>10</v>
      </c>
      <c r="D30" s="8" t="s">
        <v>11</v>
      </c>
    </row>
    <row r="31" spans="1:4">
      <c r="A31" s="9" t="s">
        <v>24</v>
      </c>
      <c r="B31" s="9" t="s">
        <v>25</v>
      </c>
      <c r="C31" s="7" t="s">
        <v>12</v>
      </c>
      <c r="D31" s="7" t="s">
        <v>13</v>
      </c>
    </row>
    <row r="32" spans="1:4">
      <c r="A32" s="9" t="s">
        <v>26</v>
      </c>
      <c r="B32" s="9" t="s">
        <v>27</v>
      </c>
      <c r="C32" s="7" t="s">
        <v>6</v>
      </c>
      <c r="D32" s="7"/>
    </row>
    <row r="33" spans="1:4">
      <c r="A33" s="9" t="s">
        <v>26</v>
      </c>
      <c r="B33" s="9" t="s">
        <v>27</v>
      </c>
      <c r="C33" s="7" t="s">
        <v>7</v>
      </c>
      <c r="D33" s="7" t="s">
        <v>23</v>
      </c>
    </row>
    <row r="34" spans="1:4">
      <c r="A34" s="9" t="s">
        <v>26</v>
      </c>
      <c r="B34" s="9" t="s">
        <v>27</v>
      </c>
      <c r="C34" s="7" t="s">
        <v>9</v>
      </c>
      <c r="D34" s="7" t="s">
        <v>23</v>
      </c>
    </row>
    <row r="35" spans="1:4">
      <c r="A35" s="9" t="s">
        <v>26</v>
      </c>
      <c r="B35" s="9" t="s">
        <v>27</v>
      </c>
      <c r="C35" s="7" t="s">
        <v>10</v>
      </c>
      <c r="D35" s="8" t="s">
        <v>11</v>
      </c>
    </row>
    <row r="36" spans="1:4">
      <c r="A36" s="9" t="s">
        <v>26</v>
      </c>
      <c r="B36" s="9" t="s">
        <v>27</v>
      </c>
      <c r="C36" s="7" t="s">
        <v>12</v>
      </c>
      <c r="D36" s="7" t="s">
        <v>13</v>
      </c>
    </row>
    <row r="37" spans="1:4">
      <c r="A37" s="7" t="s">
        <v>28</v>
      </c>
      <c r="B37" s="7" t="s">
        <v>29</v>
      </c>
      <c r="C37" s="7" t="s">
        <v>6</v>
      </c>
      <c r="D37" s="7"/>
    </row>
    <row r="38" spans="1:4">
      <c r="A38" s="7" t="s">
        <v>28</v>
      </c>
      <c r="B38" s="7" t="s">
        <v>29</v>
      </c>
      <c r="C38" s="7" t="s">
        <v>7</v>
      </c>
      <c r="D38" s="7" t="s">
        <v>30</v>
      </c>
    </row>
    <row r="39" spans="1:4">
      <c r="A39" s="7" t="s">
        <v>28</v>
      </c>
      <c r="B39" s="7" t="s">
        <v>29</v>
      </c>
      <c r="C39" s="7" t="s">
        <v>9</v>
      </c>
      <c r="D39" s="7" t="s">
        <v>30</v>
      </c>
    </row>
    <row r="40" spans="1:4">
      <c r="A40" s="7" t="s">
        <v>28</v>
      </c>
      <c r="B40" s="7" t="s">
        <v>29</v>
      </c>
      <c r="C40" s="7" t="s">
        <v>10</v>
      </c>
      <c r="D40" s="7" t="s">
        <v>31</v>
      </c>
    </row>
    <row r="41" spans="1:4">
      <c r="A41" s="7" t="s">
        <v>28</v>
      </c>
      <c r="B41" s="7" t="s">
        <v>29</v>
      </c>
      <c r="C41" s="7" t="s">
        <v>12</v>
      </c>
      <c r="D41" s="7" t="s">
        <v>13</v>
      </c>
    </row>
    <row r="42" spans="1:4">
      <c r="A42" s="9" t="s">
        <v>32</v>
      </c>
      <c r="B42" s="9" t="s">
        <v>33</v>
      </c>
      <c r="C42" s="7" t="s">
        <v>6</v>
      </c>
      <c r="D42" s="7"/>
    </row>
    <row r="43" spans="1:4">
      <c r="A43" s="9" t="s">
        <v>32</v>
      </c>
      <c r="B43" s="9" t="s">
        <v>33</v>
      </c>
      <c r="C43" s="7" t="s">
        <v>7</v>
      </c>
      <c r="D43" s="7" t="s">
        <v>30</v>
      </c>
    </row>
    <row r="44" spans="1:4">
      <c r="A44" s="9" t="s">
        <v>32</v>
      </c>
      <c r="B44" s="9" t="s">
        <v>33</v>
      </c>
      <c r="C44" s="7" t="s">
        <v>9</v>
      </c>
      <c r="D44" s="7" t="s">
        <v>30</v>
      </c>
    </row>
    <row r="45" spans="1:4">
      <c r="A45" s="9" t="s">
        <v>32</v>
      </c>
      <c r="B45" s="9" t="s">
        <v>33</v>
      </c>
      <c r="C45" s="7" t="s">
        <v>10</v>
      </c>
      <c r="D45" s="7" t="s">
        <v>31</v>
      </c>
    </row>
    <row r="46" spans="1:4">
      <c r="A46" s="9" t="s">
        <v>32</v>
      </c>
      <c r="B46" s="9" t="s">
        <v>33</v>
      </c>
      <c r="C46" s="7" t="s">
        <v>12</v>
      </c>
      <c r="D46" s="7" t="s">
        <v>13</v>
      </c>
    </row>
    <row r="47" spans="1:4">
      <c r="A47" s="10" t="s">
        <v>34</v>
      </c>
      <c r="B47" s="10" t="s">
        <v>35</v>
      </c>
      <c r="C47" s="7" t="s">
        <v>6</v>
      </c>
      <c r="D47" s="7"/>
    </row>
    <row r="48" spans="1:4">
      <c r="A48" s="10" t="s">
        <v>34</v>
      </c>
      <c r="B48" s="10" t="s">
        <v>35</v>
      </c>
      <c r="C48" s="7" t="s">
        <v>7</v>
      </c>
      <c r="D48" s="7" t="s">
        <v>30</v>
      </c>
    </row>
    <row r="49" spans="1:4">
      <c r="A49" s="10" t="s">
        <v>34</v>
      </c>
      <c r="B49" s="10" t="s">
        <v>35</v>
      </c>
      <c r="C49" s="7" t="s">
        <v>9</v>
      </c>
      <c r="D49" s="7" t="s">
        <v>30</v>
      </c>
    </row>
    <row r="50" spans="1:4">
      <c r="A50" s="10" t="s">
        <v>34</v>
      </c>
      <c r="B50" s="10" t="s">
        <v>35</v>
      </c>
      <c r="C50" s="7" t="s">
        <v>10</v>
      </c>
      <c r="D50" s="7" t="s">
        <v>31</v>
      </c>
    </row>
    <row r="51" spans="1:4">
      <c r="A51" s="10" t="s">
        <v>34</v>
      </c>
      <c r="B51" s="10" t="s">
        <v>35</v>
      </c>
      <c r="C51" s="7" t="s">
        <v>12</v>
      </c>
      <c r="D51" s="7" t="s">
        <v>13</v>
      </c>
    </row>
    <row r="52" spans="1:4">
      <c r="A52" s="9" t="s">
        <v>36</v>
      </c>
      <c r="B52" s="9" t="s">
        <v>37</v>
      </c>
      <c r="C52" s="7" t="s">
        <v>6</v>
      </c>
      <c r="D52" s="7"/>
    </row>
    <row r="53" spans="1:4">
      <c r="A53" s="9" t="s">
        <v>36</v>
      </c>
      <c r="B53" s="9" t="s">
        <v>37</v>
      </c>
      <c r="C53" s="7" t="s">
        <v>7</v>
      </c>
      <c r="D53" s="8" t="s">
        <v>38</v>
      </c>
    </row>
    <row r="54" spans="1:4">
      <c r="A54" s="9" t="s">
        <v>36</v>
      </c>
      <c r="B54" s="9" t="s">
        <v>37</v>
      </c>
      <c r="C54" s="7" t="s">
        <v>9</v>
      </c>
      <c r="D54" s="8" t="s">
        <v>38</v>
      </c>
    </row>
    <row r="55" spans="1:4">
      <c r="A55" s="9" t="s">
        <v>36</v>
      </c>
      <c r="B55" s="9" t="s">
        <v>37</v>
      </c>
      <c r="C55" s="7" t="s">
        <v>10</v>
      </c>
      <c r="D55" s="8" t="s">
        <v>11</v>
      </c>
    </row>
    <row r="56" spans="1:4">
      <c r="A56" s="9" t="s">
        <v>36</v>
      </c>
      <c r="B56" s="9" t="s">
        <v>37</v>
      </c>
      <c r="C56" s="7" t="s">
        <v>12</v>
      </c>
      <c r="D56" s="7" t="s">
        <v>13</v>
      </c>
    </row>
    <row r="57" spans="1:4">
      <c r="A57" s="7" t="s">
        <v>39</v>
      </c>
      <c r="B57" s="7" t="s">
        <v>40</v>
      </c>
      <c r="C57" s="7" t="s">
        <v>6</v>
      </c>
      <c r="D57" s="7"/>
    </row>
    <row r="58" spans="1:4">
      <c r="A58" s="7" t="s">
        <v>39</v>
      </c>
      <c r="B58" s="7" t="s">
        <v>40</v>
      </c>
      <c r="C58" s="7" t="s">
        <v>7</v>
      </c>
      <c r="D58" s="8" t="s">
        <v>38</v>
      </c>
    </row>
    <row r="59" spans="1:4">
      <c r="A59" s="7" t="s">
        <v>39</v>
      </c>
      <c r="B59" s="7" t="s">
        <v>40</v>
      </c>
      <c r="C59" s="7" t="s">
        <v>9</v>
      </c>
      <c r="D59" s="8" t="s">
        <v>38</v>
      </c>
    </row>
    <row r="60" spans="1:4">
      <c r="A60" s="7" t="s">
        <v>39</v>
      </c>
      <c r="B60" s="7" t="s">
        <v>40</v>
      </c>
      <c r="C60" s="7" t="s">
        <v>10</v>
      </c>
      <c r="D60" s="8" t="s">
        <v>11</v>
      </c>
    </row>
    <row r="61" spans="1:4">
      <c r="A61" s="7" t="s">
        <v>39</v>
      </c>
      <c r="B61" s="7" t="s">
        <v>40</v>
      </c>
      <c r="C61" s="7" t="s">
        <v>12</v>
      </c>
      <c r="D61" s="7" t="s">
        <v>13</v>
      </c>
    </row>
    <row r="62" spans="1:4">
      <c r="A62" s="9" t="s">
        <v>41</v>
      </c>
      <c r="B62" s="9" t="s">
        <v>42</v>
      </c>
      <c r="C62" s="7" t="s">
        <v>6</v>
      </c>
      <c r="D62" s="7"/>
    </row>
    <row r="63" spans="1:4">
      <c r="A63" s="9" t="s">
        <v>41</v>
      </c>
      <c r="B63" s="9" t="s">
        <v>42</v>
      </c>
      <c r="C63" s="7" t="s">
        <v>7</v>
      </c>
      <c r="D63" s="8" t="s">
        <v>43</v>
      </c>
    </row>
    <row r="64" spans="1:4">
      <c r="A64" s="9" t="s">
        <v>41</v>
      </c>
      <c r="B64" s="9" t="s">
        <v>42</v>
      </c>
      <c r="C64" s="7" t="s">
        <v>9</v>
      </c>
      <c r="D64" s="8" t="s">
        <v>43</v>
      </c>
    </row>
    <row r="65" spans="1:4">
      <c r="A65" s="9" t="s">
        <v>41</v>
      </c>
      <c r="B65" s="9" t="s">
        <v>42</v>
      </c>
      <c r="C65" s="7" t="s">
        <v>10</v>
      </c>
      <c r="D65" s="8" t="s">
        <v>11</v>
      </c>
    </row>
    <row r="66" spans="1:4">
      <c r="A66" s="9" t="s">
        <v>41</v>
      </c>
      <c r="B66" s="9" t="s">
        <v>42</v>
      </c>
      <c r="C66" s="7" t="s">
        <v>12</v>
      </c>
      <c r="D66" s="8" t="s">
        <v>44</v>
      </c>
    </row>
    <row r="67" spans="1:4">
      <c r="A67" s="7" t="s">
        <v>45</v>
      </c>
      <c r="B67" s="7" t="s">
        <v>46</v>
      </c>
      <c r="C67" s="7" t="s">
        <v>6</v>
      </c>
      <c r="D67" s="7"/>
    </row>
    <row r="68" spans="1:4">
      <c r="A68" s="7" t="s">
        <v>45</v>
      </c>
      <c r="B68" s="7" t="s">
        <v>46</v>
      </c>
      <c r="C68" s="7" t="s">
        <v>7</v>
      </c>
      <c r="D68" s="8" t="s">
        <v>43</v>
      </c>
    </row>
    <row r="69" spans="1:4">
      <c r="A69" s="7" t="s">
        <v>45</v>
      </c>
      <c r="B69" s="7" t="s">
        <v>46</v>
      </c>
      <c r="C69" s="7" t="s">
        <v>9</v>
      </c>
      <c r="D69" s="8" t="s">
        <v>43</v>
      </c>
    </row>
    <row r="70" spans="1:4">
      <c r="A70" s="7" t="s">
        <v>45</v>
      </c>
      <c r="B70" s="7" t="s">
        <v>46</v>
      </c>
      <c r="C70" s="7" t="s">
        <v>10</v>
      </c>
      <c r="D70" s="8" t="s">
        <v>11</v>
      </c>
    </row>
    <row r="71" spans="1:4">
      <c r="A71" s="7" t="s">
        <v>45</v>
      </c>
      <c r="B71" s="7" t="s">
        <v>46</v>
      </c>
      <c r="C71" s="7" t="s">
        <v>12</v>
      </c>
      <c r="D71" s="8" t="s">
        <v>44</v>
      </c>
    </row>
    <row r="72" spans="1:4">
      <c r="A72" s="9" t="s">
        <v>47</v>
      </c>
      <c r="B72" s="9" t="s">
        <v>48</v>
      </c>
      <c r="C72" s="7" t="s">
        <v>6</v>
      </c>
      <c r="D72" s="7"/>
    </row>
    <row r="73" spans="1:4">
      <c r="A73" s="9" t="s">
        <v>47</v>
      </c>
      <c r="B73" s="9" t="s">
        <v>48</v>
      </c>
      <c r="C73" s="7" t="s">
        <v>7</v>
      </c>
      <c r="D73" s="8" t="s">
        <v>43</v>
      </c>
    </row>
    <row r="74" spans="1:4">
      <c r="A74" s="9" t="s">
        <v>47</v>
      </c>
      <c r="B74" s="9" t="s">
        <v>48</v>
      </c>
      <c r="C74" s="7" t="s">
        <v>9</v>
      </c>
      <c r="D74" s="8" t="s">
        <v>43</v>
      </c>
    </row>
    <row r="75" spans="1:4">
      <c r="A75" s="9" t="s">
        <v>47</v>
      </c>
      <c r="B75" s="9" t="s">
        <v>48</v>
      </c>
      <c r="C75" s="7" t="s">
        <v>10</v>
      </c>
      <c r="D75" s="8" t="s">
        <v>11</v>
      </c>
    </row>
    <row r="76" spans="1:4">
      <c r="A76" s="9" t="s">
        <v>47</v>
      </c>
      <c r="B76" s="9" t="s">
        <v>48</v>
      </c>
      <c r="C76" s="7" t="s">
        <v>12</v>
      </c>
      <c r="D76" s="8" t="s">
        <v>44</v>
      </c>
    </row>
    <row r="77" spans="1:4">
      <c r="A77" s="7" t="s">
        <v>49</v>
      </c>
      <c r="B77" s="7" t="s">
        <v>50</v>
      </c>
      <c r="C77" s="7" t="s">
        <v>6</v>
      </c>
      <c r="D77" s="7"/>
    </row>
    <row r="78" spans="1:4">
      <c r="A78" s="7" t="s">
        <v>49</v>
      </c>
      <c r="B78" s="7" t="s">
        <v>50</v>
      </c>
      <c r="C78" s="7" t="s">
        <v>7</v>
      </c>
      <c r="D78" s="8" t="s">
        <v>43</v>
      </c>
    </row>
    <row r="79" spans="1:4">
      <c r="A79" s="7" t="s">
        <v>49</v>
      </c>
      <c r="B79" s="7" t="s">
        <v>50</v>
      </c>
      <c r="C79" s="7" t="s">
        <v>9</v>
      </c>
      <c r="D79" s="8" t="s">
        <v>43</v>
      </c>
    </row>
    <row r="80" spans="1:4">
      <c r="A80" s="7" t="s">
        <v>49</v>
      </c>
      <c r="B80" s="7" t="s">
        <v>50</v>
      </c>
      <c r="C80" s="7" t="s">
        <v>10</v>
      </c>
      <c r="D80" s="8" t="s">
        <v>11</v>
      </c>
    </row>
    <row r="81" spans="1:4">
      <c r="A81" s="7" t="s">
        <v>49</v>
      </c>
      <c r="B81" s="7" t="s">
        <v>50</v>
      </c>
      <c r="C81" s="7" t="s">
        <v>12</v>
      </c>
      <c r="D81" s="8" t="s">
        <v>44</v>
      </c>
    </row>
    <row r="82" spans="1:4">
      <c r="A82" s="9" t="s">
        <v>51</v>
      </c>
      <c r="B82" s="9" t="s">
        <v>52</v>
      </c>
      <c r="C82" s="7" t="s">
        <v>6</v>
      </c>
      <c r="D82" s="7"/>
    </row>
    <row r="83" spans="1:4">
      <c r="A83" s="9" t="s">
        <v>51</v>
      </c>
      <c r="B83" s="9" t="s">
        <v>52</v>
      </c>
      <c r="C83" s="7" t="s">
        <v>7</v>
      </c>
      <c r="D83" s="8" t="s">
        <v>43</v>
      </c>
    </row>
    <row r="84" spans="1:4">
      <c r="A84" s="9" t="s">
        <v>51</v>
      </c>
      <c r="B84" s="9" t="s">
        <v>52</v>
      </c>
      <c r="C84" s="7" t="s">
        <v>9</v>
      </c>
      <c r="D84" s="8" t="s">
        <v>43</v>
      </c>
    </row>
    <row r="85" spans="1:4">
      <c r="A85" s="9" t="s">
        <v>51</v>
      </c>
      <c r="B85" s="9" t="s">
        <v>52</v>
      </c>
      <c r="C85" s="7" t="s">
        <v>10</v>
      </c>
      <c r="D85" s="8" t="s">
        <v>11</v>
      </c>
    </row>
    <row r="86" spans="1:4">
      <c r="A86" s="9" t="s">
        <v>51</v>
      </c>
      <c r="B86" s="9" t="s">
        <v>52</v>
      </c>
      <c r="C86" s="7" t="s">
        <v>12</v>
      </c>
      <c r="D86" s="8" t="s">
        <v>44</v>
      </c>
    </row>
    <row r="87" spans="1:4">
      <c r="A87" s="7" t="s">
        <v>53</v>
      </c>
      <c r="B87" s="7" t="s">
        <v>54</v>
      </c>
      <c r="C87" s="7" t="s">
        <v>6</v>
      </c>
      <c r="D87" s="7"/>
    </row>
    <row r="88" spans="1:4">
      <c r="A88" s="7" t="s">
        <v>53</v>
      </c>
      <c r="B88" s="7" t="s">
        <v>54</v>
      </c>
      <c r="C88" s="7" t="s">
        <v>7</v>
      </c>
      <c r="D88" s="8" t="s">
        <v>55</v>
      </c>
    </row>
    <row r="89" spans="1:4">
      <c r="A89" s="7" t="s">
        <v>53</v>
      </c>
      <c r="B89" s="7" t="s">
        <v>54</v>
      </c>
      <c r="C89" s="7" t="s">
        <v>9</v>
      </c>
      <c r="D89" s="8" t="s">
        <v>55</v>
      </c>
    </row>
    <row r="90" spans="1:4">
      <c r="A90" s="7" t="s">
        <v>53</v>
      </c>
      <c r="B90" s="7" t="s">
        <v>54</v>
      </c>
      <c r="C90" s="7" t="s">
        <v>10</v>
      </c>
      <c r="D90" s="8" t="s">
        <v>11</v>
      </c>
    </row>
    <row r="91" spans="1:4">
      <c r="A91" s="7" t="s">
        <v>53</v>
      </c>
      <c r="B91" s="7" t="s">
        <v>54</v>
      </c>
      <c r="C91" s="7" t="s">
        <v>12</v>
      </c>
      <c r="D91" s="8" t="s">
        <v>56</v>
      </c>
    </row>
    <row r="92" spans="1:4">
      <c r="A92" s="9" t="s">
        <v>57</v>
      </c>
      <c r="B92" s="9" t="s">
        <v>58</v>
      </c>
      <c r="C92" s="7" t="s">
        <v>6</v>
      </c>
      <c r="D92" s="7"/>
    </row>
    <row r="93" spans="1:4">
      <c r="A93" s="9" t="s">
        <v>59</v>
      </c>
      <c r="B93" s="9" t="s">
        <v>58</v>
      </c>
      <c r="C93" s="7" t="s">
        <v>7</v>
      </c>
      <c r="D93" s="8" t="s">
        <v>55</v>
      </c>
    </row>
    <row r="94" spans="1:4">
      <c r="A94" s="9" t="s">
        <v>60</v>
      </c>
      <c r="B94" s="9" t="s">
        <v>58</v>
      </c>
      <c r="C94" s="7" t="s">
        <v>9</v>
      </c>
      <c r="D94" s="8" t="s">
        <v>55</v>
      </c>
    </row>
    <row r="95" spans="1:4">
      <c r="A95" s="9" t="s">
        <v>61</v>
      </c>
      <c r="B95" s="9" t="s">
        <v>58</v>
      </c>
      <c r="C95" s="7" t="s">
        <v>10</v>
      </c>
      <c r="D95" s="8" t="s">
        <v>11</v>
      </c>
    </row>
    <row r="96" spans="1:4">
      <c r="A96" s="9" t="s">
        <v>62</v>
      </c>
      <c r="B96" s="9" t="s">
        <v>58</v>
      </c>
      <c r="C96" s="7" t="s">
        <v>12</v>
      </c>
      <c r="D96" s="8" t="s">
        <v>56</v>
      </c>
    </row>
    <row r="97" spans="1:4">
      <c r="A97" s="10" t="s">
        <v>63</v>
      </c>
      <c r="B97" s="10" t="s">
        <v>64</v>
      </c>
      <c r="C97" s="7" t="s">
        <v>6</v>
      </c>
      <c r="D97" s="7"/>
    </row>
    <row r="98" spans="1:4">
      <c r="A98" s="10" t="s">
        <v>65</v>
      </c>
      <c r="B98" s="10" t="s">
        <v>64</v>
      </c>
      <c r="C98" s="7" t="s">
        <v>7</v>
      </c>
      <c r="D98" s="8" t="s">
        <v>55</v>
      </c>
    </row>
    <row r="99" spans="1:4">
      <c r="A99" s="10" t="s">
        <v>66</v>
      </c>
      <c r="B99" s="10" t="s">
        <v>64</v>
      </c>
      <c r="C99" s="7" t="s">
        <v>9</v>
      </c>
      <c r="D99" s="8" t="s">
        <v>55</v>
      </c>
    </row>
    <row r="100" spans="1:4">
      <c r="A100" s="10" t="s">
        <v>67</v>
      </c>
      <c r="B100" s="10" t="s">
        <v>64</v>
      </c>
      <c r="C100" s="7" t="s">
        <v>10</v>
      </c>
      <c r="D100" s="8" t="s">
        <v>11</v>
      </c>
    </row>
    <row r="101" spans="1:4">
      <c r="A101" s="10" t="s">
        <v>68</v>
      </c>
      <c r="B101" s="10" t="s">
        <v>64</v>
      </c>
      <c r="C101" s="7" t="s">
        <v>12</v>
      </c>
      <c r="D101" s="8" t="s">
        <v>56</v>
      </c>
    </row>
    <row r="102" spans="1:4">
      <c r="A102" s="9" t="s">
        <v>69</v>
      </c>
      <c r="B102" s="9" t="s">
        <v>70</v>
      </c>
      <c r="C102" s="7" t="s">
        <v>6</v>
      </c>
      <c r="D102" s="7"/>
    </row>
    <row r="103" spans="1:4">
      <c r="A103" s="9" t="s">
        <v>69</v>
      </c>
      <c r="B103" s="9" t="s">
        <v>70</v>
      </c>
      <c r="C103" s="7" t="s">
        <v>7</v>
      </c>
      <c r="D103" s="8" t="s">
        <v>71</v>
      </c>
    </row>
    <row r="104" spans="1:4">
      <c r="A104" s="9" t="s">
        <v>69</v>
      </c>
      <c r="B104" s="9" t="s">
        <v>70</v>
      </c>
      <c r="C104" s="7" t="s">
        <v>9</v>
      </c>
      <c r="D104" s="8" t="s">
        <v>71</v>
      </c>
    </row>
    <row r="105" spans="1:4">
      <c r="A105" s="9" t="s">
        <v>69</v>
      </c>
      <c r="B105" s="9" t="s">
        <v>70</v>
      </c>
      <c r="C105" s="7" t="s">
        <v>10</v>
      </c>
      <c r="D105" s="8" t="s">
        <v>31</v>
      </c>
    </row>
    <row r="106" spans="1:4">
      <c r="A106" s="9" t="s">
        <v>69</v>
      </c>
      <c r="B106" s="9" t="s">
        <v>70</v>
      </c>
      <c r="C106" s="7" t="s">
        <v>12</v>
      </c>
      <c r="D106" s="8" t="s">
        <v>56</v>
      </c>
    </row>
    <row r="107" spans="1:4">
      <c r="A107" s="7" t="s">
        <v>72</v>
      </c>
      <c r="B107" s="7" t="s">
        <v>73</v>
      </c>
      <c r="C107" s="7" t="s">
        <v>6</v>
      </c>
      <c r="D107" s="7"/>
    </row>
    <row r="108" spans="1:4">
      <c r="A108" s="7" t="s">
        <v>72</v>
      </c>
      <c r="B108" s="7" t="s">
        <v>73</v>
      </c>
      <c r="C108" s="7" t="s">
        <v>7</v>
      </c>
      <c r="D108" s="8" t="s">
        <v>71</v>
      </c>
    </row>
    <row r="109" spans="1:4">
      <c r="A109" s="7" t="s">
        <v>72</v>
      </c>
      <c r="B109" s="7" t="s">
        <v>73</v>
      </c>
      <c r="C109" s="7" t="s">
        <v>9</v>
      </c>
      <c r="D109" s="8" t="s">
        <v>71</v>
      </c>
    </row>
    <row r="110" spans="1:4">
      <c r="A110" s="7" t="s">
        <v>72</v>
      </c>
      <c r="B110" s="7" t="s">
        <v>73</v>
      </c>
      <c r="C110" s="7" t="s">
        <v>10</v>
      </c>
      <c r="D110" s="8" t="s">
        <v>31</v>
      </c>
    </row>
    <row r="111" spans="1:4">
      <c r="A111" s="7" t="s">
        <v>72</v>
      </c>
      <c r="B111" s="7" t="s">
        <v>73</v>
      </c>
      <c r="C111" s="7" t="s">
        <v>12</v>
      </c>
      <c r="D111" s="8" t="s">
        <v>56</v>
      </c>
    </row>
    <row r="112" spans="1:4">
      <c r="A112" s="9" t="s">
        <v>74</v>
      </c>
      <c r="B112" s="9" t="s">
        <v>75</v>
      </c>
      <c r="C112" s="7" t="s">
        <v>6</v>
      </c>
      <c r="D112" s="7"/>
    </row>
    <row r="113" spans="1:4">
      <c r="A113" s="9" t="s">
        <v>74</v>
      </c>
      <c r="B113" s="9" t="s">
        <v>75</v>
      </c>
      <c r="C113" s="7" t="s">
        <v>7</v>
      </c>
      <c r="D113" s="8" t="s">
        <v>76</v>
      </c>
    </row>
    <row r="114" spans="1:4">
      <c r="A114" s="9" t="s">
        <v>74</v>
      </c>
      <c r="B114" s="9" t="s">
        <v>75</v>
      </c>
      <c r="C114" s="7" t="s">
        <v>9</v>
      </c>
      <c r="D114" s="8" t="s">
        <v>76</v>
      </c>
    </row>
    <row r="115" spans="1:4">
      <c r="A115" s="9" t="s">
        <v>74</v>
      </c>
      <c r="B115" s="9" t="s">
        <v>75</v>
      </c>
      <c r="C115" s="7" t="s">
        <v>10</v>
      </c>
      <c r="D115" s="8" t="s">
        <v>31</v>
      </c>
    </row>
    <row r="116" spans="1:4">
      <c r="A116" s="9" t="s">
        <v>74</v>
      </c>
      <c r="B116" s="9" t="s">
        <v>75</v>
      </c>
      <c r="C116" s="7" t="s">
        <v>12</v>
      </c>
      <c r="D116" s="8" t="s">
        <v>56</v>
      </c>
    </row>
    <row r="117" spans="1:4">
      <c r="A117" s="7" t="s">
        <v>77</v>
      </c>
      <c r="B117" s="7" t="s">
        <v>78</v>
      </c>
      <c r="C117" s="7" t="s">
        <v>6</v>
      </c>
      <c r="D117" s="7"/>
    </row>
    <row r="118" spans="1:4">
      <c r="A118" s="7" t="s">
        <v>77</v>
      </c>
      <c r="B118" s="7" t="s">
        <v>78</v>
      </c>
      <c r="C118" s="7" t="s">
        <v>7</v>
      </c>
      <c r="D118" s="8" t="s">
        <v>76</v>
      </c>
    </row>
    <row r="119" spans="1:4">
      <c r="A119" s="7" t="s">
        <v>77</v>
      </c>
      <c r="B119" s="7" t="s">
        <v>78</v>
      </c>
      <c r="C119" s="7" t="s">
        <v>9</v>
      </c>
      <c r="D119" s="8" t="s">
        <v>76</v>
      </c>
    </row>
    <row r="120" spans="1:4">
      <c r="A120" s="7" t="s">
        <v>77</v>
      </c>
      <c r="B120" s="7" t="s">
        <v>78</v>
      </c>
      <c r="C120" s="7" t="s">
        <v>10</v>
      </c>
      <c r="D120" s="8" t="s">
        <v>31</v>
      </c>
    </row>
    <row r="121" spans="1:4">
      <c r="A121" s="7" t="s">
        <v>77</v>
      </c>
      <c r="B121" s="7" t="s">
        <v>78</v>
      </c>
      <c r="C121" s="7" t="s">
        <v>12</v>
      </c>
      <c r="D121" s="8" t="s">
        <v>56</v>
      </c>
    </row>
    <row r="122" spans="1:4">
      <c r="A122" s="9" t="s">
        <v>79</v>
      </c>
      <c r="B122" s="9" t="s">
        <v>80</v>
      </c>
      <c r="C122" s="7" t="s">
        <v>6</v>
      </c>
      <c r="D122" s="7"/>
    </row>
    <row r="123" spans="1:4">
      <c r="A123" s="9" t="s">
        <v>79</v>
      </c>
      <c r="B123" s="9" t="s">
        <v>80</v>
      </c>
      <c r="C123" s="7" t="s">
        <v>7</v>
      </c>
      <c r="D123" s="8" t="s">
        <v>81</v>
      </c>
    </row>
    <row r="124" spans="1:4">
      <c r="A124" s="9" t="s">
        <v>79</v>
      </c>
      <c r="B124" s="9" t="s">
        <v>80</v>
      </c>
      <c r="C124" s="7" t="s">
        <v>9</v>
      </c>
      <c r="D124" s="8" t="s">
        <v>81</v>
      </c>
    </row>
    <row r="125" spans="1:4">
      <c r="A125" s="9" t="s">
        <v>79</v>
      </c>
      <c r="B125" s="9" t="s">
        <v>80</v>
      </c>
      <c r="C125" s="7" t="s">
        <v>10</v>
      </c>
      <c r="D125" s="8" t="s">
        <v>31</v>
      </c>
    </row>
    <row r="126" spans="1:4">
      <c r="A126" s="9" t="s">
        <v>79</v>
      </c>
      <c r="B126" s="9" t="s">
        <v>80</v>
      </c>
      <c r="C126" s="7" t="s">
        <v>12</v>
      </c>
      <c r="D126" s="8" t="s">
        <v>56</v>
      </c>
    </row>
    <row r="127" spans="1:4">
      <c r="A127" s="7" t="s">
        <v>82</v>
      </c>
      <c r="B127" s="7" t="s">
        <v>83</v>
      </c>
      <c r="C127" s="7" t="s">
        <v>6</v>
      </c>
      <c r="D127" s="7"/>
    </row>
    <row r="128" spans="1:4">
      <c r="A128" s="7" t="s">
        <v>82</v>
      </c>
      <c r="B128" s="7" t="s">
        <v>83</v>
      </c>
      <c r="C128" s="7" t="s">
        <v>7</v>
      </c>
      <c r="D128" s="8" t="s">
        <v>81</v>
      </c>
    </row>
    <row r="129" spans="1:4">
      <c r="A129" s="7" t="s">
        <v>82</v>
      </c>
      <c r="B129" s="7" t="s">
        <v>83</v>
      </c>
      <c r="C129" s="7" t="s">
        <v>9</v>
      </c>
      <c r="D129" s="8" t="s">
        <v>81</v>
      </c>
    </row>
    <row r="130" spans="1:4">
      <c r="A130" s="7" t="s">
        <v>82</v>
      </c>
      <c r="B130" s="7" t="s">
        <v>83</v>
      </c>
      <c r="C130" s="7" t="s">
        <v>10</v>
      </c>
      <c r="D130" s="8" t="s">
        <v>31</v>
      </c>
    </row>
    <row r="131" spans="1:4">
      <c r="A131" s="7" t="s">
        <v>82</v>
      </c>
      <c r="B131" s="7" t="s">
        <v>83</v>
      </c>
      <c r="C131" s="7" t="s">
        <v>12</v>
      </c>
      <c r="D131" s="8" t="s">
        <v>56</v>
      </c>
    </row>
    <row r="132" spans="1:4">
      <c r="A132" s="9" t="s">
        <v>84</v>
      </c>
      <c r="B132" s="9" t="s">
        <v>85</v>
      </c>
      <c r="C132" s="7" t="s">
        <v>6</v>
      </c>
      <c r="D132" s="7"/>
    </row>
    <row r="133" spans="1:4">
      <c r="A133" s="9" t="s">
        <v>86</v>
      </c>
      <c r="B133" s="9" t="s">
        <v>85</v>
      </c>
      <c r="C133" s="7" t="s">
        <v>7</v>
      </c>
      <c r="D133" s="8" t="s">
        <v>87</v>
      </c>
    </row>
    <row r="134" spans="1:4">
      <c r="A134" s="9" t="s">
        <v>88</v>
      </c>
      <c r="B134" s="9" t="s">
        <v>85</v>
      </c>
      <c r="C134" s="7" t="s">
        <v>9</v>
      </c>
      <c r="D134" s="8" t="s">
        <v>87</v>
      </c>
    </row>
    <row r="135" spans="1:4">
      <c r="A135" s="9" t="s">
        <v>89</v>
      </c>
      <c r="B135" s="9" t="s">
        <v>85</v>
      </c>
      <c r="C135" s="7" t="s">
        <v>10</v>
      </c>
      <c r="D135" s="8" t="s">
        <v>11</v>
      </c>
    </row>
    <row r="136" spans="1:4">
      <c r="A136" s="9" t="s">
        <v>90</v>
      </c>
      <c r="B136" s="9" t="s">
        <v>85</v>
      </c>
      <c r="C136" s="7" t="s">
        <v>12</v>
      </c>
      <c r="D136" s="8" t="s">
        <v>56</v>
      </c>
    </row>
    <row r="137" spans="1:4">
      <c r="A137" s="7" t="s">
        <v>91</v>
      </c>
      <c r="B137" s="7" t="s">
        <v>92</v>
      </c>
      <c r="C137" s="7" t="s">
        <v>6</v>
      </c>
      <c r="D137" s="7"/>
    </row>
    <row r="138" spans="1:4">
      <c r="A138" s="7" t="s">
        <v>91</v>
      </c>
      <c r="B138" s="7" t="s">
        <v>92</v>
      </c>
      <c r="C138" s="7" t="s">
        <v>7</v>
      </c>
      <c r="D138" s="8" t="s">
        <v>87</v>
      </c>
    </row>
    <row r="139" spans="1:4">
      <c r="A139" s="7" t="s">
        <v>91</v>
      </c>
      <c r="B139" s="7" t="s">
        <v>92</v>
      </c>
      <c r="C139" s="7" t="s">
        <v>9</v>
      </c>
      <c r="D139" s="8" t="s">
        <v>87</v>
      </c>
    </row>
    <row r="140" spans="1:4">
      <c r="A140" s="7" t="s">
        <v>91</v>
      </c>
      <c r="B140" s="7" t="s">
        <v>92</v>
      </c>
      <c r="C140" s="7" t="s">
        <v>10</v>
      </c>
      <c r="D140" s="8" t="s">
        <v>11</v>
      </c>
    </row>
    <row r="141" spans="1:4">
      <c r="A141" s="7" t="s">
        <v>91</v>
      </c>
      <c r="B141" s="7" t="s">
        <v>92</v>
      </c>
      <c r="C141" s="7" t="s">
        <v>12</v>
      </c>
      <c r="D141" s="8" t="s">
        <v>56</v>
      </c>
    </row>
    <row r="142" spans="1:4">
      <c r="A142" s="9" t="s">
        <v>93</v>
      </c>
      <c r="B142" s="9" t="s">
        <v>94</v>
      </c>
      <c r="C142" s="7" t="s">
        <v>6</v>
      </c>
      <c r="D142" s="7"/>
    </row>
    <row r="143" spans="1:4">
      <c r="A143" s="9" t="s">
        <v>93</v>
      </c>
      <c r="B143" s="9" t="s">
        <v>94</v>
      </c>
      <c r="C143" s="7" t="s">
        <v>7</v>
      </c>
      <c r="D143" s="8" t="s">
        <v>95</v>
      </c>
    </row>
    <row r="144" spans="1:4">
      <c r="A144" s="9" t="s">
        <v>93</v>
      </c>
      <c r="B144" s="9" t="s">
        <v>94</v>
      </c>
      <c r="C144" s="7" t="s">
        <v>9</v>
      </c>
      <c r="D144" s="8" t="s">
        <v>95</v>
      </c>
    </row>
    <row r="145" spans="1:4">
      <c r="A145" s="9" t="s">
        <v>93</v>
      </c>
      <c r="B145" s="9" t="s">
        <v>94</v>
      </c>
      <c r="C145" s="7" t="s">
        <v>10</v>
      </c>
      <c r="D145" s="8" t="s">
        <v>11</v>
      </c>
    </row>
    <row r="146" spans="1:4">
      <c r="A146" s="9" t="s">
        <v>93</v>
      </c>
      <c r="B146" s="9" t="s">
        <v>94</v>
      </c>
      <c r="C146" s="7" t="s">
        <v>12</v>
      </c>
      <c r="D146" s="8" t="s">
        <v>44</v>
      </c>
    </row>
    <row r="147" spans="1:4">
      <c r="A147" s="7" t="s">
        <v>96</v>
      </c>
      <c r="B147" s="7" t="s">
        <v>97</v>
      </c>
      <c r="C147" s="7" t="s">
        <v>6</v>
      </c>
      <c r="D147" s="7"/>
    </row>
    <row r="148" spans="1:4">
      <c r="A148" s="7" t="s">
        <v>96</v>
      </c>
      <c r="B148" s="7" t="s">
        <v>97</v>
      </c>
      <c r="C148" s="7" t="s">
        <v>7</v>
      </c>
      <c r="D148" s="8" t="s">
        <v>95</v>
      </c>
    </row>
    <row r="149" spans="1:4">
      <c r="A149" s="7" t="s">
        <v>96</v>
      </c>
      <c r="B149" s="7" t="s">
        <v>97</v>
      </c>
      <c r="C149" s="7" t="s">
        <v>9</v>
      </c>
      <c r="D149" s="8" t="s">
        <v>95</v>
      </c>
    </row>
    <row r="150" spans="1:4">
      <c r="A150" s="7" t="s">
        <v>96</v>
      </c>
      <c r="B150" s="7" t="s">
        <v>97</v>
      </c>
      <c r="C150" s="7" t="s">
        <v>10</v>
      </c>
      <c r="D150" s="8" t="s">
        <v>11</v>
      </c>
    </row>
    <row r="151" spans="1:4">
      <c r="A151" s="7" t="s">
        <v>96</v>
      </c>
      <c r="B151" s="7" t="s">
        <v>97</v>
      </c>
      <c r="C151" s="7" t="s">
        <v>12</v>
      </c>
      <c r="D151" s="8" t="s">
        <v>44</v>
      </c>
    </row>
    <row r="152" spans="1:4">
      <c r="A152" s="10" t="s">
        <v>98</v>
      </c>
      <c r="B152" s="10" t="s">
        <v>99</v>
      </c>
      <c r="C152" s="7" t="s">
        <v>6</v>
      </c>
      <c r="D152" s="7"/>
    </row>
    <row r="153" spans="1:4">
      <c r="A153" s="10" t="s">
        <v>98</v>
      </c>
      <c r="B153" s="10" t="s">
        <v>99</v>
      </c>
      <c r="C153" s="7" t="s">
        <v>7</v>
      </c>
      <c r="D153" s="8" t="s">
        <v>95</v>
      </c>
    </row>
    <row r="154" spans="1:4">
      <c r="A154" s="10" t="s">
        <v>98</v>
      </c>
      <c r="B154" s="10" t="s">
        <v>99</v>
      </c>
      <c r="C154" s="7" t="s">
        <v>9</v>
      </c>
      <c r="D154" s="8" t="s">
        <v>95</v>
      </c>
    </row>
    <row r="155" spans="1:4">
      <c r="A155" s="10" t="s">
        <v>98</v>
      </c>
      <c r="B155" s="10" t="s">
        <v>99</v>
      </c>
      <c r="C155" s="7" t="s">
        <v>10</v>
      </c>
      <c r="D155" s="8" t="s">
        <v>11</v>
      </c>
    </row>
    <row r="156" spans="1:4">
      <c r="A156" s="10" t="s">
        <v>98</v>
      </c>
      <c r="B156" s="10" t="s">
        <v>99</v>
      </c>
      <c r="C156" s="7" t="s">
        <v>12</v>
      </c>
      <c r="D156" s="8" t="s">
        <v>44</v>
      </c>
    </row>
    <row r="157" spans="1:4">
      <c r="A157" s="7" t="s">
        <v>100</v>
      </c>
      <c r="B157" s="7" t="s">
        <v>101</v>
      </c>
      <c r="C157" s="7" t="s">
        <v>6</v>
      </c>
      <c r="D157" s="7"/>
    </row>
    <row r="158" spans="1:4">
      <c r="A158" s="7" t="s">
        <v>100</v>
      </c>
      <c r="B158" s="7" t="s">
        <v>101</v>
      </c>
      <c r="C158" s="7" t="s">
        <v>7</v>
      </c>
      <c r="D158" s="8" t="s">
        <v>95</v>
      </c>
    </row>
    <row r="159" spans="1:4">
      <c r="A159" s="7" t="s">
        <v>100</v>
      </c>
      <c r="B159" s="7" t="s">
        <v>101</v>
      </c>
      <c r="C159" s="7" t="s">
        <v>9</v>
      </c>
      <c r="D159" s="8" t="s">
        <v>95</v>
      </c>
    </row>
    <row r="160" spans="1:4">
      <c r="A160" s="7" t="s">
        <v>100</v>
      </c>
      <c r="B160" s="7" t="s">
        <v>101</v>
      </c>
      <c r="C160" s="7" t="s">
        <v>10</v>
      </c>
      <c r="D160" s="8" t="s">
        <v>11</v>
      </c>
    </row>
    <row r="161" spans="1:4">
      <c r="A161" s="7" t="s">
        <v>100</v>
      </c>
      <c r="B161" s="7" t="s">
        <v>101</v>
      </c>
      <c r="C161" s="7" t="s">
        <v>12</v>
      </c>
      <c r="D161" s="8" t="s">
        <v>44</v>
      </c>
    </row>
    <row r="162" spans="1:4">
      <c r="A162" s="9" t="s">
        <v>102</v>
      </c>
      <c r="B162" s="9" t="s">
        <v>103</v>
      </c>
      <c r="C162" s="7" t="s">
        <v>6</v>
      </c>
      <c r="D162" s="7"/>
    </row>
    <row r="163" spans="1:4">
      <c r="A163" s="9" t="s">
        <v>102</v>
      </c>
      <c r="B163" s="9" t="s">
        <v>103</v>
      </c>
      <c r="C163" s="7" t="s">
        <v>7</v>
      </c>
      <c r="D163" s="8" t="s">
        <v>104</v>
      </c>
    </row>
    <row r="164" spans="1:4">
      <c r="A164" s="9" t="s">
        <v>102</v>
      </c>
      <c r="B164" s="9" t="s">
        <v>103</v>
      </c>
      <c r="C164" s="7" t="s">
        <v>9</v>
      </c>
      <c r="D164" s="8" t="s">
        <v>104</v>
      </c>
    </row>
    <row r="165" spans="1:4">
      <c r="A165" s="9" t="s">
        <v>102</v>
      </c>
      <c r="B165" s="9" t="s">
        <v>103</v>
      </c>
      <c r="C165" s="7" t="s">
        <v>10</v>
      </c>
      <c r="D165" s="8" t="s">
        <v>31</v>
      </c>
    </row>
    <row r="166" spans="1:4">
      <c r="A166" s="9" t="s">
        <v>102</v>
      </c>
      <c r="B166" s="9" t="s">
        <v>103</v>
      </c>
      <c r="C166" s="7" t="s">
        <v>12</v>
      </c>
      <c r="D166" s="8" t="s">
        <v>56</v>
      </c>
    </row>
    <row r="167" spans="1:4">
      <c r="A167" s="7" t="s">
        <v>105</v>
      </c>
      <c r="B167" s="7" t="s">
        <v>106</v>
      </c>
      <c r="C167" s="7" t="s">
        <v>6</v>
      </c>
      <c r="D167" s="7"/>
    </row>
    <row r="168" spans="1:4">
      <c r="A168" s="7" t="s">
        <v>105</v>
      </c>
      <c r="B168" s="7" t="s">
        <v>106</v>
      </c>
      <c r="C168" s="7" t="s">
        <v>7</v>
      </c>
      <c r="D168" s="8" t="s">
        <v>104</v>
      </c>
    </row>
    <row r="169" spans="1:4">
      <c r="A169" s="7" t="s">
        <v>105</v>
      </c>
      <c r="B169" s="7" t="s">
        <v>106</v>
      </c>
      <c r="C169" s="7" t="s">
        <v>9</v>
      </c>
      <c r="D169" s="8" t="s">
        <v>104</v>
      </c>
    </row>
    <row r="170" spans="1:4">
      <c r="A170" s="7" t="s">
        <v>105</v>
      </c>
      <c r="B170" s="7" t="s">
        <v>106</v>
      </c>
      <c r="C170" s="7" t="s">
        <v>10</v>
      </c>
      <c r="D170" s="8" t="s">
        <v>31</v>
      </c>
    </row>
    <row r="171" spans="1:4">
      <c r="A171" s="7" t="s">
        <v>105</v>
      </c>
      <c r="B171" s="7" t="s">
        <v>106</v>
      </c>
      <c r="C171" s="7" t="s">
        <v>12</v>
      </c>
      <c r="D171" s="8" t="s">
        <v>56</v>
      </c>
    </row>
    <row r="172" spans="1:4">
      <c r="A172" s="7" t="s">
        <v>107</v>
      </c>
      <c r="B172" s="7" t="s">
        <v>108</v>
      </c>
      <c r="C172" s="7" t="s">
        <v>6</v>
      </c>
      <c r="D172" s="7"/>
    </row>
    <row r="173" spans="1:4">
      <c r="A173" s="7" t="s">
        <v>107</v>
      </c>
      <c r="B173" s="7" t="s">
        <v>108</v>
      </c>
      <c r="C173" s="7" t="s">
        <v>7</v>
      </c>
      <c r="D173" s="8" t="s">
        <v>104</v>
      </c>
    </row>
    <row r="174" spans="1:4">
      <c r="A174" s="7" t="s">
        <v>107</v>
      </c>
      <c r="B174" s="7" t="s">
        <v>108</v>
      </c>
      <c r="C174" s="7" t="s">
        <v>9</v>
      </c>
      <c r="D174" s="8" t="s">
        <v>104</v>
      </c>
    </row>
    <row r="175" spans="1:4">
      <c r="A175" s="7" t="s">
        <v>107</v>
      </c>
      <c r="B175" s="7" t="s">
        <v>108</v>
      </c>
      <c r="C175" s="7" t="s">
        <v>10</v>
      </c>
      <c r="D175" s="8" t="s">
        <v>31</v>
      </c>
    </row>
    <row r="176" spans="1:4">
      <c r="A176" s="7" t="s">
        <v>107</v>
      </c>
      <c r="B176" s="7" t="s">
        <v>108</v>
      </c>
      <c r="C176" s="7" t="s">
        <v>12</v>
      </c>
      <c r="D176" s="8" t="s">
        <v>56</v>
      </c>
    </row>
    <row r="177" spans="1:4">
      <c r="A177" s="7" t="s">
        <v>109</v>
      </c>
      <c r="B177" s="7" t="s">
        <v>110</v>
      </c>
      <c r="C177" s="7" t="s">
        <v>6</v>
      </c>
      <c r="D177" s="7"/>
    </row>
    <row r="178" spans="1:4">
      <c r="A178" s="7" t="s">
        <v>109</v>
      </c>
      <c r="B178" s="7" t="s">
        <v>110</v>
      </c>
      <c r="C178" s="7" t="s">
        <v>7</v>
      </c>
      <c r="D178" s="8" t="s">
        <v>111</v>
      </c>
    </row>
    <row r="179" spans="1:4">
      <c r="A179" s="7" t="s">
        <v>109</v>
      </c>
      <c r="B179" s="7" t="s">
        <v>110</v>
      </c>
      <c r="C179" s="7" t="s">
        <v>9</v>
      </c>
      <c r="D179" s="8" t="s">
        <v>111</v>
      </c>
    </row>
    <row r="180" spans="1:4">
      <c r="A180" s="7" t="s">
        <v>109</v>
      </c>
      <c r="B180" s="7" t="s">
        <v>110</v>
      </c>
      <c r="C180" s="7" t="s">
        <v>10</v>
      </c>
      <c r="D180" s="8" t="s">
        <v>31</v>
      </c>
    </row>
    <row r="181" spans="1:4">
      <c r="A181" s="7" t="s">
        <v>109</v>
      </c>
      <c r="B181" s="7" t="s">
        <v>110</v>
      </c>
      <c r="C181" s="7" t="s">
        <v>12</v>
      </c>
      <c r="D181" s="8" t="s">
        <v>112</v>
      </c>
    </row>
    <row r="182" spans="1:4">
      <c r="A182" s="9" t="s">
        <v>113</v>
      </c>
      <c r="B182" s="9" t="s">
        <v>114</v>
      </c>
      <c r="C182" s="7" t="s">
        <v>6</v>
      </c>
      <c r="D182" s="7"/>
    </row>
    <row r="183" spans="1:4">
      <c r="A183" s="9" t="s">
        <v>113</v>
      </c>
      <c r="B183" s="9" t="s">
        <v>114</v>
      </c>
      <c r="C183" s="7" t="s">
        <v>7</v>
      </c>
      <c r="D183" s="8" t="s">
        <v>111</v>
      </c>
    </row>
    <row r="184" spans="1:4">
      <c r="A184" s="9" t="s">
        <v>113</v>
      </c>
      <c r="B184" s="9" t="s">
        <v>114</v>
      </c>
      <c r="C184" s="7" t="s">
        <v>9</v>
      </c>
      <c r="D184" s="8" t="s">
        <v>111</v>
      </c>
    </row>
    <row r="185" spans="1:4">
      <c r="A185" s="9" t="s">
        <v>113</v>
      </c>
      <c r="B185" s="9" t="s">
        <v>114</v>
      </c>
      <c r="C185" s="7" t="s">
        <v>10</v>
      </c>
      <c r="D185" s="8" t="s">
        <v>31</v>
      </c>
    </row>
    <row r="186" spans="1:4">
      <c r="A186" s="9" t="s">
        <v>113</v>
      </c>
      <c r="B186" s="9" t="s">
        <v>114</v>
      </c>
      <c r="C186" s="7" t="s">
        <v>12</v>
      </c>
      <c r="D186" s="8" t="s">
        <v>112</v>
      </c>
    </row>
    <row r="187" spans="1:4">
      <c r="A187" s="7" t="s">
        <v>115</v>
      </c>
      <c r="B187" s="7" t="s">
        <v>116</v>
      </c>
      <c r="C187" s="7" t="s">
        <v>6</v>
      </c>
      <c r="D187" s="7"/>
    </row>
    <row r="188" spans="1:4">
      <c r="A188" s="7" t="s">
        <v>115</v>
      </c>
      <c r="B188" s="7" t="s">
        <v>116</v>
      </c>
      <c r="C188" s="7" t="s">
        <v>7</v>
      </c>
      <c r="D188" s="8" t="s">
        <v>111</v>
      </c>
    </row>
    <row r="189" spans="1:4">
      <c r="A189" s="7" t="s">
        <v>115</v>
      </c>
      <c r="B189" s="7" t="s">
        <v>116</v>
      </c>
      <c r="C189" s="7" t="s">
        <v>9</v>
      </c>
      <c r="D189" s="8" t="s">
        <v>111</v>
      </c>
    </row>
    <row r="190" spans="1:4">
      <c r="A190" s="7" t="s">
        <v>115</v>
      </c>
      <c r="B190" s="7" t="s">
        <v>116</v>
      </c>
      <c r="C190" s="7" t="s">
        <v>10</v>
      </c>
      <c r="D190" s="8" t="s">
        <v>31</v>
      </c>
    </row>
    <row r="191" spans="1:4">
      <c r="A191" s="7" t="s">
        <v>115</v>
      </c>
      <c r="B191" s="7" t="s">
        <v>116</v>
      </c>
      <c r="C191" s="7" t="s">
        <v>12</v>
      </c>
      <c r="D191" s="8" t="s">
        <v>112</v>
      </c>
    </row>
    <row r="192" spans="1:4">
      <c r="A192" s="9" t="s">
        <v>117</v>
      </c>
      <c r="B192" s="9" t="s">
        <v>118</v>
      </c>
      <c r="C192" s="7" t="s">
        <v>6</v>
      </c>
      <c r="D192" s="7"/>
    </row>
    <row r="193" spans="1:4">
      <c r="A193" s="9" t="s">
        <v>117</v>
      </c>
      <c r="B193" s="9" t="s">
        <v>118</v>
      </c>
      <c r="C193" s="7" t="s">
        <v>7</v>
      </c>
      <c r="D193" s="8" t="s">
        <v>119</v>
      </c>
    </row>
    <row r="194" spans="1:4">
      <c r="A194" s="9" t="s">
        <v>117</v>
      </c>
      <c r="B194" s="9" t="s">
        <v>118</v>
      </c>
      <c r="C194" s="7" t="s">
        <v>9</v>
      </c>
      <c r="D194" s="8" t="s">
        <v>119</v>
      </c>
    </row>
    <row r="195" spans="1:4">
      <c r="A195" s="9" t="s">
        <v>117</v>
      </c>
      <c r="B195" s="9" t="s">
        <v>118</v>
      </c>
      <c r="C195" s="7" t="s">
        <v>10</v>
      </c>
      <c r="D195" s="8" t="s">
        <v>120</v>
      </c>
    </row>
    <row r="196" spans="1:4">
      <c r="A196" s="9" t="s">
        <v>117</v>
      </c>
      <c r="B196" s="9" t="s">
        <v>118</v>
      </c>
      <c r="C196" s="7" t="s">
        <v>12</v>
      </c>
      <c r="D196" s="7"/>
    </row>
    <row r="197" spans="1:4">
      <c r="A197" s="7" t="s">
        <v>121</v>
      </c>
      <c r="B197" s="7" t="s">
        <v>122</v>
      </c>
      <c r="C197" s="7" t="s">
        <v>6</v>
      </c>
      <c r="D197" s="7"/>
    </row>
    <row r="198" spans="1:4">
      <c r="A198" s="7" t="s">
        <v>121</v>
      </c>
      <c r="B198" s="7" t="s">
        <v>122</v>
      </c>
      <c r="C198" s="7" t="s">
        <v>7</v>
      </c>
      <c r="D198" s="8" t="s">
        <v>119</v>
      </c>
    </row>
    <row r="199" spans="1:4">
      <c r="A199" s="7" t="s">
        <v>121</v>
      </c>
      <c r="B199" s="7" t="s">
        <v>122</v>
      </c>
      <c r="C199" s="7" t="s">
        <v>9</v>
      </c>
      <c r="D199" s="8" t="s">
        <v>119</v>
      </c>
    </row>
    <row r="200" spans="1:4">
      <c r="A200" s="7" t="s">
        <v>121</v>
      </c>
      <c r="B200" s="7" t="s">
        <v>122</v>
      </c>
      <c r="C200" s="7" t="s">
        <v>10</v>
      </c>
      <c r="D200" s="8" t="s">
        <v>120</v>
      </c>
    </row>
    <row r="201" spans="1:4">
      <c r="A201" s="7" t="s">
        <v>121</v>
      </c>
      <c r="B201" s="7" t="s">
        <v>122</v>
      </c>
      <c r="C201" s="7" t="s">
        <v>12</v>
      </c>
      <c r="D201" s="7"/>
    </row>
    <row r="202" spans="1:4">
      <c r="A202" s="9" t="s">
        <v>123</v>
      </c>
      <c r="B202" s="9" t="s">
        <v>124</v>
      </c>
      <c r="C202" s="7" t="s">
        <v>6</v>
      </c>
      <c r="D202" s="7"/>
    </row>
    <row r="203" spans="1:4">
      <c r="A203" s="9" t="s">
        <v>123</v>
      </c>
      <c r="B203" s="9" t="s">
        <v>124</v>
      </c>
      <c r="C203" s="7" t="s">
        <v>7</v>
      </c>
      <c r="D203" s="8" t="s">
        <v>119</v>
      </c>
    </row>
    <row r="204" spans="1:4">
      <c r="A204" s="9" t="s">
        <v>123</v>
      </c>
      <c r="B204" s="9" t="s">
        <v>124</v>
      </c>
      <c r="C204" s="7" t="s">
        <v>9</v>
      </c>
      <c r="D204" s="8" t="s">
        <v>119</v>
      </c>
    </row>
    <row r="205" spans="1:4">
      <c r="A205" s="9" t="s">
        <v>123</v>
      </c>
      <c r="B205" s="9" t="s">
        <v>124</v>
      </c>
      <c r="C205" s="7" t="s">
        <v>10</v>
      </c>
      <c r="D205" s="8" t="s">
        <v>120</v>
      </c>
    </row>
    <row r="206" spans="1:4">
      <c r="A206" s="9" t="s">
        <v>123</v>
      </c>
      <c r="B206" s="9" t="s">
        <v>124</v>
      </c>
      <c r="C206" s="7" t="s">
        <v>12</v>
      </c>
      <c r="D206" s="7"/>
    </row>
    <row r="207" spans="1:4">
      <c r="A207" s="7" t="s">
        <v>125</v>
      </c>
      <c r="B207" s="7" t="s">
        <v>126</v>
      </c>
      <c r="C207" s="7" t="s">
        <v>6</v>
      </c>
      <c r="D207" s="7"/>
    </row>
    <row r="208" spans="1:4">
      <c r="A208" s="7" t="s">
        <v>125</v>
      </c>
      <c r="B208" s="7" t="s">
        <v>126</v>
      </c>
      <c r="C208" s="7" t="s">
        <v>7</v>
      </c>
      <c r="D208" s="8" t="s">
        <v>119</v>
      </c>
    </row>
    <row r="209" spans="1:4">
      <c r="A209" s="7" t="s">
        <v>125</v>
      </c>
      <c r="B209" s="7" t="s">
        <v>126</v>
      </c>
      <c r="C209" s="7" t="s">
        <v>9</v>
      </c>
      <c r="D209" s="8" t="s">
        <v>119</v>
      </c>
    </row>
    <row r="210" spans="1:4">
      <c r="A210" s="7" t="s">
        <v>125</v>
      </c>
      <c r="B210" s="7" t="s">
        <v>126</v>
      </c>
      <c r="C210" s="7" t="s">
        <v>10</v>
      </c>
      <c r="D210" s="8" t="s">
        <v>120</v>
      </c>
    </row>
    <row r="211" spans="1:4">
      <c r="A211" s="7" t="s">
        <v>125</v>
      </c>
      <c r="B211" s="7" t="s">
        <v>126</v>
      </c>
      <c r="C211" s="7" t="s">
        <v>12</v>
      </c>
      <c r="D211" s="7"/>
    </row>
    <row r="212" spans="1:4">
      <c r="A212" s="11" t="s">
        <v>127</v>
      </c>
      <c r="B212" s="11" t="s">
        <v>128</v>
      </c>
      <c r="C212" s="7" t="s">
        <v>6</v>
      </c>
      <c r="D212" s="7"/>
    </row>
    <row r="213" spans="1:4">
      <c r="A213" s="11" t="s">
        <v>127</v>
      </c>
      <c r="B213" s="11" t="s">
        <v>128</v>
      </c>
      <c r="C213" s="7" t="s">
        <v>7</v>
      </c>
      <c r="D213" s="8" t="s">
        <v>119</v>
      </c>
    </row>
    <row r="214" spans="1:4">
      <c r="A214" s="11" t="s">
        <v>127</v>
      </c>
      <c r="B214" s="11" t="s">
        <v>128</v>
      </c>
      <c r="C214" s="7" t="s">
        <v>9</v>
      </c>
      <c r="D214" s="8" t="s">
        <v>119</v>
      </c>
    </row>
    <row r="215" spans="1:4">
      <c r="A215" s="11" t="s">
        <v>127</v>
      </c>
      <c r="B215" s="11" t="s">
        <v>128</v>
      </c>
      <c r="C215" s="7" t="s">
        <v>10</v>
      </c>
      <c r="D215" s="8" t="s">
        <v>120</v>
      </c>
    </row>
    <row r="216" spans="1:4">
      <c r="A216" s="11" t="s">
        <v>127</v>
      </c>
      <c r="B216" s="11" t="s">
        <v>128</v>
      </c>
      <c r="C216" s="7" t="s">
        <v>12</v>
      </c>
      <c r="D216" s="7"/>
    </row>
    <row r="217" spans="1:4">
      <c r="A217" s="7" t="s">
        <v>129</v>
      </c>
      <c r="B217" s="7" t="s">
        <v>130</v>
      </c>
      <c r="C217" s="7" t="s">
        <v>6</v>
      </c>
      <c r="D217" s="7"/>
    </row>
    <row r="218" spans="1:4">
      <c r="A218" s="7" t="s">
        <v>129</v>
      </c>
      <c r="B218" s="7" t="s">
        <v>130</v>
      </c>
      <c r="C218" s="7" t="s">
        <v>7</v>
      </c>
      <c r="D218" s="8" t="s">
        <v>119</v>
      </c>
    </row>
    <row r="219" spans="1:4">
      <c r="A219" s="7" t="s">
        <v>129</v>
      </c>
      <c r="B219" s="7" t="s">
        <v>130</v>
      </c>
      <c r="C219" s="7" t="s">
        <v>9</v>
      </c>
      <c r="D219" s="8" t="s">
        <v>119</v>
      </c>
    </row>
    <row r="220" spans="1:4">
      <c r="A220" s="7" t="s">
        <v>129</v>
      </c>
      <c r="B220" s="7" t="s">
        <v>130</v>
      </c>
      <c r="C220" s="7" t="s">
        <v>10</v>
      </c>
      <c r="D220" s="8" t="s">
        <v>120</v>
      </c>
    </row>
    <row r="221" spans="1:4">
      <c r="A221" s="7" t="s">
        <v>129</v>
      </c>
      <c r="B221" s="7" t="s">
        <v>130</v>
      </c>
      <c r="C221" s="7" t="s">
        <v>12</v>
      </c>
      <c r="D221" s="7"/>
    </row>
    <row r="222" spans="1:4">
      <c r="A222" s="9" t="s">
        <v>131</v>
      </c>
      <c r="B222" s="9" t="s">
        <v>132</v>
      </c>
      <c r="C222" s="7" t="s">
        <v>6</v>
      </c>
      <c r="D222" s="7"/>
    </row>
    <row r="223" spans="1:4">
      <c r="A223" s="9" t="s">
        <v>131</v>
      </c>
      <c r="B223" s="9" t="s">
        <v>132</v>
      </c>
      <c r="C223" s="7" t="s">
        <v>7</v>
      </c>
      <c r="D223" s="8" t="s">
        <v>119</v>
      </c>
    </row>
    <row r="224" spans="1:4">
      <c r="A224" s="9" t="s">
        <v>131</v>
      </c>
      <c r="B224" s="9" t="s">
        <v>132</v>
      </c>
      <c r="C224" s="7" t="s">
        <v>9</v>
      </c>
      <c r="D224" s="8" t="s">
        <v>119</v>
      </c>
    </row>
    <row r="225" spans="1:4">
      <c r="A225" s="9" t="s">
        <v>131</v>
      </c>
      <c r="B225" s="9" t="s">
        <v>132</v>
      </c>
      <c r="C225" s="7" t="s">
        <v>10</v>
      </c>
      <c r="D225" s="8" t="s">
        <v>120</v>
      </c>
    </row>
    <row r="226" spans="1:4">
      <c r="A226" s="9" t="s">
        <v>131</v>
      </c>
      <c r="B226" s="9" t="s">
        <v>132</v>
      </c>
      <c r="C226" s="7" t="s">
        <v>12</v>
      </c>
      <c r="D226" s="7"/>
    </row>
    <row r="227" spans="1:4">
      <c r="A227" s="7" t="s">
        <v>133</v>
      </c>
      <c r="B227" s="7" t="s">
        <v>134</v>
      </c>
      <c r="C227" s="7" t="s">
        <v>6</v>
      </c>
      <c r="D227" s="7"/>
    </row>
    <row r="228" spans="1:4">
      <c r="A228" s="7" t="s">
        <v>133</v>
      </c>
      <c r="B228" s="7" t="s">
        <v>134</v>
      </c>
      <c r="C228" s="7" t="s">
        <v>7</v>
      </c>
      <c r="D228" s="8" t="s">
        <v>119</v>
      </c>
    </row>
    <row r="229" spans="1:4">
      <c r="A229" s="7" t="s">
        <v>133</v>
      </c>
      <c r="B229" s="7" t="s">
        <v>134</v>
      </c>
      <c r="C229" s="7" t="s">
        <v>9</v>
      </c>
      <c r="D229" s="8" t="s">
        <v>119</v>
      </c>
    </row>
    <row r="230" spans="1:4">
      <c r="A230" s="7" t="s">
        <v>133</v>
      </c>
      <c r="B230" s="7" t="s">
        <v>134</v>
      </c>
      <c r="C230" s="7" t="s">
        <v>10</v>
      </c>
      <c r="D230" s="8" t="s">
        <v>120</v>
      </c>
    </row>
    <row r="231" spans="1:4">
      <c r="A231" s="7" t="s">
        <v>133</v>
      </c>
      <c r="B231" s="7" t="s">
        <v>134</v>
      </c>
      <c r="C231" s="7" t="s">
        <v>12</v>
      </c>
      <c r="D231" s="7"/>
    </row>
    <row r="232" spans="1:4">
      <c r="A232" s="6" t="s">
        <v>135</v>
      </c>
      <c r="B232" s="6" t="s">
        <v>136</v>
      </c>
      <c r="C232" s="4" t="s">
        <v>6</v>
      </c>
    </row>
    <row r="233" spans="1:4">
      <c r="A233" s="6" t="s">
        <v>135</v>
      </c>
      <c r="B233" s="6" t="s">
        <v>136</v>
      </c>
      <c r="C233" s="4" t="s">
        <v>7</v>
      </c>
      <c r="D233" s="2" t="s">
        <v>137</v>
      </c>
    </row>
    <row r="234" spans="1:4">
      <c r="A234" s="6" t="s">
        <v>135</v>
      </c>
      <c r="B234" s="6" t="s">
        <v>136</v>
      </c>
      <c r="C234" s="4" t="s">
        <v>9</v>
      </c>
      <c r="D234" s="2" t="s">
        <v>137</v>
      </c>
    </row>
    <row r="235" spans="1:4">
      <c r="A235" s="6" t="s">
        <v>135</v>
      </c>
      <c r="B235" s="6" t="s">
        <v>136</v>
      </c>
      <c r="C235" s="4" t="s">
        <v>10</v>
      </c>
      <c r="D235" s="2" t="s">
        <v>31</v>
      </c>
    </row>
    <row r="236" spans="1:4">
      <c r="A236" s="6" t="s">
        <v>135</v>
      </c>
      <c r="B236" s="6" t="s">
        <v>136</v>
      </c>
      <c r="C236" s="4" t="s">
        <v>12</v>
      </c>
    </row>
    <row r="237" spans="1:4">
      <c r="A237" t="s">
        <v>138</v>
      </c>
      <c r="B237" t="s">
        <v>139</v>
      </c>
      <c r="C237" t="s">
        <v>6</v>
      </c>
    </row>
    <row r="238" spans="1:4">
      <c r="A238" t="s">
        <v>138</v>
      </c>
      <c r="B238" t="s">
        <v>139</v>
      </c>
      <c r="C238" t="s">
        <v>7</v>
      </c>
      <c r="D238" s="2" t="s">
        <v>137</v>
      </c>
    </row>
    <row r="239" spans="1:4">
      <c r="A239" t="s">
        <v>138</v>
      </c>
      <c r="B239" t="s">
        <v>139</v>
      </c>
      <c r="C239" t="s">
        <v>9</v>
      </c>
      <c r="D239" s="2" t="s">
        <v>137</v>
      </c>
    </row>
    <row r="240" spans="1:4">
      <c r="A240" t="s">
        <v>138</v>
      </c>
      <c r="B240" t="s">
        <v>139</v>
      </c>
      <c r="C240" t="s">
        <v>10</v>
      </c>
      <c r="D240" s="2" t="s">
        <v>31</v>
      </c>
    </row>
    <row r="241" spans="1:4">
      <c r="A241" t="s">
        <v>138</v>
      </c>
      <c r="B241" t="s">
        <v>139</v>
      </c>
      <c r="C241" t="s">
        <v>12</v>
      </c>
    </row>
    <row r="242" spans="1:4">
      <c r="A242" s="6" t="s">
        <v>140</v>
      </c>
      <c r="B242" s="6" t="s">
        <v>141</v>
      </c>
      <c r="C242" s="4" t="s">
        <v>6</v>
      </c>
    </row>
    <row r="243" spans="1:4">
      <c r="A243" s="6" t="s">
        <v>140</v>
      </c>
      <c r="B243" s="6" t="s">
        <v>141</v>
      </c>
      <c r="C243" s="4" t="s">
        <v>7</v>
      </c>
      <c r="D243" s="2" t="s">
        <v>142</v>
      </c>
    </row>
    <row r="244" spans="1:4">
      <c r="A244" s="6" t="s">
        <v>140</v>
      </c>
      <c r="B244" s="6" t="s">
        <v>141</v>
      </c>
      <c r="C244" s="4" t="s">
        <v>9</v>
      </c>
      <c r="D244" s="2" t="s">
        <v>142</v>
      </c>
    </row>
    <row r="245" spans="1:4">
      <c r="A245" s="6" t="s">
        <v>140</v>
      </c>
      <c r="B245" s="6" t="s">
        <v>141</v>
      </c>
      <c r="C245" s="4" t="s">
        <v>10</v>
      </c>
      <c r="D245" s="2" t="s">
        <v>120</v>
      </c>
    </row>
    <row r="246" spans="1:4">
      <c r="A246" s="6" t="s">
        <v>140</v>
      </c>
      <c r="B246" s="6" t="s">
        <v>141</v>
      </c>
      <c r="C246" s="4" t="s">
        <v>12</v>
      </c>
    </row>
    <row r="247" spans="1:4">
      <c r="A247" t="s">
        <v>143</v>
      </c>
      <c r="B247" t="s">
        <v>144</v>
      </c>
      <c r="C247" t="s">
        <v>6</v>
      </c>
    </row>
    <row r="248" spans="1:4">
      <c r="A248" t="s">
        <v>143</v>
      </c>
      <c r="B248" t="s">
        <v>144</v>
      </c>
      <c r="C248" t="s">
        <v>7</v>
      </c>
      <c r="D248" s="2" t="s">
        <v>145</v>
      </c>
    </row>
    <row r="249" spans="1:4">
      <c r="A249" t="s">
        <v>143</v>
      </c>
      <c r="B249" t="s">
        <v>144</v>
      </c>
      <c r="C249" t="s">
        <v>9</v>
      </c>
      <c r="D249" s="2" t="s">
        <v>145</v>
      </c>
    </row>
    <row r="250" spans="1:4">
      <c r="A250" t="s">
        <v>143</v>
      </c>
      <c r="B250" t="s">
        <v>144</v>
      </c>
      <c r="C250" t="s">
        <v>10</v>
      </c>
      <c r="D250" s="2" t="s">
        <v>31</v>
      </c>
    </row>
    <row r="251" spans="1:4">
      <c r="A251" t="s">
        <v>143</v>
      </c>
      <c r="B251" t="s">
        <v>144</v>
      </c>
      <c r="C251" t="s">
        <v>12</v>
      </c>
    </row>
    <row r="252" spans="1:4">
      <c r="A252" s="1" t="s">
        <v>146</v>
      </c>
      <c r="B252" s="1" t="s">
        <v>147</v>
      </c>
      <c r="C252" s="4" t="s">
        <v>6</v>
      </c>
    </row>
    <row r="253" spans="1:4">
      <c r="A253" s="1" t="s">
        <v>146</v>
      </c>
      <c r="B253" s="1" t="s">
        <v>147</v>
      </c>
      <c r="C253" s="4" t="s">
        <v>7</v>
      </c>
      <c r="D253" s="2" t="s">
        <v>145</v>
      </c>
    </row>
    <row r="254" spans="1:4">
      <c r="A254" s="1" t="s">
        <v>146</v>
      </c>
      <c r="B254" s="1" t="s">
        <v>147</v>
      </c>
      <c r="C254" s="4" t="s">
        <v>9</v>
      </c>
      <c r="D254" s="2" t="s">
        <v>145</v>
      </c>
    </row>
    <row r="255" spans="1:4">
      <c r="A255" s="1" t="s">
        <v>146</v>
      </c>
      <c r="B255" s="1" t="s">
        <v>147</v>
      </c>
      <c r="C255" s="4" t="s">
        <v>10</v>
      </c>
      <c r="D255" s="2" t="s">
        <v>31</v>
      </c>
    </row>
    <row r="256" spans="1:4">
      <c r="A256" s="1" t="s">
        <v>146</v>
      </c>
      <c r="B256" s="1" t="s">
        <v>147</v>
      </c>
      <c r="C256" s="4" t="s">
        <v>12</v>
      </c>
    </row>
    <row r="257" spans="1:4">
      <c r="A257" s="6" t="s">
        <v>148</v>
      </c>
      <c r="B257" s="6" t="s">
        <v>149</v>
      </c>
      <c r="C257" t="s">
        <v>6</v>
      </c>
    </row>
    <row r="258" spans="1:4">
      <c r="A258" s="6" t="s">
        <v>148</v>
      </c>
      <c r="B258" s="6" t="s">
        <v>150</v>
      </c>
      <c r="C258" t="s">
        <v>7</v>
      </c>
      <c r="D258" s="2" t="s">
        <v>151</v>
      </c>
    </row>
    <row r="259" spans="1:4">
      <c r="A259" s="6" t="s">
        <v>148</v>
      </c>
      <c r="B259" s="6" t="s">
        <v>152</v>
      </c>
      <c r="C259" t="s">
        <v>9</v>
      </c>
      <c r="D259" s="2" t="s">
        <v>151</v>
      </c>
    </row>
    <row r="260" spans="1:4">
      <c r="A260" s="6" t="s">
        <v>148</v>
      </c>
      <c r="B260" s="6" t="s">
        <v>153</v>
      </c>
      <c r="C260" t="s">
        <v>10</v>
      </c>
      <c r="D260" s="2" t="s">
        <v>120</v>
      </c>
    </row>
    <row r="261" spans="1:4">
      <c r="A261" s="6" t="s">
        <v>148</v>
      </c>
      <c r="B261" s="6" t="s">
        <v>154</v>
      </c>
      <c r="C261" t="s">
        <v>12</v>
      </c>
    </row>
    <row r="262" spans="1:4">
      <c r="A262" s="1" t="s">
        <v>155</v>
      </c>
      <c r="B262" s="1" t="s">
        <v>156</v>
      </c>
      <c r="C262" s="4" t="s">
        <v>6</v>
      </c>
    </row>
    <row r="263" spans="1:4">
      <c r="A263" s="1" t="s">
        <v>157</v>
      </c>
      <c r="B263" s="1" t="s">
        <v>158</v>
      </c>
      <c r="C263" s="4" t="s">
        <v>7</v>
      </c>
      <c r="D263" s="2" t="s">
        <v>159</v>
      </c>
    </row>
    <row r="264" spans="1:4">
      <c r="A264" s="1" t="s">
        <v>160</v>
      </c>
      <c r="B264" s="1" t="s">
        <v>161</v>
      </c>
      <c r="C264" s="4" t="s">
        <v>9</v>
      </c>
      <c r="D264" s="2" t="s">
        <v>159</v>
      </c>
    </row>
    <row r="265" spans="1:4">
      <c r="A265" s="1" t="s">
        <v>162</v>
      </c>
      <c r="B265" s="1" t="s">
        <v>163</v>
      </c>
      <c r="C265" s="4" t="s">
        <v>10</v>
      </c>
      <c r="D265" s="2" t="s">
        <v>120</v>
      </c>
    </row>
    <row r="266" spans="1:4">
      <c r="A266" s="1" t="s">
        <v>164</v>
      </c>
      <c r="B266" s="1" t="s">
        <v>165</v>
      </c>
      <c r="C266" s="4" t="s">
        <v>12</v>
      </c>
    </row>
    <row r="267" spans="1:4">
      <c r="A267" t="s">
        <v>166</v>
      </c>
      <c r="B267" t="s">
        <v>167</v>
      </c>
      <c r="C267" t="s">
        <v>6</v>
      </c>
    </row>
    <row r="268" spans="1:4">
      <c r="A268" t="s">
        <v>168</v>
      </c>
      <c r="B268" t="s">
        <v>167</v>
      </c>
      <c r="C268" t="s">
        <v>7</v>
      </c>
      <c r="D268" s="2" t="s">
        <v>159</v>
      </c>
    </row>
    <row r="269" spans="1:4">
      <c r="A269" t="s">
        <v>169</v>
      </c>
      <c r="B269" t="s">
        <v>167</v>
      </c>
      <c r="C269" t="s">
        <v>9</v>
      </c>
      <c r="D269" s="2" t="s">
        <v>159</v>
      </c>
    </row>
    <row r="270" spans="1:4">
      <c r="A270" t="s">
        <v>170</v>
      </c>
      <c r="B270" t="s">
        <v>167</v>
      </c>
      <c r="C270" t="s">
        <v>10</v>
      </c>
      <c r="D270" s="2" t="s">
        <v>120</v>
      </c>
    </row>
    <row r="271" spans="1:4">
      <c r="A271" t="s">
        <v>171</v>
      </c>
      <c r="B271" t="s">
        <v>167</v>
      </c>
      <c r="C271" t="s">
        <v>12</v>
      </c>
    </row>
    <row r="272" spans="1:4">
      <c r="A272" s="1" t="s">
        <v>172</v>
      </c>
      <c r="B272" s="1" t="s">
        <v>173</v>
      </c>
      <c r="C272" s="4" t="s">
        <v>6</v>
      </c>
    </row>
    <row r="273" spans="1:4">
      <c r="A273" s="1" t="s">
        <v>174</v>
      </c>
      <c r="B273" s="1" t="s">
        <v>173</v>
      </c>
      <c r="C273" s="4" t="s">
        <v>7</v>
      </c>
      <c r="D273" s="2" t="s">
        <v>159</v>
      </c>
    </row>
    <row r="274" spans="1:4">
      <c r="A274" s="1" t="s">
        <v>175</v>
      </c>
      <c r="B274" s="1" t="s">
        <v>173</v>
      </c>
      <c r="C274" s="4" t="s">
        <v>9</v>
      </c>
      <c r="D274" s="2" t="s">
        <v>159</v>
      </c>
    </row>
    <row r="275" spans="1:4">
      <c r="A275" s="1" t="s">
        <v>176</v>
      </c>
      <c r="B275" s="1" t="s">
        <v>173</v>
      </c>
      <c r="C275" s="4" t="s">
        <v>10</v>
      </c>
      <c r="D275" s="2" t="s">
        <v>120</v>
      </c>
    </row>
    <row r="276" spans="1:4">
      <c r="A276" s="1" t="s">
        <v>177</v>
      </c>
      <c r="B276" s="1" t="s">
        <v>173</v>
      </c>
      <c r="C276" s="4" t="s">
        <v>12</v>
      </c>
    </row>
    <row r="277" spans="1:4">
      <c r="A277" t="s">
        <v>178</v>
      </c>
      <c r="B277" t="s">
        <v>179</v>
      </c>
      <c r="C277" t="s">
        <v>6</v>
      </c>
    </row>
    <row r="278" spans="1:4">
      <c r="A278" t="s">
        <v>180</v>
      </c>
      <c r="B278" t="s">
        <v>179</v>
      </c>
      <c r="C278" t="s">
        <v>7</v>
      </c>
      <c r="D278" s="2" t="s">
        <v>159</v>
      </c>
    </row>
    <row r="279" spans="1:4">
      <c r="A279" t="s">
        <v>181</v>
      </c>
      <c r="B279" t="s">
        <v>179</v>
      </c>
      <c r="C279" t="s">
        <v>9</v>
      </c>
      <c r="D279" s="2" t="s">
        <v>159</v>
      </c>
    </row>
    <row r="280" spans="1:4">
      <c r="A280" t="s">
        <v>182</v>
      </c>
      <c r="B280" t="s">
        <v>179</v>
      </c>
      <c r="C280" t="s">
        <v>10</v>
      </c>
      <c r="D280" s="2" t="s">
        <v>120</v>
      </c>
    </row>
    <row r="281" spans="1:4">
      <c r="A281" t="s">
        <v>183</v>
      </c>
      <c r="B281" t="s">
        <v>179</v>
      </c>
      <c r="C281" t="s">
        <v>12</v>
      </c>
    </row>
    <row r="282" spans="1:4">
      <c r="A282" s="1" t="s">
        <v>184</v>
      </c>
      <c r="B282" s="1" t="s">
        <v>185</v>
      </c>
      <c r="C282" s="4" t="s">
        <v>6</v>
      </c>
    </row>
    <row r="283" spans="1:4">
      <c r="A283" s="1" t="s">
        <v>184</v>
      </c>
      <c r="B283" s="1" t="s">
        <v>185</v>
      </c>
      <c r="C283" s="4" t="s">
        <v>7</v>
      </c>
      <c r="D283" s="2" t="s">
        <v>186</v>
      </c>
    </row>
    <row r="284" spans="1:4">
      <c r="A284" s="1" t="s">
        <v>184</v>
      </c>
      <c r="B284" s="1" t="s">
        <v>185</v>
      </c>
      <c r="C284" s="4" t="s">
        <v>9</v>
      </c>
      <c r="D284" s="2" t="s">
        <v>186</v>
      </c>
    </row>
    <row r="285" spans="1:4">
      <c r="A285" s="1" t="s">
        <v>184</v>
      </c>
      <c r="B285" s="1" t="s">
        <v>185</v>
      </c>
      <c r="C285" s="4" t="s">
        <v>10</v>
      </c>
      <c r="D285" s="2" t="s">
        <v>120</v>
      </c>
    </row>
    <row r="286" spans="1:4">
      <c r="A286" s="1" t="s">
        <v>184</v>
      </c>
      <c r="B286" s="1" t="s">
        <v>185</v>
      </c>
      <c r="C286" s="4" t="s">
        <v>12</v>
      </c>
    </row>
    <row r="287" spans="1:4">
      <c r="A287" t="s">
        <v>187</v>
      </c>
      <c r="B287" t="s">
        <v>188</v>
      </c>
      <c r="C287" t="s">
        <v>6</v>
      </c>
    </row>
    <row r="288" spans="1:4">
      <c r="A288" t="s">
        <v>187</v>
      </c>
      <c r="B288" t="s">
        <v>188</v>
      </c>
      <c r="C288" t="s">
        <v>7</v>
      </c>
      <c r="D288" s="2" t="s">
        <v>186</v>
      </c>
    </row>
    <row r="289" spans="1:4">
      <c r="A289" t="s">
        <v>187</v>
      </c>
      <c r="B289" t="s">
        <v>188</v>
      </c>
      <c r="C289" t="s">
        <v>9</v>
      </c>
      <c r="D289" s="2" t="s">
        <v>186</v>
      </c>
    </row>
    <row r="290" spans="1:4">
      <c r="A290" t="s">
        <v>187</v>
      </c>
      <c r="B290" t="s">
        <v>188</v>
      </c>
      <c r="C290" t="s">
        <v>10</v>
      </c>
      <c r="D290" s="2" t="s">
        <v>120</v>
      </c>
    </row>
    <row r="291" spans="1:4">
      <c r="A291" t="s">
        <v>187</v>
      </c>
      <c r="B291" t="s">
        <v>188</v>
      </c>
      <c r="C291" t="s">
        <v>12</v>
      </c>
    </row>
    <row r="292" spans="1:4">
      <c r="A292" s="4" t="s">
        <v>189</v>
      </c>
      <c r="B292" s="4" t="s">
        <v>190</v>
      </c>
      <c r="C292" s="4" t="s">
        <v>6</v>
      </c>
    </row>
    <row r="293" spans="1:4">
      <c r="A293" s="4" t="s">
        <v>189</v>
      </c>
      <c r="B293" s="4" t="s">
        <v>190</v>
      </c>
      <c r="C293" s="4" t="s">
        <v>7</v>
      </c>
      <c r="D293" s="2" t="s">
        <v>186</v>
      </c>
    </row>
    <row r="294" spans="1:4">
      <c r="A294" s="4" t="s">
        <v>189</v>
      </c>
      <c r="B294" s="4" t="s">
        <v>190</v>
      </c>
      <c r="C294" s="4" t="s">
        <v>9</v>
      </c>
      <c r="D294" s="2" t="s">
        <v>186</v>
      </c>
    </row>
    <row r="295" spans="1:4">
      <c r="A295" s="4" t="s">
        <v>189</v>
      </c>
      <c r="B295" s="4" t="s">
        <v>190</v>
      </c>
      <c r="C295" s="4" t="s">
        <v>10</v>
      </c>
      <c r="D295" s="2" t="s">
        <v>120</v>
      </c>
    </row>
    <row r="296" spans="1:4">
      <c r="A296" s="4" t="s">
        <v>189</v>
      </c>
      <c r="B296" s="4" t="s">
        <v>190</v>
      </c>
      <c r="C296" s="4" t="s">
        <v>12</v>
      </c>
    </row>
    <row r="297" spans="1:4">
      <c r="A297" t="s">
        <v>191</v>
      </c>
      <c r="B297" t="s">
        <v>192</v>
      </c>
      <c r="C297" t="s">
        <v>6</v>
      </c>
    </row>
    <row r="298" spans="1:4">
      <c r="A298" t="s">
        <v>193</v>
      </c>
      <c r="B298" t="s">
        <v>192</v>
      </c>
      <c r="C298" t="s">
        <v>7</v>
      </c>
      <c r="D298" s="2" t="s">
        <v>194</v>
      </c>
    </row>
    <row r="299" spans="1:4">
      <c r="A299" t="s">
        <v>195</v>
      </c>
      <c r="B299" t="s">
        <v>192</v>
      </c>
      <c r="C299" t="s">
        <v>9</v>
      </c>
      <c r="D299" s="2" t="s">
        <v>194</v>
      </c>
    </row>
    <row r="300" spans="1:4">
      <c r="A300" t="s">
        <v>196</v>
      </c>
      <c r="B300" t="s">
        <v>192</v>
      </c>
      <c r="C300" t="s">
        <v>10</v>
      </c>
      <c r="D300" s="2" t="s">
        <v>120</v>
      </c>
    </row>
    <row r="301" spans="1:4">
      <c r="A301" t="s">
        <v>197</v>
      </c>
      <c r="B301" t="s">
        <v>192</v>
      </c>
      <c r="C301" t="s">
        <v>12</v>
      </c>
    </row>
    <row r="302" spans="1:4">
      <c r="C302" s="4" t="s">
        <v>6</v>
      </c>
    </row>
    <row r="303" spans="1:4">
      <c r="C303" s="4" t="s">
        <v>7</v>
      </c>
    </row>
    <row r="304" spans="1:4">
      <c r="C304" s="4" t="s">
        <v>9</v>
      </c>
    </row>
    <row r="305" spans="3:3">
      <c r="C305" s="4" t="s">
        <v>10</v>
      </c>
    </row>
    <row r="306" spans="3:3">
      <c r="C306" s="4" t="s">
        <v>12</v>
      </c>
    </row>
    <row r="307" spans="3:3">
      <c r="C307" t="s">
        <v>6</v>
      </c>
    </row>
    <row r="308" spans="3:3">
      <c r="C308" t="s">
        <v>7</v>
      </c>
    </row>
    <row r="309" spans="3:3">
      <c r="C309" t="s">
        <v>9</v>
      </c>
    </row>
    <row r="310" spans="3:3">
      <c r="C310" t="s">
        <v>10</v>
      </c>
    </row>
    <row r="311" spans="3:3">
      <c r="C311" t="s">
        <v>12</v>
      </c>
    </row>
    <row r="312" spans="3:3">
      <c r="C312" s="4" t="s">
        <v>6</v>
      </c>
    </row>
    <row r="313" spans="3:3">
      <c r="C313" s="4" t="s">
        <v>7</v>
      </c>
    </row>
    <row r="314" spans="3:3">
      <c r="C314" s="4" t="s">
        <v>9</v>
      </c>
    </row>
    <row r="315" spans="3:3">
      <c r="C315" s="4" t="s">
        <v>10</v>
      </c>
    </row>
    <row r="316" spans="3:3">
      <c r="C316" s="4" t="s">
        <v>12</v>
      </c>
    </row>
    <row r="317" spans="3:3">
      <c r="C317" t="s">
        <v>6</v>
      </c>
    </row>
    <row r="318" spans="3:3">
      <c r="C318" t="s">
        <v>7</v>
      </c>
    </row>
    <row r="319" spans="3:3">
      <c r="C319" t="s">
        <v>9</v>
      </c>
    </row>
    <row r="320" spans="3:3">
      <c r="C320" t="s">
        <v>10</v>
      </c>
    </row>
    <row r="321" spans="3:3">
      <c r="C321" t="s">
        <v>12</v>
      </c>
    </row>
    <row r="322" spans="3:3">
      <c r="C322" s="4" t="s">
        <v>6</v>
      </c>
    </row>
    <row r="323" spans="3:3">
      <c r="C323" s="4" t="s">
        <v>7</v>
      </c>
    </row>
    <row r="324" spans="3:3">
      <c r="C324" s="4" t="s">
        <v>9</v>
      </c>
    </row>
    <row r="325" spans="3:3">
      <c r="C325" s="4" t="s">
        <v>10</v>
      </c>
    </row>
    <row r="326" spans="3:3">
      <c r="C326" s="4" t="s">
        <v>12</v>
      </c>
    </row>
    <row r="327" spans="3:3">
      <c r="C327" t="s">
        <v>6</v>
      </c>
    </row>
    <row r="328" spans="3:3">
      <c r="C328" t="s">
        <v>7</v>
      </c>
    </row>
    <row r="329" spans="3:3">
      <c r="C329" t="s">
        <v>9</v>
      </c>
    </row>
    <row r="330" spans="3:3">
      <c r="C330" t="s">
        <v>10</v>
      </c>
    </row>
    <row r="331" spans="3:3">
      <c r="C331" t="s">
        <v>12</v>
      </c>
    </row>
    <row r="332" spans="3:3">
      <c r="C332" s="4" t="s">
        <v>6</v>
      </c>
    </row>
    <row r="333" spans="3:3">
      <c r="C333" s="4" t="s">
        <v>7</v>
      </c>
    </row>
    <row r="334" spans="3:3">
      <c r="C334" s="4" t="s">
        <v>9</v>
      </c>
    </row>
    <row r="335" spans="3:3">
      <c r="C335" s="4" t="s">
        <v>10</v>
      </c>
    </row>
    <row r="336" spans="3:3">
      <c r="C336" s="4" t="s">
        <v>12</v>
      </c>
    </row>
    <row r="337" spans="3:3">
      <c r="C337" t="s">
        <v>6</v>
      </c>
    </row>
    <row r="338" spans="3:3">
      <c r="C338" t="s">
        <v>7</v>
      </c>
    </row>
    <row r="339" spans="3:3">
      <c r="C339" t="s">
        <v>9</v>
      </c>
    </row>
    <row r="340" spans="3:3">
      <c r="C340" t="s">
        <v>10</v>
      </c>
    </row>
    <row r="341" spans="3:3">
      <c r="C341" t="s">
        <v>12</v>
      </c>
    </row>
    <row r="342" spans="3:3">
      <c r="C342" s="4" t="s">
        <v>6</v>
      </c>
    </row>
    <row r="343" spans="3:3">
      <c r="C343" s="4" t="s">
        <v>7</v>
      </c>
    </row>
    <row r="344" spans="3:3">
      <c r="C344" s="4" t="s">
        <v>9</v>
      </c>
    </row>
    <row r="345" spans="3:3">
      <c r="C345" s="4" t="s">
        <v>10</v>
      </c>
    </row>
    <row r="346" spans="3:3">
      <c r="C346" s="4" t="s">
        <v>12</v>
      </c>
    </row>
    <row r="347" spans="3:3">
      <c r="C347" t="s">
        <v>6</v>
      </c>
    </row>
    <row r="348" spans="3:3">
      <c r="C348" t="s">
        <v>7</v>
      </c>
    </row>
    <row r="349" spans="3:3">
      <c r="C349" t="s">
        <v>9</v>
      </c>
    </row>
    <row r="350" spans="3:3">
      <c r="C350" t="s">
        <v>10</v>
      </c>
    </row>
    <row r="351" spans="3:3">
      <c r="C351" t="s">
        <v>12</v>
      </c>
    </row>
    <row r="352" spans="3:3">
      <c r="C352" s="4" t="s">
        <v>6</v>
      </c>
    </row>
    <row r="353" spans="3:3">
      <c r="C353" s="4" t="s">
        <v>7</v>
      </c>
    </row>
    <row r="354" spans="3:3">
      <c r="C354" s="4" t="s">
        <v>9</v>
      </c>
    </row>
    <row r="355" spans="3:3">
      <c r="C355" s="4" t="s">
        <v>10</v>
      </c>
    </row>
    <row r="356" spans="3:3">
      <c r="C356" s="4" t="s">
        <v>12</v>
      </c>
    </row>
    <row r="357" spans="3:3">
      <c r="C357" t="s">
        <v>6</v>
      </c>
    </row>
    <row r="358" spans="3:3">
      <c r="C358" t="s">
        <v>7</v>
      </c>
    </row>
    <row r="359" spans="3:3">
      <c r="C359" t="s">
        <v>9</v>
      </c>
    </row>
    <row r="360" spans="3:3">
      <c r="C360" t="s">
        <v>10</v>
      </c>
    </row>
    <row r="361" spans="3:3">
      <c r="C361" t="s">
        <v>12</v>
      </c>
    </row>
    <row r="362" spans="3:3">
      <c r="C362" s="4" t="s">
        <v>6</v>
      </c>
    </row>
    <row r="363" spans="3:3">
      <c r="C363" s="4" t="s">
        <v>7</v>
      </c>
    </row>
    <row r="364" spans="3:3">
      <c r="C364" s="4" t="s">
        <v>9</v>
      </c>
    </row>
    <row r="365" spans="3:3">
      <c r="C365" s="4" t="s">
        <v>10</v>
      </c>
    </row>
    <row r="366" spans="3:3">
      <c r="C366" s="4" t="s">
        <v>12</v>
      </c>
    </row>
    <row r="367" spans="3:3">
      <c r="C367" t="s">
        <v>6</v>
      </c>
    </row>
    <row r="368" spans="3:3">
      <c r="C368" t="s">
        <v>7</v>
      </c>
    </row>
    <row r="369" spans="3:3">
      <c r="C369" t="s">
        <v>9</v>
      </c>
    </row>
    <row r="370" spans="3:3">
      <c r="C370" t="s">
        <v>10</v>
      </c>
    </row>
    <row r="371" spans="3:3">
      <c r="C371" t="s">
        <v>12</v>
      </c>
    </row>
    <row r="372" spans="3:3">
      <c r="C372" s="4" t="s">
        <v>6</v>
      </c>
    </row>
    <row r="373" spans="3:3">
      <c r="C373" s="4" t="s">
        <v>7</v>
      </c>
    </row>
    <row r="374" spans="3:3">
      <c r="C374" s="4" t="s">
        <v>9</v>
      </c>
    </row>
    <row r="375" spans="3:3">
      <c r="C375" s="4" t="s">
        <v>10</v>
      </c>
    </row>
    <row r="376" spans="3:3">
      <c r="C376" s="4" t="s">
        <v>12</v>
      </c>
    </row>
    <row r="377" spans="3:3">
      <c r="C377" t="s">
        <v>6</v>
      </c>
    </row>
    <row r="378" spans="3:3">
      <c r="C378" t="s">
        <v>7</v>
      </c>
    </row>
    <row r="379" spans="3:3">
      <c r="C379" t="s">
        <v>9</v>
      </c>
    </row>
    <row r="380" spans="3:3">
      <c r="C380" t="s">
        <v>10</v>
      </c>
    </row>
    <row r="381" spans="3:3">
      <c r="C381" t="s">
        <v>12</v>
      </c>
    </row>
    <row r="382" spans="3:3">
      <c r="C382" s="4" t="s">
        <v>6</v>
      </c>
    </row>
    <row r="383" spans="3:3">
      <c r="C383" s="4" t="s">
        <v>7</v>
      </c>
    </row>
    <row r="384" spans="3:3">
      <c r="C384" s="4" t="s">
        <v>9</v>
      </c>
    </row>
    <row r="385" spans="3:3">
      <c r="C385" s="4" t="s">
        <v>10</v>
      </c>
    </row>
    <row r="386" spans="3:3">
      <c r="C386" s="4" t="s">
        <v>12</v>
      </c>
    </row>
    <row r="387" spans="3:3">
      <c r="C387" t="s">
        <v>6</v>
      </c>
    </row>
    <row r="388" spans="3:3">
      <c r="C388" t="s">
        <v>7</v>
      </c>
    </row>
    <row r="389" spans="3:3">
      <c r="C389" t="s">
        <v>9</v>
      </c>
    </row>
    <row r="390" spans="3:3">
      <c r="C390" t="s">
        <v>10</v>
      </c>
    </row>
    <row r="391" spans="3:3">
      <c r="C391" t="s">
        <v>12</v>
      </c>
    </row>
    <row r="392" spans="3:3">
      <c r="C392" s="4" t="s">
        <v>6</v>
      </c>
    </row>
    <row r="393" spans="3:3">
      <c r="C393" s="4" t="s">
        <v>7</v>
      </c>
    </row>
    <row r="394" spans="3:3">
      <c r="C394" s="4" t="s">
        <v>9</v>
      </c>
    </row>
    <row r="395" spans="3:3">
      <c r="C395" s="4" t="s">
        <v>10</v>
      </c>
    </row>
    <row r="396" spans="3:3">
      <c r="C396" s="4" t="s">
        <v>12</v>
      </c>
    </row>
    <row r="397" spans="3:3">
      <c r="C397" t="s">
        <v>6</v>
      </c>
    </row>
    <row r="398" spans="3:3">
      <c r="C398" t="s">
        <v>7</v>
      </c>
    </row>
    <row r="399" spans="3:3">
      <c r="C399" t="s">
        <v>9</v>
      </c>
    </row>
    <row r="400" spans="3:3">
      <c r="C400" t="s">
        <v>10</v>
      </c>
    </row>
    <row r="401" spans="3:3">
      <c r="C401" t="s">
        <v>12</v>
      </c>
    </row>
    <row r="402" spans="3:3">
      <c r="C402" s="4" t="s">
        <v>6</v>
      </c>
    </row>
    <row r="403" spans="3:3">
      <c r="C403" s="4" t="s">
        <v>7</v>
      </c>
    </row>
    <row r="404" spans="3:3">
      <c r="C404" s="4" t="s">
        <v>9</v>
      </c>
    </row>
    <row r="405" spans="3:3">
      <c r="C405" s="4" t="s">
        <v>10</v>
      </c>
    </row>
    <row r="406" spans="3:3">
      <c r="C406" s="4" t="s">
        <v>12</v>
      </c>
    </row>
    <row r="407" spans="3:3">
      <c r="C407" t="s">
        <v>6</v>
      </c>
    </row>
    <row r="408" spans="3:3">
      <c r="C408" t="s">
        <v>7</v>
      </c>
    </row>
    <row r="409" spans="3:3">
      <c r="C409" t="s">
        <v>9</v>
      </c>
    </row>
    <row r="410" spans="3:3">
      <c r="C410" t="s">
        <v>10</v>
      </c>
    </row>
    <row r="411" spans="3:3">
      <c r="C411" t="s">
        <v>12</v>
      </c>
    </row>
    <row r="412" spans="3:3">
      <c r="C412" s="4" t="s">
        <v>6</v>
      </c>
    </row>
    <row r="413" spans="3:3">
      <c r="C413" s="4" t="s">
        <v>7</v>
      </c>
    </row>
    <row r="414" spans="3:3">
      <c r="C414" s="4" t="s">
        <v>9</v>
      </c>
    </row>
    <row r="415" spans="3:3">
      <c r="C415" s="4" t="s">
        <v>10</v>
      </c>
    </row>
    <row r="416" spans="3:3">
      <c r="C416" s="4" t="s">
        <v>12</v>
      </c>
    </row>
    <row r="417" spans="3:3">
      <c r="C417" t="s">
        <v>6</v>
      </c>
    </row>
    <row r="418" spans="3:3">
      <c r="C418" t="s">
        <v>7</v>
      </c>
    </row>
    <row r="419" spans="3:3">
      <c r="C419" t="s">
        <v>9</v>
      </c>
    </row>
    <row r="420" spans="3:3">
      <c r="C420" t="s">
        <v>10</v>
      </c>
    </row>
    <row r="421" spans="3:3">
      <c r="C421" t="s">
        <v>12</v>
      </c>
    </row>
    <row r="422" spans="3:3">
      <c r="C422" s="4" t="s">
        <v>6</v>
      </c>
    </row>
    <row r="423" spans="3:3">
      <c r="C423" s="4" t="s">
        <v>7</v>
      </c>
    </row>
    <row r="424" spans="3:3">
      <c r="C424" s="4" t="s">
        <v>9</v>
      </c>
    </row>
    <row r="425" spans="3:3">
      <c r="C425" s="4" t="s">
        <v>10</v>
      </c>
    </row>
    <row r="426" spans="3:3">
      <c r="C426" s="4" t="s">
        <v>12</v>
      </c>
    </row>
    <row r="427" spans="3:3">
      <c r="C427" t="s">
        <v>6</v>
      </c>
    </row>
    <row r="428" spans="3:3">
      <c r="C428" t="s">
        <v>7</v>
      </c>
    </row>
    <row r="429" spans="3:3">
      <c r="C429" t="s">
        <v>9</v>
      </c>
    </row>
    <row r="430" spans="3:3">
      <c r="C430" t="s">
        <v>10</v>
      </c>
    </row>
    <row r="431" spans="3:3">
      <c r="C431" t="s">
        <v>12</v>
      </c>
    </row>
    <row r="432" spans="3:3">
      <c r="C432" s="4" t="s">
        <v>6</v>
      </c>
    </row>
    <row r="433" spans="3:3">
      <c r="C433" s="4" t="s">
        <v>7</v>
      </c>
    </row>
    <row r="434" spans="3:3">
      <c r="C434" s="4" t="s">
        <v>9</v>
      </c>
    </row>
    <row r="435" spans="3:3">
      <c r="C435" s="4" t="s">
        <v>10</v>
      </c>
    </row>
    <row r="436" spans="3:3">
      <c r="C436" s="4" t="s">
        <v>12</v>
      </c>
    </row>
    <row r="437" spans="3:3">
      <c r="C437" t="s">
        <v>6</v>
      </c>
    </row>
    <row r="438" spans="3:3">
      <c r="C438" t="s">
        <v>7</v>
      </c>
    </row>
    <row r="439" spans="3:3">
      <c r="C439" t="s">
        <v>9</v>
      </c>
    </row>
    <row r="440" spans="3:3">
      <c r="C440" t="s">
        <v>10</v>
      </c>
    </row>
    <row r="441" spans="3:3">
      <c r="C441" t="s">
        <v>12</v>
      </c>
    </row>
    <row r="442" spans="3:3">
      <c r="C442" s="4" t="s">
        <v>6</v>
      </c>
    </row>
    <row r="443" spans="3:3">
      <c r="C443" s="4" t="s">
        <v>7</v>
      </c>
    </row>
    <row r="444" spans="3:3">
      <c r="C444" s="4" t="s">
        <v>9</v>
      </c>
    </row>
    <row r="445" spans="3:3">
      <c r="C445" s="4" t="s">
        <v>10</v>
      </c>
    </row>
    <row r="446" spans="3:3">
      <c r="C446" s="4" t="s">
        <v>12</v>
      </c>
    </row>
    <row r="447" spans="3:3">
      <c r="C447" t="s">
        <v>6</v>
      </c>
    </row>
    <row r="448" spans="3:3">
      <c r="C448" t="s">
        <v>7</v>
      </c>
    </row>
    <row r="449" spans="3:3">
      <c r="C449" t="s">
        <v>9</v>
      </c>
    </row>
    <row r="450" spans="3:3">
      <c r="C450" t="s">
        <v>10</v>
      </c>
    </row>
    <row r="451" spans="3:3">
      <c r="C451" t="s">
        <v>12</v>
      </c>
    </row>
    <row r="452" spans="3:3">
      <c r="C452" s="4" t="s">
        <v>6</v>
      </c>
    </row>
    <row r="453" spans="3:3">
      <c r="C453" s="4" t="s">
        <v>7</v>
      </c>
    </row>
    <row r="454" spans="3:3">
      <c r="C454" s="4" t="s">
        <v>9</v>
      </c>
    </row>
    <row r="455" spans="3:3">
      <c r="C455" s="4" t="s">
        <v>10</v>
      </c>
    </row>
    <row r="456" spans="3:3">
      <c r="C456" s="4" t="s">
        <v>12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2812F-5A49-4EFD-A2DC-0AB9196AB363}">
  <dimension ref="A1:N345"/>
  <sheetViews>
    <sheetView tabSelected="1" topLeftCell="F137" zoomScale="85" zoomScaleNormal="85" workbookViewId="0">
      <selection activeCell="I2" sqref="I2:N332"/>
    </sheetView>
  </sheetViews>
  <sheetFormatPr defaultColWidth="8.85546875" defaultRowHeight="15"/>
  <cols>
    <col min="1" max="1" width="46.140625" customWidth="1"/>
    <col min="2" max="2" width="21" bestFit="1" customWidth="1"/>
    <col min="3" max="3" width="13.42578125" customWidth="1"/>
    <col min="4" max="5" width="25.42578125" bestFit="1" customWidth="1"/>
    <col min="6" max="6" width="20.7109375" bestFit="1" customWidth="1"/>
    <col min="7" max="7" width="19.42578125" bestFit="1" customWidth="1"/>
    <col min="9" max="9" width="20.140625" bestFit="1" customWidth="1"/>
    <col min="10" max="10" width="16.7109375" bestFit="1" customWidth="1"/>
    <col min="11" max="12" width="22.85546875" bestFit="1" customWidth="1"/>
    <col min="13" max="13" width="28" bestFit="1" customWidth="1"/>
    <col min="14" max="14" width="20.42578125" bestFit="1" customWidth="1"/>
  </cols>
  <sheetData>
    <row r="1" spans="1:14">
      <c r="C1" t="s">
        <v>198</v>
      </c>
      <c r="I1" t="s">
        <v>199</v>
      </c>
    </row>
    <row r="2" spans="1:14">
      <c r="A2" s="3" t="s">
        <v>0</v>
      </c>
      <c r="B2" s="3" t="s">
        <v>1</v>
      </c>
      <c r="C2" s="3" t="s">
        <v>6</v>
      </c>
      <c r="D2" s="3" t="s">
        <v>7</v>
      </c>
      <c r="E2" s="3" t="s">
        <v>9</v>
      </c>
      <c r="F2" s="3" t="s">
        <v>10</v>
      </c>
      <c r="G2" s="3" t="s">
        <v>12</v>
      </c>
      <c r="I2" s="13" t="s">
        <v>200</v>
      </c>
      <c r="J2" s="13" t="s">
        <v>201</v>
      </c>
      <c r="K2" s="13" t="s">
        <v>202</v>
      </c>
      <c r="L2" s="13" t="s">
        <v>203</v>
      </c>
      <c r="M2" s="13" t="s">
        <v>204</v>
      </c>
      <c r="N2" s="13" t="s">
        <v>205</v>
      </c>
    </row>
    <row r="3" spans="1:14">
      <c r="A3" s="22" t="s">
        <v>206</v>
      </c>
      <c r="B3" s="23" t="s">
        <v>207</v>
      </c>
      <c r="C3" s="23" t="s">
        <v>208</v>
      </c>
      <c r="D3" s="23" t="s">
        <v>209</v>
      </c>
      <c r="E3" s="23" t="s">
        <v>210</v>
      </c>
      <c r="F3" s="23" t="s">
        <v>211</v>
      </c>
      <c r="G3" s="24" t="s">
        <v>212</v>
      </c>
      <c r="I3" s="1" t="str">
        <f>Table1[[#This Row],[Building ID]]</f>
        <v>a1826000001pj8kAAA</v>
      </c>
      <c r="J3" t="str">
        <f>VLOOKUP(C3,'Distinct Queues'!$A$3:$B$39,2,FALSE)</f>
        <v>Finance_Team</v>
      </c>
      <c r="K3" t="str">
        <f>VLOOKUP(D3,'Distinct Queues'!$A$3:$B$39,2,FALSE)</f>
        <v>Customer_Service_Team</v>
      </c>
      <c r="L3" t="str">
        <f>VLOOKUP(E3,'Distinct Queues'!$A$3:$B$39,2,FALSE)</f>
        <v>PRS_London</v>
      </c>
      <c r="M3" t="str">
        <f>VLOOKUP(F3,'Distinct Queues'!$A$3:$B$39,2,FALSE)</f>
        <v>AM_PRS_London</v>
      </c>
      <c r="N3" t="str">
        <f>VLOOKUP(G3,'Distinct Queues'!$A$3:$B$39,2,FALSE)</f>
        <v>Lettings_South</v>
      </c>
    </row>
    <row r="4" spans="1:14">
      <c r="A4" s="25" t="s">
        <v>213</v>
      </c>
      <c r="B4" s="26" t="s">
        <v>214</v>
      </c>
      <c r="C4" s="27" t="s">
        <v>208</v>
      </c>
      <c r="D4" s="27" t="s">
        <v>209</v>
      </c>
      <c r="E4" s="27" t="s">
        <v>210</v>
      </c>
      <c r="F4" s="27" t="s">
        <v>211</v>
      </c>
      <c r="G4" s="28" t="s">
        <v>212</v>
      </c>
      <c r="I4" s="1" t="str">
        <f>Table1[[#This Row],[Building ID]]</f>
        <v>a1826000001pj0HAAQ</v>
      </c>
      <c r="J4" t="str">
        <f>VLOOKUP(C4,'Distinct Queues'!$A$3:$B$39,2,FALSE)</f>
        <v>Finance_Team</v>
      </c>
      <c r="K4" t="str">
        <f>VLOOKUP(D4,'Distinct Queues'!$A$3:$B$39,2,FALSE)</f>
        <v>Customer_Service_Team</v>
      </c>
      <c r="L4" t="str">
        <f>VLOOKUP(E4,'Distinct Queues'!$A$3:$B$39,2,FALSE)</f>
        <v>PRS_London</v>
      </c>
      <c r="M4" t="str">
        <f>VLOOKUP(F4,'Distinct Queues'!$A$3:$B$39,2,FALSE)</f>
        <v>AM_PRS_London</v>
      </c>
      <c r="N4" t="str">
        <f>VLOOKUP(G4,'Distinct Queues'!$A$3:$B$39,2,FALSE)</f>
        <v>Lettings_South</v>
      </c>
    </row>
    <row r="5" spans="1:14">
      <c r="A5" s="29" t="s">
        <v>215</v>
      </c>
      <c r="B5" s="26" t="s">
        <v>216</v>
      </c>
      <c r="C5" s="26" t="s">
        <v>208</v>
      </c>
      <c r="D5" s="26" t="s">
        <v>209</v>
      </c>
      <c r="E5" s="26" t="s">
        <v>210</v>
      </c>
      <c r="F5" s="26" t="s">
        <v>211</v>
      </c>
      <c r="G5" s="30" t="s">
        <v>212</v>
      </c>
      <c r="I5" s="1" t="str">
        <f>Table1[[#This Row],[Building ID]]</f>
        <v>a1826000001pj1AAAQ</v>
      </c>
      <c r="J5" t="str">
        <f>VLOOKUP(C5,'Distinct Queues'!$A$3:$B$39,2,FALSE)</f>
        <v>Finance_Team</v>
      </c>
      <c r="K5" t="str">
        <f>VLOOKUP(D5,'Distinct Queues'!$A$3:$B$39,2,FALSE)</f>
        <v>Customer_Service_Team</v>
      </c>
      <c r="L5" t="str">
        <f>VLOOKUP(E5,'Distinct Queues'!$A$3:$B$39,2,FALSE)</f>
        <v>PRS_London</v>
      </c>
      <c r="M5" t="str">
        <f>VLOOKUP(F5,'Distinct Queues'!$A$3:$B$39,2,FALSE)</f>
        <v>AM_PRS_London</v>
      </c>
      <c r="N5" t="str">
        <f>VLOOKUP(G5,'Distinct Queues'!$A$3:$B$39,2,FALSE)</f>
        <v>Lettings_South</v>
      </c>
    </row>
    <row r="6" spans="1:14">
      <c r="A6" s="29" t="s">
        <v>217</v>
      </c>
      <c r="B6" s="26" t="s">
        <v>218</v>
      </c>
      <c r="C6" s="26" t="s">
        <v>208</v>
      </c>
      <c r="D6" s="26" t="s">
        <v>209</v>
      </c>
      <c r="E6" s="26" t="s">
        <v>210</v>
      </c>
      <c r="F6" s="26" t="s">
        <v>211</v>
      </c>
      <c r="G6" s="30" t="s">
        <v>212</v>
      </c>
      <c r="I6" s="1" t="str">
        <f>Table1[[#This Row],[Building ID]]</f>
        <v>a1826000001piYOAAY</v>
      </c>
      <c r="J6" t="str">
        <f>VLOOKUP(C6,'Distinct Queues'!$A$3:$B$39,2,FALSE)</f>
        <v>Finance_Team</v>
      </c>
      <c r="K6" t="str">
        <f>VLOOKUP(D6,'Distinct Queues'!$A$3:$B$39,2,FALSE)</f>
        <v>Customer_Service_Team</v>
      </c>
      <c r="L6" t="str">
        <f>VLOOKUP(E6,'Distinct Queues'!$A$3:$B$39,2,FALSE)</f>
        <v>PRS_London</v>
      </c>
      <c r="M6" t="str">
        <f>VLOOKUP(F6,'Distinct Queues'!$A$3:$B$39,2,FALSE)</f>
        <v>AM_PRS_London</v>
      </c>
      <c r="N6" t="str">
        <f>VLOOKUP(G6,'Distinct Queues'!$A$3:$B$39,2,FALSE)</f>
        <v>Lettings_South</v>
      </c>
    </row>
    <row r="7" spans="1:14">
      <c r="A7" s="25" t="s">
        <v>219</v>
      </c>
      <c r="B7" s="26" t="s">
        <v>220</v>
      </c>
      <c r="C7" s="27" t="s">
        <v>208</v>
      </c>
      <c r="D7" s="27" t="s">
        <v>209</v>
      </c>
      <c r="E7" s="27" t="s">
        <v>210</v>
      </c>
      <c r="F7" s="27" t="s">
        <v>211</v>
      </c>
      <c r="G7" s="28" t="s">
        <v>212</v>
      </c>
      <c r="I7" s="1" t="str">
        <f>Table1[[#This Row],[Building ID]]</f>
        <v>a1826000001SA7BAAW</v>
      </c>
      <c r="J7" t="str">
        <f>VLOOKUP(C7,'Distinct Queues'!$A$3:$B$39,2,FALSE)</f>
        <v>Finance_Team</v>
      </c>
      <c r="K7" t="str">
        <f>VLOOKUP(D7,'Distinct Queues'!$A$3:$B$39,2,FALSE)</f>
        <v>Customer_Service_Team</v>
      </c>
      <c r="L7" t="str">
        <f>VLOOKUP(E7,'Distinct Queues'!$A$3:$B$39,2,FALSE)</f>
        <v>PRS_London</v>
      </c>
      <c r="M7" t="str">
        <f>VLOOKUP(F7,'Distinct Queues'!$A$3:$B$39,2,FALSE)</f>
        <v>AM_PRS_London</v>
      </c>
      <c r="N7" t="str">
        <f>VLOOKUP(G7,'Distinct Queues'!$A$3:$B$39,2,FALSE)</f>
        <v>Lettings_South</v>
      </c>
    </row>
    <row r="8" spans="1:14">
      <c r="A8" s="29" t="s">
        <v>155</v>
      </c>
      <c r="B8" s="26" t="s">
        <v>221</v>
      </c>
      <c r="C8" s="26" t="s">
        <v>208</v>
      </c>
      <c r="D8" s="26" t="s">
        <v>159</v>
      </c>
      <c r="E8" s="26" t="s">
        <v>159</v>
      </c>
      <c r="F8" s="26" t="s">
        <v>120</v>
      </c>
      <c r="G8" s="30" t="s">
        <v>212</v>
      </c>
      <c r="I8" s="1" t="str">
        <f>Table1[[#This Row],[Building ID]]</f>
        <v>a1826000001SB7aAAG</v>
      </c>
      <c r="J8" t="str">
        <f>VLOOKUP(C8,'Distinct Queues'!$A$3:$B$39,2,FALSE)</f>
        <v>Finance_Team</v>
      </c>
      <c r="K8" t="str">
        <f>VLOOKUP(D8,'Distinct Queues'!$A$3:$B$39,2,FALSE)</f>
        <v>Millet_Place_Team</v>
      </c>
      <c r="L8" t="str">
        <f>VLOOKUP(E8,'Distinct Queues'!$A$3:$B$39,2,FALSE)</f>
        <v>Millet_Place_Team</v>
      </c>
      <c r="M8" t="str">
        <f>VLOOKUP(F8,'Distinct Queues'!$A$3:$B$39,2,FALSE)</f>
        <v>AM_BTR_London</v>
      </c>
      <c r="N8" t="str">
        <f>VLOOKUP(G8,'Distinct Queues'!$A$3:$B$39,2,FALSE)</f>
        <v>Lettings_South</v>
      </c>
    </row>
    <row r="9" spans="1:14">
      <c r="A9" s="25" t="s">
        <v>166</v>
      </c>
      <c r="B9" s="26" t="s">
        <v>222</v>
      </c>
      <c r="C9" s="27" t="s">
        <v>208</v>
      </c>
      <c r="D9" s="27" t="s">
        <v>159</v>
      </c>
      <c r="E9" s="27" t="s">
        <v>159</v>
      </c>
      <c r="F9" s="27" t="s">
        <v>120</v>
      </c>
      <c r="G9" s="28" t="s">
        <v>212</v>
      </c>
      <c r="I9" s="1" t="str">
        <f>Table1[[#This Row],[Building ID]]</f>
        <v>a1826000001peHKAAY</v>
      </c>
      <c r="J9" t="str">
        <f>VLOOKUP(C9,'Distinct Queues'!$A$3:$B$39,2,FALSE)</f>
        <v>Finance_Team</v>
      </c>
      <c r="K9" t="str">
        <f>VLOOKUP(D9,'Distinct Queues'!$A$3:$B$39,2,FALSE)</f>
        <v>Millet_Place_Team</v>
      </c>
      <c r="L9" t="str">
        <f>VLOOKUP(E9,'Distinct Queues'!$A$3:$B$39,2,FALSE)</f>
        <v>Millet_Place_Team</v>
      </c>
      <c r="M9" t="str">
        <f>VLOOKUP(F9,'Distinct Queues'!$A$3:$B$39,2,FALSE)</f>
        <v>AM_BTR_London</v>
      </c>
      <c r="N9" t="str">
        <f>VLOOKUP(G9,'Distinct Queues'!$A$3:$B$39,2,FALSE)</f>
        <v>Lettings_South</v>
      </c>
    </row>
    <row r="10" spans="1:14">
      <c r="A10" s="29" t="s">
        <v>223</v>
      </c>
      <c r="B10" s="26" t="s">
        <v>224</v>
      </c>
      <c r="C10" s="26" t="s">
        <v>208</v>
      </c>
      <c r="D10" s="26" t="s">
        <v>209</v>
      </c>
      <c r="E10" s="26" t="s">
        <v>225</v>
      </c>
      <c r="F10" s="26" t="s">
        <v>226</v>
      </c>
      <c r="G10" s="30" t="s">
        <v>44</v>
      </c>
      <c r="I10" s="1" t="str">
        <f>Table1[[#This Row],[Building ID]]</f>
        <v>a1826000001raxbAAA</v>
      </c>
      <c r="J10" t="str">
        <f>VLOOKUP(C10,'Distinct Queues'!$A$3:$B$39,2,FALSE)</f>
        <v>Finance_Team</v>
      </c>
      <c r="K10" t="str">
        <f>VLOOKUP(D10,'Distinct Queues'!$A$3:$B$39,2,FALSE)</f>
        <v>Customer_Service_Team</v>
      </c>
      <c r="L10" t="str">
        <f>VLOOKUP(E10,'Distinct Queues'!$A$3:$B$39,2,FALSE)</f>
        <v>PRS_Regions</v>
      </c>
      <c r="M10" t="str">
        <f>VLOOKUP(F10,'Distinct Queues'!$A$3:$B$39,2,FALSE)</f>
        <v>AM_PRS_Regions</v>
      </c>
      <c r="N10" t="str">
        <f>VLOOKUP(G10,'Distinct Queues'!$A$3:$B$39,2,FALSE)</f>
        <v>Lettings_North_West</v>
      </c>
    </row>
    <row r="11" spans="1:14">
      <c r="A11" s="25" t="s">
        <v>227</v>
      </c>
      <c r="B11" s="26" t="s">
        <v>228</v>
      </c>
      <c r="C11" s="27" t="s">
        <v>208</v>
      </c>
      <c r="D11" s="27" t="s">
        <v>209</v>
      </c>
      <c r="E11" s="27" t="s">
        <v>210</v>
      </c>
      <c r="F11" s="27" t="s">
        <v>211</v>
      </c>
      <c r="G11" s="28" t="s">
        <v>212</v>
      </c>
      <c r="I11" s="1" t="str">
        <f>Table1[[#This Row],[Building ID]]</f>
        <v>a1826000001pj9cAAA</v>
      </c>
      <c r="J11" t="str">
        <f>VLOOKUP(C11,'Distinct Queues'!$A$3:$B$39,2,FALSE)</f>
        <v>Finance_Team</v>
      </c>
      <c r="K11" t="str">
        <f>VLOOKUP(D11,'Distinct Queues'!$A$3:$B$39,2,FALSE)</f>
        <v>Customer_Service_Team</v>
      </c>
      <c r="L11" t="str">
        <f>VLOOKUP(E11,'Distinct Queues'!$A$3:$B$39,2,FALSE)</f>
        <v>PRS_London</v>
      </c>
      <c r="M11" t="str">
        <f>VLOOKUP(F11,'Distinct Queues'!$A$3:$B$39,2,FALSE)</f>
        <v>AM_PRS_London</v>
      </c>
      <c r="N11" t="str">
        <f>VLOOKUP(G11,'Distinct Queues'!$A$3:$B$39,2,FALSE)</f>
        <v>Lettings_South</v>
      </c>
    </row>
    <row r="12" spans="1:14">
      <c r="A12" s="29" t="s">
        <v>229</v>
      </c>
      <c r="B12" s="26" t="s">
        <v>230</v>
      </c>
      <c r="C12" s="26" t="s">
        <v>208</v>
      </c>
      <c r="D12" s="26" t="s">
        <v>209</v>
      </c>
      <c r="E12" s="26" t="s">
        <v>225</v>
      </c>
      <c r="F12" s="26" t="s">
        <v>226</v>
      </c>
      <c r="G12" s="30" t="s">
        <v>44</v>
      </c>
      <c r="I12" s="1" t="str">
        <f>Table1[[#This Row],[Building ID]]</f>
        <v>a1826000001pivuAAA</v>
      </c>
      <c r="J12" t="str">
        <f>VLOOKUP(C12,'Distinct Queues'!$A$3:$B$39,2,FALSE)</f>
        <v>Finance_Team</v>
      </c>
      <c r="K12" t="str">
        <f>VLOOKUP(D12,'Distinct Queues'!$A$3:$B$39,2,FALSE)</f>
        <v>Customer_Service_Team</v>
      </c>
      <c r="L12" t="str">
        <f>VLOOKUP(E12,'Distinct Queues'!$A$3:$B$39,2,FALSE)</f>
        <v>PRS_Regions</v>
      </c>
      <c r="M12" t="str">
        <f>VLOOKUP(F12,'Distinct Queues'!$A$3:$B$39,2,FALSE)</f>
        <v>AM_PRS_Regions</v>
      </c>
      <c r="N12" t="str">
        <f>VLOOKUP(G12,'Distinct Queues'!$A$3:$B$39,2,FALSE)</f>
        <v>Lettings_North_West</v>
      </c>
    </row>
    <row r="13" spans="1:14">
      <c r="A13" s="25" t="s">
        <v>187</v>
      </c>
      <c r="B13" s="26" t="s">
        <v>231</v>
      </c>
      <c r="C13" s="27" t="s">
        <v>208</v>
      </c>
      <c r="D13" s="27" t="s">
        <v>186</v>
      </c>
      <c r="E13" s="27" t="s">
        <v>186</v>
      </c>
      <c r="F13" s="27" t="s">
        <v>120</v>
      </c>
      <c r="G13" s="28" t="s">
        <v>212</v>
      </c>
      <c r="I13" s="1" t="str">
        <f>Table1[[#This Row],[Building ID]]</f>
        <v>a1826000001SZpeAAG</v>
      </c>
      <c r="J13" t="str">
        <f>VLOOKUP(C13,'Distinct Queues'!$A$3:$B$39,2,FALSE)</f>
        <v>Finance_Team</v>
      </c>
      <c r="K13" t="str">
        <f>VLOOKUP(D13,'Distinct Queues'!$A$3:$B$39,2,FALSE)</f>
        <v>Apex_Gardens_Team</v>
      </c>
      <c r="L13" t="str">
        <f>VLOOKUP(E13,'Distinct Queues'!$A$3:$B$39,2,FALSE)</f>
        <v>Apex_Gardens_Team</v>
      </c>
      <c r="M13" t="str">
        <f>VLOOKUP(F13,'Distinct Queues'!$A$3:$B$39,2,FALSE)</f>
        <v>AM_BTR_London</v>
      </c>
      <c r="N13" t="str">
        <f>VLOOKUP(G13,'Distinct Queues'!$A$3:$B$39,2,FALSE)</f>
        <v>Lettings_South</v>
      </c>
    </row>
    <row r="14" spans="1:14">
      <c r="A14" s="29" t="s">
        <v>189</v>
      </c>
      <c r="B14" s="26" t="s">
        <v>232</v>
      </c>
      <c r="C14" s="26" t="s">
        <v>208</v>
      </c>
      <c r="D14" s="26" t="s">
        <v>186</v>
      </c>
      <c r="E14" s="26" t="s">
        <v>186</v>
      </c>
      <c r="F14" s="26" t="s">
        <v>120</v>
      </c>
      <c r="G14" s="30" t="s">
        <v>212</v>
      </c>
      <c r="I14" s="1" t="str">
        <f>Table1[[#This Row],[Building ID]]</f>
        <v>a1826000001SRknAAG</v>
      </c>
      <c r="J14" t="str">
        <f>VLOOKUP(C14,'Distinct Queues'!$A$3:$B$39,2,FALSE)</f>
        <v>Finance_Team</v>
      </c>
      <c r="K14" t="str">
        <f>VLOOKUP(D14,'Distinct Queues'!$A$3:$B$39,2,FALSE)</f>
        <v>Apex_Gardens_Team</v>
      </c>
      <c r="L14" t="str">
        <f>VLOOKUP(E14,'Distinct Queues'!$A$3:$B$39,2,FALSE)</f>
        <v>Apex_Gardens_Team</v>
      </c>
      <c r="M14" t="str">
        <f>VLOOKUP(F14,'Distinct Queues'!$A$3:$B$39,2,FALSE)</f>
        <v>AM_BTR_London</v>
      </c>
      <c r="N14" t="str">
        <f>VLOOKUP(G14,'Distinct Queues'!$A$3:$B$39,2,FALSE)</f>
        <v>Lettings_South</v>
      </c>
    </row>
    <row r="15" spans="1:14">
      <c r="A15" s="25" t="s">
        <v>140</v>
      </c>
      <c r="B15" s="26" t="s">
        <v>233</v>
      </c>
      <c r="C15" s="27" t="s">
        <v>208</v>
      </c>
      <c r="D15" s="27" t="s">
        <v>142</v>
      </c>
      <c r="E15" s="27" t="s">
        <v>142</v>
      </c>
      <c r="F15" s="27" t="s">
        <v>120</v>
      </c>
      <c r="G15" s="28" t="s">
        <v>212</v>
      </c>
      <c r="I15" s="1" t="str">
        <f>Table1[[#This Row],[Building ID]]</f>
        <v>a1826000001SG8RAAW</v>
      </c>
      <c r="J15" t="str">
        <f>VLOOKUP(C15,'Distinct Queues'!$A$3:$B$39,2,FALSE)</f>
        <v>Finance_Team</v>
      </c>
      <c r="K15" t="str">
        <f>VLOOKUP(D15,'Distinct Queues'!$A$3:$B$39,2,FALSE)</f>
        <v>Argo_Apartments_Team</v>
      </c>
      <c r="L15" t="str">
        <f>VLOOKUP(E15,'Distinct Queues'!$A$3:$B$39,2,FALSE)</f>
        <v>Argo_Apartments_Team</v>
      </c>
      <c r="M15" t="str">
        <f>VLOOKUP(F15,'Distinct Queues'!$A$3:$B$39,2,FALSE)</f>
        <v>AM_BTR_London</v>
      </c>
      <c r="N15" t="str">
        <f>VLOOKUP(G15,'Distinct Queues'!$A$3:$B$39,2,FALSE)</f>
        <v>Lettings_South</v>
      </c>
    </row>
    <row r="16" spans="1:14">
      <c r="A16" s="29" t="s">
        <v>234</v>
      </c>
      <c r="B16" s="26" t="s">
        <v>235</v>
      </c>
      <c r="C16" s="26" t="s">
        <v>208</v>
      </c>
      <c r="D16" s="26" t="s">
        <v>209</v>
      </c>
      <c r="E16" s="26" t="s">
        <v>210</v>
      </c>
      <c r="F16" s="26" t="s">
        <v>211</v>
      </c>
      <c r="G16" s="30" t="s">
        <v>212</v>
      </c>
      <c r="I16" s="1" t="str">
        <f>Table1[[#This Row],[Building ID]]</f>
        <v>a1826000001piWqAAI</v>
      </c>
      <c r="J16" t="str">
        <f>VLOOKUP(C16,'Distinct Queues'!$A$3:$B$39,2,FALSE)</f>
        <v>Finance_Team</v>
      </c>
      <c r="K16" t="str">
        <f>VLOOKUP(D16,'Distinct Queues'!$A$3:$B$39,2,FALSE)</f>
        <v>Customer_Service_Team</v>
      </c>
      <c r="L16" t="str">
        <f>VLOOKUP(E16,'Distinct Queues'!$A$3:$B$39,2,FALSE)</f>
        <v>PRS_London</v>
      </c>
      <c r="M16" t="str">
        <f>VLOOKUP(F16,'Distinct Queues'!$A$3:$B$39,2,FALSE)</f>
        <v>AM_PRS_London</v>
      </c>
      <c r="N16" t="str">
        <f>VLOOKUP(G16,'Distinct Queues'!$A$3:$B$39,2,FALSE)</f>
        <v>Lettings_South</v>
      </c>
    </row>
    <row r="17" spans="1:14">
      <c r="A17" s="25" t="s">
        <v>236</v>
      </c>
      <c r="B17" s="26" t="s">
        <v>237</v>
      </c>
      <c r="C17" s="27" t="s">
        <v>208</v>
      </c>
      <c r="D17" s="27" t="s">
        <v>209</v>
      </c>
      <c r="E17" s="27" t="s">
        <v>210</v>
      </c>
      <c r="F17" s="27" t="s">
        <v>211</v>
      </c>
      <c r="G17" s="28" t="s">
        <v>212</v>
      </c>
      <c r="I17" s="1" t="str">
        <f>Table1[[#This Row],[Building ID]]</f>
        <v>a1826000001piZtAAI</v>
      </c>
      <c r="J17" t="str">
        <f>VLOOKUP(C17,'Distinct Queues'!$A$3:$B$39,2,FALSE)</f>
        <v>Finance_Team</v>
      </c>
      <c r="K17" t="str">
        <f>VLOOKUP(D17,'Distinct Queues'!$A$3:$B$39,2,FALSE)</f>
        <v>Customer_Service_Team</v>
      </c>
      <c r="L17" t="str">
        <f>VLOOKUP(E17,'Distinct Queues'!$A$3:$B$39,2,FALSE)</f>
        <v>PRS_London</v>
      </c>
      <c r="M17" t="str">
        <f>VLOOKUP(F17,'Distinct Queues'!$A$3:$B$39,2,FALSE)</f>
        <v>AM_PRS_London</v>
      </c>
      <c r="N17" t="str">
        <f>VLOOKUP(G17,'Distinct Queues'!$A$3:$B$39,2,FALSE)</f>
        <v>Lettings_South</v>
      </c>
    </row>
    <row r="18" spans="1:14">
      <c r="A18" s="29" t="s">
        <v>238</v>
      </c>
      <c r="B18" s="26" t="s">
        <v>239</v>
      </c>
      <c r="C18" s="26" t="s">
        <v>208</v>
      </c>
      <c r="D18" s="26" t="s">
        <v>209</v>
      </c>
      <c r="E18" s="26" t="s">
        <v>210</v>
      </c>
      <c r="F18" s="26" t="s">
        <v>211</v>
      </c>
      <c r="G18" s="30" t="s">
        <v>212</v>
      </c>
      <c r="I18" s="1" t="str">
        <f>Table1[[#This Row],[Building ID]]</f>
        <v>a1826000001piWRAAY</v>
      </c>
      <c r="J18" t="str">
        <f>VLOOKUP(C18,'Distinct Queues'!$A$3:$B$39,2,FALSE)</f>
        <v>Finance_Team</v>
      </c>
      <c r="K18" t="str">
        <f>VLOOKUP(D18,'Distinct Queues'!$A$3:$B$39,2,FALSE)</f>
        <v>Customer_Service_Team</v>
      </c>
      <c r="L18" t="str">
        <f>VLOOKUP(E18,'Distinct Queues'!$A$3:$B$39,2,FALSE)</f>
        <v>PRS_London</v>
      </c>
      <c r="M18" t="str">
        <f>VLOOKUP(F18,'Distinct Queues'!$A$3:$B$39,2,FALSE)</f>
        <v>AM_PRS_London</v>
      </c>
      <c r="N18" t="str">
        <f>VLOOKUP(G18,'Distinct Queues'!$A$3:$B$39,2,FALSE)</f>
        <v>Lettings_South</v>
      </c>
    </row>
    <row r="19" spans="1:14">
      <c r="A19" s="25" t="s">
        <v>240</v>
      </c>
      <c r="B19" s="26" t="s">
        <v>241</v>
      </c>
      <c r="C19" s="27" t="s">
        <v>208</v>
      </c>
      <c r="D19" s="27" t="s">
        <v>209</v>
      </c>
      <c r="E19" s="27" t="s">
        <v>210</v>
      </c>
      <c r="F19" s="27" t="s">
        <v>211</v>
      </c>
      <c r="G19" s="28" t="s">
        <v>212</v>
      </c>
      <c r="I19" s="1" t="str">
        <f>Table1[[#This Row],[Building ID]]</f>
        <v>a1826000001piZoAAI</v>
      </c>
      <c r="J19" t="str">
        <f>VLOOKUP(C19,'Distinct Queues'!$A$3:$B$39,2,FALSE)</f>
        <v>Finance_Team</v>
      </c>
      <c r="K19" t="str">
        <f>VLOOKUP(D19,'Distinct Queues'!$A$3:$B$39,2,FALSE)</f>
        <v>Customer_Service_Team</v>
      </c>
      <c r="L19" t="str">
        <f>VLOOKUP(E19,'Distinct Queues'!$A$3:$B$39,2,FALSE)</f>
        <v>PRS_London</v>
      </c>
      <c r="M19" t="str">
        <f>VLOOKUP(F19,'Distinct Queues'!$A$3:$B$39,2,FALSE)</f>
        <v>AM_PRS_London</v>
      </c>
      <c r="N19" t="str">
        <f>VLOOKUP(G19,'Distinct Queues'!$A$3:$B$39,2,FALSE)</f>
        <v>Lettings_South</v>
      </c>
    </row>
    <row r="20" spans="1:14">
      <c r="A20" s="29" t="s">
        <v>242</v>
      </c>
      <c r="B20" s="26" t="s">
        <v>243</v>
      </c>
      <c r="C20" s="26" t="s">
        <v>208</v>
      </c>
      <c r="D20" s="26" t="s">
        <v>209</v>
      </c>
      <c r="E20" s="26" t="s">
        <v>210</v>
      </c>
      <c r="F20" s="26" t="s">
        <v>211</v>
      </c>
      <c r="G20" s="30" t="s">
        <v>212</v>
      </c>
      <c r="I20" s="1" t="str">
        <f>Table1[[#This Row],[Building ID]]</f>
        <v>a1826000001pj2CAAQ</v>
      </c>
      <c r="J20" t="str">
        <f>VLOOKUP(C20,'Distinct Queues'!$A$3:$B$39,2,FALSE)</f>
        <v>Finance_Team</v>
      </c>
      <c r="K20" t="str">
        <f>VLOOKUP(D20,'Distinct Queues'!$A$3:$B$39,2,FALSE)</f>
        <v>Customer_Service_Team</v>
      </c>
      <c r="L20" t="str">
        <f>VLOOKUP(E20,'Distinct Queues'!$A$3:$B$39,2,FALSE)</f>
        <v>PRS_London</v>
      </c>
      <c r="M20" t="str">
        <f>VLOOKUP(F20,'Distinct Queues'!$A$3:$B$39,2,FALSE)</f>
        <v>AM_PRS_London</v>
      </c>
      <c r="N20" t="str">
        <f>VLOOKUP(G20,'Distinct Queues'!$A$3:$B$39,2,FALSE)</f>
        <v>Lettings_South</v>
      </c>
    </row>
    <row r="21" spans="1:14">
      <c r="A21" s="25" t="s">
        <v>242</v>
      </c>
      <c r="B21" s="26" t="s">
        <v>243</v>
      </c>
      <c r="C21" s="27" t="s">
        <v>208</v>
      </c>
      <c r="D21" s="27" t="s">
        <v>209</v>
      </c>
      <c r="E21" s="27" t="s">
        <v>210</v>
      </c>
      <c r="F21" s="27" t="s">
        <v>211</v>
      </c>
      <c r="G21" s="28" t="s">
        <v>212</v>
      </c>
      <c r="I21" s="1" t="str">
        <f>Table1[[#This Row],[Building ID]]</f>
        <v>a1826000001pj2CAAQ</v>
      </c>
      <c r="J21" t="str">
        <f>VLOOKUP(C21,'Distinct Queues'!$A$3:$B$39,2,FALSE)</f>
        <v>Finance_Team</v>
      </c>
      <c r="K21" t="str">
        <f>VLOOKUP(D21,'Distinct Queues'!$A$3:$B$39,2,FALSE)</f>
        <v>Customer_Service_Team</v>
      </c>
      <c r="L21" t="str">
        <f>VLOOKUP(E21,'Distinct Queues'!$A$3:$B$39,2,FALSE)</f>
        <v>PRS_London</v>
      </c>
      <c r="M21" t="str">
        <f>VLOOKUP(F21,'Distinct Queues'!$A$3:$B$39,2,FALSE)</f>
        <v>AM_PRS_London</v>
      </c>
      <c r="N21" t="str">
        <f>VLOOKUP(G21,'Distinct Queues'!$A$3:$B$39,2,FALSE)</f>
        <v>Lettings_South</v>
      </c>
    </row>
    <row r="22" spans="1:14">
      <c r="A22" s="25" t="s">
        <v>244</v>
      </c>
      <c r="B22" s="26" t="s">
        <v>245</v>
      </c>
      <c r="C22" s="27" t="s">
        <v>208</v>
      </c>
      <c r="D22" s="27" t="s">
        <v>209</v>
      </c>
      <c r="E22" s="27" t="s">
        <v>210</v>
      </c>
      <c r="F22" s="27" t="s">
        <v>211</v>
      </c>
      <c r="G22" s="28" t="s">
        <v>212</v>
      </c>
      <c r="I22" s="1" t="str">
        <f>Table1[[#This Row],[Building ID]]</f>
        <v>a1826000001piWlAAI</v>
      </c>
      <c r="J22" t="str">
        <f>VLOOKUP(C22,'Distinct Queues'!$A$3:$B$39,2,FALSE)</f>
        <v>Finance_Team</v>
      </c>
      <c r="K22" t="str">
        <f>VLOOKUP(D22,'Distinct Queues'!$A$3:$B$39,2,FALSE)</f>
        <v>Customer_Service_Team</v>
      </c>
      <c r="L22" t="str">
        <f>VLOOKUP(E22,'Distinct Queues'!$A$3:$B$39,2,FALSE)</f>
        <v>PRS_London</v>
      </c>
      <c r="M22" t="str">
        <f>VLOOKUP(F22,'Distinct Queues'!$A$3:$B$39,2,FALSE)</f>
        <v>AM_PRS_London</v>
      </c>
      <c r="N22" t="str">
        <f>VLOOKUP(G22,'Distinct Queues'!$A$3:$B$39,2,FALSE)</f>
        <v>Lettings_South</v>
      </c>
    </row>
    <row r="23" spans="1:14">
      <c r="A23" s="29" t="s">
        <v>246</v>
      </c>
      <c r="B23" s="26" t="s">
        <v>247</v>
      </c>
      <c r="C23" s="26" t="s">
        <v>208</v>
      </c>
      <c r="D23" s="26" t="s">
        <v>209</v>
      </c>
      <c r="E23" s="26" t="s">
        <v>210</v>
      </c>
      <c r="F23" s="26" t="s">
        <v>211</v>
      </c>
      <c r="G23" s="30" t="s">
        <v>212</v>
      </c>
      <c r="I23" s="1" t="str">
        <f>Table1[[#This Row],[Building ID]]</f>
        <v>a1826000001piZGAAY</v>
      </c>
      <c r="J23" t="str">
        <f>VLOOKUP(C23,'Distinct Queues'!$A$3:$B$39,2,FALSE)</f>
        <v>Finance_Team</v>
      </c>
      <c r="K23" t="str">
        <f>VLOOKUP(D23,'Distinct Queues'!$A$3:$B$39,2,FALSE)</f>
        <v>Customer_Service_Team</v>
      </c>
      <c r="L23" t="str">
        <f>VLOOKUP(E23,'Distinct Queues'!$A$3:$B$39,2,FALSE)</f>
        <v>PRS_London</v>
      </c>
      <c r="M23" t="str">
        <f>VLOOKUP(F23,'Distinct Queues'!$A$3:$B$39,2,FALSE)</f>
        <v>AM_PRS_London</v>
      </c>
      <c r="N23" t="str">
        <f>VLOOKUP(G23,'Distinct Queues'!$A$3:$B$39,2,FALSE)</f>
        <v>Lettings_South</v>
      </c>
    </row>
    <row r="24" spans="1:14">
      <c r="A24" s="25" t="s">
        <v>248</v>
      </c>
      <c r="B24" s="26" t="s">
        <v>249</v>
      </c>
      <c r="C24" s="27" t="s">
        <v>208</v>
      </c>
      <c r="D24" s="27" t="s">
        <v>209</v>
      </c>
      <c r="E24" s="27" t="s">
        <v>225</v>
      </c>
      <c r="F24" s="27" t="s">
        <v>226</v>
      </c>
      <c r="G24" s="28" t="s">
        <v>44</v>
      </c>
      <c r="I24" s="1" t="str">
        <f>Table1[[#This Row],[Building ID]]</f>
        <v>a1826000001piF5AAI</v>
      </c>
      <c r="J24" t="str">
        <f>VLOOKUP(C24,'Distinct Queues'!$A$3:$B$39,2,FALSE)</f>
        <v>Finance_Team</v>
      </c>
      <c r="K24" t="str">
        <f>VLOOKUP(D24,'Distinct Queues'!$A$3:$B$39,2,FALSE)</f>
        <v>Customer_Service_Team</v>
      </c>
      <c r="L24" t="str">
        <f>VLOOKUP(E24,'Distinct Queues'!$A$3:$B$39,2,FALSE)</f>
        <v>PRS_Regions</v>
      </c>
      <c r="M24" t="str">
        <f>VLOOKUP(F24,'Distinct Queues'!$A$3:$B$39,2,FALSE)</f>
        <v>AM_PRS_Regions</v>
      </c>
      <c r="N24" t="str">
        <f>VLOOKUP(G24,'Distinct Queues'!$A$3:$B$39,2,FALSE)</f>
        <v>Lettings_North_West</v>
      </c>
    </row>
    <row r="25" spans="1:14">
      <c r="A25" s="29" t="s">
        <v>250</v>
      </c>
      <c r="B25" s="26" t="s">
        <v>251</v>
      </c>
      <c r="C25" s="26" t="s">
        <v>208</v>
      </c>
      <c r="D25" s="26" t="s">
        <v>209</v>
      </c>
      <c r="E25" s="26" t="s">
        <v>225</v>
      </c>
      <c r="F25" s="26" t="s">
        <v>226</v>
      </c>
      <c r="G25" s="30" t="s">
        <v>44</v>
      </c>
      <c r="I25" s="1" t="str">
        <f>Table1[[#This Row],[Building ID]]</f>
        <v>a1826000001piEbAAI</v>
      </c>
      <c r="J25" t="str">
        <f>VLOOKUP(C25,'Distinct Queues'!$A$3:$B$39,2,FALSE)</f>
        <v>Finance_Team</v>
      </c>
      <c r="K25" t="str">
        <f>VLOOKUP(D25,'Distinct Queues'!$A$3:$B$39,2,FALSE)</f>
        <v>Customer_Service_Team</v>
      </c>
      <c r="L25" t="str">
        <f>VLOOKUP(E25,'Distinct Queues'!$A$3:$B$39,2,FALSE)</f>
        <v>PRS_Regions</v>
      </c>
      <c r="M25" t="str">
        <f>VLOOKUP(F25,'Distinct Queues'!$A$3:$B$39,2,FALSE)</f>
        <v>AM_PRS_Regions</v>
      </c>
      <c r="N25" t="str">
        <f>VLOOKUP(G25,'Distinct Queues'!$A$3:$B$39,2,FALSE)</f>
        <v>Lettings_North_West</v>
      </c>
    </row>
    <row r="26" spans="1:14">
      <c r="A26" s="25" t="s">
        <v>252</v>
      </c>
      <c r="B26" s="26" t="s">
        <v>253</v>
      </c>
      <c r="C26" s="27" t="s">
        <v>208</v>
      </c>
      <c r="D26" s="27" t="s">
        <v>209</v>
      </c>
      <c r="E26" s="27" t="s">
        <v>210</v>
      </c>
      <c r="F26" s="27" t="s">
        <v>211</v>
      </c>
      <c r="G26" s="28" t="s">
        <v>212</v>
      </c>
      <c r="I26" s="1" t="str">
        <f>Table1[[#This Row],[Building ID]]</f>
        <v>a1826000001piZAAAY</v>
      </c>
      <c r="J26" t="str">
        <f>VLOOKUP(C26,'Distinct Queues'!$A$3:$B$39,2,FALSE)</f>
        <v>Finance_Team</v>
      </c>
      <c r="K26" t="str">
        <f>VLOOKUP(D26,'Distinct Queues'!$A$3:$B$39,2,FALSE)</f>
        <v>Customer_Service_Team</v>
      </c>
      <c r="L26" t="str">
        <f>VLOOKUP(E26,'Distinct Queues'!$A$3:$B$39,2,FALSE)</f>
        <v>PRS_London</v>
      </c>
      <c r="M26" t="str">
        <f>VLOOKUP(F26,'Distinct Queues'!$A$3:$B$39,2,FALSE)</f>
        <v>AM_PRS_London</v>
      </c>
      <c r="N26" t="str">
        <f>VLOOKUP(G26,'Distinct Queues'!$A$3:$B$39,2,FALSE)</f>
        <v>Lettings_South</v>
      </c>
    </row>
    <row r="27" spans="1:14">
      <c r="A27" s="29" t="s">
        <v>39</v>
      </c>
      <c r="B27" s="26" t="s">
        <v>254</v>
      </c>
      <c r="C27" s="26" t="s">
        <v>208</v>
      </c>
      <c r="D27" s="26" t="s">
        <v>38</v>
      </c>
      <c r="E27" s="26" t="s">
        <v>38</v>
      </c>
      <c r="F27" s="26" t="s">
        <v>11</v>
      </c>
      <c r="G27" s="30" t="s">
        <v>13</v>
      </c>
      <c r="I27" s="1" t="str">
        <f>Table1[[#This Row],[Building ID]]</f>
        <v>a1826000001pix8AAA</v>
      </c>
      <c r="J27" t="str">
        <f>VLOOKUP(C27,'Distinct Queues'!$A$3:$B$39,2,FALSE)</f>
        <v>Finance_Team</v>
      </c>
      <c r="K27" t="str">
        <f>VLOOKUP(D27,'Distinct Queues'!$A$3:$B$39,2,FALSE)</f>
        <v>Brook_Place_Team</v>
      </c>
      <c r="L27" t="str">
        <f>VLOOKUP(E27,'Distinct Queues'!$A$3:$B$39,2,FALSE)</f>
        <v>Brook_Place_Team</v>
      </c>
      <c r="M27" t="str">
        <f>VLOOKUP(F27,'Distinct Queues'!$A$3:$B$39,2,FALSE)</f>
        <v>AM_BTR_Regions</v>
      </c>
      <c r="N27" t="str">
        <f>VLOOKUP(G27,'Distinct Queues'!$A$3:$B$39,2,FALSE)</f>
        <v>Lettings_North_East</v>
      </c>
    </row>
    <row r="28" spans="1:14">
      <c r="A28" s="25" t="s">
        <v>36</v>
      </c>
      <c r="B28" s="26" t="s">
        <v>255</v>
      </c>
      <c r="C28" s="27" t="s">
        <v>208</v>
      </c>
      <c r="D28" s="27" t="s">
        <v>38</v>
      </c>
      <c r="E28" s="27" t="s">
        <v>38</v>
      </c>
      <c r="F28" s="27" t="s">
        <v>11</v>
      </c>
      <c r="G28" s="28" t="s">
        <v>13</v>
      </c>
      <c r="I28" s="1" t="str">
        <f>Table1[[#This Row],[Building ID]]</f>
        <v>a1826000001pj0kAAA</v>
      </c>
      <c r="J28" t="str">
        <f>VLOOKUP(C28,'Distinct Queues'!$A$3:$B$39,2,FALSE)</f>
        <v>Finance_Team</v>
      </c>
      <c r="K28" t="str">
        <f>VLOOKUP(D28,'Distinct Queues'!$A$3:$B$39,2,FALSE)</f>
        <v>Brook_Place_Team</v>
      </c>
      <c r="L28" t="str">
        <f>VLOOKUP(E28,'Distinct Queues'!$A$3:$B$39,2,FALSE)</f>
        <v>Brook_Place_Team</v>
      </c>
      <c r="M28" t="str">
        <f>VLOOKUP(F28,'Distinct Queues'!$A$3:$B$39,2,FALSE)</f>
        <v>AM_BTR_Regions</v>
      </c>
      <c r="N28" t="str">
        <f>VLOOKUP(G28,'Distinct Queues'!$A$3:$B$39,2,FALSE)</f>
        <v>Lettings_North_East</v>
      </c>
    </row>
    <row r="29" spans="1:14">
      <c r="A29" s="29" t="s">
        <v>256</v>
      </c>
      <c r="B29" s="26" t="s">
        <v>257</v>
      </c>
      <c r="C29" s="26" t="s">
        <v>208</v>
      </c>
      <c r="D29" s="26" t="s">
        <v>209</v>
      </c>
      <c r="E29" s="26" t="s">
        <v>225</v>
      </c>
      <c r="F29" s="26" t="s">
        <v>226</v>
      </c>
      <c r="G29" s="30" t="s">
        <v>44</v>
      </c>
      <c r="I29" s="1" t="str">
        <f>Table1[[#This Row],[Building ID]]</f>
        <v>a1826000001pi5CAAQ</v>
      </c>
      <c r="J29" t="str">
        <f>VLOOKUP(C29,'Distinct Queues'!$A$3:$B$39,2,FALSE)</f>
        <v>Finance_Team</v>
      </c>
      <c r="K29" t="str">
        <f>VLOOKUP(D29,'Distinct Queues'!$A$3:$B$39,2,FALSE)</f>
        <v>Customer_Service_Team</v>
      </c>
      <c r="L29" t="str">
        <f>VLOOKUP(E29,'Distinct Queues'!$A$3:$B$39,2,FALSE)</f>
        <v>PRS_Regions</v>
      </c>
      <c r="M29" t="str">
        <f>VLOOKUP(F29,'Distinct Queues'!$A$3:$B$39,2,FALSE)</f>
        <v>AM_PRS_Regions</v>
      </c>
      <c r="N29" t="str">
        <f>VLOOKUP(G29,'Distinct Queues'!$A$3:$B$39,2,FALSE)</f>
        <v>Lettings_North_West</v>
      </c>
    </row>
    <row r="30" spans="1:14">
      <c r="A30" s="25" t="s">
        <v>258</v>
      </c>
      <c r="B30" s="26" t="s">
        <v>259</v>
      </c>
      <c r="C30" s="27" t="s">
        <v>208</v>
      </c>
      <c r="D30" s="27" t="s">
        <v>209</v>
      </c>
      <c r="E30" s="27" t="s">
        <v>210</v>
      </c>
      <c r="F30" s="27" t="s">
        <v>211</v>
      </c>
      <c r="G30" s="28" t="s">
        <v>212</v>
      </c>
      <c r="I30" s="1" t="str">
        <f>Table1[[#This Row],[Building ID]]</f>
        <v>a1826000001pj2RAAQ</v>
      </c>
      <c r="J30" t="str">
        <f>VLOOKUP(C30,'Distinct Queues'!$A$3:$B$39,2,FALSE)</f>
        <v>Finance_Team</v>
      </c>
      <c r="K30" t="str">
        <f>VLOOKUP(D30,'Distinct Queues'!$A$3:$B$39,2,FALSE)</f>
        <v>Customer_Service_Team</v>
      </c>
      <c r="L30" t="str">
        <f>VLOOKUP(E30,'Distinct Queues'!$A$3:$B$39,2,FALSE)</f>
        <v>PRS_London</v>
      </c>
      <c r="M30" t="str">
        <f>VLOOKUP(F30,'Distinct Queues'!$A$3:$B$39,2,FALSE)</f>
        <v>AM_PRS_London</v>
      </c>
      <c r="N30" t="str">
        <f>VLOOKUP(G30,'Distinct Queues'!$A$3:$B$39,2,FALSE)</f>
        <v>Lettings_South</v>
      </c>
    </row>
    <row r="31" spans="1:14">
      <c r="A31" s="29" t="s">
        <v>260</v>
      </c>
      <c r="B31" s="26" t="s">
        <v>261</v>
      </c>
      <c r="C31" s="26" t="s">
        <v>208</v>
      </c>
      <c r="D31" s="26" t="s">
        <v>209</v>
      </c>
      <c r="E31" s="26" t="s">
        <v>225</v>
      </c>
      <c r="F31" s="26" t="s">
        <v>226</v>
      </c>
      <c r="G31" s="30" t="s">
        <v>44</v>
      </c>
      <c r="I31" s="1" t="str">
        <f>Table1[[#This Row],[Building ID]]</f>
        <v>a1826000001piFZAAY</v>
      </c>
      <c r="J31" t="str">
        <f>VLOOKUP(C31,'Distinct Queues'!$A$3:$B$39,2,FALSE)</f>
        <v>Finance_Team</v>
      </c>
      <c r="K31" t="str">
        <f>VLOOKUP(D31,'Distinct Queues'!$A$3:$B$39,2,FALSE)</f>
        <v>Customer_Service_Team</v>
      </c>
      <c r="L31" t="str">
        <f>VLOOKUP(E31,'Distinct Queues'!$A$3:$B$39,2,FALSE)</f>
        <v>PRS_Regions</v>
      </c>
      <c r="M31" t="str">
        <f>VLOOKUP(F31,'Distinct Queues'!$A$3:$B$39,2,FALSE)</f>
        <v>AM_PRS_Regions</v>
      </c>
      <c r="N31" t="str">
        <f>VLOOKUP(G31,'Distinct Queues'!$A$3:$B$39,2,FALSE)</f>
        <v>Lettings_North_West</v>
      </c>
    </row>
    <row r="32" spans="1:14">
      <c r="A32" s="25" t="s">
        <v>262</v>
      </c>
      <c r="B32" s="26" t="s">
        <v>263</v>
      </c>
      <c r="C32" s="27" t="s">
        <v>208</v>
      </c>
      <c r="D32" s="27" t="s">
        <v>209</v>
      </c>
      <c r="E32" s="27" t="s">
        <v>225</v>
      </c>
      <c r="F32" s="27" t="s">
        <v>226</v>
      </c>
      <c r="G32" s="28" t="s">
        <v>44</v>
      </c>
      <c r="I32" s="1" t="str">
        <f>Table1[[#This Row],[Building ID]]</f>
        <v>a1826000001piFtAAI</v>
      </c>
      <c r="J32" t="str">
        <f>VLOOKUP(C32,'Distinct Queues'!$A$3:$B$39,2,FALSE)</f>
        <v>Finance_Team</v>
      </c>
      <c r="K32" t="str">
        <f>VLOOKUP(D32,'Distinct Queues'!$A$3:$B$39,2,FALSE)</f>
        <v>Customer_Service_Team</v>
      </c>
      <c r="L32" t="str">
        <f>VLOOKUP(E32,'Distinct Queues'!$A$3:$B$39,2,FALSE)</f>
        <v>PRS_Regions</v>
      </c>
      <c r="M32" t="str">
        <f>VLOOKUP(F32,'Distinct Queues'!$A$3:$B$39,2,FALSE)</f>
        <v>AM_PRS_Regions</v>
      </c>
      <c r="N32" t="str">
        <f>VLOOKUP(G32,'Distinct Queues'!$A$3:$B$39,2,FALSE)</f>
        <v>Lettings_North_West</v>
      </c>
    </row>
    <row r="33" spans="1:14">
      <c r="A33" s="29" t="s">
        <v>264</v>
      </c>
      <c r="B33" s="26" t="s">
        <v>265</v>
      </c>
      <c r="C33" s="26" t="s">
        <v>208</v>
      </c>
      <c r="D33" s="26" t="s">
        <v>209</v>
      </c>
      <c r="E33" s="26" t="s">
        <v>225</v>
      </c>
      <c r="F33" s="26" t="s">
        <v>226</v>
      </c>
      <c r="G33" s="30" t="s">
        <v>44</v>
      </c>
      <c r="I33" s="1" t="str">
        <f>Table1[[#This Row],[Building ID]]</f>
        <v>a1826000001piFUAAY</v>
      </c>
      <c r="J33" t="str">
        <f>VLOOKUP(C33,'Distinct Queues'!$A$3:$B$39,2,FALSE)</f>
        <v>Finance_Team</v>
      </c>
      <c r="K33" t="str">
        <f>VLOOKUP(D33,'Distinct Queues'!$A$3:$B$39,2,FALSE)</f>
        <v>Customer_Service_Team</v>
      </c>
      <c r="L33" t="str">
        <f>VLOOKUP(E33,'Distinct Queues'!$A$3:$B$39,2,FALSE)</f>
        <v>PRS_Regions</v>
      </c>
      <c r="M33" t="str">
        <f>VLOOKUP(F33,'Distinct Queues'!$A$3:$B$39,2,FALSE)</f>
        <v>AM_PRS_Regions</v>
      </c>
      <c r="N33" t="str">
        <f>VLOOKUP(G33,'Distinct Queues'!$A$3:$B$39,2,FALSE)</f>
        <v>Lettings_North_West</v>
      </c>
    </row>
    <row r="34" spans="1:14">
      <c r="A34" s="25" t="s">
        <v>266</v>
      </c>
      <c r="B34" s="26" t="s">
        <v>267</v>
      </c>
      <c r="C34" s="27" t="s">
        <v>208</v>
      </c>
      <c r="D34" s="27" t="s">
        <v>209</v>
      </c>
      <c r="E34" s="27" t="s">
        <v>225</v>
      </c>
      <c r="F34" s="27" t="s">
        <v>226</v>
      </c>
      <c r="G34" s="28" t="s">
        <v>44</v>
      </c>
      <c r="I34" s="1" t="str">
        <f>Table1[[#This Row],[Building ID]]</f>
        <v>a1826000001piFeAAI</v>
      </c>
      <c r="J34" t="str">
        <f>VLOOKUP(C34,'Distinct Queues'!$A$3:$B$39,2,FALSE)</f>
        <v>Finance_Team</v>
      </c>
      <c r="K34" t="str">
        <f>VLOOKUP(D34,'Distinct Queues'!$A$3:$B$39,2,FALSE)</f>
        <v>Customer_Service_Team</v>
      </c>
      <c r="L34" t="str">
        <f>VLOOKUP(E34,'Distinct Queues'!$A$3:$B$39,2,FALSE)</f>
        <v>PRS_Regions</v>
      </c>
      <c r="M34" t="str">
        <f>VLOOKUP(F34,'Distinct Queues'!$A$3:$B$39,2,FALSE)</f>
        <v>AM_PRS_Regions</v>
      </c>
      <c r="N34" t="str">
        <f>VLOOKUP(G34,'Distinct Queues'!$A$3:$B$39,2,FALSE)</f>
        <v>Lettings_North_West</v>
      </c>
    </row>
    <row r="35" spans="1:14">
      <c r="A35" s="29" t="s">
        <v>268</v>
      </c>
      <c r="B35" s="26" t="s">
        <v>269</v>
      </c>
      <c r="C35" s="26" t="s">
        <v>208</v>
      </c>
      <c r="D35" s="26" t="s">
        <v>209</v>
      </c>
      <c r="E35" s="26" t="s">
        <v>225</v>
      </c>
      <c r="F35" s="26" t="s">
        <v>226</v>
      </c>
      <c r="G35" s="30" t="s">
        <v>44</v>
      </c>
      <c r="I35" s="1" t="str">
        <f>Table1[[#This Row],[Building ID]]</f>
        <v>a1826000001piFKAAY</v>
      </c>
      <c r="J35" t="str">
        <f>VLOOKUP(C35,'Distinct Queues'!$A$3:$B$39,2,FALSE)</f>
        <v>Finance_Team</v>
      </c>
      <c r="K35" t="str">
        <f>VLOOKUP(D35,'Distinct Queues'!$A$3:$B$39,2,FALSE)</f>
        <v>Customer_Service_Team</v>
      </c>
      <c r="L35" t="str">
        <f>VLOOKUP(E35,'Distinct Queues'!$A$3:$B$39,2,FALSE)</f>
        <v>PRS_Regions</v>
      </c>
      <c r="M35" t="str">
        <f>VLOOKUP(F35,'Distinct Queues'!$A$3:$B$39,2,FALSE)</f>
        <v>AM_PRS_Regions</v>
      </c>
      <c r="N35" t="str">
        <f>VLOOKUP(G35,'Distinct Queues'!$A$3:$B$39,2,FALSE)</f>
        <v>Lettings_North_West</v>
      </c>
    </row>
    <row r="36" spans="1:14">
      <c r="A36" s="25" t="s">
        <v>270</v>
      </c>
      <c r="B36" s="26" t="s">
        <v>271</v>
      </c>
      <c r="C36" s="27" t="s">
        <v>208</v>
      </c>
      <c r="D36" s="27" t="s">
        <v>209</v>
      </c>
      <c r="E36" s="27" t="s">
        <v>225</v>
      </c>
      <c r="F36" s="27" t="s">
        <v>226</v>
      </c>
      <c r="G36" s="28" t="s">
        <v>44</v>
      </c>
      <c r="I36" s="1" t="str">
        <f>Table1[[#This Row],[Building ID]]</f>
        <v>a1826000001piFjAAI</v>
      </c>
      <c r="J36" t="str">
        <f>VLOOKUP(C36,'Distinct Queues'!$A$3:$B$39,2,FALSE)</f>
        <v>Finance_Team</v>
      </c>
      <c r="K36" t="str">
        <f>VLOOKUP(D36,'Distinct Queues'!$A$3:$B$39,2,FALSE)</f>
        <v>Customer_Service_Team</v>
      </c>
      <c r="L36" t="str">
        <f>VLOOKUP(E36,'Distinct Queues'!$A$3:$B$39,2,FALSE)</f>
        <v>PRS_Regions</v>
      </c>
      <c r="M36" t="str">
        <f>VLOOKUP(F36,'Distinct Queues'!$A$3:$B$39,2,FALSE)</f>
        <v>AM_PRS_Regions</v>
      </c>
      <c r="N36" t="str">
        <f>VLOOKUP(G36,'Distinct Queues'!$A$3:$B$39,2,FALSE)</f>
        <v>Lettings_North_West</v>
      </c>
    </row>
    <row r="37" spans="1:14">
      <c r="A37" s="29" t="s">
        <v>272</v>
      </c>
      <c r="B37" s="26" t="s">
        <v>273</v>
      </c>
      <c r="C37" s="26" t="s">
        <v>208</v>
      </c>
      <c r="D37" s="26" t="s">
        <v>209</v>
      </c>
      <c r="E37" s="26" t="s">
        <v>225</v>
      </c>
      <c r="F37" s="26" t="s">
        <v>226</v>
      </c>
      <c r="G37" s="30" t="s">
        <v>44</v>
      </c>
      <c r="I37" s="1" t="str">
        <f>Table1[[#This Row],[Building ID]]</f>
        <v>a1826000001piFPAAY</v>
      </c>
      <c r="J37" t="str">
        <f>VLOOKUP(C37,'Distinct Queues'!$A$3:$B$39,2,FALSE)</f>
        <v>Finance_Team</v>
      </c>
      <c r="K37" t="str">
        <f>VLOOKUP(D37,'Distinct Queues'!$A$3:$B$39,2,FALSE)</f>
        <v>Customer_Service_Team</v>
      </c>
      <c r="L37" t="str">
        <f>VLOOKUP(E37,'Distinct Queues'!$A$3:$B$39,2,FALSE)</f>
        <v>PRS_Regions</v>
      </c>
      <c r="M37" t="str">
        <f>VLOOKUP(F37,'Distinct Queues'!$A$3:$B$39,2,FALSE)</f>
        <v>AM_PRS_Regions</v>
      </c>
      <c r="N37" t="str">
        <f>VLOOKUP(G37,'Distinct Queues'!$A$3:$B$39,2,FALSE)</f>
        <v>Lettings_North_West</v>
      </c>
    </row>
    <row r="38" spans="1:14">
      <c r="A38" s="25" t="s">
        <v>274</v>
      </c>
      <c r="B38" s="26" t="s">
        <v>275</v>
      </c>
      <c r="C38" s="27" t="s">
        <v>208</v>
      </c>
      <c r="D38" s="27" t="s">
        <v>209</v>
      </c>
      <c r="E38" s="27" t="s">
        <v>225</v>
      </c>
      <c r="F38" s="27" t="s">
        <v>226</v>
      </c>
      <c r="G38" s="28" t="s">
        <v>44</v>
      </c>
      <c r="I38" s="1" t="str">
        <f>Table1[[#This Row],[Building ID]]</f>
        <v>a1826000001piFoAAI</v>
      </c>
      <c r="J38" t="str">
        <f>VLOOKUP(C38,'Distinct Queues'!$A$3:$B$39,2,FALSE)</f>
        <v>Finance_Team</v>
      </c>
      <c r="K38" t="str">
        <f>VLOOKUP(D38,'Distinct Queues'!$A$3:$B$39,2,FALSE)</f>
        <v>Customer_Service_Team</v>
      </c>
      <c r="L38" t="str">
        <f>VLOOKUP(E38,'Distinct Queues'!$A$3:$B$39,2,FALSE)</f>
        <v>PRS_Regions</v>
      </c>
      <c r="M38" t="str">
        <f>VLOOKUP(F38,'Distinct Queues'!$A$3:$B$39,2,FALSE)</f>
        <v>AM_PRS_Regions</v>
      </c>
      <c r="N38" t="str">
        <f>VLOOKUP(G38,'Distinct Queues'!$A$3:$B$39,2,FALSE)</f>
        <v>Lettings_North_West</v>
      </c>
    </row>
    <row r="39" spans="1:14">
      <c r="A39" s="29" t="s">
        <v>276</v>
      </c>
      <c r="B39" s="26" t="s">
        <v>277</v>
      </c>
      <c r="C39" s="26" t="s">
        <v>208</v>
      </c>
      <c r="D39" s="26" t="s">
        <v>209</v>
      </c>
      <c r="E39" s="26" t="s">
        <v>210</v>
      </c>
      <c r="F39" s="26" t="s">
        <v>211</v>
      </c>
      <c r="G39" s="30" t="s">
        <v>212</v>
      </c>
      <c r="I39" s="1" t="str">
        <f>Table1[[#This Row],[Building ID]]</f>
        <v>a1826000001piVUAAY</v>
      </c>
      <c r="J39" t="str">
        <f>VLOOKUP(C39,'Distinct Queues'!$A$3:$B$39,2,FALSE)</f>
        <v>Finance_Team</v>
      </c>
      <c r="K39" t="str">
        <f>VLOOKUP(D39,'Distinct Queues'!$A$3:$B$39,2,FALSE)</f>
        <v>Customer_Service_Team</v>
      </c>
      <c r="L39" t="str">
        <f>VLOOKUP(E39,'Distinct Queues'!$A$3:$B$39,2,FALSE)</f>
        <v>PRS_London</v>
      </c>
      <c r="M39" t="str">
        <f>VLOOKUP(F39,'Distinct Queues'!$A$3:$B$39,2,FALSE)</f>
        <v>AM_PRS_London</v>
      </c>
      <c r="N39" t="str">
        <f>VLOOKUP(G39,'Distinct Queues'!$A$3:$B$39,2,FALSE)</f>
        <v>Lettings_South</v>
      </c>
    </row>
    <row r="40" spans="1:14">
      <c r="A40" s="25" t="s">
        <v>278</v>
      </c>
      <c r="B40" s="26" t="s">
        <v>279</v>
      </c>
      <c r="C40" s="27" t="s">
        <v>208</v>
      </c>
      <c r="D40" s="27" t="s">
        <v>209</v>
      </c>
      <c r="E40" s="27" t="s">
        <v>225</v>
      </c>
      <c r="F40" s="27" t="s">
        <v>226</v>
      </c>
      <c r="G40" s="28" t="s">
        <v>44</v>
      </c>
      <c r="I40" s="1" t="str">
        <f>Table1[[#This Row],[Building ID]]</f>
        <v>a1826000001piFFAAY</v>
      </c>
      <c r="J40" t="str">
        <f>VLOOKUP(C40,'Distinct Queues'!$A$3:$B$39,2,FALSE)</f>
        <v>Finance_Team</v>
      </c>
      <c r="K40" t="str">
        <f>VLOOKUP(D40,'Distinct Queues'!$A$3:$B$39,2,FALSE)</f>
        <v>Customer_Service_Team</v>
      </c>
      <c r="L40" t="str">
        <f>VLOOKUP(E40,'Distinct Queues'!$A$3:$B$39,2,FALSE)</f>
        <v>PRS_Regions</v>
      </c>
      <c r="M40" t="str">
        <f>VLOOKUP(F40,'Distinct Queues'!$A$3:$B$39,2,FALSE)</f>
        <v>AM_PRS_Regions</v>
      </c>
      <c r="N40" t="str">
        <f>VLOOKUP(G40,'Distinct Queues'!$A$3:$B$39,2,FALSE)</f>
        <v>Lettings_North_West</v>
      </c>
    </row>
    <row r="41" spans="1:14">
      <c r="A41" s="29" t="s">
        <v>280</v>
      </c>
      <c r="B41" s="26" t="s">
        <v>281</v>
      </c>
      <c r="C41" s="26" t="s">
        <v>208</v>
      </c>
      <c r="D41" s="26" t="s">
        <v>209</v>
      </c>
      <c r="E41" s="26" t="s">
        <v>225</v>
      </c>
      <c r="F41" s="26" t="s">
        <v>226</v>
      </c>
      <c r="G41" s="30" t="s">
        <v>44</v>
      </c>
      <c r="I41" s="1" t="str">
        <f>Table1[[#This Row],[Building ID]]</f>
        <v>a1826000001piGrAAI</v>
      </c>
      <c r="J41" t="str">
        <f>VLOOKUP(C41,'Distinct Queues'!$A$3:$B$39,2,FALSE)</f>
        <v>Finance_Team</v>
      </c>
      <c r="K41" t="str">
        <f>VLOOKUP(D41,'Distinct Queues'!$A$3:$B$39,2,FALSE)</f>
        <v>Customer_Service_Team</v>
      </c>
      <c r="L41" t="str">
        <f>VLOOKUP(E41,'Distinct Queues'!$A$3:$B$39,2,FALSE)</f>
        <v>PRS_Regions</v>
      </c>
      <c r="M41" t="str">
        <f>VLOOKUP(F41,'Distinct Queues'!$A$3:$B$39,2,FALSE)</f>
        <v>AM_PRS_Regions</v>
      </c>
      <c r="N41" t="str">
        <f>VLOOKUP(G41,'Distinct Queues'!$A$3:$B$39,2,FALSE)</f>
        <v>Lettings_North_West</v>
      </c>
    </row>
    <row r="42" spans="1:14">
      <c r="A42" s="25" t="s">
        <v>282</v>
      </c>
      <c r="B42" s="26" t="s">
        <v>283</v>
      </c>
      <c r="C42" s="27" t="s">
        <v>208</v>
      </c>
      <c r="D42" s="27" t="s">
        <v>209</v>
      </c>
      <c r="E42" s="27" t="s">
        <v>210</v>
      </c>
      <c r="F42" s="27" t="s">
        <v>211</v>
      </c>
      <c r="G42" s="28" t="s">
        <v>212</v>
      </c>
      <c r="I42" s="1" t="str">
        <f>Table1[[#This Row],[Building ID]]</f>
        <v>a1826000001pjA1AAI</v>
      </c>
      <c r="J42" t="str">
        <f>VLOOKUP(C42,'Distinct Queues'!$A$3:$B$39,2,FALSE)</f>
        <v>Finance_Team</v>
      </c>
      <c r="K42" t="str">
        <f>VLOOKUP(D42,'Distinct Queues'!$A$3:$B$39,2,FALSE)</f>
        <v>Customer_Service_Team</v>
      </c>
      <c r="L42" t="str">
        <f>VLOOKUP(E42,'Distinct Queues'!$A$3:$B$39,2,FALSE)</f>
        <v>PRS_London</v>
      </c>
      <c r="M42" t="str">
        <f>VLOOKUP(F42,'Distinct Queues'!$A$3:$B$39,2,FALSE)</f>
        <v>AM_PRS_London</v>
      </c>
      <c r="N42" t="str">
        <f>VLOOKUP(G42,'Distinct Queues'!$A$3:$B$39,2,FALSE)</f>
        <v>Lettings_South</v>
      </c>
    </row>
    <row r="43" spans="1:14">
      <c r="A43" s="29" t="s">
        <v>284</v>
      </c>
      <c r="B43" s="26" t="s">
        <v>285</v>
      </c>
      <c r="C43" s="26" t="s">
        <v>208</v>
      </c>
      <c r="D43" s="26" t="s">
        <v>209</v>
      </c>
      <c r="E43" s="26" t="s">
        <v>210</v>
      </c>
      <c r="F43" s="26" t="s">
        <v>211</v>
      </c>
      <c r="G43" s="30" t="s">
        <v>212</v>
      </c>
      <c r="I43" s="1" t="str">
        <f>Table1[[#This Row],[Building ID]]</f>
        <v>a1826000001piYMAAY</v>
      </c>
      <c r="J43" t="str">
        <f>VLOOKUP(C43,'Distinct Queues'!$A$3:$B$39,2,FALSE)</f>
        <v>Finance_Team</v>
      </c>
      <c r="K43" t="str">
        <f>VLOOKUP(D43,'Distinct Queues'!$A$3:$B$39,2,FALSE)</f>
        <v>Customer_Service_Team</v>
      </c>
      <c r="L43" t="str">
        <f>VLOOKUP(E43,'Distinct Queues'!$A$3:$B$39,2,FALSE)</f>
        <v>PRS_London</v>
      </c>
      <c r="M43" t="str">
        <f>VLOOKUP(F43,'Distinct Queues'!$A$3:$B$39,2,FALSE)</f>
        <v>AM_PRS_London</v>
      </c>
      <c r="N43" t="str">
        <f>VLOOKUP(G43,'Distinct Queues'!$A$3:$B$39,2,FALSE)</f>
        <v>Lettings_South</v>
      </c>
    </row>
    <row r="44" spans="1:14">
      <c r="A44" s="25" t="s">
        <v>286</v>
      </c>
      <c r="B44" s="26" t="s">
        <v>287</v>
      </c>
      <c r="C44" s="27" t="s">
        <v>208</v>
      </c>
      <c r="D44" s="27" t="s">
        <v>209</v>
      </c>
      <c r="E44" s="27" t="s">
        <v>210</v>
      </c>
      <c r="F44" s="27" t="s">
        <v>211</v>
      </c>
      <c r="G44" s="28" t="s">
        <v>212</v>
      </c>
      <c r="I44" s="1" t="str">
        <f>Table1[[#This Row],[Building ID]]</f>
        <v>a1826000001piYCAAY</v>
      </c>
      <c r="J44" t="str">
        <f>VLOOKUP(C44,'Distinct Queues'!$A$3:$B$39,2,FALSE)</f>
        <v>Finance_Team</v>
      </c>
      <c r="K44" t="str">
        <f>VLOOKUP(D44,'Distinct Queues'!$A$3:$B$39,2,FALSE)</f>
        <v>Customer_Service_Team</v>
      </c>
      <c r="L44" t="str">
        <f>VLOOKUP(E44,'Distinct Queues'!$A$3:$B$39,2,FALSE)</f>
        <v>PRS_London</v>
      </c>
      <c r="M44" t="str">
        <f>VLOOKUP(F44,'Distinct Queues'!$A$3:$B$39,2,FALSE)</f>
        <v>AM_PRS_London</v>
      </c>
      <c r="N44" t="str">
        <f>VLOOKUP(G44,'Distinct Queues'!$A$3:$B$39,2,FALSE)</f>
        <v>Lettings_South</v>
      </c>
    </row>
    <row r="45" spans="1:14">
      <c r="A45" s="29" t="s">
        <v>41</v>
      </c>
      <c r="B45" s="26" t="s">
        <v>288</v>
      </c>
      <c r="C45" s="26" t="s">
        <v>208</v>
      </c>
      <c r="D45" s="26" t="s">
        <v>43</v>
      </c>
      <c r="E45" s="26" t="s">
        <v>43</v>
      </c>
      <c r="F45" s="26" t="s">
        <v>11</v>
      </c>
      <c r="G45" s="30" t="s">
        <v>44</v>
      </c>
      <c r="I45" s="1" t="str">
        <f>Table1[[#This Row],[Building ID]]</f>
        <v>a1826000001pixcAAA</v>
      </c>
      <c r="J45" t="str">
        <f>VLOOKUP(C45,'Distinct Queues'!$A$3:$B$39,2,FALSE)</f>
        <v>Finance_Team</v>
      </c>
      <c r="K45" t="str">
        <f>VLOOKUP(D45,'Distinct Queues'!$A$3:$B$39,2,FALSE)</f>
        <v>Clippers_Quay_Team</v>
      </c>
      <c r="L45" t="str">
        <f>VLOOKUP(E45,'Distinct Queues'!$A$3:$B$39,2,FALSE)</f>
        <v>Clippers_Quay_Team</v>
      </c>
      <c r="M45" t="str">
        <f>VLOOKUP(F45,'Distinct Queues'!$A$3:$B$39,2,FALSE)</f>
        <v>AM_BTR_Regions</v>
      </c>
      <c r="N45" t="str">
        <f>VLOOKUP(G45,'Distinct Queues'!$A$3:$B$39,2,FALSE)</f>
        <v>Lettings_North_West</v>
      </c>
    </row>
    <row r="46" spans="1:14">
      <c r="A46" s="25" t="s">
        <v>47</v>
      </c>
      <c r="B46" s="26" t="s">
        <v>289</v>
      </c>
      <c r="C46" s="27" t="s">
        <v>208</v>
      </c>
      <c r="D46" s="27" t="s">
        <v>43</v>
      </c>
      <c r="E46" s="27" t="s">
        <v>43</v>
      </c>
      <c r="F46" s="27" t="s">
        <v>11</v>
      </c>
      <c r="G46" s="28" t="s">
        <v>44</v>
      </c>
      <c r="I46" s="1" t="str">
        <f>Table1[[#This Row],[Building ID]]</f>
        <v>a1826000001piyjAAA</v>
      </c>
      <c r="J46" t="str">
        <f>VLOOKUP(C46,'Distinct Queues'!$A$3:$B$39,2,FALSE)</f>
        <v>Finance_Team</v>
      </c>
      <c r="K46" t="str">
        <f>VLOOKUP(D46,'Distinct Queues'!$A$3:$B$39,2,FALSE)</f>
        <v>Clippers_Quay_Team</v>
      </c>
      <c r="L46" t="str">
        <f>VLOOKUP(E46,'Distinct Queues'!$A$3:$B$39,2,FALSE)</f>
        <v>Clippers_Quay_Team</v>
      </c>
      <c r="M46" t="str">
        <f>VLOOKUP(F46,'Distinct Queues'!$A$3:$B$39,2,FALSE)</f>
        <v>AM_BTR_Regions</v>
      </c>
      <c r="N46" t="str">
        <f>VLOOKUP(G46,'Distinct Queues'!$A$3:$B$39,2,FALSE)</f>
        <v>Lettings_North_West</v>
      </c>
    </row>
    <row r="47" spans="1:14">
      <c r="A47" s="29" t="s">
        <v>51</v>
      </c>
      <c r="B47" s="26" t="s">
        <v>290</v>
      </c>
      <c r="C47" s="26" t="s">
        <v>208</v>
      </c>
      <c r="D47" s="26" t="s">
        <v>43</v>
      </c>
      <c r="E47" s="26" t="s">
        <v>43</v>
      </c>
      <c r="F47" s="26" t="s">
        <v>11</v>
      </c>
      <c r="G47" s="30" t="s">
        <v>44</v>
      </c>
      <c r="I47" s="1" t="str">
        <f>Table1[[#This Row],[Building ID]]</f>
        <v>a1826000001piyeAAA</v>
      </c>
      <c r="J47" t="str">
        <f>VLOOKUP(C47,'Distinct Queues'!$A$3:$B$39,2,FALSE)</f>
        <v>Finance_Team</v>
      </c>
      <c r="K47" t="str">
        <f>VLOOKUP(D47,'Distinct Queues'!$A$3:$B$39,2,FALSE)</f>
        <v>Clippers_Quay_Team</v>
      </c>
      <c r="L47" t="str">
        <f>VLOOKUP(E47,'Distinct Queues'!$A$3:$B$39,2,FALSE)</f>
        <v>Clippers_Quay_Team</v>
      </c>
      <c r="M47" t="str">
        <f>VLOOKUP(F47,'Distinct Queues'!$A$3:$B$39,2,FALSE)</f>
        <v>AM_BTR_Regions</v>
      </c>
      <c r="N47" t="str">
        <f>VLOOKUP(G47,'Distinct Queues'!$A$3:$B$39,2,FALSE)</f>
        <v>Lettings_North_West</v>
      </c>
    </row>
    <row r="48" spans="1:14">
      <c r="A48" s="25" t="s">
        <v>45</v>
      </c>
      <c r="B48" s="26" t="s">
        <v>290</v>
      </c>
      <c r="C48" s="27" t="s">
        <v>208</v>
      </c>
      <c r="D48" s="27" t="s">
        <v>43</v>
      </c>
      <c r="E48" s="27" t="s">
        <v>43</v>
      </c>
      <c r="F48" s="27" t="s">
        <v>11</v>
      </c>
      <c r="G48" s="28" t="s">
        <v>44</v>
      </c>
      <c r="I48" s="1" t="str">
        <f>Table1[[#This Row],[Building ID]]</f>
        <v>a1826000001piyeAAA</v>
      </c>
      <c r="J48" t="str">
        <f>VLOOKUP(C48,'Distinct Queues'!$A$3:$B$39,2,FALSE)</f>
        <v>Finance_Team</v>
      </c>
      <c r="K48" t="str">
        <f>VLOOKUP(D48,'Distinct Queues'!$A$3:$B$39,2,FALSE)</f>
        <v>Clippers_Quay_Team</v>
      </c>
      <c r="L48" t="str">
        <f>VLOOKUP(E48,'Distinct Queues'!$A$3:$B$39,2,FALSE)</f>
        <v>Clippers_Quay_Team</v>
      </c>
      <c r="M48" t="str">
        <f>VLOOKUP(F48,'Distinct Queues'!$A$3:$B$39,2,FALSE)</f>
        <v>AM_BTR_Regions</v>
      </c>
      <c r="N48" t="str">
        <f>VLOOKUP(G48,'Distinct Queues'!$A$3:$B$39,2,FALSE)</f>
        <v>Lettings_North_West</v>
      </c>
    </row>
    <row r="49" spans="1:14">
      <c r="A49" s="29" t="s">
        <v>49</v>
      </c>
      <c r="B49" s="26" t="s">
        <v>291</v>
      </c>
      <c r="C49" s="26" t="s">
        <v>208</v>
      </c>
      <c r="D49" s="26" t="s">
        <v>43</v>
      </c>
      <c r="E49" s="26" t="s">
        <v>43</v>
      </c>
      <c r="F49" s="26" t="s">
        <v>11</v>
      </c>
      <c r="G49" s="30" t="s">
        <v>44</v>
      </c>
      <c r="I49" s="1" t="str">
        <f>Table1[[#This Row],[Building ID]]</f>
        <v>a1826000001piyBAAQ</v>
      </c>
      <c r="J49" t="str">
        <f>VLOOKUP(C49,'Distinct Queues'!$A$3:$B$39,2,FALSE)</f>
        <v>Finance_Team</v>
      </c>
      <c r="K49" t="str">
        <f>VLOOKUP(D49,'Distinct Queues'!$A$3:$B$39,2,FALSE)</f>
        <v>Clippers_Quay_Team</v>
      </c>
      <c r="L49" t="str">
        <f>VLOOKUP(E49,'Distinct Queues'!$A$3:$B$39,2,FALSE)</f>
        <v>Clippers_Quay_Team</v>
      </c>
      <c r="M49" t="str">
        <f>VLOOKUP(F49,'Distinct Queues'!$A$3:$B$39,2,FALSE)</f>
        <v>AM_BTR_Regions</v>
      </c>
      <c r="N49" t="str">
        <f>VLOOKUP(G49,'Distinct Queues'!$A$3:$B$39,2,FALSE)</f>
        <v>Lettings_North_West</v>
      </c>
    </row>
    <row r="50" spans="1:14">
      <c r="A50" s="25" t="s">
        <v>109</v>
      </c>
      <c r="B50" s="26" t="s">
        <v>292</v>
      </c>
      <c r="C50" s="27" t="s">
        <v>208</v>
      </c>
      <c r="D50" s="27" t="s">
        <v>111</v>
      </c>
      <c r="E50" s="27" t="s">
        <v>111</v>
      </c>
      <c r="F50" s="27" t="s">
        <v>31</v>
      </c>
      <c r="G50" s="28" t="s">
        <v>112</v>
      </c>
      <c r="I50" s="1" t="str">
        <f>Table1[[#This Row],[Building ID]]</f>
        <v>a1826000001rdUgAAI</v>
      </c>
      <c r="J50" t="str">
        <f>VLOOKUP(C50,'Distinct Queues'!$A$3:$B$39,2,FALSE)</f>
        <v>Finance_Team</v>
      </c>
      <c r="K50" t="str">
        <f>VLOOKUP(D50,'Distinct Queues'!$A$3:$B$39,2,FALSE)</f>
        <v>Copperworks_Team</v>
      </c>
      <c r="L50" t="str">
        <f>VLOOKUP(E50,'Distinct Queues'!$A$3:$B$39,2,FALSE)</f>
        <v>Copperworks_Team</v>
      </c>
      <c r="M50" t="str">
        <f>VLOOKUP(F50,'Distinct Queues'!$A$3:$B$39,2,FALSE)</f>
        <v>AM_New_Launches</v>
      </c>
      <c r="N50" t="str">
        <f>VLOOKUP(G50,'Distinct Queues'!$A$3:$B$39,2,FALSE)</f>
        <v>Lettings_Wales</v>
      </c>
    </row>
    <row r="51" spans="1:14">
      <c r="A51" s="29" t="s">
        <v>113</v>
      </c>
      <c r="B51" s="26" t="s">
        <v>293</v>
      </c>
      <c r="C51" s="26" t="s">
        <v>208</v>
      </c>
      <c r="D51" s="26" t="s">
        <v>111</v>
      </c>
      <c r="E51" s="26" t="s">
        <v>111</v>
      </c>
      <c r="F51" s="26" t="s">
        <v>31</v>
      </c>
      <c r="G51" s="30" t="s">
        <v>112</v>
      </c>
      <c r="I51" s="1" t="str">
        <f>Table1[[#This Row],[Building ID]]</f>
        <v>a1826000001rdToAAI</v>
      </c>
      <c r="J51" t="str">
        <f>VLOOKUP(C51,'Distinct Queues'!$A$3:$B$39,2,FALSE)</f>
        <v>Finance_Team</v>
      </c>
      <c r="K51" t="str">
        <f>VLOOKUP(D51,'Distinct Queues'!$A$3:$B$39,2,FALSE)</f>
        <v>Copperworks_Team</v>
      </c>
      <c r="L51" t="str">
        <f>VLOOKUP(E51,'Distinct Queues'!$A$3:$B$39,2,FALSE)</f>
        <v>Copperworks_Team</v>
      </c>
      <c r="M51" t="str">
        <f>VLOOKUP(F51,'Distinct Queues'!$A$3:$B$39,2,FALSE)</f>
        <v>AM_New_Launches</v>
      </c>
      <c r="N51" t="str">
        <f>VLOOKUP(G51,'Distinct Queues'!$A$3:$B$39,2,FALSE)</f>
        <v>Lettings_Wales</v>
      </c>
    </row>
    <row r="52" spans="1:14">
      <c r="A52" s="25" t="s">
        <v>115</v>
      </c>
      <c r="B52" s="26" t="s">
        <v>294</v>
      </c>
      <c r="C52" s="27" t="s">
        <v>208</v>
      </c>
      <c r="D52" s="27" t="s">
        <v>111</v>
      </c>
      <c r="E52" s="27" t="s">
        <v>111</v>
      </c>
      <c r="F52" s="27" t="s">
        <v>31</v>
      </c>
      <c r="G52" s="28" t="s">
        <v>112</v>
      </c>
      <c r="I52" s="1" t="str">
        <f>Table1[[#This Row],[Building ID]]</f>
        <v>a1826000001rdV5AAI</v>
      </c>
      <c r="J52" t="str">
        <f>VLOOKUP(C52,'Distinct Queues'!$A$3:$B$39,2,FALSE)</f>
        <v>Finance_Team</v>
      </c>
      <c r="K52" t="str">
        <f>VLOOKUP(D52,'Distinct Queues'!$A$3:$B$39,2,FALSE)</f>
        <v>Copperworks_Team</v>
      </c>
      <c r="L52" t="str">
        <f>VLOOKUP(E52,'Distinct Queues'!$A$3:$B$39,2,FALSE)</f>
        <v>Copperworks_Team</v>
      </c>
      <c r="M52" t="str">
        <f>VLOOKUP(F52,'Distinct Queues'!$A$3:$B$39,2,FALSE)</f>
        <v>AM_New_Launches</v>
      </c>
      <c r="N52" t="str">
        <f>VLOOKUP(G52,'Distinct Queues'!$A$3:$B$39,2,FALSE)</f>
        <v>Lettings_Wales</v>
      </c>
    </row>
    <row r="53" spans="1:14">
      <c r="A53" s="29" t="s">
        <v>295</v>
      </c>
      <c r="B53" s="26" t="s">
        <v>296</v>
      </c>
      <c r="C53" s="26" t="s">
        <v>208</v>
      </c>
      <c r="D53" s="26" t="s">
        <v>209</v>
      </c>
      <c r="E53" s="26" t="s">
        <v>225</v>
      </c>
      <c r="F53" s="26" t="s">
        <v>226</v>
      </c>
      <c r="G53" s="30" t="s">
        <v>44</v>
      </c>
      <c r="I53" s="1" t="str">
        <f>Table1[[#This Row],[Building ID]]</f>
        <v>a1826000001piAHAAY</v>
      </c>
      <c r="J53" t="str">
        <f>VLOOKUP(C53,'Distinct Queues'!$A$3:$B$39,2,FALSE)</f>
        <v>Finance_Team</v>
      </c>
      <c r="K53" t="str">
        <f>VLOOKUP(D53,'Distinct Queues'!$A$3:$B$39,2,FALSE)</f>
        <v>Customer_Service_Team</v>
      </c>
      <c r="L53" t="str">
        <f>VLOOKUP(E53,'Distinct Queues'!$A$3:$B$39,2,FALSE)</f>
        <v>PRS_Regions</v>
      </c>
      <c r="M53" t="str">
        <f>VLOOKUP(F53,'Distinct Queues'!$A$3:$B$39,2,FALSE)</f>
        <v>AM_PRS_Regions</v>
      </c>
      <c r="N53" t="str">
        <f>VLOOKUP(G53,'Distinct Queues'!$A$3:$B$39,2,FALSE)</f>
        <v>Lettings_North_West</v>
      </c>
    </row>
    <row r="54" spans="1:14">
      <c r="A54" s="25" t="s">
        <v>297</v>
      </c>
      <c r="B54" s="26" t="s">
        <v>298</v>
      </c>
      <c r="C54" s="27" t="s">
        <v>208</v>
      </c>
      <c r="D54" s="27" t="s">
        <v>209</v>
      </c>
      <c r="E54" s="27" t="s">
        <v>210</v>
      </c>
      <c r="F54" s="27" t="s">
        <v>211</v>
      </c>
      <c r="G54" s="28" t="s">
        <v>212</v>
      </c>
      <c r="I54" s="1" t="str">
        <f>Table1[[#This Row],[Building ID]]</f>
        <v>a1826000001pjAGAAY</v>
      </c>
      <c r="J54" t="str">
        <f>VLOOKUP(C54,'Distinct Queues'!$A$3:$B$39,2,FALSE)</f>
        <v>Finance_Team</v>
      </c>
      <c r="K54" t="str">
        <f>VLOOKUP(D54,'Distinct Queues'!$A$3:$B$39,2,FALSE)</f>
        <v>Customer_Service_Team</v>
      </c>
      <c r="L54" t="str">
        <f>VLOOKUP(E54,'Distinct Queues'!$A$3:$B$39,2,FALSE)</f>
        <v>PRS_London</v>
      </c>
      <c r="M54" t="str">
        <f>VLOOKUP(F54,'Distinct Queues'!$A$3:$B$39,2,FALSE)</f>
        <v>AM_PRS_London</v>
      </c>
      <c r="N54" t="str">
        <f>VLOOKUP(G54,'Distinct Queues'!$A$3:$B$39,2,FALSE)</f>
        <v>Lettings_South</v>
      </c>
    </row>
    <row r="55" spans="1:14">
      <c r="A55" s="29" t="s">
        <v>299</v>
      </c>
      <c r="B55" s="26" t="s">
        <v>300</v>
      </c>
      <c r="C55" s="26" t="s">
        <v>208</v>
      </c>
      <c r="D55" s="26" t="s">
        <v>209</v>
      </c>
      <c r="E55" s="26" t="s">
        <v>210</v>
      </c>
      <c r="F55" s="26" t="s">
        <v>211</v>
      </c>
      <c r="G55" s="30" t="s">
        <v>212</v>
      </c>
      <c r="I55" s="1" t="str">
        <f>Table1[[#This Row],[Building ID]]</f>
        <v>a1826000001pj2WAAQ</v>
      </c>
      <c r="J55" t="str">
        <f>VLOOKUP(C55,'Distinct Queues'!$A$3:$B$39,2,FALSE)</f>
        <v>Finance_Team</v>
      </c>
      <c r="K55" t="str">
        <f>VLOOKUP(D55,'Distinct Queues'!$A$3:$B$39,2,FALSE)</f>
        <v>Customer_Service_Team</v>
      </c>
      <c r="L55" t="str">
        <f>VLOOKUP(E55,'Distinct Queues'!$A$3:$B$39,2,FALSE)</f>
        <v>PRS_London</v>
      </c>
      <c r="M55" t="str">
        <f>VLOOKUP(F55,'Distinct Queues'!$A$3:$B$39,2,FALSE)</f>
        <v>AM_PRS_London</v>
      </c>
      <c r="N55" t="str">
        <f>VLOOKUP(G55,'Distinct Queues'!$A$3:$B$39,2,FALSE)</f>
        <v>Lettings_South</v>
      </c>
    </row>
    <row r="56" spans="1:14">
      <c r="A56" s="25" t="s">
        <v>301</v>
      </c>
      <c r="B56" s="26" t="s">
        <v>302</v>
      </c>
      <c r="C56" s="27" t="s">
        <v>208</v>
      </c>
      <c r="D56" s="27" t="s">
        <v>209</v>
      </c>
      <c r="E56" s="27" t="s">
        <v>210</v>
      </c>
      <c r="F56" s="27" t="s">
        <v>211</v>
      </c>
      <c r="G56" s="28" t="s">
        <v>212</v>
      </c>
      <c r="I56" s="1" t="str">
        <f>Table1[[#This Row],[Building ID]]</f>
        <v>a1826000001piYbAAI</v>
      </c>
      <c r="J56" t="str">
        <f>VLOOKUP(C56,'Distinct Queues'!$A$3:$B$39,2,FALSE)</f>
        <v>Finance_Team</v>
      </c>
      <c r="K56" t="str">
        <f>VLOOKUP(D56,'Distinct Queues'!$A$3:$B$39,2,FALSE)</f>
        <v>Customer_Service_Team</v>
      </c>
      <c r="L56" t="str">
        <f>VLOOKUP(E56,'Distinct Queues'!$A$3:$B$39,2,FALSE)</f>
        <v>PRS_London</v>
      </c>
      <c r="M56" t="str">
        <f>VLOOKUP(F56,'Distinct Queues'!$A$3:$B$39,2,FALSE)</f>
        <v>AM_PRS_London</v>
      </c>
      <c r="N56" t="str">
        <f>VLOOKUP(G56,'Distinct Queues'!$A$3:$B$39,2,FALSE)</f>
        <v>Lettings_South</v>
      </c>
    </row>
    <row r="57" spans="1:14">
      <c r="A57" s="29" t="s">
        <v>303</v>
      </c>
      <c r="B57" s="26" t="s">
        <v>304</v>
      </c>
      <c r="C57" s="26" t="s">
        <v>208</v>
      </c>
      <c r="D57" s="26" t="s">
        <v>209</v>
      </c>
      <c r="E57" s="26" t="s">
        <v>225</v>
      </c>
      <c r="F57" s="26" t="s">
        <v>226</v>
      </c>
      <c r="G57" s="30" t="s">
        <v>44</v>
      </c>
      <c r="I57" s="1" t="str">
        <f>Table1[[#This Row],[Building ID]]</f>
        <v>a1826000001piCaAAI</v>
      </c>
      <c r="J57" t="str">
        <f>VLOOKUP(C57,'Distinct Queues'!$A$3:$B$39,2,FALSE)</f>
        <v>Finance_Team</v>
      </c>
      <c r="K57" t="str">
        <f>VLOOKUP(D57,'Distinct Queues'!$A$3:$B$39,2,FALSE)</f>
        <v>Customer_Service_Team</v>
      </c>
      <c r="L57" t="str">
        <f>VLOOKUP(E57,'Distinct Queues'!$A$3:$B$39,2,FALSE)</f>
        <v>PRS_Regions</v>
      </c>
      <c r="M57" t="str">
        <f>VLOOKUP(F57,'Distinct Queues'!$A$3:$B$39,2,FALSE)</f>
        <v>AM_PRS_Regions</v>
      </c>
      <c r="N57" t="str">
        <f>VLOOKUP(G57,'Distinct Queues'!$A$3:$B$39,2,FALSE)</f>
        <v>Lettings_North_West</v>
      </c>
    </row>
    <row r="58" spans="1:14">
      <c r="A58" s="25" t="s">
        <v>305</v>
      </c>
      <c r="B58" s="26" t="s">
        <v>306</v>
      </c>
      <c r="C58" s="27" t="s">
        <v>208</v>
      </c>
      <c r="D58" s="27" t="s">
        <v>209</v>
      </c>
      <c r="E58" s="27" t="s">
        <v>225</v>
      </c>
      <c r="F58" s="27" t="s">
        <v>226</v>
      </c>
      <c r="G58" s="28" t="s">
        <v>44</v>
      </c>
      <c r="I58" s="1" t="str">
        <f>Table1[[#This Row],[Building ID]]</f>
        <v>a1826000001piCkAAI</v>
      </c>
      <c r="J58" t="str">
        <f>VLOOKUP(C58,'Distinct Queues'!$A$3:$B$39,2,FALSE)</f>
        <v>Finance_Team</v>
      </c>
      <c r="K58" t="str">
        <f>VLOOKUP(D58,'Distinct Queues'!$A$3:$B$39,2,FALSE)</f>
        <v>Customer_Service_Team</v>
      </c>
      <c r="L58" t="str">
        <f>VLOOKUP(E58,'Distinct Queues'!$A$3:$B$39,2,FALSE)</f>
        <v>PRS_Regions</v>
      </c>
      <c r="M58" t="str">
        <f>VLOOKUP(F58,'Distinct Queues'!$A$3:$B$39,2,FALSE)</f>
        <v>AM_PRS_Regions</v>
      </c>
      <c r="N58" t="str">
        <f>VLOOKUP(G58,'Distinct Queues'!$A$3:$B$39,2,FALSE)</f>
        <v>Lettings_North_West</v>
      </c>
    </row>
    <row r="59" spans="1:14">
      <c r="A59" s="29" t="s">
        <v>307</v>
      </c>
      <c r="B59" s="26" t="s">
        <v>308</v>
      </c>
      <c r="C59" s="26" t="s">
        <v>208</v>
      </c>
      <c r="D59" s="26" t="s">
        <v>209</v>
      </c>
      <c r="E59" s="26" t="s">
        <v>225</v>
      </c>
      <c r="F59" s="26" t="s">
        <v>226</v>
      </c>
      <c r="G59" s="30" t="s">
        <v>44</v>
      </c>
      <c r="I59" s="1" t="str">
        <f>Table1[[#This Row],[Building ID]]</f>
        <v>a1826000001piCQAAY</v>
      </c>
      <c r="J59" t="str">
        <f>VLOOKUP(C59,'Distinct Queues'!$A$3:$B$39,2,FALSE)</f>
        <v>Finance_Team</v>
      </c>
      <c r="K59" t="str">
        <f>VLOOKUP(D59,'Distinct Queues'!$A$3:$B$39,2,FALSE)</f>
        <v>Customer_Service_Team</v>
      </c>
      <c r="L59" t="str">
        <f>VLOOKUP(E59,'Distinct Queues'!$A$3:$B$39,2,FALSE)</f>
        <v>PRS_Regions</v>
      </c>
      <c r="M59" t="str">
        <f>VLOOKUP(F59,'Distinct Queues'!$A$3:$B$39,2,FALSE)</f>
        <v>AM_PRS_Regions</v>
      </c>
      <c r="N59" t="str">
        <f>VLOOKUP(G59,'Distinct Queues'!$A$3:$B$39,2,FALSE)</f>
        <v>Lettings_North_West</v>
      </c>
    </row>
    <row r="60" spans="1:14">
      <c r="A60" s="25" t="s">
        <v>309</v>
      </c>
      <c r="B60" s="26" t="s">
        <v>310</v>
      </c>
      <c r="C60" s="27" t="s">
        <v>208</v>
      </c>
      <c r="D60" s="27" t="s">
        <v>209</v>
      </c>
      <c r="E60" s="27" t="s">
        <v>210</v>
      </c>
      <c r="F60" s="27" t="s">
        <v>211</v>
      </c>
      <c r="G60" s="28" t="s">
        <v>212</v>
      </c>
      <c r="I60" s="1" t="str">
        <f>Table1[[#This Row],[Building ID]]</f>
        <v>a1826000001rckuAAA</v>
      </c>
      <c r="J60" t="str">
        <f>VLOOKUP(C60,'Distinct Queues'!$A$3:$B$39,2,FALSE)</f>
        <v>Finance_Team</v>
      </c>
      <c r="K60" t="str">
        <f>VLOOKUP(D60,'Distinct Queues'!$A$3:$B$39,2,FALSE)</f>
        <v>Customer_Service_Team</v>
      </c>
      <c r="L60" t="str">
        <f>VLOOKUP(E60,'Distinct Queues'!$A$3:$B$39,2,FALSE)</f>
        <v>PRS_London</v>
      </c>
      <c r="M60" t="str">
        <f>VLOOKUP(F60,'Distinct Queues'!$A$3:$B$39,2,FALSE)</f>
        <v>AM_PRS_London</v>
      </c>
      <c r="N60" t="str">
        <f>VLOOKUP(G60,'Distinct Queues'!$A$3:$B$39,2,FALSE)</f>
        <v>Lettings_South</v>
      </c>
    </row>
    <row r="61" spans="1:14">
      <c r="A61" s="29" t="s">
        <v>311</v>
      </c>
      <c r="B61" s="26" t="s">
        <v>312</v>
      </c>
      <c r="C61" s="26" t="s">
        <v>208</v>
      </c>
      <c r="D61" s="26" t="s">
        <v>209</v>
      </c>
      <c r="E61" s="26" t="s">
        <v>210</v>
      </c>
      <c r="F61" s="26" t="s">
        <v>211</v>
      </c>
      <c r="G61" s="30" t="s">
        <v>212</v>
      </c>
      <c r="I61" s="1" t="str">
        <f>Table1[[#This Row],[Building ID]]</f>
        <v>a1826000001pixhAAA</v>
      </c>
      <c r="J61" t="str">
        <f>VLOOKUP(C61,'Distinct Queues'!$A$3:$B$39,2,FALSE)</f>
        <v>Finance_Team</v>
      </c>
      <c r="K61" t="str">
        <f>VLOOKUP(D61,'Distinct Queues'!$A$3:$B$39,2,FALSE)</f>
        <v>Customer_Service_Team</v>
      </c>
      <c r="L61" t="str">
        <f>VLOOKUP(E61,'Distinct Queues'!$A$3:$B$39,2,FALSE)</f>
        <v>PRS_London</v>
      </c>
      <c r="M61" t="str">
        <f>VLOOKUP(F61,'Distinct Queues'!$A$3:$B$39,2,FALSE)</f>
        <v>AM_PRS_London</v>
      </c>
      <c r="N61" t="str">
        <f>VLOOKUP(G61,'Distinct Queues'!$A$3:$B$39,2,FALSE)</f>
        <v>Lettings_South</v>
      </c>
    </row>
    <row r="62" spans="1:14">
      <c r="A62" s="25" t="s">
        <v>313</v>
      </c>
      <c r="B62" s="26" t="s">
        <v>314</v>
      </c>
      <c r="C62" s="27" t="s">
        <v>208</v>
      </c>
      <c r="D62" s="27" t="s">
        <v>209</v>
      </c>
      <c r="E62" s="27" t="s">
        <v>210</v>
      </c>
      <c r="F62" s="27" t="s">
        <v>211</v>
      </c>
      <c r="G62" s="28" t="s">
        <v>212</v>
      </c>
      <c r="I62" s="1" t="str">
        <f>Table1[[#This Row],[Building ID]]</f>
        <v>a1826000001pj1yAAA</v>
      </c>
      <c r="J62" t="str">
        <f>VLOOKUP(C62,'Distinct Queues'!$A$3:$B$39,2,FALSE)</f>
        <v>Finance_Team</v>
      </c>
      <c r="K62" t="str">
        <f>VLOOKUP(D62,'Distinct Queues'!$A$3:$B$39,2,FALSE)</f>
        <v>Customer_Service_Team</v>
      </c>
      <c r="L62" t="str">
        <f>VLOOKUP(E62,'Distinct Queues'!$A$3:$B$39,2,FALSE)</f>
        <v>PRS_London</v>
      </c>
      <c r="M62" t="str">
        <f>VLOOKUP(F62,'Distinct Queues'!$A$3:$B$39,2,FALSE)</f>
        <v>AM_PRS_London</v>
      </c>
      <c r="N62" t="str">
        <f>VLOOKUP(G62,'Distinct Queues'!$A$3:$B$39,2,FALSE)</f>
        <v>Lettings_South</v>
      </c>
    </row>
    <row r="63" spans="1:14">
      <c r="A63" s="29" t="s">
        <v>315</v>
      </c>
      <c r="B63" s="26" t="s">
        <v>316</v>
      </c>
      <c r="C63" s="26" t="s">
        <v>208</v>
      </c>
      <c r="D63" s="26" t="s">
        <v>209</v>
      </c>
      <c r="E63" s="26" t="s">
        <v>210</v>
      </c>
      <c r="F63" s="26" t="s">
        <v>211</v>
      </c>
      <c r="G63" s="30" t="s">
        <v>212</v>
      </c>
      <c r="I63" s="1" t="str">
        <f>Table1[[#This Row],[Building ID]]</f>
        <v>a1826000001pj30AAA</v>
      </c>
      <c r="J63" t="str">
        <f>VLOOKUP(C63,'Distinct Queues'!$A$3:$B$39,2,FALSE)</f>
        <v>Finance_Team</v>
      </c>
      <c r="K63" t="str">
        <f>VLOOKUP(D63,'Distinct Queues'!$A$3:$B$39,2,FALSE)</f>
        <v>Customer_Service_Team</v>
      </c>
      <c r="L63" t="str">
        <f>VLOOKUP(E63,'Distinct Queues'!$A$3:$B$39,2,FALSE)</f>
        <v>PRS_London</v>
      </c>
      <c r="M63" t="str">
        <f>VLOOKUP(F63,'Distinct Queues'!$A$3:$B$39,2,FALSE)</f>
        <v>AM_PRS_London</v>
      </c>
      <c r="N63" t="str">
        <f>VLOOKUP(G63,'Distinct Queues'!$A$3:$B$39,2,FALSE)</f>
        <v>Lettings_South</v>
      </c>
    </row>
    <row r="64" spans="1:14">
      <c r="A64" s="25" t="s">
        <v>317</v>
      </c>
      <c r="B64" s="26" t="s">
        <v>318</v>
      </c>
      <c r="C64" s="27" t="s">
        <v>208</v>
      </c>
      <c r="D64" s="27" t="s">
        <v>209</v>
      </c>
      <c r="E64" s="27" t="s">
        <v>210</v>
      </c>
      <c r="F64" s="27" t="s">
        <v>211</v>
      </c>
      <c r="G64" s="28" t="s">
        <v>212</v>
      </c>
      <c r="I64" s="1" t="str">
        <f>Table1[[#This Row],[Building ID]]</f>
        <v>a1826000001piutAAA</v>
      </c>
      <c r="J64" t="str">
        <f>VLOOKUP(C64,'Distinct Queues'!$A$3:$B$39,2,FALSE)</f>
        <v>Finance_Team</v>
      </c>
      <c r="K64" t="str">
        <f>VLOOKUP(D64,'Distinct Queues'!$A$3:$B$39,2,FALSE)</f>
        <v>Customer_Service_Team</v>
      </c>
      <c r="L64" t="str">
        <f>VLOOKUP(E64,'Distinct Queues'!$A$3:$B$39,2,FALSE)</f>
        <v>PRS_London</v>
      </c>
      <c r="M64" t="str">
        <f>VLOOKUP(F64,'Distinct Queues'!$A$3:$B$39,2,FALSE)</f>
        <v>AM_PRS_London</v>
      </c>
      <c r="N64" t="str">
        <f>VLOOKUP(G64,'Distinct Queues'!$A$3:$B$39,2,FALSE)</f>
        <v>Lettings_South</v>
      </c>
    </row>
    <row r="65" spans="1:14">
      <c r="A65" s="29" t="s">
        <v>319</v>
      </c>
      <c r="B65" s="26" t="s">
        <v>320</v>
      </c>
      <c r="C65" s="26" t="s">
        <v>208</v>
      </c>
      <c r="D65" s="26" t="s">
        <v>209</v>
      </c>
      <c r="E65" s="26" t="s">
        <v>210</v>
      </c>
      <c r="F65" s="26" t="s">
        <v>211</v>
      </c>
      <c r="G65" s="30" t="s">
        <v>212</v>
      </c>
      <c r="I65" s="1" t="str">
        <f>Table1[[#This Row],[Building ID]]</f>
        <v>a1826000001pYkFAAU</v>
      </c>
      <c r="J65" t="str">
        <f>VLOOKUP(C65,'Distinct Queues'!$A$3:$B$39,2,FALSE)</f>
        <v>Finance_Team</v>
      </c>
      <c r="K65" t="str">
        <f>VLOOKUP(D65,'Distinct Queues'!$A$3:$B$39,2,FALSE)</f>
        <v>Customer_Service_Team</v>
      </c>
      <c r="L65" t="str">
        <f>VLOOKUP(E65,'Distinct Queues'!$A$3:$B$39,2,FALSE)</f>
        <v>PRS_London</v>
      </c>
      <c r="M65" t="str">
        <f>VLOOKUP(F65,'Distinct Queues'!$A$3:$B$39,2,FALSE)</f>
        <v>AM_PRS_London</v>
      </c>
      <c r="N65" t="str">
        <f>VLOOKUP(G65,'Distinct Queues'!$A$3:$B$39,2,FALSE)</f>
        <v>Lettings_South</v>
      </c>
    </row>
    <row r="66" spans="1:14">
      <c r="A66" s="25" t="s">
        <v>321</v>
      </c>
      <c r="B66" s="26" t="s">
        <v>322</v>
      </c>
      <c r="C66" s="27" t="s">
        <v>208</v>
      </c>
      <c r="D66" s="27" t="s">
        <v>209</v>
      </c>
      <c r="E66" s="27" t="s">
        <v>210</v>
      </c>
      <c r="F66" s="27" t="s">
        <v>211</v>
      </c>
      <c r="G66" s="28" t="s">
        <v>212</v>
      </c>
      <c r="I66" s="1" t="str">
        <f>Table1[[#This Row],[Building ID]]</f>
        <v>a1826000001SORgAAO</v>
      </c>
      <c r="J66" t="str">
        <f>VLOOKUP(C66,'Distinct Queues'!$A$3:$B$39,2,FALSE)</f>
        <v>Finance_Team</v>
      </c>
      <c r="K66" t="str">
        <f>VLOOKUP(D66,'Distinct Queues'!$A$3:$B$39,2,FALSE)</f>
        <v>Customer_Service_Team</v>
      </c>
      <c r="L66" t="str">
        <f>VLOOKUP(E66,'Distinct Queues'!$A$3:$B$39,2,FALSE)</f>
        <v>PRS_London</v>
      </c>
      <c r="M66" t="str">
        <f>VLOOKUP(F66,'Distinct Queues'!$A$3:$B$39,2,FALSE)</f>
        <v>AM_PRS_London</v>
      </c>
      <c r="N66" t="str">
        <f>VLOOKUP(G66,'Distinct Queues'!$A$3:$B$39,2,FALSE)</f>
        <v>Lettings_South</v>
      </c>
    </row>
    <row r="67" spans="1:14">
      <c r="A67" s="29" t="s">
        <v>323</v>
      </c>
      <c r="B67" s="26" t="s">
        <v>324</v>
      </c>
      <c r="C67" s="26" t="s">
        <v>208</v>
      </c>
      <c r="D67" s="26" t="s">
        <v>209</v>
      </c>
      <c r="E67" s="26" t="s">
        <v>210</v>
      </c>
      <c r="F67" s="26" t="s">
        <v>211</v>
      </c>
      <c r="G67" s="30" t="s">
        <v>212</v>
      </c>
      <c r="I67" s="1" t="str">
        <f>Table1[[#This Row],[Building ID]]</f>
        <v>a1826000001pj27AAA</v>
      </c>
      <c r="J67" t="str">
        <f>VLOOKUP(C67,'Distinct Queues'!$A$3:$B$39,2,FALSE)</f>
        <v>Finance_Team</v>
      </c>
      <c r="K67" t="str">
        <f>VLOOKUP(D67,'Distinct Queues'!$A$3:$B$39,2,FALSE)</f>
        <v>Customer_Service_Team</v>
      </c>
      <c r="L67" t="str">
        <f>VLOOKUP(E67,'Distinct Queues'!$A$3:$B$39,2,FALSE)</f>
        <v>PRS_London</v>
      </c>
      <c r="M67" t="str">
        <f>VLOOKUP(F67,'Distinct Queues'!$A$3:$B$39,2,FALSE)</f>
        <v>AM_PRS_London</v>
      </c>
      <c r="N67" t="str">
        <f>VLOOKUP(G67,'Distinct Queues'!$A$3:$B$39,2,FALSE)</f>
        <v>Lettings_South</v>
      </c>
    </row>
    <row r="68" spans="1:14">
      <c r="A68" s="25" t="s">
        <v>325</v>
      </c>
      <c r="B68" s="26" t="s">
        <v>326</v>
      </c>
      <c r="C68" s="27" t="s">
        <v>208</v>
      </c>
      <c r="D68" s="27" t="s">
        <v>209</v>
      </c>
      <c r="E68" s="27" t="s">
        <v>210</v>
      </c>
      <c r="F68" s="27" t="s">
        <v>211</v>
      </c>
      <c r="G68" s="28" t="s">
        <v>212</v>
      </c>
      <c r="I68" s="1" t="str">
        <f>Table1[[#This Row],[Building ID]]</f>
        <v>a1826000001SoAVAA0</v>
      </c>
      <c r="J68" t="str">
        <f>VLOOKUP(C68,'Distinct Queues'!$A$3:$B$39,2,FALSE)</f>
        <v>Finance_Team</v>
      </c>
      <c r="K68" t="str">
        <f>VLOOKUP(D68,'Distinct Queues'!$A$3:$B$39,2,FALSE)</f>
        <v>Customer_Service_Team</v>
      </c>
      <c r="L68" t="str">
        <f>VLOOKUP(E68,'Distinct Queues'!$A$3:$B$39,2,FALSE)</f>
        <v>PRS_London</v>
      </c>
      <c r="M68" t="str">
        <f>VLOOKUP(F68,'Distinct Queues'!$A$3:$B$39,2,FALSE)</f>
        <v>AM_PRS_London</v>
      </c>
      <c r="N68" t="str">
        <f>VLOOKUP(G68,'Distinct Queues'!$A$3:$B$39,2,FALSE)</f>
        <v>Lettings_South</v>
      </c>
    </row>
    <row r="69" spans="1:14">
      <c r="A69" s="29" t="s">
        <v>327</v>
      </c>
      <c r="B69" s="26" t="s">
        <v>328</v>
      </c>
      <c r="C69" s="26" t="s">
        <v>208</v>
      </c>
      <c r="D69" s="26" t="s">
        <v>209</v>
      </c>
      <c r="E69" s="26" t="s">
        <v>210</v>
      </c>
      <c r="F69" s="26" t="s">
        <v>211</v>
      </c>
      <c r="G69" s="30" t="s">
        <v>212</v>
      </c>
      <c r="I69" s="1" t="str">
        <f>Table1[[#This Row],[Building ID]]</f>
        <v>a1826000001pibkAAA</v>
      </c>
      <c r="J69" t="str">
        <f>VLOOKUP(C69,'Distinct Queues'!$A$3:$B$39,2,FALSE)</f>
        <v>Finance_Team</v>
      </c>
      <c r="K69" t="str">
        <f>VLOOKUP(D69,'Distinct Queues'!$A$3:$B$39,2,FALSE)</f>
        <v>Customer_Service_Team</v>
      </c>
      <c r="L69" t="str">
        <f>VLOOKUP(E69,'Distinct Queues'!$A$3:$B$39,2,FALSE)</f>
        <v>PRS_London</v>
      </c>
      <c r="M69" t="str">
        <f>VLOOKUP(F69,'Distinct Queues'!$A$3:$B$39,2,FALSE)</f>
        <v>AM_PRS_London</v>
      </c>
      <c r="N69" t="str">
        <f>VLOOKUP(G69,'Distinct Queues'!$A$3:$B$39,2,FALSE)</f>
        <v>Lettings_South</v>
      </c>
    </row>
    <row r="70" spans="1:14">
      <c r="A70" s="25" t="s">
        <v>329</v>
      </c>
      <c r="B70" s="26" t="s">
        <v>330</v>
      </c>
      <c r="C70" s="27" t="s">
        <v>208</v>
      </c>
      <c r="D70" s="27" t="s">
        <v>209</v>
      </c>
      <c r="E70" s="27" t="s">
        <v>210</v>
      </c>
      <c r="F70" s="27" t="s">
        <v>211</v>
      </c>
      <c r="G70" s="28" t="s">
        <v>212</v>
      </c>
      <c r="I70" s="1" t="str">
        <f>Table1[[#This Row],[Building ID]]</f>
        <v>a1826000001RxEtAAK</v>
      </c>
      <c r="J70" t="str">
        <f>VLOOKUP(C70,'Distinct Queues'!$A$3:$B$39,2,FALSE)</f>
        <v>Finance_Team</v>
      </c>
      <c r="K70" t="str">
        <f>VLOOKUP(D70,'Distinct Queues'!$A$3:$B$39,2,FALSE)</f>
        <v>Customer_Service_Team</v>
      </c>
      <c r="L70" t="str">
        <f>VLOOKUP(E70,'Distinct Queues'!$A$3:$B$39,2,FALSE)</f>
        <v>PRS_London</v>
      </c>
      <c r="M70" t="str">
        <f>VLOOKUP(F70,'Distinct Queues'!$A$3:$B$39,2,FALSE)</f>
        <v>AM_PRS_London</v>
      </c>
      <c r="N70" t="str">
        <f>VLOOKUP(G70,'Distinct Queues'!$A$3:$B$39,2,FALSE)</f>
        <v>Lettings_South</v>
      </c>
    </row>
    <row r="71" spans="1:14">
      <c r="A71" s="29" t="s">
        <v>331</v>
      </c>
      <c r="B71" s="26" t="s">
        <v>332</v>
      </c>
      <c r="C71" s="26" t="s">
        <v>208</v>
      </c>
      <c r="D71" s="26" t="s">
        <v>209</v>
      </c>
      <c r="E71" s="26" t="s">
        <v>210</v>
      </c>
      <c r="F71" s="26" t="s">
        <v>211</v>
      </c>
      <c r="G71" s="30" t="s">
        <v>212</v>
      </c>
      <c r="I71" s="1" t="str">
        <f>Table1[[#This Row],[Building ID]]</f>
        <v>a1826000001SA1nAAG</v>
      </c>
      <c r="J71" t="str">
        <f>VLOOKUP(C71,'Distinct Queues'!$A$3:$B$39,2,FALSE)</f>
        <v>Finance_Team</v>
      </c>
      <c r="K71" t="str">
        <f>VLOOKUP(D71,'Distinct Queues'!$A$3:$B$39,2,FALSE)</f>
        <v>Customer_Service_Team</v>
      </c>
      <c r="L71" t="str">
        <f>VLOOKUP(E71,'Distinct Queues'!$A$3:$B$39,2,FALSE)</f>
        <v>PRS_London</v>
      </c>
      <c r="M71" t="str">
        <f>VLOOKUP(F71,'Distinct Queues'!$A$3:$B$39,2,FALSE)</f>
        <v>AM_PRS_London</v>
      </c>
      <c r="N71" t="str">
        <f>VLOOKUP(G71,'Distinct Queues'!$A$3:$B$39,2,FALSE)</f>
        <v>Lettings_South</v>
      </c>
    </row>
    <row r="72" spans="1:14">
      <c r="A72" s="25" t="s">
        <v>333</v>
      </c>
      <c r="B72" s="26" t="s">
        <v>334</v>
      </c>
      <c r="C72" s="27" t="s">
        <v>208</v>
      </c>
      <c r="D72" s="27" t="s">
        <v>209</v>
      </c>
      <c r="E72" s="27" t="s">
        <v>225</v>
      </c>
      <c r="F72" s="27" t="s">
        <v>226</v>
      </c>
      <c r="G72" s="28" t="s">
        <v>44</v>
      </c>
      <c r="I72" s="1" t="str">
        <f>Table1[[#This Row],[Building ID]]</f>
        <v>a1826000001pivpAAA</v>
      </c>
      <c r="J72" t="str">
        <f>VLOOKUP(C72,'Distinct Queues'!$A$3:$B$39,2,FALSE)</f>
        <v>Finance_Team</v>
      </c>
      <c r="K72" t="str">
        <f>VLOOKUP(D72,'Distinct Queues'!$A$3:$B$39,2,FALSE)</f>
        <v>Customer_Service_Team</v>
      </c>
      <c r="L72" t="str">
        <f>VLOOKUP(E72,'Distinct Queues'!$A$3:$B$39,2,FALSE)</f>
        <v>PRS_Regions</v>
      </c>
      <c r="M72" t="str">
        <f>VLOOKUP(F72,'Distinct Queues'!$A$3:$B$39,2,FALSE)</f>
        <v>AM_PRS_Regions</v>
      </c>
      <c r="N72" t="str">
        <f>VLOOKUP(G72,'Distinct Queues'!$A$3:$B$39,2,FALSE)</f>
        <v>Lettings_North_West</v>
      </c>
    </row>
    <row r="73" spans="1:14">
      <c r="A73" s="29" t="s">
        <v>335</v>
      </c>
      <c r="B73" s="26" t="s">
        <v>336</v>
      </c>
      <c r="C73" s="26" t="s">
        <v>208</v>
      </c>
      <c r="D73" s="26" t="s">
        <v>209</v>
      </c>
      <c r="E73" s="26" t="s">
        <v>210</v>
      </c>
      <c r="F73" s="26" t="s">
        <v>211</v>
      </c>
      <c r="G73" s="30" t="s">
        <v>212</v>
      </c>
      <c r="I73" s="1" t="str">
        <f>Table1[[#This Row],[Building ID]]</f>
        <v>a1826000001pj2bAAA</v>
      </c>
      <c r="J73" t="str">
        <f>VLOOKUP(C73,'Distinct Queues'!$A$3:$B$39,2,FALSE)</f>
        <v>Finance_Team</v>
      </c>
      <c r="K73" t="str">
        <f>VLOOKUP(D73,'Distinct Queues'!$A$3:$B$39,2,FALSE)</f>
        <v>Customer_Service_Team</v>
      </c>
      <c r="L73" t="str">
        <f>VLOOKUP(E73,'Distinct Queues'!$A$3:$B$39,2,FALSE)</f>
        <v>PRS_London</v>
      </c>
      <c r="M73" t="str">
        <f>VLOOKUP(F73,'Distinct Queues'!$A$3:$B$39,2,FALSE)</f>
        <v>AM_PRS_London</v>
      </c>
      <c r="N73" t="str">
        <f>VLOOKUP(G73,'Distinct Queues'!$A$3:$B$39,2,FALSE)</f>
        <v>Lettings_South</v>
      </c>
    </row>
    <row r="74" spans="1:14">
      <c r="A74" s="25" t="s">
        <v>337</v>
      </c>
      <c r="B74" s="26" t="s">
        <v>338</v>
      </c>
      <c r="C74" s="27" t="s">
        <v>208</v>
      </c>
      <c r="D74" s="27" t="s">
        <v>81</v>
      </c>
      <c r="E74" s="27" t="s">
        <v>81</v>
      </c>
      <c r="F74" s="27" t="s">
        <v>31</v>
      </c>
      <c r="G74" s="28" t="s">
        <v>56</v>
      </c>
      <c r="I74" s="1" t="str">
        <f>Table1[[#This Row],[Building ID]]</f>
        <v>a1826000001rdSNAAY</v>
      </c>
      <c r="J74" t="str">
        <f>VLOOKUP(C74,'Distinct Queues'!$A$3:$B$39,2,FALSE)</f>
        <v>Finance_Team</v>
      </c>
      <c r="K74" t="str">
        <f>VLOOKUP(D74,'Distinct Queues'!$A$3:$B$39,2,FALSE)</f>
        <v>Enigma_Square_Team</v>
      </c>
      <c r="L74" t="str">
        <f>VLOOKUP(E74,'Distinct Queues'!$A$3:$B$39,2,FALSE)</f>
        <v>Enigma_Square_Team</v>
      </c>
      <c r="M74" t="str">
        <f>VLOOKUP(F74,'Distinct Queues'!$A$3:$B$39,2,FALSE)</f>
        <v>AM_New_Launches</v>
      </c>
      <c r="N74" t="str">
        <f>VLOOKUP(G74,'Distinct Queues'!$A$3:$B$39,2,FALSE)</f>
        <v>Lettings_Midlands</v>
      </c>
    </row>
    <row r="75" spans="1:14">
      <c r="A75" s="29" t="s">
        <v>339</v>
      </c>
      <c r="B75" s="26" t="s">
        <v>338</v>
      </c>
      <c r="C75" s="26" t="s">
        <v>208</v>
      </c>
      <c r="D75" s="26" t="s">
        <v>81</v>
      </c>
      <c r="E75" s="26" t="s">
        <v>81</v>
      </c>
      <c r="F75" s="26" t="s">
        <v>31</v>
      </c>
      <c r="G75" s="30" t="s">
        <v>56</v>
      </c>
      <c r="I75" s="1" t="str">
        <f>Table1[[#This Row],[Building ID]]</f>
        <v>a1826000001rdSNAAY</v>
      </c>
      <c r="J75" t="str">
        <f>VLOOKUP(C75,'Distinct Queues'!$A$3:$B$39,2,FALSE)</f>
        <v>Finance_Team</v>
      </c>
      <c r="K75" t="str">
        <f>VLOOKUP(D75,'Distinct Queues'!$A$3:$B$39,2,FALSE)</f>
        <v>Enigma_Square_Team</v>
      </c>
      <c r="L75" t="str">
        <f>VLOOKUP(E75,'Distinct Queues'!$A$3:$B$39,2,FALSE)</f>
        <v>Enigma_Square_Team</v>
      </c>
      <c r="M75" t="str">
        <f>VLOOKUP(F75,'Distinct Queues'!$A$3:$B$39,2,FALSE)</f>
        <v>AM_New_Launches</v>
      </c>
      <c r="N75" t="str">
        <f>VLOOKUP(G75,'Distinct Queues'!$A$3:$B$39,2,FALSE)</f>
        <v>Lettings_Midlands</v>
      </c>
    </row>
    <row r="76" spans="1:14">
      <c r="A76" s="25" t="s">
        <v>340</v>
      </c>
      <c r="B76" s="26" t="s">
        <v>341</v>
      </c>
      <c r="C76" s="27" t="s">
        <v>208</v>
      </c>
      <c r="D76" s="27" t="s">
        <v>209</v>
      </c>
      <c r="E76" s="27" t="s">
        <v>225</v>
      </c>
      <c r="F76" s="27" t="s">
        <v>226</v>
      </c>
      <c r="G76" s="28" t="s">
        <v>44</v>
      </c>
      <c r="I76" s="1" t="str">
        <f>Table1[[#This Row],[Building ID]]</f>
        <v>a1826000001pi8jAAA</v>
      </c>
      <c r="J76" t="str">
        <f>VLOOKUP(C76,'Distinct Queues'!$A$3:$B$39,2,FALSE)</f>
        <v>Finance_Team</v>
      </c>
      <c r="K76" t="str">
        <f>VLOOKUP(D76,'Distinct Queues'!$A$3:$B$39,2,FALSE)</f>
        <v>Customer_Service_Team</v>
      </c>
      <c r="L76" t="str">
        <f>VLOOKUP(E76,'Distinct Queues'!$A$3:$B$39,2,FALSE)</f>
        <v>PRS_Regions</v>
      </c>
      <c r="M76" t="str">
        <f>VLOOKUP(F76,'Distinct Queues'!$A$3:$B$39,2,FALSE)</f>
        <v>AM_PRS_Regions</v>
      </c>
      <c r="N76" t="str">
        <f>VLOOKUP(G76,'Distinct Queues'!$A$3:$B$39,2,FALSE)</f>
        <v>Lettings_North_West</v>
      </c>
    </row>
    <row r="77" spans="1:14">
      <c r="A77" s="29" t="s">
        <v>342</v>
      </c>
      <c r="B77" s="26" t="s">
        <v>343</v>
      </c>
      <c r="C77" s="26" t="s">
        <v>208</v>
      </c>
      <c r="D77" s="26" t="s">
        <v>209</v>
      </c>
      <c r="E77" s="26" t="s">
        <v>225</v>
      </c>
      <c r="F77" s="26" t="s">
        <v>226</v>
      </c>
      <c r="G77" s="30" t="s">
        <v>44</v>
      </c>
      <c r="I77" s="1" t="str">
        <f>Table1[[#This Row],[Building ID]]</f>
        <v>a1826000001piC1AAI</v>
      </c>
      <c r="J77" t="str">
        <f>VLOOKUP(C77,'Distinct Queues'!$A$3:$B$39,2,FALSE)</f>
        <v>Finance_Team</v>
      </c>
      <c r="K77" t="str">
        <f>VLOOKUP(D77,'Distinct Queues'!$A$3:$B$39,2,FALSE)</f>
        <v>Customer_Service_Team</v>
      </c>
      <c r="L77" t="str">
        <f>VLOOKUP(E77,'Distinct Queues'!$A$3:$B$39,2,FALSE)</f>
        <v>PRS_Regions</v>
      </c>
      <c r="M77" t="str">
        <f>VLOOKUP(F77,'Distinct Queues'!$A$3:$B$39,2,FALSE)</f>
        <v>AM_PRS_Regions</v>
      </c>
      <c r="N77" t="str">
        <f>VLOOKUP(G77,'Distinct Queues'!$A$3:$B$39,2,FALSE)</f>
        <v>Lettings_North_West</v>
      </c>
    </row>
    <row r="78" spans="1:14">
      <c r="A78" s="25" t="s">
        <v>344</v>
      </c>
      <c r="B78" s="26" t="s">
        <v>345</v>
      </c>
      <c r="C78" s="27" t="s">
        <v>208</v>
      </c>
      <c r="D78" s="27" t="s">
        <v>209</v>
      </c>
      <c r="E78" s="27" t="s">
        <v>225</v>
      </c>
      <c r="F78" s="27" t="s">
        <v>226</v>
      </c>
      <c r="G78" s="28" t="s">
        <v>44</v>
      </c>
      <c r="I78" s="1" t="str">
        <f>Table1[[#This Row],[Building ID]]</f>
        <v>a1826000001piBwAAI</v>
      </c>
      <c r="J78" t="str">
        <f>VLOOKUP(C78,'Distinct Queues'!$A$3:$B$39,2,FALSE)</f>
        <v>Finance_Team</v>
      </c>
      <c r="K78" t="str">
        <f>VLOOKUP(D78,'Distinct Queues'!$A$3:$B$39,2,FALSE)</f>
        <v>Customer_Service_Team</v>
      </c>
      <c r="L78" t="str">
        <f>VLOOKUP(E78,'Distinct Queues'!$A$3:$B$39,2,FALSE)</f>
        <v>PRS_Regions</v>
      </c>
      <c r="M78" t="str">
        <f>VLOOKUP(F78,'Distinct Queues'!$A$3:$B$39,2,FALSE)</f>
        <v>AM_PRS_Regions</v>
      </c>
      <c r="N78" t="str">
        <f>VLOOKUP(G78,'Distinct Queues'!$A$3:$B$39,2,FALSE)</f>
        <v>Lettings_North_West</v>
      </c>
    </row>
    <row r="79" spans="1:14">
      <c r="A79" s="29" t="s">
        <v>346</v>
      </c>
      <c r="B79" s="26" t="s">
        <v>347</v>
      </c>
      <c r="C79" s="26" t="s">
        <v>208</v>
      </c>
      <c r="D79" s="26" t="s">
        <v>209</v>
      </c>
      <c r="E79" s="26" t="s">
        <v>225</v>
      </c>
      <c r="F79" s="26" t="s">
        <v>226</v>
      </c>
      <c r="G79" s="30" t="s">
        <v>44</v>
      </c>
      <c r="I79" s="1" t="str">
        <f>Table1[[#This Row],[Building ID]]</f>
        <v>a1826000001piC6AAI</v>
      </c>
      <c r="J79" t="str">
        <f>VLOOKUP(C79,'Distinct Queues'!$A$3:$B$39,2,FALSE)</f>
        <v>Finance_Team</v>
      </c>
      <c r="K79" t="str">
        <f>VLOOKUP(D79,'Distinct Queues'!$A$3:$B$39,2,FALSE)</f>
        <v>Customer_Service_Team</v>
      </c>
      <c r="L79" t="str">
        <f>VLOOKUP(E79,'Distinct Queues'!$A$3:$B$39,2,FALSE)</f>
        <v>PRS_Regions</v>
      </c>
      <c r="M79" t="str">
        <f>VLOOKUP(F79,'Distinct Queues'!$A$3:$B$39,2,FALSE)</f>
        <v>AM_PRS_Regions</v>
      </c>
      <c r="N79" t="str">
        <f>VLOOKUP(G79,'Distinct Queues'!$A$3:$B$39,2,FALSE)</f>
        <v>Lettings_North_West</v>
      </c>
    </row>
    <row r="80" spans="1:14">
      <c r="A80" s="25" t="s">
        <v>348</v>
      </c>
      <c r="B80" s="26" t="s">
        <v>349</v>
      </c>
      <c r="C80" s="27" t="s">
        <v>208</v>
      </c>
      <c r="D80" s="27" t="s">
        <v>209</v>
      </c>
      <c r="E80" s="27" t="s">
        <v>225</v>
      </c>
      <c r="F80" s="27" t="s">
        <v>226</v>
      </c>
      <c r="G80" s="28" t="s">
        <v>44</v>
      </c>
      <c r="I80" s="1" t="str">
        <f>Table1[[#This Row],[Building ID]]</f>
        <v>a1826000001piCLAAY</v>
      </c>
      <c r="J80" t="str">
        <f>VLOOKUP(C80,'Distinct Queues'!$A$3:$B$39,2,FALSE)</f>
        <v>Finance_Team</v>
      </c>
      <c r="K80" t="str">
        <f>VLOOKUP(D80,'Distinct Queues'!$A$3:$B$39,2,FALSE)</f>
        <v>Customer_Service_Team</v>
      </c>
      <c r="L80" t="str">
        <f>VLOOKUP(E80,'Distinct Queues'!$A$3:$B$39,2,FALSE)</f>
        <v>PRS_Regions</v>
      </c>
      <c r="M80" t="str">
        <f>VLOOKUP(F80,'Distinct Queues'!$A$3:$B$39,2,FALSE)</f>
        <v>AM_PRS_Regions</v>
      </c>
      <c r="N80" t="str">
        <f>VLOOKUP(G80,'Distinct Queues'!$A$3:$B$39,2,FALSE)</f>
        <v>Lettings_North_West</v>
      </c>
    </row>
    <row r="81" spans="1:14">
      <c r="A81" s="29" t="s">
        <v>350</v>
      </c>
      <c r="B81" s="26" t="s">
        <v>351</v>
      </c>
      <c r="C81" s="26" t="s">
        <v>208</v>
      </c>
      <c r="D81" s="26" t="s">
        <v>209</v>
      </c>
      <c r="E81" s="26" t="s">
        <v>210</v>
      </c>
      <c r="F81" s="26" t="s">
        <v>211</v>
      </c>
      <c r="G81" s="30" t="s">
        <v>212</v>
      </c>
      <c r="I81" s="1" t="str">
        <f>Table1[[#This Row],[Building ID]]</f>
        <v>a1826000001pjAVAAY</v>
      </c>
      <c r="J81" t="str">
        <f>VLOOKUP(C81,'Distinct Queues'!$A$3:$B$39,2,FALSE)</f>
        <v>Finance_Team</v>
      </c>
      <c r="K81" t="str">
        <f>VLOOKUP(D81,'Distinct Queues'!$A$3:$B$39,2,FALSE)</f>
        <v>Customer_Service_Team</v>
      </c>
      <c r="L81" t="str">
        <f>VLOOKUP(E81,'Distinct Queues'!$A$3:$B$39,2,FALSE)</f>
        <v>PRS_London</v>
      </c>
      <c r="M81" t="str">
        <f>VLOOKUP(F81,'Distinct Queues'!$A$3:$B$39,2,FALSE)</f>
        <v>AM_PRS_London</v>
      </c>
      <c r="N81" t="str">
        <f>VLOOKUP(G81,'Distinct Queues'!$A$3:$B$39,2,FALSE)</f>
        <v>Lettings_South</v>
      </c>
    </row>
    <row r="82" spans="1:14">
      <c r="A82" s="25" t="s">
        <v>352</v>
      </c>
      <c r="B82" s="26" t="s">
        <v>353</v>
      </c>
      <c r="C82" s="27" t="s">
        <v>208</v>
      </c>
      <c r="D82" s="27" t="s">
        <v>209</v>
      </c>
      <c r="E82" s="27" t="s">
        <v>210</v>
      </c>
      <c r="F82" s="27" t="s">
        <v>211</v>
      </c>
      <c r="G82" s="28" t="s">
        <v>212</v>
      </c>
      <c r="I82" s="1" t="str">
        <f>Table1[[#This Row],[Building ID]]</f>
        <v>a1826000001pj9SAAQ</v>
      </c>
      <c r="J82" t="str">
        <f>VLOOKUP(C82,'Distinct Queues'!$A$3:$B$39,2,FALSE)</f>
        <v>Finance_Team</v>
      </c>
      <c r="K82" t="str">
        <f>VLOOKUP(D82,'Distinct Queues'!$A$3:$B$39,2,FALSE)</f>
        <v>Customer_Service_Team</v>
      </c>
      <c r="L82" t="str">
        <f>VLOOKUP(E82,'Distinct Queues'!$A$3:$B$39,2,FALSE)</f>
        <v>PRS_London</v>
      </c>
      <c r="M82" t="str">
        <f>VLOOKUP(F82,'Distinct Queues'!$A$3:$B$39,2,FALSE)</f>
        <v>AM_PRS_London</v>
      </c>
      <c r="N82" t="str">
        <f>VLOOKUP(G82,'Distinct Queues'!$A$3:$B$39,2,FALSE)</f>
        <v>Lettings_South</v>
      </c>
    </row>
    <row r="83" spans="1:14">
      <c r="A83" s="29" t="s">
        <v>354</v>
      </c>
      <c r="B83" s="26" t="s">
        <v>355</v>
      </c>
      <c r="C83" s="26" t="s">
        <v>208</v>
      </c>
      <c r="D83" s="26" t="s">
        <v>209</v>
      </c>
      <c r="E83" s="26" t="s">
        <v>225</v>
      </c>
      <c r="F83" s="26" t="s">
        <v>226</v>
      </c>
      <c r="G83" s="30" t="s">
        <v>44</v>
      </c>
      <c r="I83" s="1" t="str">
        <f>Table1[[#This Row],[Building ID]]</f>
        <v>a1826000001piuJAAQ</v>
      </c>
      <c r="J83" t="str">
        <f>VLOOKUP(C83,'Distinct Queues'!$A$3:$B$39,2,FALSE)</f>
        <v>Finance_Team</v>
      </c>
      <c r="K83" t="str">
        <f>VLOOKUP(D83,'Distinct Queues'!$A$3:$B$39,2,FALSE)</f>
        <v>Customer_Service_Team</v>
      </c>
      <c r="L83" t="str">
        <f>VLOOKUP(E83,'Distinct Queues'!$A$3:$B$39,2,FALSE)</f>
        <v>PRS_Regions</v>
      </c>
      <c r="M83" t="str">
        <f>VLOOKUP(F83,'Distinct Queues'!$A$3:$B$39,2,FALSE)</f>
        <v>AM_PRS_Regions</v>
      </c>
      <c r="N83" t="str">
        <f>VLOOKUP(G83,'Distinct Queues'!$A$3:$B$39,2,FALSE)</f>
        <v>Lettings_North_West</v>
      </c>
    </row>
    <row r="84" spans="1:14">
      <c r="A84" s="25" t="s">
        <v>356</v>
      </c>
      <c r="B84" s="26" t="s">
        <v>357</v>
      </c>
      <c r="C84" s="27" t="s">
        <v>208</v>
      </c>
      <c r="D84" s="27" t="s">
        <v>209</v>
      </c>
      <c r="E84" s="27" t="s">
        <v>225</v>
      </c>
      <c r="F84" s="27" t="s">
        <v>226</v>
      </c>
      <c r="G84" s="28" t="s">
        <v>44</v>
      </c>
      <c r="I84" s="1" t="str">
        <f>Table1[[#This Row],[Building ID]]</f>
        <v>a1826000001piqHAAQ</v>
      </c>
      <c r="J84" t="str">
        <f>VLOOKUP(C84,'Distinct Queues'!$A$3:$B$39,2,FALSE)</f>
        <v>Finance_Team</v>
      </c>
      <c r="K84" t="str">
        <f>VLOOKUP(D84,'Distinct Queues'!$A$3:$B$39,2,FALSE)</f>
        <v>Customer_Service_Team</v>
      </c>
      <c r="L84" t="str">
        <f>VLOOKUP(E84,'Distinct Queues'!$A$3:$B$39,2,FALSE)</f>
        <v>PRS_Regions</v>
      </c>
      <c r="M84" t="str">
        <f>VLOOKUP(F84,'Distinct Queues'!$A$3:$B$39,2,FALSE)</f>
        <v>AM_PRS_Regions</v>
      </c>
      <c r="N84" t="str">
        <f>VLOOKUP(G84,'Distinct Queues'!$A$3:$B$39,2,FALSE)</f>
        <v>Lettings_North_West</v>
      </c>
    </row>
    <row r="85" spans="1:14">
      <c r="A85" s="29" t="s">
        <v>358</v>
      </c>
      <c r="B85" s="26" t="s">
        <v>359</v>
      </c>
      <c r="C85" s="26" t="s">
        <v>208</v>
      </c>
      <c r="D85" s="26" t="s">
        <v>209</v>
      </c>
      <c r="E85" s="26" t="s">
        <v>225</v>
      </c>
      <c r="F85" s="26" t="s">
        <v>226</v>
      </c>
      <c r="G85" s="30" t="s">
        <v>44</v>
      </c>
      <c r="I85" s="1" t="str">
        <f>Table1[[#This Row],[Building ID]]</f>
        <v>a1826000001piCuAAI</v>
      </c>
      <c r="J85" t="str">
        <f>VLOOKUP(C85,'Distinct Queues'!$A$3:$B$39,2,FALSE)</f>
        <v>Finance_Team</v>
      </c>
      <c r="K85" t="str">
        <f>VLOOKUP(D85,'Distinct Queues'!$A$3:$B$39,2,FALSE)</f>
        <v>Customer_Service_Team</v>
      </c>
      <c r="L85" t="str">
        <f>VLOOKUP(E85,'Distinct Queues'!$A$3:$B$39,2,FALSE)</f>
        <v>PRS_Regions</v>
      </c>
      <c r="M85" t="str">
        <f>VLOOKUP(F85,'Distinct Queues'!$A$3:$B$39,2,FALSE)</f>
        <v>AM_PRS_Regions</v>
      </c>
      <c r="N85" t="str">
        <f>VLOOKUP(G85,'Distinct Queues'!$A$3:$B$39,2,FALSE)</f>
        <v>Lettings_North_West</v>
      </c>
    </row>
    <row r="86" spans="1:14">
      <c r="A86" s="25" t="s">
        <v>360</v>
      </c>
      <c r="B86" s="26" t="s">
        <v>361</v>
      </c>
      <c r="C86" s="27" t="s">
        <v>208</v>
      </c>
      <c r="D86" s="27" t="s">
        <v>362</v>
      </c>
      <c r="E86" s="27" t="s">
        <v>362</v>
      </c>
      <c r="F86" s="27" t="s">
        <v>120</v>
      </c>
      <c r="G86" s="28" t="s">
        <v>212</v>
      </c>
      <c r="I86" s="1" t="str">
        <f>Table1[[#This Row],[Building ID]]</f>
        <v>a1826000001RwlXAAS</v>
      </c>
      <c r="J86" t="str">
        <f>VLOOKUP(C86,'Distinct Queues'!$A$3:$B$39,2,FALSE)</f>
        <v>Finance_Team</v>
      </c>
      <c r="K86" t="str">
        <f>VLOOKUP(D86,'Distinct Queues'!$A$3:$B$39,2,FALSE)</f>
        <v>Gatehouse_Team</v>
      </c>
      <c r="L86" t="str">
        <f>VLOOKUP(E86,'Distinct Queues'!$A$3:$B$39,2,FALSE)</f>
        <v>Gatehouse_Team</v>
      </c>
      <c r="M86" t="str">
        <f>VLOOKUP(F86,'Distinct Queues'!$A$3:$B$39,2,FALSE)</f>
        <v>AM_BTR_London</v>
      </c>
      <c r="N86" t="str">
        <f>VLOOKUP(G86,'Distinct Queues'!$A$3:$B$39,2,FALSE)</f>
        <v>Lettings_South</v>
      </c>
    </row>
    <row r="87" spans="1:14">
      <c r="A87" s="29" t="s">
        <v>363</v>
      </c>
      <c r="B87" s="26" t="s">
        <v>364</v>
      </c>
      <c r="C87" s="26" t="s">
        <v>208</v>
      </c>
      <c r="D87" s="26" t="s">
        <v>362</v>
      </c>
      <c r="E87" s="26" t="s">
        <v>362</v>
      </c>
      <c r="F87" s="26" t="s">
        <v>120</v>
      </c>
      <c r="G87" s="30" t="s">
        <v>212</v>
      </c>
      <c r="I87" s="1" t="str">
        <f>Table1[[#This Row],[Building ID]]</f>
        <v>a1826000001pj1JAAQ</v>
      </c>
      <c r="J87" t="str">
        <f>VLOOKUP(C87,'Distinct Queues'!$A$3:$B$39,2,FALSE)</f>
        <v>Finance_Team</v>
      </c>
      <c r="K87" t="str">
        <f>VLOOKUP(D87,'Distinct Queues'!$A$3:$B$39,2,FALSE)</f>
        <v>Gatehouse_Team</v>
      </c>
      <c r="L87" t="str">
        <f>VLOOKUP(E87,'Distinct Queues'!$A$3:$B$39,2,FALSE)</f>
        <v>Gatehouse_Team</v>
      </c>
      <c r="M87" t="str">
        <f>VLOOKUP(F87,'Distinct Queues'!$A$3:$B$39,2,FALSE)</f>
        <v>AM_BTR_London</v>
      </c>
      <c r="N87" t="str">
        <f>VLOOKUP(G87,'Distinct Queues'!$A$3:$B$39,2,FALSE)</f>
        <v>Lettings_South</v>
      </c>
    </row>
    <row r="88" spans="1:14">
      <c r="A88" s="25" t="s">
        <v>105</v>
      </c>
      <c r="B88" s="26" t="s">
        <v>365</v>
      </c>
      <c r="C88" s="27" t="s">
        <v>208</v>
      </c>
      <c r="D88" s="27" t="s">
        <v>104</v>
      </c>
      <c r="E88" s="27" t="s">
        <v>104</v>
      </c>
      <c r="F88" s="27" t="s">
        <v>31</v>
      </c>
      <c r="G88" s="28" t="s">
        <v>56</v>
      </c>
      <c r="I88" s="1" t="str">
        <f>Table1[[#This Row],[Building ID]]</f>
        <v>a1826000001S1aFAAS</v>
      </c>
      <c r="J88" t="str">
        <f>VLOOKUP(C88,'Distinct Queues'!$A$3:$B$39,2,FALSE)</f>
        <v>Finance_Team</v>
      </c>
      <c r="K88" t="str">
        <f>VLOOKUP(D88,'Distinct Queues'!$A$3:$B$39,2,FALSE)</f>
        <v>Gilders_Yard_Team</v>
      </c>
      <c r="L88" t="str">
        <f>VLOOKUP(E88,'Distinct Queues'!$A$3:$B$39,2,FALSE)</f>
        <v>Gilders_Yard_Team</v>
      </c>
      <c r="M88" t="str">
        <f>VLOOKUP(F88,'Distinct Queues'!$A$3:$B$39,2,FALSE)</f>
        <v>AM_New_Launches</v>
      </c>
      <c r="N88" t="str">
        <f>VLOOKUP(G88,'Distinct Queues'!$A$3:$B$39,2,FALSE)</f>
        <v>Lettings_Midlands</v>
      </c>
    </row>
    <row r="89" spans="1:14">
      <c r="A89" s="29" t="s">
        <v>102</v>
      </c>
      <c r="B89" s="26" t="s">
        <v>366</v>
      </c>
      <c r="C89" s="26" t="s">
        <v>208</v>
      </c>
      <c r="D89" s="26" t="s">
        <v>104</v>
      </c>
      <c r="E89" s="26" t="s">
        <v>104</v>
      </c>
      <c r="F89" s="26" t="s">
        <v>31</v>
      </c>
      <c r="G89" s="30" t="s">
        <v>56</v>
      </c>
      <c r="I89" s="1" t="str">
        <f>Table1[[#This Row],[Building ID]]</f>
        <v>a1826000001S1ZVAA0</v>
      </c>
      <c r="J89" t="str">
        <f>VLOOKUP(C89,'Distinct Queues'!$A$3:$B$39,2,FALSE)</f>
        <v>Finance_Team</v>
      </c>
      <c r="K89" t="str">
        <f>VLOOKUP(D89,'Distinct Queues'!$A$3:$B$39,2,FALSE)</f>
        <v>Gilders_Yard_Team</v>
      </c>
      <c r="L89" t="str">
        <f>VLOOKUP(E89,'Distinct Queues'!$A$3:$B$39,2,FALSE)</f>
        <v>Gilders_Yard_Team</v>
      </c>
      <c r="M89" t="str">
        <f>VLOOKUP(F89,'Distinct Queues'!$A$3:$B$39,2,FALSE)</f>
        <v>AM_New_Launches</v>
      </c>
      <c r="N89" t="str">
        <f>VLOOKUP(G89,'Distinct Queues'!$A$3:$B$39,2,FALSE)</f>
        <v>Lettings_Midlands</v>
      </c>
    </row>
    <row r="90" spans="1:14">
      <c r="A90" s="25" t="s">
        <v>107</v>
      </c>
      <c r="B90" s="26" t="s">
        <v>366</v>
      </c>
      <c r="C90" s="27" t="s">
        <v>208</v>
      </c>
      <c r="D90" s="27" t="s">
        <v>104</v>
      </c>
      <c r="E90" s="27" t="s">
        <v>104</v>
      </c>
      <c r="F90" s="27" t="s">
        <v>31</v>
      </c>
      <c r="G90" s="28" t="s">
        <v>56</v>
      </c>
      <c r="I90" s="1" t="str">
        <f>Table1[[#This Row],[Building ID]]</f>
        <v>a1826000001S1ZVAA0</v>
      </c>
      <c r="J90" t="str">
        <f>VLOOKUP(C90,'Distinct Queues'!$A$3:$B$39,2,FALSE)</f>
        <v>Finance_Team</v>
      </c>
      <c r="K90" t="str">
        <f>VLOOKUP(D90,'Distinct Queues'!$A$3:$B$39,2,FALSE)</f>
        <v>Gilders_Yard_Team</v>
      </c>
      <c r="L90" t="str">
        <f>VLOOKUP(E90,'Distinct Queues'!$A$3:$B$39,2,FALSE)</f>
        <v>Gilders_Yard_Team</v>
      </c>
      <c r="M90" t="str">
        <f>VLOOKUP(F90,'Distinct Queues'!$A$3:$B$39,2,FALSE)</f>
        <v>AM_New_Launches</v>
      </c>
      <c r="N90" t="str">
        <f>VLOOKUP(G90,'Distinct Queues'!$A$3:$B$39,2,FALSE)</f>
        <v>Lettings_Midlands</v>
      </c>
    </row>
    <row r="91" spans="1:14">
      <c r="A91" s="29" t="s">
        <v>367</v>
      </c>
      <c r="B91" s="26" t="s">
        <v>368</v>
      </c>
      <c r="C91" s="26" t="s">
        <v>208</v>
      </c>
      <c r="D91" s="26" t="s">
        <v>209</v>
      </c>
      <c r="E91" s="26" t="s">
        <v>210</v>
      </c>
      <c r="F91" s="26" t="s">
        <v>211</v>
      </c>
      <c r="G91" s="30" t="s">
        <v>212</v>
      </c>
      <c r="I91" s="1" t="str">
        <f>Table1[[#This Row],[Building ID]]</f>
        <v>a1826000001piZKAAY</v>
      </c>
      <c r="J91" t="str">
        <f>VLOOKUP(C91,'Distinct Queues'!$A$3:$B$39,2,FALSE)</f>
        <v>Finance_Team</v>
      </c>
      <c r="K91" t="str">
        <f>VLOOKUP(D91,'Distinct Queues'!$A$3:$B$39,2,FALSE)</f>
        <v>Customer_Service_Team</v>
      </c>
      <c r="L91" t="str">
        <f>VLOOKUP(E91,'Distinct Queues'!$A$3:$B$39,2,FALSE)</f>
        <v>PRS_London</v>
      </c>
      <c r="M91" t="str">
        <f>VLOOKUP(F91,'Distinct Queues'!$A$3:$B$39,2,FALSE)</f>
        <v>AM_PRS_London</v>
      </c>
      <c r="N91" t="str">
        <f>VLOOKUP(G91,'Distinct Queues'!$A$3:$B$39,2,FALSE)</f>
        <v>Lettings_South</v>
      </c>
    </row>
    <row r="92" spans="1:14">
      <c r="A92" s="25" t="s">
        <v>369</v>
      </c>
      <c r="B92" s="26" t="s">
        <v>370</v>
      </c>
      <c r="C92" s="27" t="s">
        <v>208</v>
      </c>
      <c r="D92" s="27" t="s">
        <v>209</v>
      </c>
      <c r="E92" s="27" t="s">
        <v>210</v>
      </c>
      <c r="F92" s="27" t="s">
        <v>211</v>
      </c>
      <c r="G92" s="28" t="s">
        <v>212</v>
      </c>
      <c r="I92" s="1" t="str">
        <f>Table1[[#This Row],[Building ID]]</f>
        <v>a1826000001SageAAC</v>
      </c>
      <c r="J92" t="str">
        <f>VLOOKUP(C92,'Distinct Queues'!$A$3:$B$39,2,FALSE)</f>
        <v>Finance_Team</v>
      </c>
      <c r="K92" t="str">
        <f>VLOOKUP(D92,'Distinct Queues'!$A$3:$B$39,2,FALSE)</f>
        <v>Customer_Service_Team</v>
      </c>
      <c r="L92" t="str">
        <f>VLOOKUP(E92,'Distinct Queues'!$A$3:$B$39,2,FALSE)</f>
        <v>PRS_London</v>
      </c>
      <c r="M92" t="str">
        <f>VLOOKUP(F92,'Distinct Queues'!$A$3:$B$39,2,FALSE)</f>
        <v>AM_PRS_London</v>
      </c>
      <c r="N92" t="str">
        <f>VLOOKUP(G92,'Distinct Queues'!$A$3:$B$39,2,FALSE)</f>
        <v>Lettings_South</v>
      </c>
    </row>
    <row r="93" spans="1:14">
      <c r="A93" s="29" t="s">
        <v>371</v>
      </c>
      <c r="B93" s="26" t="s">
        <v>372</v>
      </c>
      <c r="C93" s="26" t="s">
        <v>208</v>
      </c>
      <c r="D93" s="26" t="s">
        <v>209</v>
      </c>
      <c r="E93" s="26" t="s">
        <v>210</v>
      </c>
      <c r="F93" s="26" t="s">
        <v>211</v>
      </c>
      <c r="G93" s="30" t="s">
        <v>212</v>
      </c>
      <c r="I93" s="1" t="str">
        <f>Table1[[#This Row],[Building ID]]</f>
        <v>a1826000001piZyAAI</v>
      </c>
      <c r="J93" t="str">
        <f>VLOOKUP(C93,'Distinct Queues'!$A$3:$B$39,2,FALSE)</f>
        <v>Finance_Team</v>
      </c>
      <c r="K93" t="str">
        <f>VLOOKUP(D93,'Distinct Queues'!$A$3:$B$39,2,FALSE)</f>
        <v>Customer_Service_Team</v>
      </c>
      <c r="L93" t="str">
        <f>VLOOKUP(E93,'Distinct Queues'!$A$3:$B$39,2,FALSE)</f>
        <v>PRS_London</v>
      </c>
      <c r="M93" t="str">
        <f>VLOOKUP(F93,'Distinct Queues'!$A$3:$B$39,2,FALSE)</f>
        <v>AM_PRS_London</v>
      </c>
      <c r="N93" t="str">
        <f>VLOOKUP(G93,'Distinct Queues'!$A$3:$B$39,2,FALSE)</f>
        <v>Lettings_South</v>
      </c>
    </row>
    <row r="94" spans="1:14">
      <c r="A94" s="25" t="s">
        <v>184</v>
      </c>
      <c r="B94" s="26" t="s">
        <v>373</v>
      </c>
      <c r="C94" s="27" t="s">
        <v>208</v>
      </c>
      <c r="D94" s="27" t="s">
        <v>186</v>
      </c>
      <c r="E94" s="27" t="s">
        <v>186</v>
      </c>
      <c r="F94" s="27" t="s">
        <v>120</v>
      </c>
      <c r="G94" s="28" t="s">
        <v>212</v>
      </c>
      <c r="I94" s="1" t="str">
        <f>Table1[[#This Row],[Building ID]]</f>
        <v>a1826000001pigIAAQ</v>
      </c>
      <c r="J94" t="str">
        <f>VLOOKUP(C94,'Distinct Queues'!$A$3:$B$39,2,FALSE)</f>
        <v>Finance_Team</v>
      </c>
      <c r="K94" t="str">
        <f>VLOOKUP(D94,'Distinct Queues'!$A$3:$B$39,2,FALSE)</f>
        <v>Apex_Gardens_Team</v>
      </c>
      <c r="L94" t="str">
        <f>VLOOKUP(E94,'Distinct Queues'!$A$3:$B$39,2,FALSE)</f>
        <v>Apex_Gardens_Team</v>
      </c>
      <c r="M94" t="str">
        <f>VLOOKUP(F94,'Distinct Queues'!$A$3:$B$39,2,FALSE)</f>
        <v>AM_BTR_London</v>
      </c>
      <c r="N94" t="str">
        <f>VLOOKUP(G94,'Distinct Queues'!$A$3:$B$39,2,FALSE)</f>
        <v>Lettings_South</v>
      </c>
    </row>
    <row r="95" spans="1:14">
      <c r="A95" s="29" t="s">
        <v>374</v>
      </c>
      <c r="B95" s="26" t="s">
        <v>375</v>
      </c>
      <c r="C95" s="26" t="s">
        <v>208</v>
      </c>
      <c r="D95" s="26" t="s">
        <v>209</v>
      </c>
      <c r="E95" s="26" t="s">
        <v>225</v>
      </c>
      <c r="F95" s="26" t="s">
        <v>226</v>
      </c>
      <c r="G95" s="30" t="s">
        <v>44</v>
      </c>
      <c r="I95" s="1" t="str">
        <f>Table1[[#This Row],[Building ID]]</f>
        <v>a1826000001piCVAAY</v>
      </c>
      <c r="J95" t="str">
        <f>VLOOKUP(C95,'Distinct Queues'!$A$3:$B$39,2,FALSE)</f>
        <v>Finance_Team</v>
      </c>
      <c r="K95" t="str">
        <f>VLOOKUP(D95,'Distinct Queues'!$A$3:$B$39,2,FALSE)</f>
        <v>Customer_Service_Team</v>
      </c>
      <c r="L95" t="str">
        <f>VLOOKUP(E95,'Distinct Queues'!$A$3:$B$39,2,FALSE)</f>
        <v>PRS_Regions</v>
      </c>
      <c r="M95" t="str">
        <f>VLOOKUP(F95,'Distinct Queues'!$A$3:$B$39,2,FALSE)</f>
        <v>AM_PRS_Regions</v>
      </c>
      <c r="N95" t="str">
        <f>VLOOKUP(G95,'Distinct Queues'!$A$3:$B$39,2,FALSE)</f>
        <v>Lettings_North_West</v>
      </c>
    </row>
    <row r="96" spans="1:14">
      <c r="A96" s="25" t="s">
        <v>53</v>
      </c>
      <c r="B96" s="26" t="s">
        <v>376</v>
      </c>
      <c r="C96" s="27" t="s">
        <v>208</v>
      </c>
      <c r="D96" s="27" t="s">
        <v>55</v>
      </c>
      <c r="E96" s="27" t="s">
        <v>55</v>
      </c>
      <c r="F96" s="27" t="s">
        <v>11</v>
      </c>
      <c r="G96" s="28" t="s">
        <v>56</v>
      </c>
      <c r="I96" s="1" t="str">
        <f>Table1[[#This Row],[Building ID]]</f>
        <v>a1826000001pj0fAAA</v>
      </c>
      <c r="J96" t="str">
        <f>VLOOKUP(C96,'Distinct Queues'!$A$3:$B$39,2,FALSE)</f>
        <v>Finance_Team</v>
      </c>
      <c r="K96" t="str">
        <f>VLOOKUP(D96,'Distinct Queues'!$A$3:$B$39,2,FALSE)</f>
        <v>Hawkins_and_George_Team</v>
      </c>
      <c r="L96" t="str">
        <f>VLOOKUP(E96,'Distinct Queues'!$A$3:$B$39,2,FALSE)</f>
        <v>Hawkins_and_George_Team</v>
      </c>
      <c r="M96" t="str">
        <f>VLOOKUP(F96,'Distinct Queues'!$A$3:$B$39,2,FALSE)</f>
        <v>AM_BTR_Regions</v>
      </c>
      <c r="N96" t="str">
        <f>VLOOKUP(G96,'Distinct Queues'!$A$3:$B$39,2,FALSE)</f>
        <v>Lettings_Midlands</v>
      </c>
    </row>
    <row r="97" spans="1:14">
      <c r="A97" s="29" t="s">
        <v>57</v>
      </c>
      <c r="B97" s="26" t="s">
        <v>377</v>
      </c>
      <c r="C97" s="26" t="s">
        <v>208</v>
      </c>
      <c r="D97" s="26" t="s">
        <v>55</v>
      </c>
      <c r="E97" s="26" t="s">
        <v>55</v>
      </c>
      <c r="F97" s="26" t="s">
        <v>11</v>
      </c>
      <c r="G97" s="30" t="s">
        <v>56</v>
      </c>
      <c r="I97" s="1" t="str">
        <f>Table1[[#This Row],[Building ID]]</f>
        <v>a1826000001pixmAAA</v>
      </c>
      <c r="J97" t="str">
        <f>VLOOKUP(C97,'Distinct Queues'!$A$3:$B$39,2,FALSE)</f>
        <v>Finance_Team</v>
      </c>
      <c r="K97" t="str">
        <f>VLOOKUP(D97,'Distinct Queues'!$A$3:$B$39,2,FALSE)</f>
        <v>Hawkins_and_George_Team</v>
      </c>
      <c r="L97" t="str">
        <f>VLOOKUP(E97,'Distinct Queues'!$A$3:$B$39,2,FALSE)</f>
        <v>Hawkins_and_George_Team</v>
      </c>
      <c r="M97" t="str">
        <f>VLOOKUP(F97,'Distinct Queues'!$A$3:$B$39,2,FALSE)</f>
        <v>AM_BTR_Regions</v>
      </c>
      <c r="N97" t="str">
        <f>VLOOKUP(G97,'Distinct Queues'!$A$3:$B$39,2,FALSE)</f>
        <v>Lettings_Midlands</v>
      </c>
    </row>
    <row r="98" spans="1:14">
      <c r="A98" s="25" t="s">
        <v>63</v>
      </c>
      <c r="B98" s="26" t="s">
        <v>378</v>
      </c>
      <c r="C98" s="27" t="s">
        <v>208</v>
      </c>
      <c r="D98" s="27" t="s">
        <v>55</v>
      </c>
      <c r="E98" s="27" t="s">
        <v>55</v>
      </c>
      <c r="F98" s="27" t="s">
        <v>11</v>
      </c>
      <c r="G98" s="28" t="s">
        <v>56</v>
      </c>
      <c r="I98" s="1" t="str">
        <f>Table1[[#This Row],[Building ID]]</f>
        <v>a1826000001pj0aAAA</v>
      </c>
      <c r="J98" t="str">
        <f>VLOOKUP(C98,'Distinct Queues'!$A$3:$B$39,2,FALSE)</f>
        <v>Finance_Team</v>
      </c>
      <c r="K98" t="str">
        <f>VLOOKUP(D98,'Distinct Queues'!$A$3:$B$39,2,FALSE)</f>
        <v>Hawkins_and_George_Team</v>
      </c>
      <c r="L98" t="str">
        <f>VLOOKUP(E98,'Distinct Queues'!$A$3:$B$39,2,FALSE)</f>
        <v>Hawkins_and_George_Team</v>
      </c>
      <c r="M98" t="str">
        <f>VLOOKUP(F98,'Distinct Queues'!$A$3:$B$39,2,FALSE)</f>
        <v>AM_BTR_Regions</v>
      </c>
      <c r="N98" t="str">
        <f>VLOOKUP(G98,'Distinct Queues'!$A$3:$B$39,2,FALSE)</f>
        <v>Lettings_Midlands</v>
      </c>
    </row>
    <row r="99" spans="1:14">
      <c r="A99" s="29" t="s">
        <v>379</v>
      </c>
      <c r="B99" s="26" t="s">
        <v>380</v>
      </c>
      <c r="C99" s="26" t="s">
        <v>208</v>
      </c>
      <c r="D99" s="26" t="s">
        <v>209</v>
      </c>
      <c r="E99" s="26" t="s">
        <v>210</v>
      </c>
      <c r="F99" s="26" t="s">
        <v>211</v>
      </c>
      <c r="G99" s="30" t="s">
        <v>212</v>
      </c>
      <c r="I99" s="1" t="str">
        <f>Table1[[#This Row],[Building ID]]</f>
        <v>a1826000001pj94AAA</v>
      </c>
      <c r="J99" t="str">
        <f>VLOOKUP(C99,'Distinct Queues'!$A$3:$B$39,2,FALSE)</f>
        <v>Finance_Team</v>
      </c>
      <c r="K99" t="str">
        <f>VLOOKUP(D99,'Distinct Queues'!$A$3:$B$39,2,FALSE)</f>
        <v>Customer_Service_Team</v>
      </c>
      <c r="L99" t="str">
        <f>VLOOKUP(E99,'Distinct Queues'!$A$3:$B$39,2,FALSE)</f>
        <v>PRS_London</v>
      </c>
      <c r="M99" t="str">
        <f>VLOOKUP(F99,'Distinct Queues'!$A$3:$B$39,2,FALSE)</f>
        <v>AM_PRS_London</v>
      </c>
      <c r="N99" t="str">
        <f>VLOOKUP(G99,'Distinct Queues'!$A$3:$B$39,2,FALSE)</f>
        <v>Lettings_South</v>
      </c>
    </row>
    <row r="100" spans="1:14">
      <c r="A100" s="25" t="s">
        <v>381</v>
      </c>
      <c r="B100" s="26" t="s">
        <v>382</v>
      </c>
      <c r="C100" s="27" t="s">
        <v>208</v>
      </c>
      <c r="D100" s="27" t="s">
        <v>209</v>
      </c>
      <c r="E100" s="27" t="s">
        <v>225</v>
      </c>
      <c r="F100" s="27" t="s">
        <v>226</v>
      </c>
      <c r="G100" s="28" t="s">
        <v>44</v>
      </c>
      <c r="I100" s="1" t="str">
        <f>Table1[[#This Row],[Building ID]]</f>
        <v>a1826000001rb51AAA</v>
      </c>
      <c r="J100" t="str">
        <f>VLOOKUP(C100,'Distinct Queues'!$A$3:$B$39,2,FALSE)</f>
        <v>Finance_Team</v>
      </c>
      <c r="K100" t="str">
        <f>VLOOKUP(D100,'Distinct Queues'!$A$3:$B$39,2,FALSE)</f>
        <v>Customer_Service_Team</v>
      </c>
      <c r="L100" t="str">
        <f>VLOOKUP(E100,'Distinct Queues'!$A$3:$B$39,2,FALSE)</f>
        <v>PRS_Regions</v>
      </c>
      <c r="M100" t="str">
        <f>VLOOKUP(F100,'Distinct Queues'!$A$3:$B$39,2,FALSE)</f>
        <v>AM_PRS_Regions</v>
      </c>
      <c r="N100" t="str">
        <f>VLOOKUP(G100,'Distinct Queues'!$A$3:$B$39,2,FALSE)</f>
        <v>Lettings_North_West</v>
      </c>
    </row>
    <row r="101" spans="1:14">
      <c r="A101" s="29" t="s">
        <v>383</v>
      </c>
      <c r="B101" s="26" t="s">
        <v>384</v>
      </c>
      <c r="C101" s="26" t="s">
        <v>208</v>
      </c>
      <c r="D101" s="26" t="s">
        <v>209</v>
      </c>
      <c r="E101" s="26" t="s">
        <v>225</v>
      </c>
      <c r="F101" s="26" t="s">
        <v>226</v>
      </c>
      <c r="G101" s="30" t="s">
        <v>44</v>
      </c>
      <c r="I101" s="1" t="str">
        <f>Table1[[#This Row],[Building ID]]</f>
        <v>a1826000001piDoAAI</v>
      </c>
      <c r="J101" t="str">
        <f>VLOOKUP(C101,'Distinct Queues'!$A$3:$B$39,2,FALSE)</f>
        <v>Finance_Team</v>
      </c>
      <c r="K101" t="str">
        <f>VLOOKUP(D101,'Distinct Queues'!$A$3:$B$39,2,FALSE)</f>
        <v>Customer_Service_Team</v>
      </c>
      <c r="L101" t="str">
        <f>VLOOKUP(E101,'Distinct Queues'!$A$3:$B$39,2,FALSE)</f>
        <v>PRS_Regions</v>
      </c>
      <c r="M101" t="str">
        <f>VLOOKUP(F101,'Distinct Queues'!$A$3:$B$39,2,FALSE)</f>
        <v>AM_PRS_Regions</v>
      </c>
      <c r="N101" t="str">
        <f>VLOOKUP(G101,'Distinct Queues'!$A$3:$B$39,2,FALSE)</f>
        <v>Lettings_North_West</v>
      </c>
    </row>
    <row r="102" spans="1:14">
      <c r="A102" s="25" t="s">
        <v>385</v>
      </c>
      <c r="B102" s="26" t="s">
        <v>386</v>
      </c>
      <c r="C102" s="27" t="s">
        <v>208</v>
      </c>
      <c r="D102" s="27" t="s">
        <v>209</v>
      </c>
      <c r="E102" s="27" t="s">
        <v>225</v>
      </c>
      <c r="F102" s="27" t="s">
        <v>226</v>
      </c>
      <c r="G102" s="28" t="s">
        <v>44</v>
      </c>
      <c r="I102" s="1" t="str">
        <f>Table1[[#This Row],[Building ID]]</f>
        <v>a1826000001piFuAAI</v>
      </c>
      <c r="J102" t="str">
        <f>VLOOKUP(C102,'Distinct Queues'!$A$3:$B$39,2,FALSE)</f>
        <v>Finance_Team</v>
      </c>
      <c r="K102" t="str">
        <f>VLOOKUP(D102,'Distinct Queues'!$A$3:$B$39,2,FALSE)</f>
        <v>Customer_Service_Team</v>
      </c>
      <c r="L102" t="str">
        <f>VLOOKUP(E102,'Distinct Queues'!$A$3:$B$39,2,FALSE)</f>
        <v>PRS_Regions</v>
      </c>
      <c r="M102" t="str">
        <f>VLOOKUP(F102,'Distinct Queues'!$A$3:$B$39,2,FALSE)</f>
        <v>AM_PRS_Regions</v>
      </c>
      <c r="N102" t="str">
        <f>VLOOKUP(G102,'Distinct Queues'!$A$3:$B$39,2,FALSE)</f>
        <v>Lettings_North_West</v>
      </c>
    </row>
    <row r="103" spans="1:14">
      <c r="A103" s="29" t="s">
        <v>387</v>
      </c>
      <c r="B103" s="26" t="s">
        <v>388</v>
      </c>
      <c r="C103" s="26" t="s">
        <v>208</v>
      </c>
      <c r="D103" s="26" t="s">
        <v>209</v>
      </c>
      <c r="E103" s="26" t="s">
        <v>225</v>
      </c>
      <c r="F103" s="26" t="s">
        <v>226</v>
      </c>
      <c r="G103" s="30" t="s">
        <v>44</v>
      </c>
      <c r="I103" s="1" t="str">
        <f>Table1[[#This Row],[Building ID]]</f>
        <v>a1826000001piDFAAY</v>
      </c>
      <c r="J103" t="str">
        <f>VLOOKUP(C103,'Distinct Queues'!$A$3:$B$39,2,FALSE)</f>
        <v>Finance_Team</v>
      </c>
      <c r="K103" t="str">
        <f>VLOOKUP(D103,'Distinct Queues'!$A$3:$B$39,2,FALSE)</f>
        <v>Customer_Service_Team</v>
      </c>
      <c r="L103" t="str">
        <f>VLOOKUP(E103,'Distinct Queues'!$A$3:$B$39,2,FALSE)</f>
        <v>PRS_Regions</v>
      </c>
      <c r="M103" t="str">
        <f>VLOOKUP(F103,'Distinct Queues'!$A$3:$B$39,2,FALSE)</f>
        <v>AM_PRS_Regions</v>
      </c>
      <c r="N103" t="str">
        <f>VLOOKUP(G103,'Distinct Queues'!$A$3:$B$39,2,FALSE)</f>
        <v>Lettings_North_West</v>
      </c>
    </row>
    <row r="104" spans="1:14">
      <c r="A104" s="25" t="s">
        <v>389</v>
      </c>
      <c r="B104" s="26" t="s">
        <v>390</v>
      </c>
      <c r="C104" s="27" t="s">
        <v>208</v>
      </c>
      <c r="D104" s="27" t="s">
        <v>209</v>
      </c>
      <c r="E104" s="27" t="s">
        <v>225</v>
      </c>
      <c r="F104" s="27" t="s">
        <v>226</v>
      </c>
      <c r="G104" s="28" t="s">
        <v>13</v>
      </c>
      <c r="I104" s="1" t="str">
        <f>Table1[[#This Row],[Building ID]]</f>
        <v>a1826000001piuYAAQ</v>
      </c>
      <c r="J104" t="str">
        <f>VLOOKUP(C104,'Distinct Queues'!$A$3:$B$39,2,FALSE)</f>
        <v>Finance_Team</v>
      </c>
      <c r="K104" t="str">
        <f>VLOOKUP(D104,'Distinct Queues'!$A$3:$B$39,2,FALSE)</f>
        <v>Customer_Service_Team</v>
      </c>
      <c r="L104" t="str">
        <f>VLOOKUP(E104,'Distinct Queues'!$A$3:$B$39,2,FALSE)</f>
        <v>PRS_Regions</v>
      </c>
      <c r="M104" t="str">
        <f>VLOOKUP(F104,'Distinct Queues'!$A$3:$B$39,2,FALSE)</f>
        <v>AM_PRS_Regions</v>
      </c>
      <c r="N104" t="str">
        <f>VLOOKUP(G104,'Distinct Queues'!$A$3:$B$39,2,FALSE)</f>
        <v>Lettings_North_East</v>
      </c>
    </row>
    <row r="105" spans="1:14">
      <c r="A105" s="29" t="s">
        <v>391</v>
      </c>
      <c r="B105" s="26" t="s">
        <v>392</v>
      </c>
      <c r="C105" s="26" t="s">
        <v>208</v>
      </c>
      <c r="D105" s="26" t="s">
        <v>209</v>
      </c>
      <c r="E105" s="26" t="s">
        <v>225</v>
      </c>
      <c r="F105" s="26" t="s">
        <v>226</v>
      </c>
      <c r="G105" s="30" t="s">
        <v>44</v>
      </c>
      <c r="I105" s="1" t="str">
        <f>Table1[[#This Row],[Building ID]]</f>
        <v>a1826000001piuSAAQ</v>
      </c>
      <c r="J105" t="str">
        <f>VLOOKUP(C105,'Distinct Queues'!$A$3:$B$39,2,FALSE)</f>
        <v>Finance_Team</v>
      </c>
      <c r="K105" t="str">
        <f>VLOOKUP(D105,'Distinct Queues'!$A$3:$B$39,2,FALSE)</f>
        <v>Customer_Service_Team</v>
      </c>
      <c r="L105" t="str">
        <f>VLOOKUP(E105,'Distinct Queues'!$A$3:$B$39,2,FALSE)</f>
        <v>PRS_Regions</v>
      </c>
      <c r="M105" t="str">
        <f>VLOOKUP(F105,'Distinct Queues'!$A$3:$B$39,2,FALSE)</f>
        <v>AM_PRS_Regions</v>
      </c>
      <c r="N105" t="str">
        <f>VLOOKUP(G105,'Distinct Queues'!$A$3:$B$39,2,FALSE)</f>
        <v>Lettings_North_West</v>
      </c>
    </row>
    <row r="106" spans="1:14">
      <c r="A106" s="25" t="s">
        <v>393</v>
      </c>
      <c r="B106" s="26" t="s">
        <v>394</v>
      </c>
      <c r="C106" s="27" t="s">
        <v>208</v>
      </c>
      <c r="D106" s="27" t="s">
        <v>209</v>
      </c>
      <c r="E106" s="27" t="s">
        <v>225</v>
      </c>
      <c r="F106" s="27" t="s">
        <v>226</v>
      </c>
      <c r="G106" s="28" t="s">
        <v>44</v>
      </c>
      <c r="I106" s="1" t="str">
        <f>Table1[[#This Row],[Building ID]]</f>
        <v>a1826000001piuXAAQ</v>
      </c>
      <c r="J106" t="str">
        <f>VLOOKUP(C106,'Distinct Queues'!$A$3:$B$39,2,FALSE)</f>
        <v>Finance_Team</v>
      </c>
      <c r="K106" t="str">
        <f>VLOOKUP(D106,'Distinct Queues'!$A$3:$B$39,2,FALSE)</f>
        <v>Customer_Service_Team</v>
      </c>
      <c r="L106" t="str">
        <f>VLOOKUP(E106,'Distinct Queues'!$A$3:$B$39,2,FALSE)</f>
        <v>PRS_Regions</v>
      </c>
      <c r="M106" t="str">
        <f>VLOOKUP(F106,'Distinct Queues'!$A$3:$B$39,2,FALSE)</f>
        <v>AM_PRS_Regions</v>
      </c>
      <c r="N106" t="str">
        <f>VLOOKUP(G106,'Distinct Queues'!$A$3:$B$39,2,FALSE)</f>
        <v>Lettings_North_West</v>
      </c>
    </row>
    <row r="107" spans="1:14">
      <c r="A107" s="29" t="s">
        <v>395</v>
      </c>
      <c r="B107" s="26" t="s">
        <v>396</v>
      </c>
      <c r="C107" s="26" t="s">
        <v>208</v>
      </c>
      <c r="D107" s="26" t="s">
        <v>209</v>
      </c>
      <c r="E107" s="26" t="s">
        <v>225</v>
      </c>
      <c r="F107" s="26" t="s">
        <v>226</v>
      </c>
      <c r="G107" s="30" t="s">
        <v>44</v>
      </c>
      <c r="I107" s="1" t="str">
        <f>Table1[[#This Row],[Building ID]]</f>
        <v>a1826000001piucAAA</v>
      </c>
      <c r="J107" t="str">
        <f>VLOOKUP(C107,'Distinct Queues'!$A$3:$B$39,2,FALSE)</f>
        <v>Finance_Team</v>
      </c>
      <c r="K107" t="str">
        <f>VLOOKUP(D107,'Distinct Queues'!$A$3:$B$39,2,FALSE)</f>
        <v>Customer_Service_Team</v>
      </c>
      <c r="L107" t="str">
        <f>VLOOKUP(E107,'Distinct Queues'!$A$3:$B$39,2,FALSE)</f>
        <v>PRS_Regions</v>
      </c>
      <c r="M107" t="str">
        <f>VLOOKUP(F107,'Distinct Queues'!$A$3:$B$39,2,FALSE)</f>
        <v>AM_PRS_Regions</v>
      </c>
      <c r="N107" t="str">
        <f>VLOOKUP(G107,'Distinct Queues'!$A$3:$B$39,2,FALSE)</f>
        <v>Lettings_North_West</v>
      </c>
    </row>
    <row r="108" spans="1:14">
      <c r="A108" s="25" t="s">
        <v>397</v>
      </c>
      <c r="B108" s="26" t="s">
        <v>398</v>
      </c>
      <c r="C108" s="27" t="s">
        <v>208</v>
      </c>
      <c r="D108" s="27" t="s">
        <v>209</v>
      </c>
      <c r="E108" s="27" t="s">
        <v>225</v>
      </c>
      <c r="F108" s="27" t="s">
        <v>226</v>
      </c>
      <c r="G108" s="28" t="s">
        <v>44</v>
      </c>
      <c r="I108" s="1" t="str">
        <f>Table1[[#This Row],[Building ID]]</f>
        <v>a1826000001phjXAAQ</v>
      </c>
      <c r="J108" t="str">
        <f>VLOOKUP(C108,'Distinct Queues'!$A$3:$B$39,2,FALSE)</f>
        <v>Finance_Team</v>
      </c>
      <c r="K108" t="str">
        <f>VLOOKUP(D108,'Distinct Queues'!$A$3:$B$39,2,FALSE)</f>
        <v>Customer_Service_Team</v>
      </c>
      <c r="L108" t="str">
        <f>VLOOKUP(E108,'Distinct Queues'!$A$3:$B$39,2,FALSE)</f>
        <v>PRS_Regions</v>
      </c>
      <c r="M108" t="str">
        <f>VLOOKUP(F108,'Distinct Queues'!$A$3:$B$39,2,FALSE)</f>
        <v>AM_PRS_Regions</v>
      </c>
      <c r="N108" t="str">
        <f>VLOOKUP(G108,'Distinct Queues'!$A$3:$B$39,2,FALSE)</f>
        <v>Lettings_North_West</v>
      </c>
    </row>
    <row r="109" spans="1:14">
      <c r="A109" s="29" t="s">
        <v>399</v>
      </c>
      <c r="B109" s="26" t="s">
        <v>400</v>
      </c>
      <c r="C109" s="26" t="s">
        <v>208</v>
      </c>
      <c r="D109" s="26" t="s">
        <v>209</v>
      </c>
      <c r="E109" s="26" t="s">
        <v>210</v>
      </c>
      <c r="F109" s="26" t="s">
        <v>211</v>
      </c>
      <c r="G109" s="30" t="s">
        <v>212</v>
      </c>
      <c r="I109" s="1" t="str">
        <f>Table1[[#This Row],[Building ID]]</f>
        <v>a1826000001piXLAAY</v>
      </c>
      <c r="J109" t="str">
        <f>VLOOKUP(C109,'Distinct Queues'!$A$3:$B$39,2,FALSE)</f>
        <v>Finance_Team</v>
      </c>
      <c r="K109" t="str">
        <f>VLOOKUP(D109,'Distinct Queues'!$A$3:$B$39,2,FALSE)</f>
        <v>Customer_Service_Team</v>
      </c>
      <c r="L109" t="str">
        <f>VLOOKUP(E109,'Distinct Queues'!$A$3:$B$39,2,FALSE)</f>
        <v>PRS_London</v>
      </c>
      <c r="M109" t="str">
        <f>VLOOKUP(F109,'Distinct Queues'!$A$3:$B$39,2,FALSE)</f>
        <v>AM_PRS_London</v>
      </c>
      <c r="N109" t="str">
        <f>VLOOKUP(G109,'Distinct Queues'!$A$3:$B$39,2,FALSE)</f>
        <v>Lettings_South</v>
      </c>
    </row>
    <row r="110" spans="1:14">
      <c r="A110" s="25" t="s">
        <v>401</v>
      </c>
      <c r="B110" s="26" t="s">
        <v>402</v>
      </c>
      <c r="C110" s="27" t="s">
        <v>208</v>
      </c>
      <c r="D110" s="27" t="s">
        <v>209</v>
      </c>
      <c r="E110" s="27" t="s">
        <v>210</v>
      </c>
      <c r="F110" s="27" t="s">
        <v>211</v>
      </c>
      <c r="G110" s="28" t="s">
        <v>212</v>
      </c>
      <c r="I110" s="1" t="str">
        <f>Table1[[#This Row],[Building ID]]</f>
        <v>a1826000001piayAAA</v>
      </c>
      <c r="J110" t="str">
        <f>VLOOKUP(C110,'Distinct Queues'!$A$3:$B$39,2,FALSE)</f>
        <v>Finance_Team</v>
      </c>
      <c r="K110" t="str">
        <f>VLOOKUP(D110,'Distinct Queues'!$A$3:$B$39,2,FALSE)</f>
        <v>Customer_Service_Team</v>
      </c>
      <c r="L110" t="str">
        <f>VLOOKUP(E110,'Distinct Queues'!$A$3:$B$39,2,FALSE)</f>
        <v>PRS_London</v>
      </c>
      <c r="M110" t="str">
        <f>VLOOKUP(F110,'Distinct Queues'!$A$3:$B$39,2,FALSE)</f>
        <v>AM_PRS_London</v>
      </c>
      <c r="N110" t="str">
        <f>VLOOKUP(G110,'Distinct Queues'!$A$3:$B$39,2,FALSE)</f>
        <v>Lettings_South</v>
      </c>
    </row>
    <row r="111" spans="1:14">
      <c r="A111" s="29" t="s">
        <v>403</v>
      </c>
      <c r="B111" s="26" t="s">
        <v>404</v>
      </c>
      <c r="C111" s="26" t="s">
        <v>208</v>
      </c>
      <c r="D111" s="26" t="s">
        <v>209</v>
      </c>
      <c r="E111" s="26" t="s">
        <v>210</v>
      </c>
      <c r="F111" s="26" t="s">
        <v>211</v>
      </c>
      <c r="G111" s="30" t="s">
        <v>212</v>
      </c>
      <c r="I111" s="1" t="str">
        <f>Table1[[#This Row],[Building ID]]</f>
        <v>a1826000001piaFAAQ</v>
      </c>
      <c r="J111" t="str">
        <f>VLOOKUP(C111,'Distinct Queues'!$A$3:$B$39,2,FALSE)</f>
        <v>Finance_Team</v>
      </c>
      <c r="K111" t="str">
        <f>VLOOKUP(D111,'Distinct Queues'!$A$3:$B$39,2,FALSE)</f>
        <v>Customer_Service_Team</v>
      </c>
      <c r="L111" t="str">
        <f>VLOOKUP(E111,'Distinct Queues'!$A$3:$B$39,2,FALSE)</f>
        <v>PRS_London</v>
      </c>
      <c r="M111" t="str">
        <f>VLOOKUP(F111,'Distinct Queues'!$A$3:$B$39,2,FALSE)</f>
        <v>AM_PRS_London</v>
      </c>
      <c r="N111" t="str">
        <f>VLOOKUP(G111,'Distinct Queues'!$A$3:$B$39,2,FALSE)</f>
        <v>Lettings_South</v>
      </c>
    </row>
    <row r="112" spans="1:14">
      <c r="A112" s="25" t="s">
        <v>405</v>
      </c>
      <c r="B112" s="26" t="s">
        <v>406</v>
      </c>
      <c r="C112" s="27" t="s">
        <v>208</v>
      </c>
      <c r="D112" s="27" t="s">
        <v>209</v>
      </c>
      <c r="E112" s="27" t="s">
        <v>210</v>
      </c>
      <c r="F112" s="27" t="s">
        <v>211</v>
      </c>
      <c r="G112" s="28" t="s">
        <v>212</v>
      </c>
      <c r="I112" s="1" t="str">
        <f>Table1[[#This Row],[Building ID]]</f>
        <v>a1826000001picJAAQ</v>
      </c>
      <c r="J112" t="str">
        <f>VLOOKUP(C112,'Distinct Queues'!$A$3:$B$39,2,FALSE)</f>
        <v>Finance_Team</v>
      </c>
      <c r="K112" t="str">
        <f>VLOOKUP(D112,'Distinct Queues'!$A$3:$B$39,2,FALSE)</f>
        <v>Customer_Service_Team</v>
      </c>
      <c r="L112" t="str">
        <f>VLOOKUP(E112,'Distinct Queues'!$A$3:$B$39,2,FALSE)</f>
        <v>PRS_London</v>
      </c>
      <c r="M112" t="str">
        <f>VLOOKUP(F112,'Distinct Queues'!$A$3:$B$39,2,FALSE)</f>
        <v>AM_PRS_London</v>
      </c>
      <c r="N112" t="str">
        <f>VLOOKUP(G112,'Distinct Queues'!$A$3:$B$39,2,FALSE)</f>
        <v>Lettings_South</v>
      </c>
    </row>
    <row r="113" spans="1:14">
      <c r="A113" s="29" t="s">
        <v>407</v>
      </c>
      <c r="B113" s="26" t="s">
        <v>408</v>
      </c>
      <c r="C113" s="26" t="s">
        <v>208</v>
      </c>
      <c r="D113" s="26" t="s">
        <v>209</v>
      </c>
      <c r="E113" s="26" t="s">
        <v>210</v>
      </c>
      <c r="F113" s="26" t="s">
        <v>211</v>
      </c>
      <c r="G113" s="30" t="s">
        <v>212</v>
      </c>
      <c r="I113" s="1" t="str">
        <f>Table1[[#This Row],[Building ID]]</f>
        <v>a1826000001piX0AAI</v>
      </c>
      <c r="J113" t="str">
        <f>VLOOKUP(C113,'Distinct Queues'!$A$3:$B$39,2,FALSE)</f>
        <v>Finance_Team</v>
      </c>
      <c r="K113" t="str">
        <f>VLOOKUP(D113,'Distinct Queues'!$A$3:$B$39,2,FALSE)</f>
        <v>Customer_Service_Team</v>
      </c>
      <c r="L113" t="str">
        <f>VLOOKUP(E113,'Distinct Queues'!$A$3:$B$39,2,FALSE)</f>
        <v>PRS_London</v>
      </c>
      <c r="M113" t="str">
        <f>VLOOKUP(F113,'Distinct Queues'!$A$3:$B$39,2,FALSE)</f>
        <v>AM_PRS_London</v>
      </c>
      <c r="N113" t="str">
        <f>VLOOKUP(G113,'Distinct Queues'!$A$3:$B$39,2,FALSE)</f>
        <v>Lettings_South</v>
      </c>
    </row>
    <row r="114" spans="1:14">
      <c r="A114" s="25" t="s">
        <v>409</v>
      </c>
      <c r="B114" s="26" t="s">
        <v>410</v>
      </c>
      <c r="C114" s="27" t="s">
        <v>208</v>
      </c>
      <c r="D114" s="27" t="s">
        <v>209</v>
      </c>
      <c r="E114" s="27" t="s">
        <v>210</v>
      </c>
      <c r="F114" s="27" t="s">
        <v>211</v>
      </c>
      <c r="G114" s="28" t="s">
        <v>212</v>
      </c>
      <c r="I114" s="1" t="str">
        <f>Table1[[#This Row],[Building ID]]</f>
        <v>a1826000001pifIAAQ</v>
      </c>
      <c r="J114" t="str">
        <f>VLOOKUP(C114,'Distinct Queues'!$A$3:$B$39,2,FALSE)</f>
        <v>Finance_Team</v>
      </c>
      <c r="K114" t="str">
        <f>VLOOKUP(D114,'Distinct Queues'!$A$3:$B$39,2,FALSE)</f>
        <v>Customer_Service_Team</v>
      </c>
      <c r="L114" t="str">
        <f>VLOOKUP(E114,'Distinct Queues'!$A$3:$B$39,2,FALSE)</f>
        <v>PRS_London</v>
      </c>
      <c r="M114" t="str">
        <f>VLOOKUP(F114,'Distinct Queues'!$A$3:$B$39,2,FALSE)</f>
        <v>AM_PRS_London</v>
      </c>
      <c r="N114" t="str">
        <f>VLOOKUP(G114,'Distinct Queues'!$A$3:$B$39,2,FALSE)</f>
        <v>Lettings_South</v>
      </c>
    </row>
    <row r="115" spans="1:14">
      <c r="A115" s="29" t="s">
        <v>411</v>
      </c>
      <c r="B115" s="26" t="s">
        <v>412</v>
      </c>
      <c r="C115" s="26" t="s">
        <v>208</v>
      </c>
      <c r="D115" s="26" t="s">
        <v>209</v>
      </c>
      <c r="E115" s="26" t="s">
        <v>210</v>
      </c>
      <c r="F115" s="26" t="s">
        <v>211</v>
      </c>
      <c r="G115" s="30" t="s">
        <v>212</v>
      </c>
      <c r="I115" s="1" t="str">
        <f>Table1[[#This Row],[Building ID]]</f>
        <v>a1826000001piXMAAY</v>
      </c>
      <c r="J115" t="str">
        <f>VLOOKUP(C115,'Distinct Queues'!$A$3:$B$39,2,FALSE)</f>
        <v>Finance_Team</v>
      </c>
      <c r="K115" t="str">
        <f>VLOOKUP(D115,'Distinct Queues'!$A$3:$B$39,2,FALSE)</f>
        <v>Customer_Service_Team</v>
      </c>
      <c r="L115" t="str">
        <f>VLOOKUP(E115,'Distinct Queues'!$A$3:$B$39,2,FALSE)</f>
        <v>PRS_London</v>
      </c>
      <c r="M115" t="str">
        <f>VLOOKUP(F115,'Distinct Queues'!$A$3:$B$39,2,FALSE)</f>
        <v>AM_PRS_London</v>
      </c>
      <c r="N115" t="str">
        <f>VLOOKUP(G115,'Distinct Queues'!$A$3:$B$39,2,FALSE)</f>
        <v>Lettings_South</v>
      </c>
    </row>
    <row r="116" spans="1:14">
      <c r="A116" s="25" t="s">
        <v>413</v>
      </c>
      <c r="B116" s="26" t="s">
        <v>414</v>
      </c>
      <c r="C116" s="27" t="s">
        <v>208</v>
      </c>
      <c r="D116" s="27" t="s">
        <v>209</v>
      </c>
      <c r="E116" s="27" t="s">
        <v>210</v>
      </c>
      <c r="F116" s="27" t="s">
        <v>211</v>
      </c>
      <c r="G116" s="28" t="s">
        <v>212</v>
      </c>
      <c r="I116" s="1" t="str">
        <f>Table1[[#This Row],[Building ID]]</f>
        <v>a1826000001picTAAQ</v>
      </c>
      <c r="J116" t="str">
        <f>VLOOKUP(C116,'Distinct Queues'!$A$3:$B$39,2,FALSE)</f>
        <v>Finance_Team</v>
      </c>
      <c r="K116" t="str">
        <f>VLOOKUP(D116,'Distinct Queues'!$A$3:$B$39,2,FALSE)</f>
        <v>Customer_Service_Team</v>
      </c>
      <c r="L116" t="str">
        <f>VLOOKUP(E116,'Distinct Queues'!$A$3:$B$39,2,FALSE)</f>
        <v>PRS_London</v>
      </c>
      <c r="M116" t="str">
        <f>VLOOKUP(F116,'Distinct Queues'!$A$3:$B$39,2,FALSE)</f>
        <v>AM_PRS_London</v>
      </c>
      <c r="N116" t="str">
        <f>VLOOKUP(G116,'Distinct Queues'!$A$3:$B$39,2,FALSE)</f>
        <v>Lettings_South</v>
      </c>
    </row>
    <row r="117" spans="1:14">
      <c r="A117" s="29" t="s">
        <v>415</v>
      </c>
      <c r="B117" s="26" t="s">
        <v>416</v>
      </c>
      <c r="C117" s="26" t="s">
        <v>208</v>
      </c>
      <c r="D117" s="26" t="s">
        <v>209</v>
      </c>
      <c r="E117" s="26" t="s">
        <v>210</v>
      </c>
      <c r="F117" s="26" t="s">
        <v>211</v>
      </c>
      <c r="G117" s="30" t="s">
        <v>212</v>
      </c>
      <c r="I117" s="1" t="str">
        <f>Table1[[#This Row],[Building ID]]</f>
        <v>a1826000001picYAAQ</v>
      </c>
      <c r="J117" t="str">
        <f>VLOOKUP(C117,'Distinct Queues'!$A$3:$B$39,2,FALSE)</f>
        <v>Finance_Team</v>
      </c>
      <c r="K117" t="str">
        <f>VLOOKUP(D117,'Distinct Queues'!$A$3:$B$39,2,FALSE)</f>
        <v>Customer_Service_Team</v>
      </c>
      <c r="L117" t="str">
        <f>VLOOKUP(E117,'Distinct Queues'!$A$3:$B$39,2,FALSE)</f>
        <v>PRS_London</v>
      </c>
      <c r="M117" t="str">
        <f>VLOOKUP(F117,'Distinct Queues'!$A$3:$B$39,2,FALSE)</f>
        <v>AM_PRS_London</v>
      </c>
      <c r="N117" t="str">
        <f>VLOOKUP(G117,'Distinct Queues'!$A$3:$B$39,2,FALSE)</f>
        <v>Lettings_South</v>
      </c>
    </row>
    <row r="118" spans="1:14">
      <c r="A118" s="25" t="s">
        <v>417</v>
      </c>
      <c r="B118" s="26" t="s">
        <v>418</v>
      </c>
      <c r="C118" s="27" t="s">
        <v>208</v>
      </c>
      <c r="D118" s="27" t="s">
        <v>209</v>
      </c>
      <c r="E118" s="27" t="s">
        <v>210</v>
      </c>
      <c r="F118" s="27" t="s">
        <v>211</v>
      </c>
      <c r="G118" s="28" t="s">
        <v>212</v>
      </c>
      <c r="I118" s="1" t="str">
        <f>Table1[[#This Row],[Building ID]]</f>
        <v>a1826000001piXNAAY</v>
      </c>
      <c r="J118" t="str">
        <f>VLOOKUP(C118,'Distinct Queues'!$A$3:$B$39,2,FALSE)</f>
        <v>Finance_Team</v>
      </c>
      <c r="K118" t="str">
        <f>VLOOKUP(D118,'Distinct Queues'!$A$3:$B$39,2,FALSE)</f>
        <v>Customer_Service_Team</v>
      </c>
      <c r="L118" t="str">
        <f>VLOOKUP(E118,'Distinct Queues'!$A$3:$B$39,2,FALSE)</f>
        <v>PRS_London</v>
      </c>
      <c r="M118" t="str">
        <f>VLOOKUP(F118,'Distinct Queues'!$A$3:$B$39,2,FALSE)</f>
        <v>AM_PRS_London</v>
      </c>
      <c r="N118" t="str">
        <f>VLOOKUP(G118,'Distinct Queues'!$A$3:$B$39,2,FALSE)</f>
        <v>Lettings_South</v>
      </c>
    </row>
    <row r="119" spans="1:14">
      <c r="A119" s="29" t="s">
        <v>419</v>
      </c>
      <c r="B119" s="26" t="s">
        <v>420</v>
      </c>
      <c r="C119" s="26" t="s">
        <v>208</v>
      </c>
      <c r="D119" s="26" t="s">
        <v>209</v>
      </c>
      <c r="E119" s="26" t="s">
        <v>210</v>
      </c>
      <c r="F119" s="26" t="s">
        <v>211</v>
      </c>
      <c r="G119" s="30" t="s">
        <v>212</v>
      </c>
      <c r="I119" s="1" t="str">
        <f>Table1[[#This Row],[Building ID]]</f>
        <v>a1826000001picOAAQ</v>
      </c>
      <c r="J119" t="str">
        <f>VLOOKUP(C119,'Distinct Queues'!$A$3:$B$39,2,FALSE)</f>
        <v>Finance_Team</v>
      </c>
      <c r="K119" t="str">
        <f>VLOOKUP(D119,'Distinct Queues'!$A$3:$B$39,2,FALSE)</f>
        <v>Customer_Service_Team</v>
      </c>
      <c r="L119" t="str">
        <f>VLOOKUP(E119,'Distinct Queues'!$A$3:$B$39,2,FALSE)</f>
        <v>PRS_London</v>
      </c>
      <c r="M119" t="str">
        <f>VLOOKUP(F119,'Distinct Queues'!$A$3:$B$39,2,FALSE)</f>
        <v>AM_PRS_London</v>
      </c>
      <c r="N119" t="str">
        <f>VLOOKUP(G119,'Distinct Queues'!$A$3:$B$39,2,FALSE)</f>
        <v>Lettings_South</v>
      </c>
    </row>
    <row r="120" spans="1:14">
      <c r="A120" s="25" t="s">
        <v>421</v>
      </c>
      <c r="B120" s="26" t="s">
        <v>422</v>
      </c>
      <c r="C120" s="27" t="s">
        <v>208</v>
      </c>
      <c r="D120" s="27" t="s">
        <v>209</v>
      </c>
      <c r="E120" s="27" t="s">
        <v>210</v>
      </c>
      <c r="F120" s="27" t="s">
        <v>211</v>
      </c>
      <c r="G120" s="28" t="s">
        <v>212</v>
      </c>
      <c r="I120" s="1" t="str">
        <f>Table1[[#This Row],[Building ID]]</f>
        <v>a1826000001piYhAAI</v>
      </c>
      <c r="J120" t="str">
        <f>VLOOKUP(C120,'Distinct Queues'!$A$3:$B$39,2,FALSE)</f>
        <v>Finance_Team</v>
      </c>
      <c r="K120" t="str">
        <f>VLOOKUP(D120,'Distinct Queues'!$A$3:$B$39,2,FALSE)</f>
        <v>Customer_Service_Team</v>
      </c>
      <c r="L120" t="str">
        <f>VLOOKUP(E120,'Distinct Queues'!$A$3:$B$39,2,FALSE)</f>
        <v>PRS_London</v>
      </c>
      <c r="M120" t="str">
        <f>VLOOKUP(F120,'Distinct Queues'!$A$3:$B$39,2,FALSE)</f>
        <v>AM_PRS_London</v>
      </c>
      <c r="N120" t="str">
        <f>VLOOKUP(G120,'Distinct Queues'!$A$3:$B$39,2,FALSE)</f>
        <v>Lettings_South</v>
      </c>
    </row>
    <row r="121" spans="1:14">
      <c r="A121" s="29" t="s">
        <v>423</v>
      </c>
      <c r="B121" s="26" t="s">
        <v>424</v>
      </c>
      <c r="C121" s="26" t="s">
        <v>208</v>
      </c>
      <c r="D121" s="26" t="s">
        <v>209</v>
      </c>
      <c r="E121" s="26" t="s">
        <v>225</v>
      </c>
      <c r="F121" s="26" t="s">
        <v>226</v>
      </c>
      <c r="G121" s="30" t="s">
        <v>44</v>
      </c>
      <c r="I121" s="1" t="str">
        <f>Table1[[#This Row],[Building ID]]</f>
        <v>a1826000001pitGAAQ</v>
      </c>
      <c r="J121" t="str">
        <f>VLOOKUP(C121,'Distinct Queues'!$A$3:$B$39,2,FALSE)</f>
        <v>Finance_Team</v>
      </c>
      <c r="K121" t="str">
        <f>VLOOKUP(D121,'Distinct Queues'!$A$3:$B$39,2,FALSE)</f>
        <v>Customer_Service_Team</v>
      </c>
      <c r="L121" t="str">
        <f>VLOOKUP(E121,'Distinct Queues'!$A$3:$B$39,2,FALSE)</f>
        <v>PRS_Regions</v>
      </c>
      <c r="M121" t="str">
        <f>VLOOKUP(F121,'Distinct Queues'!$A$3:$B$39,2,FALSE)</f>
        <v>AM_PRS_Regions</v>
      </c>
      <c r="N121" t="str">
        <f>VLOOKUP(G121,'Distinct Queues'!$A$3:$B$39,2,FALSE)</f>
        <v>Lettings_North_West</v>
      </c>
    </row>
    <row r="122" spans="1:14">
      <c r="A122" s="25" t="s">
        <v>425</v>
      </c>
      <c r="B122" s="26" t="s">
        <v>426</v>
      </c>
      <c r="C122" s="27" t="s">
        <v>208</v>
      </c>
      <c r="D122" s="27" t="s">
        <v>209</v>
      </c>
      <c r="E122" s="27" t="s">
        <v>225</v>
      </c>
      <c r="F122" s="27" t="s">
        <v>226</v>
      </c>
      <c r="G122" s="28" t="s">
        <v>44</v>
      </c>
      <c r="I122" s="1" t="str">
        <f>Table1[[#This Row],[Building ID]]</f>
        <v>a1826000001pi4XAAQ</v>
      </c>
      <c r="J122" t="str">
        <f>VLOOKUP(C122,'Distinct Queues'!$A$3:$B$39,2,FALSE)</f>
        <v>Finance_Team</v>
      </c>
      <c r="K122" t="str">
        <f>VLOOKUP(D122,'Distinct Queues'!$A$3:$B$39,2,FALSE)</f>
        <v>Customer_Service_Team</v>
      </c>
      <c r="L122" t="str">
        <f>VLOOKUP(E122,'Distinct Queues'!$A$3:$B$39,2,FALSE)</f>
        <v>PRS_Regions</v>
      </c>
      <c r="M122" t="str">
        <f>VLOOKUP(F122,'Distinct Queues'!$A$3:$B$39,2,FALSE)</f>
        <v>AM_PRS_Regions</v>
      </c>
      <c r="N122" t="str">
        <f>VLOOKUP(G122,'Distinct Queues'!$A$3:$B$39,2,FALSE)</f>
        <v>Lettings_North_West</v>
      </c>
    </row>
    <row r="123" spans="1:14">
      <c r="A123" s="29" t="s">
        <v>427</v>
      </c>
      <c r="B123" s="26" t="s">
        <v>428</v>
      </c>
      <c r="C123" s="26" t="s">
        <v>208</v>
      </c>
      <c r="D123" s="26" t="s">
        <v>209</v>
      </c>
      <c r="E123" s="26" t="s">
        <v>225</v>
      </c>
      <c r="F123" s="26" t="s">
        <v>226</v>
      </c>
      <c r="G123" s="30" t="s">
        <v>44</v>
      </c>
      <c r="I123" s="1" t="str">
        <f>Table1[[#This Row],[Building ID]]</f>
        <v>a1826000001piCpAAI</v>
      </c>
      <c r="J123" t="str">
        <f>VLOOKUP(C123,'Distinct Queues'!$A$3:$B$39,2,FALSE)</f>
        <v>Finance_Team</v>
      </c>
      <c r="K123" t="str">
        <f>VLOOKUP(D123,'Distinct Queues'!$A$3:$B$39,2,FALSE)</f>
        <v>Customer_Service_Team</v>
      </c>
      <c r="L123" t="str">
        <f>VLOOKUP(E123,'Distinct Queues'!$A$3:$B$39,2,FALSE)</f>
        <v>PRS_Regions</v>
      </c>
      <c r="M123" t="str">
        <f>VLOOKUP(F123,'Distinct Queues'!$A$3:$B$39,2,FALSE)</f>
        <v>AM_PRS_Regions</v>
      </c>
      <c r="N123" t="str">
        <f>VLOOKUP(G123,'Distinct Queues'!$A$3:$B$39,2,FALSE)</f>
        <v>Lettings_North_West</v>
      </c>
    </row>
    <row r="124" spans="1:14">
      <c r="A124" s="25" t="s">
        <v>429</v>
      </c>
      <c r="B124" s="26" t="s">
        <v>430</v>
      </c>
      <c r="C124" s="27" t="s">
        <v>208</v>
      </c>
      <c r="D124" s="27" t="s">
        <v>209</v>
      </c>
      <c r="E124" s="27" t="s">
        <v>225</v>
      </c>
      <c r="F124" s="27" t="s">
        <v>226</v>
      </c>
      <c r="G124" s="28" t="s">
        <v>44</v>
      </c>
      <c r="I124" s="1" t="str">
        <f>Table1[[#This Row],[Building ID]]</f>
        <v>a1826000001phjEAAQ</v>
      </c>
      <c r="J124" t="str">
        <f>VLOOKUP(C124,'Distinct Queues'!$A$3:$B$39,2,FALSE)</f>
        <v>Finance_Team</v>
      </c>
      <c r="K124" t="str">
        <f>VLOOKUP(D124,'Distinct Queues'!$A$3:$B$39,2,FALSE)</f>
        <v>Customer_Service_Team</v>
      </c>
      <c r="L124" t="str">
        <f>VLOOKUP(E124,'Distinct Queues'!$A$3:$B$39,2,FALSE)</f>
        <v>PRS_Regions</v>
      </c>
      <c r="M124" t="str">
        <f>VLOOKUP(F124,'Distinct Queues'!$A$3:$B$39,2,FALSE)</f>
        <v>AM_PRS_Regions</v>
      </c>
      <c r="N124" t="str">
        <f>VLOOKUP(G124,'Distinct Queues'!$A$3:$B$39,2,FALSE)</f>
        <v>Lettings_North_West</v>
      </c>
    </row>
    <row r="125" spans="1:14">
      <c r="A125" s="29" t="s">
        <v>431</v>
      </c>
      <c r="B125" s="26" t="s">
        <v>432</v>
      </c>
      <c r="C125" s="26" t="s">
        <v>208</v>
      </c>
      <c r="D125" s="26" t="s">
        <v>209</v>
      </c>
      <c r="E125" s="26" t="s">
        <v>225</v>
      </c>
      <c r="F125" s="26" t="s">
        <v>226</v>
      </c>
      <c r="G125" s="30" t="s">
        <v>44</v>
      </c>
      <c r="I125" s="1" t="str">
        <f>Table1[[#This Row],[Building ID]]</f>
        <v>a1826000001pi6oAAA</v>
      </c>
      <c r="J125" t="str">
        <f>VLOOKUP(C125,'Distinct Queues'!$A$3:$B$39,2,FALSE)</f>
        <v>Finance_Team</v>
      </c>
      <c r="K125" t="str">
        <f>VLOOKUP(D125,'Distinct Queues'!$A$3:$B$39,2,FALSE)</f>
        <v>Customer_Service_Team</v>
      </c>
      <c r="L125" t="str">
        <f>VLOOKUP(E125,'Distinct Queues'!$A$3:$B$39,2,FALSE)</f>
        <v>PRS_Regions</v>
      </c>
      <c r="M125" t="str">
        <f>VLOOKUP(F125,'Distinct Queues'!$A$3:$B$39,2,FALSE)</f>
        <v>AM_PRS_Regions</v>
      </c>
      <c r="N125" t="str">
        <f>VLOOKUP(G125,'Distinct Queues'!$A$3:$B$39,2,FALSE)</f>
        <v>Lettings_North_West</v>
      </c>
    </row>
    <row r="126" spans="1:14">
      <c r="A126" s="25" t="s">
        <v>433</v>
      </c>
      <c r="B126" s="26" t="s">
        <v>434</v>
      </c>
      <c r="C126" s="27" t="s">
        <v>208</v>
      </c>
      <c r="D126" s="27" t="s">
        <v>209</v>
      </c>
      <c r="E126" s="27" t="s">
        <v>225</v>
      </c>
      <c r="F126" s="27" t="s">
        <v>226</v>
      </c>
      <c r="G126" s="28" t="s">
        <v>44</v>
      </c>
      <c r="I126" s="1" t="str">
        <f>Table1[[#This Row],[Building ID]]</f>
        <v>a1826000001piCzAAI</v>
      </c>
      <c r="J126" t="str">
        <f>VLOOKUP(C126,'Distinct Queues'!$A$3:$B$39,2,FALSE)</f>
        <v>Finance_Team</v>
      </c>
      <c r="K126" t="str">
        <f>VLOOKUP(D126,'Distinct Queues'!$A$3:$B$39,2,FALSE)</f>
        <v>Customer_Service_Team</v>
      </c>
      <c r="L126" t="str">
        <f>VLOOKUP(E126,'Distinct Queues'!$A$3:$B$39,2,FALSE)</f>
        <v>PRS_Regions</v>
      </c>
      <c r="M126" t="str">
        <f>VLOOKUP(F126,'Distinct Queues'!$A$3:$B$39,2,FALSE)</f>
        <v>AM_PRS_Regions</v>
      </c>
      <c r="N126" t="str">
        <f>VLOOKUP(G126,'Distinct Queues'!$A$3:$B$39,2,FALSE)</f>
        <v>Lettings_North_West</v>
      </c>
    </row>
    <row r="127" spans="1:14">
      <c r="A127" s="29" t="s">
        <v>435</v>
      </c>
      <c r="B127" s="26" t="s">
        <v>436</v>
      </c>
      <c r="C127" s="26" t="s">
        <v>208</v>
      </c>
      <c r="D127" s="26" t="s">
        <v>209</v>
      </c>
      <c r="E127" s="26" t="s">
        <v>225</v>
      </c>
      <c r="F127" s="26" t="s">
        <v>226</v>
      </c>
      <c r="G127" s="30" t="s">
        <v>44</v>
      </c>
      <c r="I127" s="1" t="str">
        <f>Table1[[#This Row],[Building ID]]</f>
        <v>a1826000001piDJAAY</v>
      </c>
      <c r="J127" t="str">
        <f>VLOOKUP(C127,'Distinct Queues'!$A$3:$B$39,2,FALSE)</f>
        <v>Finance_Team</v>
      </c>
      <c r="K127" t="str">
        <f>VLOOKUP(D127,'Distinct Queues'!$A$3:$B$39,2,FALSE)</f>
        <v>Customer_Service_Team</v>
      </c>
      <c r="L127" t="str">
        <f>VLOOKUP(E127,'Distinct Queues'!$A$3:$B$39,2,FALSE)</f>
        <v>PRS_Regions</v>
      </c>
      <c r="M127" t="str">
        <f>VLOOKUP(F127,'Distinct Queues'!$A$3:$B$39,2,FALSE)</f>
        <v>AM_PRS_Regions</v>
      </c>
      <c r="N127" t="str">
        <f>VLOOKUP(G127,'Distinct Queues'!$A$3:$B$39,2,FALSE)</f>
        <v>Lettings_North_West</v>
      </c>
    </row>
    <row r="128" spans="1:14">
      <c r="A128" s="25" t="s">
        <v>437</v>
      </c>
      <c r="B128" s="26" t="s">
        <v>438</v>
      </c>
      <c r="C128" s="27" t="s">
        <v>208</v>
      </c>
      <c r="D128" s="27" t="s">
        <v>209</v>
      </c>
      <c r="E128" s="27" t="s">
        <v>225</v>
      </c>
      <c r="F128" s="27" t="s">
        <v>226</v>
      </c>
      <c r="G128" s="28" t="s">
        <v>44</v>
      </c>
      <c r="I128" s="1" t="str">
        <f>Table1[[#This Row],[Building ID]]</f>
        <v>a1826000001piD4AAI</v>
      </c>
      <c r="J128" t="str">
        <f>VLOOKUP(C128,'Distinct Queues'!$A$3:$B$39,2,FALSE)</f>
        <v>Finance_Team</v>
      </c>
      <c r="K128" t="str">
        <f>VLOOKUP(D128,'Distinct Queues'!$A$3:$B$39,2,FALSE)</f>
        <v>Customer_Service_Team</v>
      </c>
      <c r="L128" t="str">
        <f>VLOOKUP(E128,'Distinct Queues'!$A$3:$B$39,2,FALSE)</f>
        <v>PRS_Regions</v>
      </c>
      <c r="M128" t="str">
        <f>VLOOKUP(F128,'Distinct Queues'!$A$3:$B$39,2,FALSE)</f>
        <v>AM_PRS_Regions</v>
      </c>
      <c r="N128" t="str">
        <f>VLOOKUP(G128,'Distinct Queues'!$A$3:$B$39,2,FALSE)</f>
        <v>Lettings_North_West</v>
      </c>
    </row>
    <row r="129" spans="1:14">
      <c r="A129" s="29" t="s">
        <v>439</v>
      </c>
      <c r="B129" s="26" t="s">
        <v>440</v>
      </c>
      <c r="C129" s="26" t="s">
        <v>208</v>
      </c>
      <c r="D129" s="26" t="s">
        <v>209</v>
      </c>
      <c r="E129" s="26" t="s">
        <v>225</v>
      </c>
      <c r="F129" s="26" t="s">
        <v>226</v>
      </c>
      <c r="G129" s="30" t="s">
        <v>44</v>
      </c>
      <c r="I129" s="1" t="str">
        <f>Table1[[#This Row],[Building ID]]</f>
        <v>a1826000001piDOAAY</v>
      </c>
      <c r="J129" t="str">
        <f>VLOOKUP(C129,'Distinct Queues'!$A$3:$B$39,2,FALSE)</f>
        <v>Finance_Team</v>
      </c>
      <c r="K129" t="str">
        <f>VLOOKUP(D129,'Distinct Queues'!$A$3:$B$39,2,FALSE)</f>
        <v>Customer_Service_Team</v>
      </c>
      <c r="L129" t="str">
        <f>VLOOKUP(E129,'Distinct Queues'!$A$3:$B$39,2,FALSE)</f>
        <v>PRS_Regions</v>
      </c>
      <c r="M129" t="str">
        <f>VLOOKUP(F129,'Distinct Queues'!$A$3:$B$39,2,FALSE)</f>
        <v>AM_PRS_Regions</v>
      </c>
      <c r="N129" t="str">
        <f>VLOOKUP(G129,'Distinct Queues'!$A$3:$B$39,2,FALSE)</f>
        <v>Lettings_North_West</v>
      </c>
    </row>
    <row r="130" spans="1:14">
      <c r="A130" s="25" t="s">
        <v>441</v>
      </c>
      <c r="B130" s="26" t="s">
        <v>442</v>
      </c>
      <c r="C130" s="27" t="s">
        <v>208</v>
      </c>
      <c r="D130" s="27" t="s">
        <v>209</v>
      </c>
      <c r="E130" s="27" t="s">
        <v>225</v>
      </c>
      <c r="F130" s="27" t="s">
        <v>226</v>
      </c>
      <c r="G130" s="28" t="s">
        <v>44</v>
      </c>
      <c r="I130" s="1" t="str">
        <f>Table1[[#This Row],[Building ID]]</f>
        <v>a1826000001piDEAAY</v>
      </c>
      <c r="J130" t="str">
        <f>VLOOKUP(C130,'Distinct Queues'!$A$3:$B$39,2,FALSE)</f>
        <v>Finance_Team</v>
      </c>
      <c r="K130" t="str">
        <f>VLOOKUP(D130,'Distinct Queues'!$A$3:$B$39,2,FALSE)</f>
        <v>Customer_Service_Team</v>
      </c>
      <c r="L130" t="str">
        <f>VLOOKUP(E130,'Distinct Queues'!$A$3:$B$39,2,FALSE)</f>
        <v>PRS_Regions</v>
      </c>
      <c r="M130" t="str">
        <f>VLOOKUP(F130,'Distinct Queues'!$A$3:$B$39,2,FALSE)</f>
        <v>AM_PRS_Regions</v>
      </c>
      <c r="N130" t="str">
        <f>VLOOKUP(G130,'Distinct Queues'!$A$3:$B$39,2,FALSE)</f>
        <v>Lettings_North_West</v>
      </c>
    </row>
    <row r="131" spans="1:14">
      <c r="A131" s="29" t="s">
        <v>443</v>
      </c>
      <c r="B131" s="26" t="s">
        <v>444</v>
      </c>
      <c r="C131" s="26" t="s">
        <v>208</v>
      </c>
      <c r="D131" s="26" t="s">
        <v>209</v>
      </c>
      <c r="E131" s="26" t="s">
        <v>225</v>
      </c>
      <c r="F131" s="26" t="s">
        <v>226</v>
      </c>
      <c r="G131" s="30" t="s">
        <v>44</v>
      </c>
      <c r="I131" s="1" t="str">
        <f>Table1[[#This Row],[Building ID]]</f>
        <v>a1826000001piDTAAY</v>
      </c>
      <c r="J131" t="str">
        <f>VLOOKUP(C131,'Distinct Queues'!$A$3:$B$39,2,FALSE)</f>
        <v>Finance_Team</v>
      </c>
      <c r="K131" t="str">
        <f>VLOOKUP(D131,'Distinct Queues'!$A$3:$B$39,2,FALSE)</f>
        <v>Customer_Service_Team</v>
      </c>
      <c r="L131" t="str">
        <f>VLOOKUP(E131,'Distinct Queues'!$A$3:$B$39,2,FALSE)</f>
        <v>PRS_Regions</v>
      </c>
      <c r="M131" t="str">
        <f>VLOOKUP(F131,'Distinct Queues'!$A$3:$B$39,2,FALSE)</f>
        <v>AM_PRS_Regions</v>
      </c>
      <c r="N131" t="str">
        <f>VLOOKUP(G131,'Distinct Queues'!$A$3:$B$39,2,FALSE)</f>
        <v>Lettings_North_West</v>
      </c>
    </row>
    <row r="132" spans="1:14">
      <c r="A132" s="25" t="s">
        <v>445</v>
      </c>
      <c r="B132" s="26" t="s">
        <v>446</v>
      </c>
      <c r="C132" s="27" t="s">
        <v>208</v>
      </c>
      <c r="D132" s="27" t="s">
        <v>209</v>
      </c>
      <c r="E132" s="27" t="s">
        <v>225</v>
      </c>
      <c r="F132" s="27" t="s">
        <v>226</v>
      </c>
      <c r="G132" s="28" t="s">
        <v>44</v>
      </c>
      <c r="I132" s="1" t="str">
        <f>Table1[[#This Row],[Building ID]]</f>
        <v>a1826000001piD9AAI</v>
      </c>
      <c r="J132" t="str">
        <f>VLOOKUP(C132,'Distinct Queues'!$A$3:$B$39,2,FALSE)</f>
        <v>Finance_Team</v>
      </c>
      <c r="K132" t="str">
        <f>VLOOKUP(D132,'Distinct Queues'!$A$3:$B$39,2,FALSE)</f>
        <v>Customer_Service_Team</v>
      </c>
      <c r="L132" t="str">
        <f>VLOOKUP(E132,'Distinct Queues'!$A$3:$B$39,2,FALSE)</f>
        <v>PRS_Regions</v>
      </c>
      <c r="M132" t="str">
        <f>VLOOKUP(F132,'Distinct Queues'!$A$3:$B$39,2,FALSE)</f>
        <v>AM_PRS_Regions</v>
      </c>
      <c r="N132" t="str">
        <f>VLOOKUP(G132,'Distinct Queues'!$A$3:$B$39,2,FALSE)</f>
        <v>Lettings_North_West</v>
      </c>
    </row>
    <row r="133" spans="1:14">
      <c r="A133" s="29" t="s">
        <v>447</v>
      </c>
      <c r="B133" s="26" t="s">
        <v>448</v>
      </c>
      <c r="C133" s="26" t="s">
        <v>208</v>
      </c>
      <c r="D133" s="26" t="s">
        <v>209</v>
      </c>
      <c r="E133" s="26" t="s">
        <v>225</v>
      </c>
      <c r="F133" s="26" t="s">
        <v>226</v>
      </c>
      <c r="G133" s="30" t="s">
        <v>44</v>
      </c>
      <c r="I133" s="1" t="str">
        <f>Table1[[#This Row],[Building ID]]</f>
        <v>a1826000001piDYAAY</v>
      </c>
      <c r="J133" t="str">
        <f>VLOOKUP(C133,'Distinct Queues'!$A$3:$B$39,2,FALSE)</f>
        <v>Finance_Team</v>
      </c>
      <c r="K133" t="str">
        <f>VLOOKUP(D133,'Distinct Queues'!$A$3:$B$39,2,FALSE)</f>
        <v>Customer_Service_Team</v>
      </c>
      <c r="L133" t="str">
        <f>VLOOKUP(E133,'Distinct Queues'!$A$3:$B$39,2,FALSE)</f>
        <v>PRS_Regions</v>
      </c>
      <c r="M133" t="str">
        <f>VLOOKUP(F133,'Distinct Queues'!$A$3:$B$39,2,FALSE)</f>
        <v>AM_PRS_Regions</v>
      </c>
      <c r="N133" t="str">
        <f>VLOOKUP(G133,'Distinct Queues'!$A$3:$B$39,2,FALSE)</f>
        <v>Lettings_North_West</v>
      </c>
    </row>
    <row r="134" spans="1:14">
      <c r="A134" s="25" t="s">
        <v>449</v>
      </c>
      <c r="B134" s="26" t="s">
        <v>450</v>
      </c>
      <c r="C134" s="27" t="s">
        <v>208</v>
      </c>
      <c r="D134" s="27" t="s">
        <v>209</v>
      </c>
      <c r="E134" s="27" t="s">
        <v>225</v>
      </c>
      <c r="F134" s="27" t="s">
        <v>226</v>
      </c>
      <c r="G134" s="28" t="s">
        <v>44</v>
      </c>
      <c r="I134" s="1" t="str">
        <f>Table1[[#This Row],[Building ID]]</f>
        <v>a1826000001piB4AAI</v>
      </c>
      <c r="J134" t="str">
        <f>VLOOKUP(C134,'Distinct Queues'!$A$3:$B$39,2,FALSE)</f>
        <v>Finance_Team</v>
      </c>
      <c r="K134" t="str">
        <f>VLOOKUP(D134,'Distinct Queues'!$A$3:$B$39,2,FALSE)</f>
        <v>Customer_Service_Team</v>
      </c>
      <c r="L134" t="str">
        <f>VLOOKUP(E134,'Distinct Queues'!$A$3:$B$39,2,FALSE)</f>
        <v>PRS_Regions</v>
      </c>
      <c r="M134" t="str">
        <f>VLOOKUP(F134,'Distinct Queues'!$A$3:$B$39,2,FALSE)</f>
        <v>AM_PRS_Regions</v>
      </c>
      <c r="N134" t="str">
        <f>VLOOKUP(G134,'Distinct Queues'!$A$3:$B$39,2,FALSE)</f>
        <v>Lettings_North_West</v>
      </c>
    </row>
    <row r="135" spans="1:14">
      <c r="A135" s="29" t="s">
        <v>451</v>
      </c>
      <c r="B135" s="26" t="s">
        <v>452</v>
      </c>
      <c r="C135" s="26" t="s">
        <v>208</v>
      </c>
      <c r="D135" s="26" t="s">
        <v>209</v>
      </c>
      <c r="E135" s="26" t="s">
        <v>225</v>
      </c>
      <c r="F135" s="26" t="s">
        <v>226</v>
      </c>
      <c r="G135" s="30" t="s">
        <v>44</v>
      </c>
      <c r="I135" s="1" t="str">
        <f>Table1[[#This Row],[Building ID]]</f>
        <v>a1826000001piCWAAY</v>
      </c>
      <c r="J135" t="str">
        <f>VLOOKUP(C135,'Distinct Queues'!$A$3:$B$39,2,FALSE)</f>
        <v>Finance_Team</v>
      </c>
      <c r="K135" t="str">
        <f>VLOOKUP(D135,'Distinct Queues'!$A$3:$B$39,2,FALSE)</f>
        <v>Customer_Service_Team</v>
      </c>
      <c r="L135" t="str">
        <f>VLOOKUP(E135,'Distinct Queues'!$A$3:$B$39,2,FALSE)</f>
        <v>PRS_Regions</v>
      </c>
      <c r="M135" t="str">
        <f>VLOOKUP(F135,'Distinct Queues'!$A$3:$B$39,2,FALSE)</f>
        <v>AM_PRS_Regions</v>
      </c>
      <c r="N135" t="str">
        <f>VLOOKUP(G135,'Distinct Queues'!$A$3:$B$39,2,FALSE)</f>
        <v>Lettings_North_West</v>
      </c>
    </row>
    <row r="136" spans="1:14">
      <c r="A136" s="25" t="s">
        <v>453</v>
      </c>
      <c r="B136" s="26" t="s">
        <v>454</v>
      </c>
      <c r="C136" s="27" t="s">
        <v>208</v>
      </c>
      <c r="D136" s="27" t="s">
        <v>209</v>
      </c>
      <c r="E136" s="27" t="s">
        <v>225</v>
      </c>
      <c r="F136" s="27" t="s">
        <v>226</v>
      </c>
      <c r="G136" s="28" t="s">
        <v>44</v>
      </c>
      <c r="I136" s="1" t="str">
        <f>Table1[[#This Row],[Building ID]]</f>
        <v>a1826000001pi4YAAQ</v>
      </c>
      <c r="J136" t="str">
        <f>VLOOKUP(C136,'Distinct Queues'!$A$3:$B$39,2,FALSE)</f>
        <v>Finance_Team</v>
      </c>
      <c r="K136" t="str">
        <f>VLOOKUP(D136,'Distinct Queues'!$A$3:$B$39,2,FALSE)</f>
        <v>Customer_Service_Team</v>
      </c>
      <c r="L136" t="str">
        <f>VLOOKUP(E136,'Distinct Queues'!$A$3:$B$39,2,FALSE)</f>
        <v>PRS_Regions</v>
      </c>
      <c r="M136" t="str">
        <f>VLOOKUP(F136,'Distinct Queues'!$A$3:$B$39,2,FALSE)</f>
        <v>AM_PRS_Regions</v>
      </c>
      <c r="N136" t="str">
        <f>VLOOKUP(G136,'Distinct Queues'!$A$3:$B$39,2,FALSE)</f>
        <v>Lettings_North_West</v>
      </c>
    </row>
    <row r="137" spans="1:14">
      <c r="A137" s="29" t="s">
        <v>455</v>
      </c>
      <c r="B137" s="26" t="s">
        <v>456</v>
      </c>
      <c r="C137" s="26" t="s">
        <v>208</v>
      </c>
      <c r="D137" s="26" t="s">
        <v>209</v>
      </c>
      <c r="E137" s="26" t="s">
        <v>225</v>
      </c>
      <c r="F137" s="26" t="s">
        <v>226</v>
      </c>
      <c r="G137" s="30" t="s">
        <v>44</v>
      </c>
      <c r="I137" s="1" t="str">
        <f>Table1[[#This Row],[Building ID]]</f>
        <v>a1826000001piDdAAI</v>
      </c>
      <c r="J137" t="str">
        <f>VLOOKUP(C137,'Distinct Queues'!$A$3:$B$39,2,FALSE)</f>
        <v>Finance_Team</v>
      </c>
      <c r="K137" t="str">
        <f>VLOOKUP(D137,'Distinct Queues'!$A$3:$B$39,2,FALSE)</f>
        <v>Customer_Service_Team</v>
      </c>
      <c r="L137" t="str">
        <f>VLOOKUP(E137,'Distinct Queues'!$A$3:$B$39,2,FALSE)</f>
        <v>PRS_Regions</v>
      </c>
      <c r="M137" t="str">
        <f>VLOOKUP(F137,'Distinct Queues'!$A$3:$B$39,2,FALSE)</f>
        <v>AM_PRS_Regions</v>
      </c>
      <c r="N137" t="str">
        <f>VLOOKUP(G137,'Distinct Queues'!$A$3:$B$39,2,FALSE)</f>
        <v>Lettings_North_West</v>
      </c>
    </row>
    <row r="138" spans="1:14">
      <c r="A138" s="25" t="s">
        <v>457</v>
      </c>
      <c r="B138" s="26" t="s">
        <v>458</v>
      </c>
      <c r="C138" s="27" t="s">
        <v>208</v>
      </c>
      <c r="D138" s="27" t="s">
        <v>209</v>
      </c>
      <c r="E138" s="27" t="s">
        <v>225</v>
      </c>
      <c r="F138" s="27" t="s">
        <v>226</v>
      </c>
      <c r="G138" s="28" t="s">
        <v>44</v>
      </c>
      <c r="I138" s="1" t="str">
        <f>Table1[[#This Row],[Building ID]]</f>
        <v>a1826000001piDsAAI</v>
      </c>
      <c r="J138" t="str">
        <f>VLOOKUP(C138,'Distinct Queues'!$A$3:$B$39,2,FALSE)</f>
        <v>Finance_Team</v>
      </c>
      <c r="K138" t="str">
        <f>VLOOKUP(D138,'Distinct Queues'!$A$3:$B$39,2,FALSE)</f>
        <v>Customer_Service_Team</v>
      </c>
      <c r="L138" t="str">
        <f>VLOOKUP(E138,'Distinct Queues'!$A$3:$B$39,2,FALSE)</f>
        <v>PRS_Regions</v>
      </c>
      <c r="M138" t="str">
        <f>VLOOKUP(F138,'Distinct Queues'!$A$3:$B$39,2,FALSE)</f>
        <v>AM_PRS_Regions</v>
      </c>
      <c r="N138" t="str">
        <f>VLOOKUP(G138,'Distinct Queues'!$A$3:$B$39,2,FALSE)</f>
        <v>Lettings_North_West</v>
      </c>
    </row>
    <row r="139" spans="1:14">
      <c r="A139" s="29" t="s">
        <v>459</v>
      </c>
      <c r="B139" s="26" t="s">
        <v>460</v>
      </c>
      <c r="C139" s="26" t="s">
        <v>208</v>
      </c>
      <c r="D139" s="26" t="s">
        <v>209</v>
      </c>
      <c r="E139" s="26" t="s">
        <v>225</v>
      </c>
      <c r="F139" s="26" t="s">
        <v>226</v>
      </c>
      <c r="G139" s="30" t="s">
        <v>44</v>
      </c>
      <c r="I139" s="1" t="str">
        <f>Table1[[#This Row],[Building ID]]</f>
        <v>a1826000001piDnAAI</v>
      </c>
      <c r="J139" t="str">
        <f>VLOOKUP(C139,'Distinct Queues'!$A$3:$B$39,2,FALSE)</f>
        <v>Finance_Team</v>
      </c>
      <c r="K139" t="str">
        <f>VLOOKUP(D139,'Distinct Queues'!$A$3:$B$39,2,FALSE)</f>
        <v>Customer_Service_Team</v>
      </c>
      <c r="L139" t="str">
        <f>VLOOKUP(E139,'Distinct Queues'!$A$3:$B$39,2,FALSE)</f>
        <v>PRS_Regions</v>
      </c>
      <c r="M139" t="str">
        <f>VLOOKUP(F139,'Distinct Queues'!$A$3:$B$39,2,FALSE)</f>
        <v>AM_PRS_Regions</v>
      </c>
      <c r="N139" t="str">
        <f>VLOOKUP(G139,'Distinct Queues'!$A$3:$B$39,2,FALSE)</f>
        <v>Lettings_North_West</v>
      </c>
    </row>
    <row r="140" spans="1:14">
      <c r="A140" s="25" t="s">
        <v>461</v>
      </c>
      <c r="B140" s="26" t="s">
        <v>462</v>
      </c>
      <c r="C140" s="27" t="s">
        <v>208</v>
      </c>
      <c r="D140" s="27" t="s">
        <v>209</v>
      </c>
      <c r="E140" s="27" t="s">
        <v>225</v>
      </c>
      <c r="F140" s="27" t="s">
        <v>226</v>
      </c>
      <c r="G140" s="28" t="s">
        <v>44</v>
      </c>
      <c r="I140" s="1" t="str">
        <f>Table1[[#This Row],[Building ID]]</f>
        <v>a1826000001piBxAAI</v>
      </c>
      <c r="J140" t="str">
        <f>VLOOKUP(C140,'Distinct Queues'!$A$3:$B$39,2,FALSE)</f>
        <v>Finance_Team</v>
      </c>
      <c r="K140" t="str">
        <f>VLOOKUP(D140,'Distinct Queues'!$A$3:$B$39,2,FALSE)</f>
        <v>Customer_Service_Team</v>
      </c>
      <c r="L140" t="str">
        <f>VLOOKUP(E140,'Distinct Queues'!$A$3:$B$39,2,FALSE)</f>
        <v>PRS_Regions</v>
      </c>
      <c r="M140" t="str">
        <f>VLOOKUP(F140,'Distinct Queues'!$A$3:$B$39,2,FALSE)</f>
        <v>AM_PRS_Regions</v>
      </c>
      <c r="N140" t="str">
        <f>VLOOKUP(G140,'Distinct Queues'!$A$3:$B$39,2,FALSE)</f>
        <v>Lettings_North_West</v>
      </c>
    </row>
    <row r="141" spans="1:14">
      <c r="A141" s="29" t="s">
        <v>463</v>
      </c>
      <c r="B141" s="26" t="s">
        <v>464</v>
      </c>
      <c r="C141" s="26" t="s">
        <v>208</v>
      </c>
      <c r="D141" s="26" t="s">
        <v>209</v>
      </c>
      <c r="E141" s="26" t="s">
        <v>225</v>
      </c>
      <c r="F141" s="26" t="s">
        <v>226</v>
      </c>
      <c r="G141" s="30" t="s">
        <v>44</v>
      </c>
      <c r="I141" s="1" t="str">
        <f>Table1[[#This Row],[Building ID]]</f>
        <v>a1826000001piDiAAI</v>
      </c>
      <c r="J141" t="str">
        <f>VLOOKUP(C141,'Distinct Queues'!$A$3:$B$39,2,FALSE)</f>
        <v>Finance_Team</v>
      </c>
      <c r="K141" t="str">
        <f>VLOOKUP(D141,'Distinct Queues'!$A$3:$B$39,2,FALSE)</f>
        <v>Customer_Service_Team</v>
      </c>
      <c r="L141" t="str">
        <f>VLOOKUP(E141,'Distinct Queues'!$A$3:$B$39,2,FALSE)</f>
        <v>PRS_Regions</v>
      </c>
      <c r="M141" t="str">
        <f>VLOOKUP(F141,'Distinct Queues'!$A$3:$B$39,2,FALSE)</f>
        <v>AM_PRS_Regions</v>
      </c>
      <c r="N141" t="str">
        <f>VLOOKUP(G141,'Distinct Queues'!$A$3:$B$39,2,FALSE)</f>
        <v>Lettings_North_West</v>
      </c>
    </row>
    <row r="142" spans="1:14">
      <c r="A142" s="25" t="s">
        <v>465</v>
      </c>
      <c r="B142" s="26" t="s">
        <v>466</v>
      </c>
      <c r="C142" s="27" t="s">
        <v>208</v>
      </c>
      <c r="D142" s="27" t="s">
        <v>209</v>
      </c>
      <c r="E142" s="27" t="s">
        <v>225</v>
      </c>
      <c r="F142" s="27" t="s">
        <v>226</v>
      </c>
      <c r="G142" s="28" t="s">
        <v>44</v>
      </c>
      <c r="I142" s="1" t="str">
        <f>Table1[[#This Row],[Building ID]]</f>
        <v>a1826000001piCqAAI</v>
      </c>
      <c r="J142" t="str">
        <f>VLOOKUP(C142,'Distinct Queues'!$A$3:$B$39,2,FALSE)</f>
        <v>Finance_Team</v>
      </c>
      <c r="K142" t="str">
        <f>VLOOKUP(D142,'Distinct Queues'!$A$3:$B$39,2,FALSE)</f>
        <v>Customer_Service_Team</v>
      </c>
      <c r="L142" t="str">
        <f>VLOOKUP(E142,'Distinct Queues'!$A$3:$B$39,2,FALSE)</f>
        <v>PRS_Regions</v>
      </c>
      <c r="M142" t="str">
        <f>VLOOKUP(F142,'Distinct Queues'!$A$3:$B$39,2,FALSE)</f>
        <v>AM_PRS_Regions</v>
      </c>
      <c r="N142" t="str">
        <f>VLOOKUP(G142,'Distinct Queues'!$A$3:$B$39,2,FALSE)</f>
        <v>Lettings_North_West</v>
      </c>
    </row>
    <row r="143" spans="1:14">
      <c r="A143" s="29" t="s">
        <v>467</v>
      </c>
      <c r="B143" s="26" t="s">
        <v>468</v>
      </c>
      <c r="C143" s="26" t="s">
        <v>208</v>
      </c>
      <c r="D143" s="26" t="s">
        <v>209</v>
      </c>
      <c r="E143" s="26" t="s">
        <v>225</v>
      </c>
      <c r="F143" s="26" t="s">
        <v>226</v>
      </c>
      <c r="G143" s="30" t="s">
        <v>44</v>
      </c>
      <c r="I143" s="1" t="str">
        <f>Table1[[#This Row],[Building ID]]</f>
        <v>a1826000001piDeAAI</v>
      </c>
      <c r="J143" t="str">
        <f>VLOOKUP(C143,'Distinct Queues'!$A$3:$B$39,2,FALSE)</f>
        <v>Finance_Team</v>
      </c>
      <c r="K143" t="str">
        <f>VLOOKUP(D143,'Distinct Queues'!$A$3:$B$39,2,FALSE)</f>
        <v>Customer_Service_Team</v>
      </c>
      <c r="L143" t="str">
        <f>VLOOKUP(E143,'Distinct Queues'!$A$3:$B$39,2,FALSE)</f>
        <v>PRS_Regions</v>
      </c>
      <c r="M143" t="str">
        <f>VLOOKUP(F143,'Distinct Queues'!$A$3:$B$39,2,FALSE)</f>
        <v>AM_PRS_Regions</v>
      </c>
      <c r="N143" t="str">
        <f>VLOOKUP(G143,'Distinct Queues'!$A$3:$B$39,2,FALSE)</f>
        <v>Lettings_North_West</v>
      </c>
    </row>
    <row r="144" spans="1:14">
      <c r="A144" s="25" t="s">
        <v>469</v>
      </c>
      <c r="B144" s="26" t="s">
        <v>470</v>
      </c>
      <c r="C144" s="27" t="s">
        <v>208</v>
      </c>
      <c r="D144" s="27" t="s">
        <v>209</v>
      </c>
      <c r="E144" s="27" t="s">
        <v>225</v>
      </c>
      <c r="F144" s="27" t="s">
        <v>226</v>
      </c>
      <c r="G144" s="28" t="s">
        <v>44</v>
      </c>
      <c r="I144" s="1" t="str">
        <f>Table1[[#This Row],[Building ID]]</f>
        <v>a1826000001pi7CAAQ</v>
      </c>
      <c r="J144" t="str">
        <f>VLOOKUP(C144,'Distinct Queues'!$A$3:$B$39,2,FALSE)</f>
        <v>Finance_Team</v>
      </c>
      <c r="K144" t="str">
        <f>VLOOKUP(D144,'Distinct Queues'!$A$3:$B$39,2,FALSE)</f>
        <v>Customer_Service_Team</v>
      </c>
      <c r="L144" t="str">
        <f>VLOOKUP(E144,'Distinct Queues'!$A$3:$B$39,2,FALSE)</f>
        <v>PRS_Regions</v>
      </c>
      <c r="M144" t="str">
        <f>VLOOKUP(F144,'Distinct Queues'!$A$3:$B$39,2,FALSE)</f>
        <v>AM_PRS_Regions</v>
      </c>
      <c r="N144" t="str">
        <f>VLOOKUP(G144,'Distinct Queues'!$A$3:$B$39,2,FALSE)</f>
        <v>Lettings_North_West</v>
      </c>
    </row>
    <row r="145" spans="1:14">
      <c r="A145" s="29" t="s">
        <v>471</v>
      </c>
      <c r="B145" s="26" t="s">
        <v>472</v>
      </c>
      <c r="C145" s="26" t="s">
        <v>208</v>
      </c>
      <c r="D145" s="26" t="s">
        <v>209</v>
      </c>
      <c r="E145" s="26" t="s">
        <v>225</v>
      </c>
      <c r="F145" s="26" t="s">
        <v>226</v>
      </c>
      <c r="G145" s="30" t="s">
        <v>44</v>
      </c>
      <c r="I145" s="1" t="str">
        <f>Table1[[#This Row],[Building ID]]</f>
        <v>a1826000001piDUAAY</v>
      </c>
      <c r="J145" t="str">
        <f>VLOOKUP(C145,'Distinct Queues'!$A$3:$B$39,2,FALSE)</f>
        <v>Finance_Team</v>
      </c>
      <c r="K145" t="str">
        <f>VLOOKUP(D145,'Distinct Queues'!$A$3:$B$39,2,FALSE)</f>
        <v>Customer_Service_Team</v>
      </c>
      <c r="L145" t="str">
        <f>VLOOKUP(E145,'Distinct Queues'!$A$3:$B$39,2,FALSE)</f>
        <v>PRS_Regions</v>
      </c>
      <c r="M145" t="str">
        <f>VLOOKUP(F145,'Distinct Queues'!$A$3:$B$39,2,FALSE)</f>
        <v>AM_PRS_Regions</v>
      </c>
      <c r="N145" t="str">
        <f>VLOOKUP(G145,'Distinct Queues'!$A$3:$B$39,2,FALSE)</f>
        <v>Lettings_North_West</v>
      </c>
    </row>
    <row r="146" spans="1:14">
      <c r="A146" s="25" t="s">
        <v>473</v>
      </c>
      <c r="B146" s="26" t="s">
        <v>474</v>
      </c>
      <c r="C146" s="27" t="s">
        <v>208</v>
      </c>
      <c r="D146" s="27" t="s">
        <v>209</v>
      </c>
      <c r="E146" s="27" t="s">
        <v>225</v>
      </c>
      <c r="F146" s="27" t="s">
        <v>226</v>
      </c>
      <c r="G146" s="28" t="s">
        <v>44</v>
      </c>
      <c r="I146" s="1" t="str">
        <f>Table1[[#This Row],[Building ID]]</f>
        <v>a1826000001piE2AAI</v>
      </c>
      <c r="J146" t="str">
        <f>VLOOKUP(C146,'Distinct Queues'!$A$3:$B$39,2,FALSE)</f>
        <v>Finance_Team</v>
      </c>
      <c r="K146" t="str">
        <f>VLOOKUP(D146,'Distinct Queues'!$A$3:$B$39,2,FALSE)</f>
        <v>Customer_Service_Team</v>
      </c>
      <c r="L146" t="str">
        <f>VLOOKUP(E146,'Distinct Queues'!$A$3:$B$39,2,FALSE)</f>
        <v>PRS_Regions</v>
      </c>
      <c r="M146" t="str">
        <f>VLOOKUP(F146,'Distinct Queues'!$A$3:$B$39,2,FALSE)</f>
        <v>AM_PRS_Regions</v>
      </c>
      <c r="N146" t="str">
        <f>VLOOKUP(G146,'Distinct Queues'!$A$3:$B$39,2,FALSE)</f>
        <v>Lettings_North_West</v>
      </c>
    </row>
    <row r="147" spans="1:14">
      <c r="A147" s="29" t="s">
        <v>475</v>
      </c>
      <c r="B147" s="26" t="s">
        <v>476</v>
      </c>
      <c r="C147" s="26" t="s">
        <v>208</v>
      </c>
      <c r="D147" s="26" t="s">
        <v>209</v>
      </c>
      <c r="E147" s="26" t="s">
        <v>210</v>
      </c>
      <c r="F147" s="26" t="s">
        <v>211</v>
      </c>
      <c r="G147" s="30" t="s">
        <v>212</v>
      </c>
      <c r="I147" s="1" t="str">
        <f>Table1[[#This Row],[Building ID]]</f>
        <v>a1826000001SagoAAC</v>
      </c>
      <c r="J147" t="str">
        <f>VLOOKUP(C147,'Distinct Queues'!$A$3:$B$39,2,FALSE)</f>
        <v>Finance_Team</v>
      </c>
      <c r="K147" t="str">
        <f>VLOOKUP(D147,'Distinct Queues'!$A$3:$B$39,2,FALSE)</f>
        <v>Customer_Service_Team</v>
      </c>
      <c r="L147" t="str">
        <f>VLOOKUP(E147,'Distinct Queues'!$A$3:$B$39,2,FALSE)</f>
        <v>PRS_London</v>
      </c>
      <c r="M147" t="str">
        <f>VLOOKUP(F147,'Distinct Queues'!$A$3:$B$39,2,FALSE)</f>
        <v>AM_PRS_London</v>
      </c>
      <c r="N147" t="str">
        <f>VLOOKUP(G147,'Distinct Queues'!$A$3:$B$39,2,FALSE)</f>
        <v>Lettings_South</v>
      </c>
    </row>
    <row r="148" spans="1:14">
      <c r="A148" s="25" t="s">
        <v>477</v>
      </c>
      <c r="B148" s="26" t="s">
        <v>478</v>
      </c>
      <c r="C148" s="27" t="s">
        <v>208</v>
      </c>
      <c r="D148" s="27" t="s">
        <v>209</v>
      </c>
      <c r="E148" s="27" t="s">
        <v>225</v>
      </c>
      <c r="F148" s="27" t="s">
        <v>226</v>
      </c>
      <c r="G148" s="28" t="s">
        <v>44</v>
      </c>
      <c r="I148" s="1" t="str">
        <f>Table1[[#This Row],[Building ID]]</f>
        <v>a1826000001SpwVAAS</v>
      </c>
      <c r="J148" t="str">
        <f>VLOOKUP(C148,'Distinct Queues'!$A$3:$B$39,2,FALSE)</f>
        <v>Finance_Team</v>
      </c>
      <c r="K148" t="str">
        <f>VLOOKUP(D148,'Distinct Queues'!$A$3:$B$39,2,FALSE)</f>
        <v>Customer_Service_Team</v>
      </c>
      <c r="L148" t="str">
        <f>VLOOKUP(E148,'Distinct Queues'!$A$3:$B$39,2,FALSE)</f>
        <v>PRS_Regions</v>
      </c>
      <c r="M148" t="str">
        <f>VLOOKUP(F148,'Distinct Queues'!$A$3:$B$39,2,FALSE)</f>
        <v>AM_PRS_Regions</v>
      </c>
      <c r="N148" t="str">
        <f>VLOOKUP(G148,'Distinct Queues'!$A$3:$B$39,2,FALSE)</f>
        <v>Lettings_North_West</v>
      </c>
    </row>
    <row r="149" spans="1:14">
      <c r="A149" s="29" t="s">
        <v>479</v>
      </c>
      <c r="B149" s="26" t="s">
        <v>480</v>
      </c>
      <c r="C149" s="26" t="s">
        <v>208</v>
      </c>
      <c r="D149" s="26" t="s">
        <v>209</v>
      </c>
      <c r="E149" s="26" t="s">
        <v>225</v>
      </c>
      <c r="F149" s="26" t="s">
        <v>226</v>
      </c>
      <c r="G149" s="30" t="s">
        <v>44</v>
      </c>
      <c r="I149" s="1" t="str">
        <f>Table1[[#This Row],[Building ID]]</f>
        <v>a1826000001piEgAAI</v>
      </c>
      <c r="J149" t="str">
        <f>VLOOKUP(C149,'Distinct Queues'!$A$3:$B$39,2,FALSE)</f>
        <v>Finance_Team</v>
      </c>
      <c r="K149" t="str">
        <f>VLOOKUP(D149,'Distinct Queues'!$A$3:$B$39,2,FALSE)</f>
        <v>Customer_Service_Team</v>
      </c>
      <c r="L149" t="str">
        <f>VLOOKUP(E149,'Distinct Queues'!$A$3:$B$39,2,FALSE)</f>
        <v>PRS_Regions</v>
      </c>
      <c r="M149" t="str">
        <f>VLOOKUP(F149,'Distinct Queues'!$A$3:$B$39,2,FALSE)</f>
        <v>AM_PRS_Regions</v>
      </c>
      <c r="N149" t="str">
        <f>VLOOKUP(G149,'Distinct Queues'!$A$3:$B$39,2,FALSE)</f>
        <v>Lettings_North_West</v>
      </c>
    </row>
    <row r="150" spans="1:14">
      <c r="A150" s="25" t="s">
        <v>481</v>
      </c>
      <c r="B150" s="26" t="s">
        <v>482</v>
      </c>
      <c r="C150" s="27" t="s">
        <v>208</v>
      </c>
      <c r="D150" s="27" t="s">
        <v>209</v>
      </c>
      <c r="E150" s="27" t="s">
        <v>225</v>
      </c>
      <c r="F150" s="27" t="s">
        <v>226</v>
      </c>
      <c r="G150" s="28" t="s">
        <v>44</v>
      </c>
      <c r="I150" s="1" t="str">
        <f>Table1[[#This Row],[Building ID]]</f>
        <v>a1826000001piElAAI</v>
      </c>
      <c r="J150" t="str">
        <f>VLOOKUP(C150,'Distinct Queues'!$A$3:$B$39,2,FALSE)</f>
        <v>Finance_Team</v>
      </c>
      <c r="K150" t="str">
        <f>VLOOKUP(D150,'Distinct Queues'!$A$3:$B$39,2,FALSE)</f>
        <v>Customer_Service_Team</v>
      </c>
      <c r="L150" t="str">
        <f>VLOOKUP(E150,'Distinct Queues'!$A$3:$B$39,2,FALSE)</f>
        <v>PRS_Regions</v>
      </c>
      <c r="M150" t="str">
        <f>VLOOKUP(F150,'Distinct Queues'!$A$3:$B$39,2,FALSE)</f>
        <v>AM_PRS_Regions</v>
      </c>
      <c r="N150" t="str">
        <f>VLOOKUP(G150,'Distinct Queues'!$A$3:$B$39,2,FALSE)</f>
        <v>Lettings_North_West</v>
      </c>
    </row>
    <row r="151" spans="1:14">
      <c r="A151" s="29" t="s">
        <v>483</v>
      </c>
      <c r="B151" s="26" t="s">
        <v>484</v>
      </c>
      <c r="C151" s="26" t="s">
        <v>208</v>
      </c>
      <c r="D151" s="26" t="s">
        <v>209</v>
      </c>
      <c r="E151" s="26" t="s">
        <v>225</v>
      </c>
      <c r="F151" s="26" t="s">
        <v>226</v>
      </c>
      <c r="G151" s="30" t="s">
        <v>44</v>
      </c>
      <c r="I151" s="1" t="str">
        <f>Table1[[#This Row],[Building ID]]</f>
        <v>a1826000001pi2rAAA</v>
      </c>
      <c r="J151" t="str">
        <f>VLOOKUP(C151,'Distinct Queues'!$A$3:$B$39,2,FALSE)</f>
        <v>Finance_Team</v>
      </c>
      <c r="K151" t="str">
        <f>VLOOKUP(D151,'Distinct Queues'!$A$3:$B$39,2,FALSE)</f>
        <v>Customer_Service_Team</v>
      </c>
      <c r="L151" t="str">
        <f>VLOOKUP(E151,'Distinct Queues'!$A$3:$B$39,2,FALSE)</f>
        <v>PRS_Regions</v>
      </c>
      <c r="M151" t="str">
        <f>VLOOKUP(F151,'Distinct Queues'!$A$3:$B$39,2,FALSE)</f>
        <v>AM_PRS_Regions</v>
      </c>
      <c r="N151" t="str">
        <f>VLOOKUP(G151,'Distinct Queues'!$A$3:$B$39,2,FALSE)</f>
        <v>Lettings_North_West</v>
      </c>
    </row>
    <row r="152" spans="1:14">
      <c r="A152" s="25" t="s">
        <v>485</v>
      </c>
      <c r="B152" s="26" t="s">
        <v>486</v>
      </c>
      <c r="C152" s="27" t="s">
        <v>208</v>
      </c>
      <c r="D152" s="27" t="s">
        <v>209</v>
      </c>
      <c r="E152" s="27" t="s">
        <v>210</v>
      </c>
      <c r="F152" s="27" t="s">
        <v>211</v>
      </c>
      <c r="G152" s="28" t="s">
        <v>212</v>
      </c>
      <c r="I152" s="1" t="str">
        <f>Table1[[#This Row],[Building ID]]</f>
        <v>a1826000001pj2gAAA</v>
      </c>
      <c r="J152" t="str">
        <f>VLOOKUP(C152,'Distinct Queues'!$A$3:$B$39,2,FALSE)</f>
        <v>Finance_Team</v>
      </c>
      <c r="K152" t="str">
        <f>VLOOKUP(D152,'Distinct Queues'!$A$3:$B$39,2,FALSE)</f>
        <v>Customer_Service_Team</v>
      </c>
      <c r="L152" t="str">
        <f>VLOOKUP(E152,'Distinct Queues'!$A$3:$B$39,2,FALSE)</f>
        <v>PRS_London</v>
      </c>
      <c r="M152" t="str">
        <f>VLOOKUP(F152,'Distinct Queues'!$A$3:$B$39,2,FALSE)</f>
        <v>AM_PRS_London</v>
      </c>
      <c r="N152" t="str">
        <f>VLOOKUP(G152,'Distinct Queues'!$A$3:$B$39,2,FALSE)</f>
        <v>Lettings_South</v>
      </c>
    </row>
    <row r="153" spans="1:14">
      <c r="A153" s="29" t="s">
        <v>487</v>
      </c>
      <c r="B153" s="26" t="s">
        <v>488</v>
      </c>
      <c r="C153" s="26" t="s">
        <v>208</v>
      </c>
      <c r="D153" s="26" t="s">
        <v>209</v>
      </c>
      <c r="E153" s="26" t="s">
        <v>210</v>
      </c>
      <c r="F153" s="26" t="s">
        <v>211</v>
      </c>
      <c r="G153" s="30" t="s">
        <v>212</v>
      </c>
      <c r="I153" s="1" t="str">
        <f>Table1[[#This Row],[Building ID]]</f>
        <v>a1826000001pj2lAAA</v>
      </c>
      <c r="J153" t="str">
        <f>VLOOKUP(C153,'Distinct Queues'!$A$3:$B$39,2,FALSE)</f>
        <v>Finance_Team</v>
      </c>
      <c r="K153" t="str">
        <f>VLOOKUP(D153,'Distinct Queues'!$A$3:$B$39,2,FALSE)</f>
        <v>Customer_Service_Team</v>
      </c>
      <c r="L153" t="str">
        <f>VLOOKUP(E153,'Distinct Queues'!$A$3:$B$39,2,FALSE)</f>
        <v>PRS_London</v>
      </c>
      <c r="M153" t="str">
        <f>VLOOKUP(F153,'Distinct Queues'!$A$3:$B$39,2,FALSE)</f>
        <v>AM_PRS_London</v>
      </c>
      <c r="N153" t="str">
        <f>VLOOKUP(G153,'Distinct Queues'!$A$3:$B$39,2,FALSE)</f>
        <v>Lettings_South</v>
      </c>
    </row>
    <row r="154" spans="1:14">
      <c r="A154" s="25" t="s">
        <v>489</v>
      </c>
      <c r="B154" s="26" t="s">
        <v>490</v>
      </c>
      <c r="C154" s="27" t="s">
        <v>208</v>
      </c>
      <c r="D154" s="27" t="s">
        <v>209</v>
      </c>
      <c r="E154" s="27" t="s">
        <v>210</v>
      </c>
      <c r="F154" s="27" t="s">
        <v>211</v>
      </c>
      <c r="G154" s="28" t="s">
        <v>212</v>
      </c>
      <c r="I154" s="1" t="str">
        <f>Table1[[#This Row],[Building ID]]</f>
        <v>a1826000001pj8ZAAQ</v>
      </c>
      <c r="J154" t="str">
        <f>VLOOKUP(C154,'Distinct Queues'!$A$3:$B$39,2,FALSE)</f>
        <v>Finance_Team</v>
      </c>
      <c r="K154" t="str">
        <f>VLOOKUP(D154,'Distinct Queues'!$A$3:$B$39,2,FALSE)</f>
        <v>Customer_Service_Team</v>
      </c>
      <c r="L154" t="str">
        <f>VLOOKUP(E154,'Distinct Queues'!$A$3:$B$39,2,FALSE)</f>
        <v>PRS_London</v>
      </c>
      <c r="M154" t="str">
        <f>VLOOKUP(F154,'Distinct Queues'!$A$3:$B$39,2,FALSE)</f>
        <v>AM_PRS_London</v>
      </c>
      <c r="N154" t="str">
        <f>VLOOKUP(G154,'Distinct Queues'!$A$3:$B$39,2,FALSE)</f>
        <v>Lettings_South</v>
      </c>
    </row>
    <row r="155" spans="1:14">
      <c r="A155" s="29" t="s">
        <v>491</v>
      </c>
      <c r="B155" s="26" t="s">
        <v>492</v>
      </c>
      <c r="C155" s="26" t="s">
        <v>208</v>
      </c>
      <c r="D155" s="26" t="s">
        <v>209</v>
      </c>
      <c r="E155" s="26" t="s">
        <v>210</v>
      </c>
      <c r="F155" s="26" t="s">
        <v>211</v>
      </c>
      <c r="G155" s="30" t="s">
        <v>212</v>
      </c>
      <c r="I155" s="1" t="str">
        <f>Table1[[#This Row],[Building ID]]</f>
        <v>a1826000001pj9mAAA</v>
      </c>
      <c r="J155" t="str">
        <f>VLOOKUP(C155,'Distinct Queues'!$A$3:$B$39,2,FALSE)</f>
        <v>Finance_Team</v>
      </c>
      <c r="K155" t="str">
        <f>VLOOKUP(D155,'Distinct Queues'!$A$3:$B$39,2,FALSE)</f>
        <v>Customer_Service_Team</v>
      </c>
      <c r="L155" t="str">
        <f>VLOOKUP(E155,'Distinct Queues'!$A$3:$B$39,2,FALSE)</f>
        <v>PRS_London</v>
      </c>
      <c r="M155" t="str">
        <f>VLOOKUP(F155,'Distinct Queues'!$A$3:$B$39,2,FALSE)</f>
        <v>AM_PRS_London</v>
      </c>
      <c r="N155" t="str">
        <f>VLOOKUP(G155,'Distinct Queues'!$A$3:$B$39,2,FALSE)</f>
        <v>Lettings_South</v>
      </c>
    </row>
    <row r="156" spans="1:14">
      <c r="A156" s="25" t="s">
        <v>493</v>
      </c>
      <c r="B156" s="26" t="s">
        <v>494</v>
      </c>
      <c r="C156" s="27" t="s">
        <v>208</v>
      </c>
      <c r="D156" s="27" t="s">
        <v>209</v>
      </c>
      <c r="E156" s="27" t="s">
        <v>210</v>
      </c>
      <c r="F156" s="27" t="s">
        <v>211</v>
      </c>
      <c r="G156" s="28" t="s">
        <v>212</v>
      </c>
      <c r="I156" s="1" t="str">
        <f>Table1[[#This Row],[Building ID]]</f>
        <v>a1826000001pj8fAAA</v>
      </c>
      <c r="J156" t="str">
        <f>VLOOKUP(C156,'Distinct Queues'!$A$3:$B$39,2,FALSE)</f>
        <v>Finance_Team</v>
      </c>
      <c r="K156" t="str">
        <f>VLOOKUP(D156,'Distinct Queues'!$A$3:$B$39,2,FALSE)</f>
        <v>Customer_Service_Team</v>
      </c>
      <c r="L156" t="str">
        <f>VLOOKUP(E156,'Distinct Queues'!$A$3:$B$39,2,FALSE)</f>
        <v>PRS_London</v>
      </c>
      <c r="M156" t="str">
        <f>VLOOKUP(F156,'Distinct Queues'!$A$3:$B$39,2,FALSE)</f>
        <v>AM_PRS_London</v>
      </c>
      <c r="N156" t="str">
        <f>VLOOKUP(G156,'Distinct Queues'!$A$3:$B$39,2,FALSE)</f>
        <v>Lettings_South</v>
      </c>
    </row>
    <row r="157" spans="1:14">
      <c r="A157" s="29" t="s">
        <v>495</v>
      </c>
      <c r="B157" s="26" t="s">
        <v>496</v>
      </c>
      <c r="C157" s="26" t="s">
        <v>208</v>
      </c>
      <c r="D157" s="26" t="s">
        <v>209</v>
      </c>
      <c r="E157" s="26" t="s">
        <v>210</v>
      </c>
      <c r="F157" s="26" t="s">
        <v>211</v>
      </c>
      <c r="G157" s="30" t="s">
        <v>212</v>
      </c>
      <c r="I157" s="1" t="str">
        <f>Table1[[#This Row],[Building ID]]</f>
        <v>a1826000001pj7gAAA</v>
      </c>
      <c r="J157" t="str">
        <f>VLOOKUP(C157,'Distinct Queues'!$A$3:$B$39,2,FALSE)</f>
        <v>Finance_Team</v>
      </c>
      <c r="K157" t="str">
        <f>VLOOKUP(D157,'Distinct Queues'!$A$3:$B$39,2,FALSE)</f>
        <v>Customer_Service_Team</v>
      </c>
      <c r="L157" t="str">
        <f>VLOOKUP(E157,'Distinct Queues'!$A$3:$B$39,2,FALSE)</f>
        <v>PRS_London</v>
      </c>
      <c r="M157" t="str">
        <f>VLOOKUP(F157,'Distinct Queues'!$A$3:$B$39,2,FALSE)</f>
        <v>AM_PRS_London</v>
      </c>
      <c r="N157" t="str">
        <f>VLOOKUP(G157,'Distinct Queues'!$A$3:$B$39,2,FALSE)</f>
        <v>Lettings_South</v>
      </c>
    </row>
    <row r="158" spans="1:14">
      <c r="A158" s="25" t="s">
        <v>497</v>
      </c>
      <c r="B158" s="26" t="s">
        <v>498</v>
      </c>
      <c r="C158" s="27" t="s">
        <v>208</v>
      </c>
      <c r="D158" s="27" t="s">
        <v>209</v>
      </c>
      <c r="E158" s="27" t="s">
        <v>210</v>
      </c>
      <c r="F158" s="27" t="s">
        <v>211</v>
      </c>
      <c r="G158" s="28" t="s">
        <v>212</v>
      </c>
      <c r="I158" s="1" t="str">
        <f>Table1[[#This Row],[Building ID]]</f>
        <v>a1826000001pj7qAAA</v>
      </c>
      <c r="J158" t="str">
        <f>VLOOKUP(C158,'Distinct Queues'!$A$3:$B$39,2,FALSE)</f>
        <v>Finance_Team</v>
      </c>
      <c r="K158" t="str">
        <f>VLOOKUP(D158,'Distinct Queues'!$A$3:$B$39,2,FALSE)</f>
        <v>Customer_Service_Team</v>
      </c>
      <c r="L158" t="str">
        <f>VLOOKUP(E158,'Distinct Queues'!$A$3:$B$39,2,FALSE)</f>
        <v>PRS_London</v>
      </c>
      <c r="M158" t="str">
        <f>VLOOKUP(F158,'Distinct Queues'!$A$3:$B$39,2,FALSE)</f>
        <v>AM_PRS_London</v>
      </c>
      <c r="N158" t="str">
        <f>VLOOKUP(G158,'Distinct Queues'!$A$3:$B$39,2,FALSE)</f>
        <v>Lettings_South</v>
      </c>
    </row>
    <row r="159" spans="1:14">
      <c r="A159" s="29" t="s">
        <v>499</v>
      </c>
      <c r="B159" s="26" t="s">
        <v>500</v>
      </c>
      <c r="C159" s="26" t="s">
        <v>208</v>
      </c>
      <c r="D159" s="26" t="s">
        <v>209</v>
      </c>
      <c r="E159" s="26" t="s">
        <v>210</v>
      </c>
      <c r="F159" s="26" t="s">
        <v>211</v>
      </c>
      <c r="G159" s="30" t="s">
        <v>212</v>
      </c>
      <c r="I159" s="1" t="str">
        <f>Table1[[#This Row],[Building ID]]</f>
        <v>a1826000001pj7lAAA</v>
      </c>
      <c r="J159" t="str">
        <f>VLOOKUP(C159,'Distinct Queues'!$A$3:$B$39,2,FALSE)</f>
        <v>Finance_Team</v>
      </c>
      <c r="K159" t="str">
        <f>VLOOKUP(D159,'Distinct Queues'!$A$3:$B$39,2,FALSE)</f>
        <v>Customer_Service_Team</v>
      </c>
      <c r="L159" t="str">
        <f>VLOOKUP(E159,'Distinct Queues'!$A$3:$B$39,2,FALSE)</f>
        <v>PRS_London</v>
      </c>
      <c r="M159" t="str">
        <f>VLOOKUP(F159,'Distinct Queues'!$A$3:$B$39,2,FALSE)</f>
        <v>AM_PRS_London</v>
      </c>
      <c r="N159" t="str">
        <f>VLOOKUP(G159,'Distinct Queues'!$A$3:$B$39,2,FALSE)</f>
        <v>Lettings_South</v>
      </c>
    </row>
    <row r="160" spans="1:14">
      <c r="A160" s="25" t="s">
        <v>501</v>
      </c>
      <c r="B160" s="26" t="s">
        <v>502</v>
      </c>
      <c r="C160" s="27" t="s">
        <v>208</v>
      </c>
      <c r="D160" s="27" t="s">
        <v>209</v>
      </c>
      <c r="E160" s="27" t="s">
        <v>210</v>
      </c>
      <c r="F160" s="27" t="s">
        <v>211</v>
      </c>
      <c r="G160" s="28" t="s">
        <v>212</v>
      </c>
      <c r="I160" s="1" t="str">
        <f>Table1[[#This Row],[Building ID]]</f>
        <v>a1826000001pj7vAAA</v>
      </c>
      <c r="J160" t="str">
        <f>VLOOKUP(C160,'Distinct Queues'!$A$3:$B$39,2,FALSE)</f>
        <v>Finance_Team</v>
      </c>
      <c r="K160" t="str">
        <f>VLOOKUP(D160,'Distinct Queues'!$A$3:$B$39,2,FALSE)</f>
        <v>Customer_Service_Team</v>
      </c>
      <c r="L160" t="str">
        <f>VLOOKUP(E160,'Distinct Queues'!$A$3:$B$39,2,FALSE)</f>
        <v>PRS_London</v>
      </c>
      <c r="M160" t="str">
        <f>VLOOKUP(F160,'Distinct Queues'!$A$3:$B$39,2,FALSE)</f>
        <v>AM_PRS_London</v>
      </c>
      <c r="N160" t="str">
        <f>VLOOKUP(G160,'Distinct Queues'!$A$3:$B$39,2,FALSE)</f>
        <v>Lettings_South</v>
      </c>
    </row>
    <row r="161" spans="1:14">
      <c r="A161" s="29" t="s">
        <v>503</v>
      </c>
      <c r="B161" s="26" t="s">
        <v>504</v>
      </c>
      <c r="C161" s="26" t="s">
        <v>208</v>
      </c>
      <c r="D161" s="26" t="s">
        <v>209</v>
      </c>
      <c r="E161" s="26" t="s">
        <v>210</v>
      </c>
      <c r="F161" s="26" t="s">
        <v>211</v>
      </c>
      <c r="G161" s="30" t="s">
        <v>212</v>
      </c>
      <c r="I161" s="1" t="str">
        <f>Table1[[#This Row],[Building ID]]</f>
        <v>a1826000001pjA6AAI</v>
      </c>
      <c r="J161" t="str">
        <f>VLOOKUP(C161,'Distinct Queues'!$A$3:$B$39,2,FALSE)</f>
        <v>Finance_Team</v>
      </c>
      <c r="K161" t="str">
        <f>VLOOKUP(D161,'Distinct Queues'!$A$3:$B$39,2,FALSE)</f>
        <v>Customer_Service_Team</v>
      </c>
      <c r="L161" t="str">
        <f>VLOOKUP(E161,'Distinct Queues'!$A$3:$B$39,2,FALSE)</f>
        <v>PRS_London</v>
      </c>
      <c r="M161" t="str">
        <f>VLOOKUP(F161,'Distinct Queues'!$A$3:$B$39,2,FALSE)</f>
        <v>AM_PRS_London</v>
      </c>
      <c r="N161" t="str">
        <f>VLOOKUP(G161,'Distinct Queues'!$A$3:$B$39,2,FALSE)</f>
        <v>Lettings_South</v>
      </c>
    </row>
    <row r="162" spans="1:14">
      <c r="A162" s="25" t="s">
        <v>505</v>
      </c>
      <c r="B162" s="26" t="s">
        <v>506</v>
      </c>
      <c r="C162" s="27" t="s">
        <v>208</v>
      </c>
      <c r="D162" s="27" t="s">
        <v>209</v>
      </c>
      <c r="E162" s="27" t="s">
        <v>210</v>
      </c>
      <c r="F162" s="27" t="s">
        <v>211</v>
      </c>
      <c r="G162" s="28" t="s">
        <v>212</v>
      </c>
      <c r="I162" s="1" t="str">
        <f>Table1[[#This Row],[Building ID]]</f>
        <v>a1826000001pj80AAA</v>
      </c>
      <c r="J162" t="str">
        <f>VLOOKUP(C162,'Distinct Queues'!$A$3:$B$39,2,FALSE)</f>
        <v>Finance_Team</v>
      </c>
      <c r="K162" t="str">
        <f>VLOOKUP(D162,'Distinct Queues'!$A$3:$B$39,2,FALSE)</f>
        <v>Customer_Service_Team</v>
      </c>
      <c r="L162" t="str">
        <f>VLOOKUP(E162,'Distinct Queues'!$A$3:$B$39,2,FALSE)</f>
        <v>PRS_London</v>
      </c>
      <c r="M162" t="str">
        <f>VLOOKUP(F162,'Distinct Queues'!$A$3:$B$39,2,FALSE)</f>
        <v>AM_PRS_London</v>
      </c>
      <c r="N162" t="str">
        <f>VLOOKUP(G162,'Distinct Queues'!$A$3:$B$39,2,FALSE)</f>
        <v>Lettings_South</v>
      </c>
    </row>
    <row r="163" spans="1:14">
      <c r="A163" s="29" t="s">
        <v>507</v>
      </c>
      <c r="B163" s="26" t="s">
        <v>508</v>
      </c>
      <c r="C163" s="26" t="s">
        <v>208</v>
      </c>
      <c r="D163" s="26" t="s">
        <v>209</v>
      </c>
      <c r="E163" s="26" t="s">
        <v>210</v>
      </c>
      <c r="F163" s="26" t="s">
        <v>211</v>
      </c>
      <c r="G163" s="30" t="s">
        <v>212</v>
      </c>
      <c r="I163" s="1" t="str">
        <f>Table1[[#This Row],[Building ID]]</f>
        <v>a1826000001pj7mAAA</v>
      </c>
      <c r="J163" t="str">
        <f>VLOOKUP(C163,'Distinct Queues'!$A$3:$B$39,2,FALSE)</f>
        <v>Finance_Team</v>
      </c>
      <c r="K163" t="str">
        <f>VLOOKUP(D163,'Distinct Queues'!$A$3:$B$39,2,FALSE)</f>
        <v>Customer_Service_Team</v>
      </c>
      <c r="L163" t="str">
        <f>VLOOKUP(E163,'Distinct Queues'!$A$3:$B$39,2,FALSE)</f>
        <v>PRS_London</v>
      </c>
      <c r="M163" t="str">
        <f>VLOOKUP(F163,'Distinct Queues'!$A$3:$B$39,2,FALSE)</f>
        <v>AM_PRS_London</v>
      </c>
      <c r="N163" t="str">
        <f>VLOOKUP(G163,'Distinct Queues'!$A$3:$B$39,2,FALSE)</f>
        <v>Lettings_South</v>
      </c>
    </row>
    <row r="164" spans="1:14">
      <c r="A164" s="25" t="s">
        <v>509</v>
      </c>
      <c r="B164" s="26" t="s">
        <v>510</v>
      </c>
      <c r="C164" s="27" t="s">
        <v>208</v>
      </c>
      <c r="D164" s="27" t="s">
        <v>209</v>
      </c>
      <c r="E164" s="27" t="s">
        <v>210</v>
      </c>
      <c r="F164" s="27" t="s">
        <v>211</v>
      </c>
      <c r="G164" s="28" t="s">
        <v>212</v>
      </c>
      <c r="I164" s="1" t="str">
        <f>Table1[[#This Row],[Building ID]]</f>
        <v>a1826000001pj9rAAA</v>
      </c>
      <c r="J164" t="str">
        <f>VLOOKUP(C164,'Distinct Queues'!$A$3:$B$39,2,FALSE)</f>
        <v>Finance_Team</v>
      </c>
      <c r="K164" t="str">
        <f>VLOOKUP(D164,'Distinct Queues'!$A$3:$B$39,2,FALSE)</f>
        <v>Customer_Service_Team</v>
      </c>
      <c r="L164" t="str">
        <f>VLOOKUP(E164,'Distinct Queues'!$A$3:$B$39,2,FALSE)</f>
        <v>PRS_London</v>
      </c>
      <c r="M164" t="str">
        <f>VLOOKUP(F164,'Distinct Queues'!$A$3:$B$39,2,FALSE)</f>
        <v>AM_PRS_London</v>
      </c>
      <c r="N164" t="str">
        <f>VLOOKUP(G164,'Distinct Queues'!$A$3:$B$39,2,FALSE)</f>
        <v>Lettings_South</v>
      </c>
    </row>
    <row r="165" spans="1:14">
      <c r="A165" s="29" t="s">
        <v>511</v>
      </c>
      <c r="B165" s="26" t="s">
        <v>512</v>
      </c>
      <c r="C165" s="26" t="s">
        <v>208</v>
      </c>
      <c r="D165" s="26" t="s">
        <v>209</v>
      </c>
      <c r="E165" s="26" t="s">
        <v>210</v>
      </c>
      <c r="F165" s="26" t="s">
        <v>211</v>
      </c>
      <c r="G165" s="30" t="s">
        <v>212</v>
      </c>
      <c r="I165" s="1" t="str">
        <f>Table1[[#This Row],[Building ID]]</f>
        <v>a1826000001pj81AAA</v>
      </c>
      <c r="J165" t="str">
        <f>VLOOKUP(C165,'Distinct Queues'!$A$3:$B$39,2,FALSE)</f>
        <v>Finance_Team</v>
      </c>
      <c r="K165" t="str">
        <f>VLOOKUP(D165,'Distinct Queues'!$A$3:$B$39,2,FALSE)</f>
        <v>Customer_Service_Team</v>
      </c>
      <c r="L165" t="str">
        <f>VLOOKUP(E165,'Distinct Queues'!$A$3:$B$39,2,FALSE)</f>
        <v>PRS_London</v>
      </c>
      <c r="M165" t="str">
        <f>VLOOKUP(F165,'Distinct Queues'!$A$3:$B$39,2,FALSE)</f>
        <v>AM_PRS_London</v>
      </c>
      <c r="N165" t="str">
        <f>VLOOKUP(G165,'Distinct Queues'!$A$3:$B$39,2,FALSE)</f>
        <v>Lettings_South</v>
      </c>
    </row>
    <row r="166" spans="1:14">
      <c r="A166" s="25" t="s">
        <v>513</v>
      </c>
      <c r="B166" s="26" t="s">
        <v>514</v>
      </c>
      <c r="C166" s="27" t="s">
        <v>208</v>
      </c>
      <c r="D166" s="27" t="s">
        <v>209</v>
      </c>
      <c r="E166" s="27" t="s">
        <v>210</v>
      </c>
      <c r="F166" s="27" t="s">
        <v>211</v>
      </c>
      <c r="G166" s="28" t="s">
        <v>212</v>
      </c>
      <c r="I166" s="1" t="str">
        <f>Table1[[#This Row],[Building ID]]</f>
        <v>a1826000001pj9wAAA</v>
      </c>
      <c r="J166" t="str">
        <f>VLOOKUP(C166,'Distinct Queues'!$A$3:$B$39,2,FALSE)</f>
        <v>Finance_Team</v>
      </c>
      <c r="K166" t="str">
        <f>VLOOKUP(D166,'Distinct Queues'!$A$3:$B$39,2,FALSE)</f>
        <v>Customer_Service_Team</v>
      </c>
      <c r="L166" t="str">
        <f>VLOOKUP(E166,'Distinct Queues'!$A$3:$B$39,2,FALSE)</f>
        <v>PRS_London</v>
      </c>
      <c r="M166" t="str">
        <f>VLOOKUP(F166,'Distinct Queues'!$A$3:$B$39,2,FALSE)</f>
        <v>AM_PRS_London</v>
      </c>
      <c r="N166" t="str">
        <f>VLOOKUP(G166,'Distinct Queues'!$A$3:$B$39,2,FALSE)</f>
        <v>Lettings_South</v>
      </c>
    </row>
    <row r="167" spans="1:14">
      <c r="A167" s="29" t="s">
        <v>515</v>
      </c>
      <c r="B167" s="26" t="s">
        <v>516</v>
      </c>
      <c r="C167" s="26" t="s">
        <v>208</v>
      </c>
      <c r="D167" s="26" t="s">
        <v>209</v>
      </c>
      <c r="E167" s="26" t="s">
        <v>210</v>
      </c>
      <c r="F167" s="26" t="s">
        <v>211</v>
      </c>
      <c r="G167" s="30" t="s">
        <v>212</v>
      </c>
      <c r="I167" s="1" t="str">
        <f>Table1[[#This Row],[Building ID]]</f>
        <v>a1826000001pj85AAA</v>
      </c>
      <c r="J167" t="str">
        <f>VLOOKUP(C167,'Distinct Queues'!$A$3:$B$39,2,FALSE)</f>
        <v>Finance_Team</v>
      </c>
      <c r="K167" t="str">
        <f>VLOOKUP(D167,'Distinct Queues'!$A$3:$B$39,2,FALSE)</f>
        <v>Customer_Service_Team</v>
      </c>
      <c r="L167" t="str">
        <f>VLOOKUP(E167,'Distinct Queues'!$A$3:$B$39,2,FALSE)</f>
        <v>PRS_London</v>
      </c>
      <c r="M167" t="str">
        <f>VLOOKUP(F167,'Distinct Queues'!$A$3:$B$39,2,FALSE)</f>
        <v>AM_PRS_London</v>
      </c>
      <c r="N167" t="str">
        <f>VLOOKUP(G167,'Distinct Queues'!$A$3:$B$39,2,FALSE)</f>
        <v>Lettings_South</v>
      </c>
    </row>
    <row r="168" spans="1:14">
      <c r="A168" s="25" t="s">
        <v>517</v>
      </c>
      <c r="B168" s="26" t="s">
        <v>518</v>
      </c>
      <c r="C168" s="27" t="s">
        <v>208</v>
      </c>
      <c r="D168" s="27" t="s">
        <v>209</v>
      </c>
      <c r="E168" s="27" t="s">
        <v>210</v>
      </c>
      <c r="F168" s="27" t="s">
        <v>211</v>
      </c>
      <c r="G168" s="28" t="s">
        <v>212</v>
      </c>
      <c r="I168" s="1" t="str">
        <f>Table1[[#This Row],[Building ID]]</f>
        <v>a1826000001pj8FAAQ</v>
      </c>
      <c r="J168" t="str">
        <f>VLOOKUP(C168,'Distinct Queues'!$A$3:$B$39,2,FALSE)</f>
        <v>Finance_Team</v>
      </c>
      <c r="K168" t="str">
        <f>VLOOKUP(D168,'Distinct Queues'!$A$3:$B$39,2,FALSE)</f>
        <v>Customer_Service_Team</v>
      </c>
      <c r="L168" t="str">
        <f>VLOOKUP(E168,'Distinct Queues'!$A$3:$B$39,2,FALSE)</f>
        <v>PRS_London</v>
      </c>
      <c r="M168" t="str">
        <f>VLOOKUP(F168,'Distinct Queues'!$A$3:$B$39,2,FALSE)</f>
        <v>AM_PRS_London</v>
      </c>
      <c r="N168" t="str">
        <f>VLOOKUP(G168,'Distinct Queues'!$A$3:$B$39,2,FALSE)</f>
        <v>Lettings_South</v>
      </c>
    </row>
    <row r="169" spans="1:14">
      <c r="A169" s="29" t="s">
        <v>519</v>
      </c>
      <c r="B169" s="26" t="s">
        <v>520</v>
      </c>
      <c r="C169" s="26" t="s">
        <v>208</v>
      </c>
      <c r="D169" s="26" t="s">
        <v>209</v>
      </c>
      <c r="E169" s="26" t="s">
        <v>210</v>
      </c>
      <c r="F169" s="26" t="s">
        <v>211</v>
      </c>
      <c r="G169" s="30" t="s">
        <v>212</v>
      </c>
      <c r="I169" s="1" t="str">
        <f>Table1[[#This Row],[Building ID]]</f>
        <v>a1826000001pj9hAAA</v>
      </c>
      <c r="J169" t="str">
        <f>VLOOKUP(C169,'Distinct Queues'!$A$3:$B$39,2,FALSE)</f>
        <v>Finance_Team</v>
      </c>
      <c r="K169" t="str">
        <f>VLOOKUP(D169,'Distinct Queues'!$A$3:$B$39,2,FALSE)</f>
        <v>Customer_Service_Team</v>
      </c>
      <c r="L169" t="str">
        <f>VLOOKUP(E169,'Distinct Queues'!$A$3:$B$39,2,FALSE)</f>
        <v>PRS_London</v>
      </c>
      <c r="M169" t="str">
        <f>VLOOKUP(F169,'Distinct Queues'!$A$3:$B$39,2,FALSE)</f>
        <v>AM_PRS_London</v>
      </c>
      <c r="N169" t="str">
        <f>VLOOKUP(G169,'Distinct Queues'!$A$3:$B$39,2,FALSE)</f>
        <v>Lettings_South</v>
      </c>
    </row>
    <row r="170" spans="1:14">
      <c r="A170" s="25" t="s">
        <v>521</v>
      </c>
      <c r="B170" s="26" t="s">
        <v>522</v>
      </c>
      <c r="C170" s="27" t="s">
        <v>208</v>
      </c>
      <c r="D170" s="27" t="s">
        <v>209</v>
      </c>
      <c r="E170" s="27" t="s">
        <v>210</v>
      </c>
      <c r="F170" s="27" t="s">
        <v>211</v>
      </c>
      <c r="G170" s="28" t="s">
        <v>212</v>
      </c>
      <c r="I170" s="1" t="str">
        <f>Table1[[#This Row],[Building ID]]</f>
        <v>a1826000001pj8PAAQ</v>
      </c>
      <c r="J170" t="str">
        <f>VLOOKUP(C170,'Distinct Queues'!$A$3:$B$39,2,FALSE)</f>
        <v>Finance_Team</v>
      </c>
      <c r="K170" t="str">
        <f>VLOOKUP(D170,'Distinct Queues'!$A$3:$B$39,2,FALSE)</f>
        <v>Customer_Service_Team</v>
      </c>
      <c r="L170" t="str">
        <f>VLOOKUP(E170,'Distinct Queues'!$A$3:$B$39,2,FALSE)</f>
        <v>PRS_London</v>
      </c>
      <c r="M170" t="str">
        <f>VLOOKUP(F170,'Distinct Queues'!$A$3:$B$39,2,FALSE)</f>
        <v>AM_PRS_London</v>
      </c>
      <c r="N170" t="str">
        <f>VLOOKUP(G170,'Distinct Queues'!$A$3:$B$39,2,FALSE)</f>
        <v>Lettings_South</v>
      </c>
    </row>
    <row r="171" spans="1:14">
      <c r="A171" s="29" t="s">
        <v>523</v>
      </c>
      <c r="B171" s="26" t="s">
        <v>524</v>
      </c>
      <c r="C171" s="26" t="s">
        <v>208</v>
      </c>
      <c r="D171" s="26" t="s">
        <v>209</v>
      </c>
      <c r="E171" s="26" t="s">
        <v>210</v>
      </c>
      <c r="F171" s="26" t="s">
        <v>211</v>
      </c>
      <c r="G171" s="30" t="s">
        <v>212</v>
      </c>
      <c r="I171" s="1" t="str">
        <f>Table1[[#This Row],[Building ID]]</f>
        <v>a1826000001pj7hAAA</v>
      </c>
      <c r="J171" t="str">
        <f>VLOOKUP(C171,'Distinct Queues'!$A$3:$B$39,2,FALSE)</f>
        <v>Finance_Team</v>
      </c>
      <c r="K171" t="str">
        <f>VLOOKUP(D171,'Distinct Queues'!$A$3:$B$39,2,FALSE)</f>
        <v>Customer_Service_Team</v>
      </c>
      <c r="L171" t="str">
        <f>VLOOKUP(E171,'Distinct Queues'!$A$3:$B$39,2,FALSE)</f>
        <v>PRS_London</v>
      </c>
      <c r="M171" t="str">
        <f>VLOOKUP(F171,'Distinct Queues'!$A$3:$B$39,2,FALSE)</f>
        <v>AM_PRS_London</v>
      </c>
      <c r="N171" t="str">
        <f>VLOOKUP(G171,'Distinct Queues'!$A$3:$B$39,2,FALSE)</f>
        <v>Lettings_South</v>
      </c>
    </row>
    <row r="172" spans="1:14">
      <c r="A172" s="25" t="s">
        <v>525</v>
      </c>
      <c r="B172" s="26" t="s">
        <v>526</v>
      </c>
      <c r="C172" s="27" t="s">
        <v>208</v>
      </c>
      <c r="D172" s="27" t="s">
        <v>209</v>
      </c>
      <c r="E172" s="27" t="s">
        <v>210</v>
      </c>
      <c r="F172" s="27" t="s">
        <v>211</v>
      </c>
      <c r="G172" s="28" t="s">
        <v>212</v>
      </c>
      <c r="I172" s="1" t="str">
        <f>Table1[[#This Row],[Building ID]]</f>
        <v>a1826000001pj8AAAQ</v>
      </c>
      <c r="J172" t="str">
        <f>VLOOKUP(C172,'Distinct Queues'!$A$3:$B$39,2,FALSE)</f>
        <v>Finance_Team</v>
      </c>
      <c r="K172" t="str">
        <f>VLOOKUP(D172,'Distinct Queues'!$A$3:$B$39,2,FALSE)</f>
        <v>Customer_Service_Team</v>
      </c>
      <c r="L172" t="str">
        <f>VLOOKUP(E172,'Distinct Queues'!$A$3:$B$39,2,FALSE)</f>
        <v>PRS_London</v>
      </c>
      <c r="M172" t="str">
        <f>VLOOKUP(F172,'Distinct Queues'!$A$3:$B$39,2,FALSE)</f>
        <v>AM_PRS_London</v>
      </c>
      <c r="N172" t="str">
        <f>VLOOKUP(G172,'Distinct Queues'!$A$3:$B$39,2,FALSE)</f>
        <v>Lettings_South</v>
      </c>
    </row>
    <row r="173" spans="1:14">
      <c r="A173" s="29" t="s">
        <v>527</v>
      </c>
      <c r="B173" s="26" t="s">
        <v>528</v>
      </c>
      <c r="C173" s="26" t="s">
        <v>208</v>
      </c>
      <c r="D173" s="26" t="s">
        <v>209</v>
      </c>
      <c r="E173" s="26" t="s">
        <v>210</v>
      </c>
      <c r="F173" s="26" t="s">
        <v>211</v>
      </c>
      <c r="G173" s="30" t="s">
        <v>212</v>
      </c>
      <c r="I173" s="1" t="str">
        <f>Table1[[#This Row],[Building ID]]</f>
        <v>a1826000001pj8pAAA</v>
      </c>
      <c r="J173" t="str">
        <f>VLOOKUP(C173,'Distinct Queues'!$A$3:$B$39,2,FALSE)</f>
        <v>Finance_Team</v>
      </c>
      <c r="K173" t="str">
        <f>VLOOKUP(D173,'Distinct Queues'!$A$3:$B$39,2,FALSE)</f>
        <v>Customer_Service_Team</v>
      </c>
      <c r="L173" t="str">
        <f>VLOOKUP(E173,'Distinct Queues'!$A$3:$B$39,2,FALSE)</f>
        <v>PRS_London</v>
      </c>
      <c r="M173" t="str">
        <f>VLOOKUP(F173,'Distinct Queues'!$A$3:$B$39,2,FALSE)</f>
        <v>AM_PRS_London</v>
      </c>
      <c r="N173" t="str">
        <f>VLOOKUP(G173,'Distinct Queues'!$A$3:$B$39,2,FALSE)</f>
        <v>Lettings_South</v>
      </c>
    </row>
    <row r="174" spans="1:14">
      <c r="A174" s="25" t="s">
        <v>529</v>
      </c>
      <c r="B174" s="26" t="s">
        <v>530</v>
      </c>
      <c r="C174" s="27" t="s">
        <v>208</v>
      </c>
      <c r="D174" s="27" t="s">
        <v>209</v>
      </c>
      <c r="E174" s="27" t="s">
        <v>210</v>
      </c>
      <c r="F174" s="27" t="s">
        <v>211</v>
      </c>
      <c r="G174" s="28" t="s">
        <v>212</v>
      </c>
      <c r="I174" s="1" t="str">
        <f>Table1[[#This Row],[Building ID]]</f>
        <v>a1826000001pj8KAAQ</v>
      </c>
      <c r="J174" t="str">
        <f>VLOOKUP(C174,'Distinct Queues'!$A$3:$B$39,2,FALSE)</f>
        <v>Finance_Team</v>
      </c>
      <c r="K174" t="str">
        <f>VLOOKUP(D174,'Distinct Queues'!$A$3:$B$39,2,FALSE)</f>
        <v>Customer_Service_Team</v>
      </c>
      <c r="L174" t="str">
        <f>VLOOKUP(E174,'Distinct Queues'!$A$3:$B$39,2,FALSE)</f>
        <v>PRS_London</v>
      </c>
      <c r="M174" t="str">
        <f>VLOOKUP(F174,'Distinct Queues'!$A$3:$B$39,2,FALSE)</f>
        <v>AM_PRS_London</v>
      </c>
      <c r="N174" t="str">
        <f>VLOOKUP(G174,'Distinct Queues'!$A$3:$B$39,2,FALSE)</f>
        <v>Lettings_South</v>
      </c>
    </row>
    <row r="175" spans="1:14">
      <c r="A175" s="29" t="s">
        <v>531</v>
      </c>
      <c r="B175" s="26" t="s">
        <v>532</v>
      </c>
      <c r="C175" s="26" t="s">
        <v>208</v>
      </c>
      <c r="D175" s="26" t="s">
        <v>209</v>
      </c>
      <c r="E175" s="26" t="s">
        <v>210</v>
      </c>
      <c r="F175" s="26" t="s">
        <v>211</v>
      </c>
      <c r="G175" s="30" t="s">
        <v>212</v>
      </c>
      <c r="I175" s="1" t="str">
        <f>Table1[[#This Row],[Building ID]]</f>
        <v>a1826000001pj8tAAA</v>
      </c>
      <c r="J175" t="str">
        <f>VLOOKUP(C175,'Distinct Queues'!$A$3:$B$39,2,FALSE)</f>
        <v>Finance_Team</v>
      </c>
      <c r="K175" t="str">
        <f>VLOOKUP(D175,'Distinct Queues'!$A$3:$B$39,2,FALSE)</f>
        <v>Customer_Service_Team</v>
      </c>
      <c r="L175" t="str">
        <f>VLOOKUP(E175,'Distinct Queues'!$A$3:$B$39,2,FALSE)</f>
        <v>PRS_London</v>
      </c>
      <c r="M175" t="str">
        <f>VLOOKUP(F175,'Distinct Queues'!$A$3:$B$39,2,FALSE)</f>
        <v>AM_PRS_London</v>
      </c>
      <c r="N175" t="str">
        <f>VLOOKUP(G175,'Distinct Queues'!$A$3:$B$39,2,FALSE)</f>
        <v>Lettings_South</v>
      </c>
    </row>
    <row r="176" spans="1:14">
      <c r="A176" s="25" t="s">
        <v>533</v>
      </c>
      <c r="B176" s="26" t="s">
        <v>534</v>
      </c>
      <c r="C176" s="27" t="s">
        <v>208</v>
      </c>
      <c r="D176" s="27" t="s">
        <v>209</v>
      </c>
      <c r="E176" s="27" t="s">
        <v>210</v>
      </c>
      <c r="F176" s="27" t="s">
        <v>211</v>
      </c>
      <c r="G176" s="28" t="s">
        <v>212</v>
      </c>
      <c r="I176" s="1" t="str">
        <f>Table1[[#This Row],[Building ID]]</f>
        <v>a1826000001pj8jAAA</v>
      </c>
      <c r="J176" t="str">
        <f>VLOOKUP(C176,'Distinct Queues'!$A$3:$B$39,2,FALSE)</f>
        <v>Finance_Team</v>
      </c>
      <c r="K176" t="str">
        <f>VLOOKUP(D176,'Distinct Queues'!$A$3:$B$39,2,FALSE)</f>
        <v>Customer_Service_Team</v>
      </c>
      <c r="L176" t="str">
        <f>VLOOKUP(E176,'Distinct Queues'!$A$3:$B$39,2,FALSE)</f>
        <v>PRS_London</v>
      </c>
      <c r="M176" t="str">
        <f>VLOOKUP(F176,'Distinct Queues'!$A$3:$B$39,2,FALSE)</f>
        <v>AM_PRS_London</v>
      </c>
      <c r="N176" t="str">
        <f>VLOOKUP(G176,'Distinct Queues'!$A$3:$B$39,2,FALSE)</f>
        <v>Lettings_South</v>
      </c>
    </row>
    <row r="177" spans="1:14">
      <c r="A177" s="29" t="s">
        <v>535</v>
      </c>
      <c r="B177" s="26" t="s">
        <v>536</v>
      </c>
      <c r="C177" s="26" t="s">
        <v>208</v>
      </c>
      <c r="D177" s="26" t="s">
        <v>209</v>
      </c>
      <c r="E177" s="26" t="s">
        <v>210</v>
      </c>
      <c r="F177" s="26" t="s">
        <v>211</v>
      </c>
      <c r="G177" s="30" t="s">
        <v>212</v>
      </c>
      <c r="I177" s="1" t="str">
        <f>Table1[[#This Row],[Building ID]]</f>
        <v>a1826000001pj8eAAA</v>
      </c>
      <c r="J177" t="str">
        <f>VLOOKUP(C177,'Distinct Queues'!$A$3:$B$39,2,FALSE)</f>
        <v>Finance_Team</v>
      </c>
      <c r="K177" t="str">
        <f>VLOOKUP(D177,'Distinct Queues'!$A$3:$B$39,2,FALSE)</f>
        <v>Customer_Service_Team</v>
      </c>
      <c r="L177" t="str">
        <f>VLOOKUP(E177,'Distinct Queues'!$A$3:$B$39,2,FALSE)</f>
        <v>PRS_London</v>
      </c>
      <c r="M177" t="str">
        <f>VLOOKUP(F177,'Distinct Queues'!$A$3:$B$39,2,FALSE)</f>
        <v>AM_PRS_London</v>
      </c>
      <c r="N177" t="str">
        <f>VLOOKUP(G177,'Distinct Queues'!$A$3:$B$39,2,FALSE)</f>
        <v>Lettings_South</v>
      </c>
    </row>
    <row r="178" spans="1:14">
      <c r="A178" s="25" t="s">
        <v>537</v>
      </c>
      <c r="B178" s="26" t="s">
        <v>538</v>
      </c>
      <c r="C178" s="27" t="s">
        <v>208</v>
      </c>
      <c r="D178" s="27" t="s">
        <v>209</v>
      </c>
      <c r="E178" s="27" t="s">
        <v>210</v>
      </c>
      <c r="F178" s="27" t="s">
        <v>211</v>
      </c>
      <c r="G178" s="28" t="s">
        <v>212</v>
      </c>
      <c r="I178" s="1" t="str">
        <f>Table1[[#This Row],[Building ID]]</f>
        <v>a1826000001pj8UAAQ</v>
      </c>
      <c r="J178" t="str">
        <f>VLOOKUP(C178,'Distinct Queues'!$A$3:$B$39,2,FALSE)</f>
        <v>Finance_Team</v>
      </c>
      <c r="K178" t="str">
        <f>VLOOKUP(D178,'Distinct Queues'!$A$3:$B$39,2,FALSE)</f>
        <v>Customer_Service_Team</v>
      </c>
      <c r="L178" t="str">
        <f>VLOOKUP(E178,'Distinct Queues'!$A$3:$B$39,2,FALSE)</f>
        <v>PRS_London</v>
      </c>
      <c r="M178" t="str">
        <f>VLOOKUP(F178,'Distinct Queues'!$A$3:$B$39,2,FALSE)</f>
        <v>AM_PRS_London</v>
      </c>
      <c r="N178" t="str">
        <f>VLOOKUP(G178,'Distinct Queues'!$A$3:$B$39,2,FALSE)</f>
        <v>Lettings_South</v>
      </c>
    </row>
    <row r="179" spans="1:14">
      <c r="A179" s="29" t="s">
        <v>539</v>
      </c>
      <c r="B179" s="26" t="s">
        <v>540</v>
      </c>
      <c r="C179" s="26" t="s">
        <v>208</v>
      </c>
      <c r="D179" s="26" t="s">
        <v>209</v>
      </c>
      <c r="E179" s="26" t="s">
        <v>210</v>
      </c>
      <c r="F179" s="26" t="s">
        <v>211</v>
      </c>
      <c r="G179" s="30" t="s">
        <v>212</v>
      </c>
      <c r="I179" s="1" t="str">
        <f>Table1[[#This Row],[Building ID]]</f>
        <v>a1826000001pjAuAAI</v>
      </c>
      <c r="J179" t="str">
        <f>VLOOKUP(C179,'Distinct Queues'!$A$3:$B$39,2,FALSE)</f>
        <v>Finance_Team</v>
      </c>
      <c r="K179" t="str">
        <f>VLOOKUP(D179,'Distinct Queues'!$A$3:$B$39,2,FALSE)</f>
        <v>Customer_Service_Team</v>
      </c>
      <c r="L179" t="str">
        <f>VLOOKUP(E179,'Distinct Queues'!$A$3:$B$39,2,FALSE)</f>
        <v>PRS_London</v>
      </c>
      <c r="M179" t="str">
        <f>VLOOKUP(F179,'Distinct Queues'!$A$3:$B$39,2,FALSE)</f>
        <v>AM_PRS_London</v>
      </c>
      <c r="N179" t="str">
        <f>VLOOKUP(G179,'Distinct Queues'!$A$3:$B$39,2,FALSE)</f>
        <v>Lettings_South</v>
      </c>
    </row>
    <row r="180" spans="1:14">
      <c r="A180" s="25" t="s">
        <v>143</v>
      </c>
      <c r="B180" s="26" t="s">
        <v>541</v>
      </c>
      <c r="C180" s="27" t="s">
        <v>208</v>
      </c>
      <c r="D180" s="27" t="s">
        <v>145</v>
      </c>
      <c r="E180" s="27" t="s">
        <v>145</v>
      </c>
      <c r="F180" s="27" t="s">
        <v>31</v>
      </c>
      <c r="G180" s="28" t="s">
        <v>212</v>
      </c>
      <c r="I180" s="1" t="str">
        <f>Table1[[#This Row],[Building ID]]</f>
        <v>a1826000001s0aKAAQ</v>
      </c>
      <c r="J180" t="str">
        <f>VLOOKUP(C180,'Distinct Queues'!$A$3:$B$39,2,FALSE)</f>
        <v>Finance_Team</v>
      </c>
      <c r="K180" t="str">
        <f>VLOOKUP(D180,'Distinct Queues'!$A$3:$B$39,2,FALSE)</f>
        <v>Nautilus_Apartments_Team</v>
      </c>
      <c r="L180" t="str">
        <f>VLOOKUP(E180,'Distinct Queues'!$A$3:$B$39,2,FALSE)</f>
        <v>Nautilus_Apartments_Team</v>
      </c>
      <c r="M180" t="str">
        <f>VLOOKUP(F180,'Distinct Queues'!$A$3:$B$39,2,FALSE)</f>
        <v>AM_New_Launches</v>
      </c>
      <c r="N180" t="str">
        <f>VLOOKUP(G180,'Distinct Queues'!$A$3:$B$39,2,FALSE)</f>
        <v>Lettings_South</v>
      </c>
    </row>
    <row r="181" spans="1:14">
      <c r="A181" s="29" t="s">
        <v>146</v>
      </c>
      <c r="B181" s="26" t="s">
        <v>542</v>
      </c>
      <c r="C181" s="26" t="s">
        <v>208</v>
      </c>
      <c r="D181" s="26" t="s">
        <v>145</v>
      </c>
      <c r="E181" s="26" t="s">
        <v>145</v>
      </c>
      <c r="F181" s="26" t="s">
        <v>31</v>
      </c>
      <c r="G181" s="30" t="s">
        <v>212</v>
      </c>
      <c r="I181" s="1" t="str">
        <f>Table1[[#This Row],[Building ID]]</f>
        <v>a1826000001rdUbAAI</v>
      </c>
      <c r="J181" t="str">
        <f>VLOOKUP(C181,'Distinct Queues'!$A$3:$B$39,2,FALSE)</f>
        <v>Finance_Team</v>
      </c>
      <c r="K181" t="str">
        <f>VLOOKUP(D181,'Distinct Queues'!$A$3:$B$39,2,FALSE)</f>
        <v>Nautilus_Apartments_Team</v>
      </c>
      <c r="L181" t="str">
        <f>VLOOKUP(E181,'Distinct Queues'!$A$3:$B$39,2,FALSE)</f>
        <v>Nautilus_Apartments_Team</v>
      </c>
      <c r="M181" t="str">
        <f>VLOOKUP(F181,'Distinct Queues'!$A$3:$B$39,2,FALSE)</f>
        <v>AM_New_Launches</v>
      </c>
      <c r="N181" t="str">
        <f>VLOOKUP(G181,'Distinct Queues'!$A$3:$B$39,2,FALSE)</f>
        <v>Lettings_South</v>
      </c>
    </row>
    <row r="182" spans="1:14">
      <c r="A182" s="25" t="s">
        <v>543</v>
      </c>
      <c r="B182" s="26" t="s">
        <v>544</v>
      </c>
      <c r="C182" s="27" t="s">
        <v>208</v>
      </c>
      <c r="D182" s="27" t="s">
        <v>209</v>
      </c>
      <c r="E182" s="27" t="s">
        <v>225</v>
      </c>
      <c r="F182" s="27" t="s">
        <v>226</v>
      </c>
      <c r="G182" s="28" t="s">
        <v>44</v>
      </c>
      <c r="I182" s="1" t="str">
        <f>Table1[[#This Row],[Building ID]]</f>
        <v>a1826000001SgPDAA0</v>
      </c>
      <c r="J182" t="str">
        <f>VLOOKUP(C182,'Distinct Queues'!$A$3:$B$39,2,FALSE)</f>
        <v>Finance_Team</v>
      </c>
      <c r="K182" t="str">
        <f>VLOOKUP(D182,'Distinct Queues'!$A$3:$B$39,2,FALSE)</f>
        <v>Customer_Service_Team</v>
      </c>
      <c r="L182" t="str">
        <f>VLOOKUP(E182,'Distinct Queues'!$A$3:$B$39,2,FALSE)</f>
        <v>PRS_Regions</v>
      </c>
      <c r="M182" t="str">
        <f>VLOOKUP(F182,'Distinct Queues'!$A$3:$B$39,2,FALSE)</f>
        <v>AM_PRS_Regions</v>
      </c>
      <c r="N182" t="str">
        <f>VLOOKUP(G182,'Distinct Queues'!$A$3:$B$39,2,FALSE)</f>
        <v>Lettings_North_West</v>
      </c>
    </row>
    <row r="183" spans="1:14">
      <c r="A183" s="29" t="s">
        <v>545</v>
      </c>
      <c r="B183" s="26" t="s">
        <v>546</v>
      </c>
      <c r="C183" s="26" t="s">
        <v>208</v>
      </c>
      <c r="D183" s="26" t="s">
        <v>209</v>
      </c>
      <c r="E183" s="26" t="s">
        <v>225</v>
      </c>
      <c r="F183" s="26" t="s">
        <v>226</v>
      </c>
      <c r="G183" s="30" t="s">
        <v>44</v>
      </c>
      <c r="I183" s="1" t="str">
        <f>Table1[[#This Row],[Building ID]]</f>
        <v>a1826000001phVNAAY</v>
      </c>
      <c r="J183" t="str">
        <f>VLOOKUP(C183,'Distinct Queues'!$A$3:$B$39,2,FALSE)</f>
        <v>Finance_Team</v>
      </c>
      <c r="K183" t="str">
        <f>VLOOKUP(D183,'Distinct Queues'!$A$3:$B$39,2,FALSE)</f>
        <v>Customer_Service_Team</v>
      </c>
      <c r="L183" t="str">
        <f>VLOOKUP(E183,'Distinct Queues'!$A$3:$B$39,2,FALSE)</f>
        <v>PRS_Regions</v>
      </c>
      <c r="M183" t="str">
        <f>VLOOKUP(F183,'Distinct Queues'!$A$3:$B$39,2,FALSE)</f>
        <v>AM_PRS_Regions</v>
      </c>
      <c r="N183" t="str">
        <f>VLOOKUP(G183,'Distinct Queues'!$A$3:$B$39,2,FALSE)</f>
        <v>Lettings_North_West</v>
      </c>
    </row>
    <row r="184" spans="1:14">
      <c r="A184" s="25" t="s">
        <v>547</v>
      </c>
      <c r="B184" s="26" t="s">
        <v>548</v>
      </c>
      <c r="C184" s="27" t="s">
        <v>208</v>
      </c>
      <c r="D184" s="27" t="s">
        <v>209</v>
      </c>
      <c r="E184" s="27" t="s">
        <v>225</v>
      </c>
      <c r="F184" s="27" t="s">
        <v>226</v>
      </c>
      <c r="G184" s="28" t="s">
        <v>44</v>
      </c>
      <c r="I184" s="1" t="str">
        <f>Table1[[#This Row],[Building ID]]</f>
        <v>a1826000001piBnAAI</v>
      </c>
      <c r="J184" t="str">
        <f>VLOOKUP(C184,'Distinct Queues'!$A$3:$B$39,2,FALSE)</f>
        <v>Finance_Team</v>
      </c>
      <c r="K184" t="str">
        <f>VLOOKUP(D184,'Distinct Queues'!$A$3:$B$39,2,FALSE)</f>
        <v>Customer_Service_Team</v>
      </c>
      <c r="L184" t="str">
        <f>VLOOKUP(E184,'Distinct Queues'!$A$3:$B$39,2,FALSE)</f>
        <v>PRS_Regions</v>
      </c>
      <c r="M184" t="str">
        <f>VLOOKUP(F184,'Distinct Queues'!$A$3:$B$39,2,FALSE)</f>
        <v>AM_PRS_Regions</v>
      </c>
      <c r="N184" t="str">
        <f>VLOOKUP(G184,'Distinct Queues'!$A$3:$B$39,2,FALSE)</f>
        <v>Lettings_North_West</v>
      </c>
    </row>
    <row r="185" spans="1:14">
      <c r="A185" s="29" t="s">
        <v>549</v>
      </c>
      <c r="B185" s="26" t="s">
        <v>550</v>
      </c>
      <c r="C185" s="26" t="s">
        <v>208</v>
      </c>
      <c r="D185" s="26" t="s">
        <v>209</v>
      </c>
      <c r="E185" s="26" t="s">
        <v>225</v>
      </c>
      <c r="F185" s="26" t="s">
        <v>226</v>
      </c>
      <c r="G185" s="30" t="s">
        <v>44</v>
      </c>
      <c r="I185" s="1" t="str">
        <f>Table1[[#This Row],[Building ID]]</f>
        <v>a1826000001piAwAAI</v>
      </c>
      <c r="J185" t="str">
        <f>VLOOKUP(C185,'Distinct Queues'!$A$3:$B$39,2,FALSE)</f>
        <v>Finance_Team</v>
      </c>
      <c r="K185" t="str">
        <f>VLOOKUP(D185,'Distinct Queues'!$A$3:$B$39,2,FALSE)</f>
        <v>Customer_Service_Team</v>
      </c>
      <c r="L185" t="str">
        <f>VLOOKUP(E185,'Distinct Queues'!$A$3:$B$39,2,FALSE)</f>
        <v>PRS_Regions</v>
      </c>
      <c r="M185" t="str">
        <f>VLOOKUP(F185,'Distinct Queues'!$A$3:$B$39,2,FALSE)</f>
        <v>AM_PRS_Regions</v>
      </c>
      <c r="N185" t="str">
        <f>VLOOKUP(G185,'Distinct Queues'!$A$3:$B$39,2,FALSE)</f>
        <v>Lettings_North_West</v>
      </c>
    </row>
    <row r="186" spans="1:14">
      <c r="A186" s="25" t="s">
        <v>551</v>
      </c>
      <c r="B186" s="26" t="s">
        <v>552</v>
      </c>
      <c r="C186" s="27" t="s">
        <v>208</v>
      </c>
      <c r="D186" s="27" t="s">
        <v>209</v>
      </c>
      <c r="E186" s="27" t="s">
        <v>225</v>
      </c>
      <c r="F186" s="27" t="s">
        <v>226</v>
      </c>
      <c r="G186" s="28" t="s">
        <v>44</v>
      </c>
      <c r="I186" s="1" t="str">
        <f>Table1[[#This Row],[Building ID]]</f>
        <v>a1826000001piCfAAI</v>
      </c>
      <c r="J186" t="str">
        <f>VLOOKUP(C186,'Distinct Queues'!$A$3:$B$39,2,FALSE)</f>
        <v>Finance_Team</v>
      </c>
      <c r="K186" t="str">
        <f>VLOOKUP(D186,'Distinct Queues'!$A$3:$B$39,2,FALSE)</f>
        <v>Customer_Service_Team</v>
      </c>
      <c r="L186" t="str">
        <f>VLOOKUP(E186,'Distinct Queues'!$A$3:$B$39,2,FALSE)</f>
        <v>PRS_Regions</v>
      </c>
      <c r="M186" t="str">
        <f>VLOOKUP(F186,'Distinct Queues'!$A$3:$B$39,2,FALSE)</f>
        <v>AM_PRS_Regions</v>
      </c>
      <c r="N186" t="str">
        <f>VLOOKUP(G186,'Distinct Queues'!$A$3:$B$39,2,FALSE)</f>
        <v>Lettings_North_West</v>
      </c>
    </row>
    <row r="187" spans="1:14">
      <c r="A187" s="29" t="s">
        <v>553</v>
      </c>
      <c r="B187" s="26" t="s">
        <v>554</v>
      </c>
      <c r="C187" s="26" t="s">
        <v>208</v>
      </c>
      <c r="D187" s="26" t="s">
        <v>209</v>
      </c>
      <c r="E187" s="26" t="s">
        <v>210</v>
      </c>
      <c r="F187" s="26" t="s">
        <v>211</v>
      </c>
      <c r="G187" s="30" t="s">
        <v>212</v>
      </c>
      <c r="I187" s="1" t="str">
        <f>Table1[[#This Row],[Building ID]]</f>
        <v>a1826000001pib7AAA</v>
      </c>
      <c r="J187" t="str">
        <f>VLOOKUP(C187,'Distinct Queues'!$A$3:$B$39,2,FALSE)</f>
        <v>Finance_Team</v>
      </c>
      <c r="K187" t="str">
        <f>VLOOKUP(D187,'Distinct Queues'!$A$3:$B$39,2,FALSE)</f>
        <v>Customer_Service_Team</v>
      </c>
      <c r="L187" t="str">
        <f>VLOOKUP(E187,'Distinct Queues'!$A$3:$B$39,2,FALSE)</f>
        <v>PRS_London</v>
      </c>
      <c r="M187" t="str">
        <f>VLOOKUP(F187,'Distinct Queues'!$A$3:$B$39,2,FALSE)</f>
        <v>AM_PRS_London</v>
      </c>
      <c r="N187" t="str">
        <f>VLOOKUP(G187,'Distinct Queues'!$A$3:$B$39,2,FALSE)</f>
        <v>Lettings_South</v>
      </c>
    </row>
    <row r="188" spans="1:14">
      <c r="A188" s="25" t="s">
        <v>555</v>
      </c>
      <c r="B188" s="26" t="s">
        <v>556</v>
      </c>
      <c r="C188" s="27" t="s">
        <v>208</v>
      </c>
      <c r="D188" s="27" t="s">
        <v>209</v>
      </c>
      <c r="E188" s="27" t="s">
        <v>210</v>
      </c>
      <c r="F188" s="27" t="s">
        <v>211</v>
      </c>
      <c r="G188" s="28" t="s">
        <v>212</v>
      </c>
      <c r="I188" s="1" t="str">
        <f>Table1[[#This Row],[Building ID]]</f>
        <v>a1826000001pia8AAA</v>
      </c>
      <c r="J188" t="str">
        <f>VLOOKUP(C188,'Distinct Queues'!$A$3:$B$39,2,FALSE)</f>
        <v>Finance_Team</v>
      </c>
      <c r="K188" t="str">
        <f>VLOOKUP(D188,'Distinct Queues'!$A$3:$B$39,2,FALSE)</f>
        <v>Customer_Service_Team</v>
      </c>
      <c r="L188" t="str">
        <f>VLOOKUP(E188,'Distinct Queues'!$A$3:$B$39,2,FALSE)</f>
        <v>PRS_London</v>
      </c>
      <c r="M188" t="str">
        <f>VLOOKUP(F188,'Distinct Queues'!$A$3:$B$39,2,FALSE)</f>
        <v>AM_PRS_London</v>
      </c>
      <c r="N188" t="str">
        <f>VLOOKUP(G188,'Distinct Queues'!$A$3:$B$39,2,FALSE)</f>
        <v>Lettings_South</v>
      </c>
    </row>
    <row r="189" spans="1:14">
      <c r="A189" s="29" t="s">
        <v>557</v>
      </c>
      <c r="B189" s="26" t="s">
        <v>558</v>
      </c>
      <c r="C189" s="26" t="s">
        <v>208</v>
      </c>
      <c r="D189" s="26" t="s">
        <v>209</v>
      </c>
      <c r="E189" s="26" t="s">
        <v>225</v>
      </c>
      <c r="F189" s="26" t="s">
        <v>226</v>
      </c>
      <c r="G189" s="30" t="s">
        <v>44</v>
      </c>
      <c r="I189" s="1" t="str">
        <f>Table1[[#This Row],[Building ID]]</f>
        <v>a1826000001piFyAAI</v>
      </c>
      <c r="J189" t="str">
        <f>VLOOKUP(C189,'Distinct Queues'!$A$3:$B$39,2,FALSE)</f>
        <v>Finance_Team</v>
      </c>
      <c r="K189" t="str">
        <f>VLOOKUP(D189,'Distinct Queues'!$A$3:$B$39,2,FALSE)</f>
        <v>Customer_Service_Team</v>
      </c>
      <c r="L189" t="str">
        <f>VLOOKUP(E189,'Distinct Queues'!$A$3:$B$39,2,FALSE)</f>
        <v>PRS_Regions</v>
      </c>
      <c r="M189" t="str">
        <f>VLOOKUP(F189,'Distinct Queues'!$A$3:$B$39,2,FALSE)</f>
        <v>AM_PRS_Regions</v>
      </c>
      <c r="N189" t="str">
        <f>VLOOKUP(G189,'Distinct Queues'!$A$3:$B$39,2,FALSE)</f>
        <v>Lettings_North_West</v>
      </c>
    </row>
    <row r="190" spans="1:14">
      <c r="A190" s="25" t="s">
        <v>559</v>
      </c>
      <c r="B190" s="26" t="s">
        <v>560</v>
      </c>
      <c r="C190" s="27" t="s">
        <v>208</v>
      </c>
      <c r="D190" s="27" t="s">
        <v>209</v>
      </c>
      <c r="E190" s="27" t="s">
        <v>210</v>
      </c>
      <c r="F190" s="27" t="s">
        <v>211</v>
      </c>
      <c r="G190" s="28" t="s">
        <v>212</v>
      </c>
      <c r="I190" s="1" t="str">
        <f>Table1[[#This Row],[Building ID]]</f>
        <v>a1826000001pipOAAQ</v>
      </c>
      <c r="J190" t="str">
        <f>VLOOKUP(C190,'Distinct Queues'!$A$3:$B$39,2,FALSE)</f>
        <v>Finance_Team</v>
      </c>
      <c r="K190" t="str">
        <f>VLOOKUP(D190,'Distinct Queues'!$A$3:$B$39,2,FALSE)</f>
        <v>Customer_Service_Team</v>
      </c>
      <c r="L190" t="str">
        <f>VLOOKUP(E190,'Distinct Queues'!$A$3:$B$39,2,FALSE)</f>
        <v>PRS_London</v>
      </c>
      <c r="M190" t="str">
        <f>VLOOKUP(F190,'Distinct Queues'!$A$3:$B$39,2,FALSE)</f>
        <v>AM_PRS_London</v>
      </c>
      <c r="N190" t="str">
        <f>VLOOKUP(G190,'Distinct Queues'!$A$3:$B$39,2,FALSE)</f>
        <v>Lettings_South</v>
      </c>
    </row>
    <row r="191" spans="1:14">
      <c r="A191" s="29" t="s">
        <v>561</v>
      </c>
      <c r="B191" s="26" t="s">
        <v>562</v>
      </c>
      <c r="C191" s="26" t="s">
        <v>208</v>
      </c>
      <c r="D191" s="26" t="s">
        <v>209</v>
      </c>
      <c r="E191" s="26" t="s">
        <v>210</v>
      </c>
      <c r="F191" s="26" t="s">
        <v>211</v>
      </c>
      <c r="G191" s="30" t="s">
        <v>212</v>
      </c>
      <c r="I191" s="1" t="str">
        <f>Table1[[#This Row],[Building ID]]</f>
        <v>a1826000001piaDAAQ</v>
      </c>
      <c r="J191" t="str">
        <f>VLOOKUP(C191,'Distinct Queues'!$A$3:$B$39,2,FALSE)</f>
        <v>Finance_Team</v>
      </c>
      <c r="K191" t="str">
        <f>VLOOKUP(D191,'Distinct Queues'!$A$3:$B$39,2,FALSE)</f>
        <v>Customer_Service_Team</v>
      </c>
      <c r="L191" t="str">
        <f>VLOOKUP(E191,'Distinct Queues'!$A$3:$B$39,2,FALSE)</f>
        <v>PRS_London</v>
      </c>
      <c r="M191" t="str">
        <f>VLOOKUP(F191,'Distinct Queues'!$A$3:$B$39,2,FALSE)</f>
        <v>AM_PRS_London</v>
      </c>
      <c r="N191" t="str">
        <f>VLOOKUP(G191,'Distinct Queues'!$A$3:$B$39,2,FALSE)</f>
        <v>Lettings_South</v>
      </c>
    </row>
    <row r="192" spans="1:14">
      <c r="A192" s="25" t="s">
        <v>563</v>
      </c>
      <c r="B192" s="26" t="s">
        <v>564</v>
      </c>
      <c r="C192" s="27" t="s">
        <v>208</v>
      </c>
      <c r="D192" s="27" t="s">
        <v>209</v>
      </c>
      <c r="E192" s="27" t="s">
        <v>210</v>
      </c>
      <c r="F192" s="27" t="s">
        <v>211</v>
      </c>
      <c r="G192" s="28" t="s">
        <v>212</v>
      </c>
      <c r="I192" s="1" t="str">
        <f>Table1[[#This Row],[Building ID]]</f>
        <v>a1826000001pia3AAA</v>
      </c>
      <c r="J192" t="str">
        <f>VLOOKUP(C192,'Distinct Queues'!$A$3:$B$39,2,FALSE)</f>
        <v>Finance_Team</v>
      </c>
      <c r="K192" t="str">
        <f>VLOOKUP(D192,'Distinct Queues'!$A$3:$B$39,2,FALSE)</f>
        <v>Customer_Service_Team</v>
      </c>
      <c r="L192" t="str">
        <f>VLOOKUP(E192,'Distinct Queues'!$A$3:$B$39,2,FALSE)</f>
        <v>PRS_London</v>
      </c>
      <c r="M192" t="str">
        <f>VLOOKUP(F192,'Distinct Queues'!$A$3:$B$39,2,FALSE)</f>
        <v>AM_PRS_London</v>
      </c>
      <c r="N192" t="str">
        <f>VLOOKUP(G192,'Distinct Queues'!$A$3:$B$39,2,FALSE)</f>
        <v>Lettings_South</v>
      </c>
    </row>
    <row r="193" spans="1:14">
      <c r="A193" s="29" t="s">
        <v>565</v>
      </c>
      <c r="B193" s="26" t="s">
        <v>566</v>
      </c>
      <c r="C193" s="26" t="s">
        <v>208</v>
      </c>
      <c r="D193" s="26" t="s">
        <v>209</v>
      </c>
      <c r="E193" s="26" t="s">
        <v>210</v>
      </c>
      <c r="F193" s="26" t="s">
        <v>211</v>
      </c>
      <c r="G193" s="30" t="s">
        <v>212</v>
      </c>
      <c r="I193" s="1" t="str">
        <f>Table1[[#This Row],[Building ID]]</f>
        <v>a1826000001piZzAAI</v>
      </c>
      <c r="J193" t="str">
        <f>VLOOKUP(C193,'Distinct Queues'!$A$3:$B$39,2,FALSE)</f>
        <v>Finance_Team</v>
      </c>
      <c r="K193" t="str">
        <f>VLOOKUP(D193,'Distinct Queues'!$A$3:$B$39,2,FALSE)</f>
        <v>Customer_Service_Team</v>
      </c>
      <c r="L193" t="str">
        <f>VLOOKUP(E193,'Distinct Queues'!$A$3:$B$39,2,FALSE)</f>
        <v>PRS_London</v>
      </c>
      <c r="M193" t="str">
        <f>VLOOKUP(F193,'Distinct Queues'!$A$3:$B$39,2,FALSE)</f>
        <v>AM_PRS_London</v>
      </c>
      <c r="N193" t="str">
        <f>VLOOKUP(G193,'Distinct Queues'!$A$3:$B$39,2,FALSE)</f>
        <v>Lettings_South</v>
      </c>
    </row>
    <row r="194" spans="1:14">
      <c r="A194" s="25" t="s">
        <v>4</v>
      </c>
      <c r="B194" s="26" t="s">
        <v>567</v>
      </c>
      <c r="C194" s="27" t="s">
        <v>208</v>
      </c>
      <c r="D194" s="27" t="s">
        <v>8</v>
      </c>
      <c r="E194" s="27" t="s">
        <v>8</v>
      </c>
      <c r="F194" s="27" t="s">
        <v>11</v>
      </c>
      <c r="G194" s="28" t="s">
        <v>13</v>
      </c>
      <c r="I194" s="1" t="str">
        <f>Table1[[#This Row],[Building ID]]</f>
        <v>a1826000001rdRtAAI</v>
      </c>
      <c r="J194" t="str">
        <f>VLOOKUP(C194,'Distinct Queues'!$A$3:$B$39,2,FALSE)</f>
        <v>Finance_Team</v>
      </c>
      <c r="K194" t="str">
        <f>VLOOKUP(D194,'Distinct Queues'!$A$3:$B$39,2,FALSE)</f>
        <v>Pin_Yard_Team</v>
      </c>
      <c r="L194" t="str">
        <f>VLOOKUP(E194,'Distinct Queues'!$A$3:$B$39,2,FALSE)</f>
        <v>Pin_Yard_Team</v>
      </c>
      <c r="M194" t="str">
        <f>VLOOKUP(F194,'Distinct Queues'!$A$3:$B$39,2,FALSE)</f>
        <v>AM_BTR_Regions</v>
      </c>
      <c r="N194" t="str">
        <f>VLOOKUP(G194,'Distinct Queues'!$A$3:$B$39,2,FALSE)</f>
        <v>Lettings_North_East</v>
      </c>
    </row>
    <row r="195" spans="1:14">
      <c r="A195" s="29" t="s">
        <v>14</v>
      </c>
      <c r="B195" s="26" t="s">
        <v>568</v>
      </c>
      <c r="C195" s="26" t="s">
        <v>208</v>
      </c>
      <c r="D195" s="26" t="s">
        <v>8</v>
      </c>
      <c r="E195" s="26" t="s">
        <v>8</v>
      </c>
      <c r="F195" s="26" t="s">
        <v>11</v>
      </c>
      <c r="G195" s="30" t="s">
        <v>13</v>
      </c>
      <c r="I195" s="1" t="str">
        <f>Table1[[#This Row],[Building ID]]</f>
        <v>a1826000001rdTdAAI</v>
      </c>
      <c r="J195" t="str">
        <f>VLOOKUP(C195,'Distinct Queues'!$A$3:$B$39,2,FALSE)</f>
        <v>Finance_Team</v>
      </c>
      <c r="K195" t="str">
        <f>VLOOKUP(D195,'Distinct Queues'!$A$3:$B$39,2,FALSE)</f>
        <v>Pin_Yard_Team</v>
      </c>
      <c r="L195" t="str">
        <f>VLOOKUP(E195,'Distinct Queues'!$A$3:$B$39,2,FALSE)</f>
        <v>Pin_Yard_Team</v>
      </c>
      <c r="M195" t="str">
        <f>VLOOKUP(F195,'Distinct Queues'!$A$3:$B$39,2,FALSE)</f>
        <v>AM_BTR_Regions</v>
      </c>
      <c r="N195" t="str">
        <f>VLOOKUP(G195,'Distinct Queues'!$A$3:$B$39,2,FALSE)</f>
        <v>Lettings_North_East</v>
      </c>
    </row>
    <row r="196" spans="1:14">
      <c r="A196" s="25" t="s">
        <v>569</v>
      </c>
      <c r="B196" s="26" t="s">
        <v>570</v>
      </c>
      <c r="C196" s="27" t="s">
        <v>208</v>
      </c>
      <c r="D196" s="27" t="s">
        <v>209</v>
      </c>
      <c r="E196" s="27" t="s">
        <v>225</v>
      </c>
      <c r="F196" s="27" t="s">
        <v>226</v>
      </c>
      <c r="G196" s="28" t="s">
        <v>44</v>
      </c>
      <c r="I196" s="1" t="str">
        <f>Table1[[#This Row],[Building ID]]</f>
        <v>a1826000001piDxAAI</v>
      </c>
      <c r="J196" t="str">
        <f>VLOOKUP(C196,'Distinct Queues'!$A$3:$B$39,2,FALSE)</f>
        <v>Finance_Team</v>
      </c>
      <c r="K196" t="str">
        <f>VLOOKUP(D196,'Distinct Queues'!$A$3:$B$39,2,FALSE)</f>
        <v>Customer_Service_Team</v>
      </c>
      <c r="L196" t="str">
        <f>VLOOKUP(E196,'Distinct Queues'!$A$3:$B$39,2,FALSE)</f>
        <v>PRS_Regions</v>
      </c>
      <c r="M196" t="str">
        <f>VLOOKUP(F196,'Distinct Queues'!$A$3:$B$39,2,FALSE)</f>
        <v>AM_PRS_Regions</v>
      </c>
      <c r="N196" t="str">
        <f>VLOOKUP(G196,'Distinct Queues'!$A$3:$B$39,2,FALSE)</f>
        <v>Lettings_North_West</v>
      </c>
    </row>
    <row r="197" spans="1:14">
      <c r="A197" s="29" t="s">
        <v>172</v>
      </c>
      <c r="B197" s="26" t="s">
        <v>571</v>
      </c>
      <c r="C197" s="26" t="s">
        <v>208</v>
      </c>
      <c r="D197" s="26" t="s">
        <v>159</v>
      </c>
      <c r="E197" s="26" t="s">
        <v>159</v>
      </c>
      <c r="F197" s="26" t="s">
        <v>120</v>
      </c>
      <c r="G197" s="30" t="s">
        <v>212</v>
      </c>
      <c r="I197" s="1" t="str">
        <f>Table1[[#This Row],[Building ID]]</f>
        <v>a1826000001piiSAAQ</v>
      </c>
      <c r="J197" t="str">
        <f>VLOOKUP(C197,'Distinct Queues'!$A$3:$B$39,2,FALSE)</f>
        <v>Finance_Team</v>
      </c>
      <c r="K197" t="str">
        <f>VLOOKUP(D197,'Distinct Queues'!$A$3:$B$39,2,FALSE)</f>
        <v>Millet_Place_Team</v>
      </c>
      <c r="L197" t="str">
        <f>VLOOKUP(E197,'Distinct Queues'!$A$3:$B$39,2,FALSE)</f>
        <v>Millet_Place_Team</v>
      </c>
      <c r="M197" t="str">
        <f>VLOOKUP(F197,'Distinct Queues'!$A$3:$B$39,2,FALSE)</f>
        <v>AM_BTR_London</v>
      </c>
      <c r="N197" t="str">
        <f>VLOOKUP(G197,'Distinct Queues'!$A$3:$B$39,2,FALSE)</f>
        <v>Lettings_South</v>
      </c>
    </row>
    <row r="198" spans="1:14">
      <c r="A198" s="25" t="s">
        <v>178</v>
      </c>
      <c r="B198" s="26" t="s">
        <v>572</v>
      </c>
      <c r="C198" s="27" t="s">
        <v>208</v>
      </c>
      <c r="D198" s="27" t="s">
        <v>159</v>
      </c>
      <c r="E198" s="27" t="s">
        <v>159</v>
      </c>
      <c r="F198" s="27" t="s">
        <v>120</v>
      </c>
      <c r="G198" s="28" t="s">
        <v>212</v>
      </c>
      <c r="I198" s="1" t="str">
        <f>Table1[[#This Row],[Building ID]]</f>
        <v>a1826000001pihtAAA</v>
      </c>
      <c r="J198" t="str">
        <f>VLOOKUP(C198,'Distinct Queues'!$A$3:$B$39,2,FALSE)</f>
        <v>Finance_Team</v>
      </c>
      <c r="K198" t="str">
        <f>VLOOKUP(D198,'Distinct Queues'!$A$3:$B$39,2,FALSE)</f>
        <v>Millet_Place_Team</v>
      </c>
      <c r="L198" t="str">
        <f>VLOOKUP(E198,'Distinct Queues'!$A$3:$B$39,2,FALSE)</f>
        <v>Millet_Place_Team</v>
      </c>
      <c r="M198" t="str">
        <f>VLOOKUP(F198,'Distinct Queues'!$A$3:$B$39,2,FALSE)</f>
        <v>AM_BTR_London</v>
      </c>
      <c r="N198" t="str">
        <f>VLOOKUP(G198,'Distinct Queues'!$A$3:$B$39,2,FALSE)</f>
        <v>Lettings_South</v>
      </c>
    </row>
    <row r="199" spans="1:14">
      <c r="A199" s="29" t="s">
        <v>573</v>
      </c>
      <c r="B199" s="26" t="s">
        <v>574</v>
      </c>
      <c r="C199" s="26" t="s">
        <v>208</v>
      </c>
      <c r="D199" s="26" t="s">
        <v>209</v>
      </c>
      <c r="E199" s="26" t="s">
        <v>225</v>
      </c>
      <c r="F199" s="26" t="s">
        <v>226</v>
      </c>
      <c r="G199" s="30" t="s">
        <v>44</v>
      </c>
      <c r="I199" s="1" t="str">
        <f>Table1[[#This Row],[Building ID]]</f>
        <v>a1826000001piCCAAY</v>
      </c>
      <c r="J199" t="str">
        <f>VLOOKUP(C199,'Distinct Queues'!$A$3:$B$39,2,FALSE)</f>
        <v>Finance_Team</v>
      </c>
      <c r="K199" t="str">
        <f>VLOOKUP(D199,'Distinct Queues'!$A$3:$B$39,2,FALSE)</f>
        <v>Customer_Service_Team</v>
      </c>
      <c r="L199" t="str">
        <f>VLOOKUP(E199,'Distinct Queues'!$A$3:$B$39,2,FALSE)</f>
        <v>PRS_Regions</v>
      </c>
      <c r="M199" t="str">
        <f>VLOOKUP(F199,'Distinct Queues'!$A$3:$B$39,2,FALSE)</f>
        <v>AM_PRS_Regions</v>
      </c>
      <c r="N199" t="str">
        <f>VLOOKUP(G199,'Distinct Queues'!$A$3:$B$39,2,FALSE)</f>
        <v>Lettings_North_West</v>
      </c>
    </row>
    <row r="200" spans="1:14">
      <c r="A200" s="25" t="s">
        <v>575</v>
      </c>
      <c r="B200" s="26" t="s">
        <v>576</v>
      </c>
      <c r="C200" s="27" t="s">
        <v>208</v>
      </c>
      <c r="D200" s="27" t="s">
        <v>209</v>
      </c>
      <c r="E200" s="27" t="s">
        <v>225</v>
      </c>
      <c r="F200" s="27" t="s">
        <v>226</v>
      </c>
      <c r="G200" s="28" t="s">
        <v>44</v>
      </c>
      <c r="I200" s="1" t="str">
        <f>Table1[[#This Row],[Building ID]]</f>
        <v>a1826000001piEvAAI</v>
      </c>
      <c r="J200" t="str">
        <f>VLOOKUP(C200,'Distinct Queues'!$A$3:$B$39,2,FALSE)</f>
        <v>Finance_Team</v>
      </c>
      <c r="K200" t="str">
        <f>VLOOKUP(D200,'Distinct Queues'!$A$3:$B$39,2,FALSE)</f>
        <v>Customer_Service_Team</v>
      </c>
      <c r="L200" t="str">
        <f>VLOOKUP(E200,'Distinct Queues'!$A$3:$B$39,2,FALSE)</f>
        <v>PRS_Regions</v>
      </c>
      <c r="M200" t="str">
        <f>VLOOKUP(F200,'Distinct Queues'!$A$3:$B$39,2,FALSE)</f>
        <v>AM_PRS_Regions</v>
      </c>
      <c r="N200" t="str">
        <f>VLOOKUP(G200,'Distinct Queues'!$A$3:$B$39,2,FALSE)</f>
        <v>Lettings_North_West</v>
      </c>
    </row>
    <row r="201" spans="1:14">
      <c r="A201" s="29" t="s">
        <v>577</v>
      </c>
      <c r="B201" s="26" t="s">
        <v>578</v>
      </c>
      <c r="C201" s="26" t="s">
        <v>208</v>
      </c>
      <c r="D201" s="26" t="s">
        <v>209</v>
      </c>
      <c r="E201" s="26" t="s">
        <v>225</v>
      </c>
      <c r="F201" s="26" t="s">
        <v>226</v>
      </c>
      <c r="G201" s="30" t="s">
        <v>44</v>
      </c>
      <c r="I201" s="1" t="str">
        <f>Table1[[#This Row],[Building ID]]</f>
        <v>a1826000001piFAAAY</v>
      </c>
      <c r="J201" t="str">
        <f>VLOOKUP(C201,'Distinct Queues'!$A$3:$B$39,2,FALSE)</f>
        <v>Finance_Team</v>
      </c>
      <c r="K201" t="str">
        <f>VLOOKUP(D201,'Distinct Queues'!$A$3:$B$39,2,FALSE)</f>
        <v>Customer_Service_Team</v>
      </c>
      <c r="L201" t="str">
        <f>VLOOKUP(E201,'Distinct Queues'!$A$3:$B$39,2,FALSE)</f>
        <v>PRS_Regions</v>
      </c>
      <c r="M201" t="str">
        <f>VLOOKUP(F201,'Distinct Queues'!$A$3:$B$39,2,FALSE)</f>
        <v>AM_PRS_Regions</v>
      </c>
      <c r="N201" t="str">
        <f>VLOOKUP(G201,'Distinct Queues'!$A$3:$B$39,2,FALSE)</f>
        <v>Lettings_North_West</v>
      </c>
    </row>
    <row r="202" spans="1:14">
      <c r="A202" s="25" t="s">
        <v>579</v>
      </c>
      <c r="B202" s="26" t="s">
        <v>580</v>
      </c>
      <c r="C202" s="27" t="s">
        <v>208</v>
      </c>
      <c r="D202" s="27" t="s">
        <v>209</v>
      </c>
      <c r="E202" s="27" t="s">
        <v>225</v>
      </c>
      <c r="F202" s="27" t="s">
        <v>226</v>
      </c>
      <c r="G202" s="28" t="s">
        <v>44</v>
      </c>
      <c r="I202" s="1" t="str">
        <f>Table1[[#This Row],[Building ID]]</f>
        <v>a1826000001phYaAAI</v>
      </c>
      <c r="J202" t="str">
        <f>VLOOKUP(C202,'Distinct Queues'!$A$3:$B$39,2,FALSE)</f>
        <v>Finance_Team</v>
      </c>
      <c r="K202" t="str">
        <f>VLOOKUP(D202,'Distinct Queues'!$A$3:$B$39,2,FALSE)</f>
        <v>Customer_Service_Team</v>
      </c>
      <c r="L202" t="str">
        <f>VLOOKUP(E202,'Distinct Queues'!$A$3:$B$39,2,FALSE)</f>
        <v>PRS_Regions</v>
      </c>
      <c r="M202" t="str">
        <f>VLOOKUP(F202,'Distinct Queues'!$A$3:$B$39,2,FALSE)</f>
        <v>AM_PRS_Regions</v>
      </c>
      <c r="N202" t="str">
        <f>VLOOKUP(G202,'Distinct Queues'!$A$3:$B$39,2,FALSE)</f>
        <v>Lettings_North_West</v>
      </c>
    </row>
    <row r="203" spans="1:14">
      <c r="A203" s="29" t="s">
        <v>581</v>
      </c>
      <c r="B203" s="26" t="s">
        <v>582</v>
      </c>
      <c r="C203" s="26" t="s">
        <v>208</v>
      </c>
      <c r="D203" s="26" t="s">
        <v>209</v>
      </c>
      <c r="E203" s="26" t="s">
        <v>225</v>
      </c>
      <c r="F203" s="26" t="s">
        <v>226</v>
      </c>
      <c r="G203" s="30" t="s">
        <v>44</v>
      </c>
      <c r="I203" s="1" t="str">
        <f>Table1[[#This Row],[Building ID]]</f>
        <v>a1826000001piENAAY</v>
      </c>
      <c r="J203" t="str">
        <f>VLOOKUP(C203,'Distinct Queues'!$A$3:$B$39,2,FALSE)</f>
        <v>Finance_Team</v>
      </c>
      <c r="K203" t="str">
        <f>VLOOKUP(D203,'Distinct Queues'!$A$3:$B$39,2,FALSE)</f>
        <v>Customer_Service_Team</v>
      </c>
      <c r="L203" t="str">
        <f>VLOOKUP(E203,'Distinct Queues'!$A$3:$B$39,2,FALSE)</f>
        <v>PRS_Regions</v>
      </c>
      <c r="M203" t="str">
        <f>VLOOKUP(F203,'Distinct Queues'!$A$3:$B$39,2,FALSE)</f>
        <v>AM_PRS_Regions</v>
      </c>
      <c r="N203" t="str">
        <f>VLOOKUP(G203,'Distinct Queues'!$A$3:$B$39,2,FALSE)</f>
        <v>Lettings_North_West</v>
      </c>
    </row>
    <row r="204" spans="1:14">
      <c r="A204" s="25" t="s">
        <v>583</v>
      </c>
      <c r="B204" s="26" t="s">
        <v>584</v>
      </c>
      <c r="C204" s="27" t="s">
        <v>208</v>
      </c>
      <c r="D204" s="27" t="s">
        <v>209</v>
      </c>
      <c r="E204" s="27" t="s">
        <v>225</v>
      </c>
      <c r="F204" s="27" t="s">
        <v>226</v>
      </c>
      <c r="G204" s="28" t="s">
        <v>44</v>
      </c>
      <c r="I204" s="1" t="str">
        <f>Table1[[#This Row],[Building ID]]</f>
        <v>a1826000001piEhAAI</v>
      </c>
      <c r="J204" t="str">
        <f>VLOOKUP(C204,'Distinct Queues'!$A$3:$B$39,2,FALSE)</f>
        <v>Finance_Team</v>
      </c>
      <c r="K204" t="str">
        <f>VLOOKUP(D204,'Distinct Queues'!$A$3:$B$39,2,FALSE)</f>
        <v>Customer_Service_Team</v>
      </c>
      <c r="L204" t="str">
        <f>VLOOKUP(E204,'Distinct Queues'!$A$3:$B$39,2,FALSE)</f>
        <v>PRS_Regions</v>
      </c>
      <c r="M204" t="str">
        <f>VLOOKUP(F204,'Distinct Queues'!$A$3:$B$39,2,FALSE)</f>
        <v>AM_PRS_Regions</v>
      </c>
      <c r="N204" t="str">
        <f>VLOOKUP(G204,'Distinct Queues'!$A$3:$B$39,2,FALSE)</f>
        <v>Lettings_North_West</v>
      </c>
    </row>
    <row r="205" spans="1:14">
      <c r="A205" s="29" t="s">
        <v>585</v>
      </c>
      <c r="B205" s="26" t="s">
        <v>586</v>
      </c>
      <c r="C205" s="26" t="s">
        <v>208</v>
      </c>
      <c r="D205" s="26" t="s">
        <v>209</v>
      </c>
      <c r="E205" s="26" t="s">
        <v>225</v>
      </c>
      <c r="F205" s="26" t="s">
        <v>226</v>
      </c>
      <c r="G205" s="30" t="s">
        <v>44</v>
      </c>
      <c r="I205" s="1" t="str">
        <f>Table1[[#This Row],[Building ID]]</f>
        <v>a1826000001piCDAAY</v>
      </c>
      <c r="J205" t="str">
        <f>VLOOKUP(C205,'Distinct Queues'!$A$3:$B$39,2,FALSE)</f>
        <v>Finance_Team</v>
      </c>
      <c r="K205" t="str">
        <f>VLOOKUP(D205,'Distinct Queues'!$A$3:$B$39,2,FALSE)</f>
        <v>Customer_Service_Team</v>
      </c>
      <c r="L205" t="str">
        <f>VLOOKUP(E205,'Distinct Queues'!$A$3:$B$39,2,FALSE)</f>
        <v>PRS_Regions</v>
      </c>
      <c r="M205" t="str">
        <f>VLOOKUP(F205,'Distinct Queues'!$A$3:$B$39,2,FALSE)</f>
        <v>AM_PRS_Regions</v>
      </c>
      <c r="N205" t="str">
        <f>VLOOKUP(G205,'Distinct Queues'!$A$3:$B$39,2,FALSE)</f>
        <v>Lettings_North_West</v>
      </c>
    </row>
    <row r="206" spans="1:14">
      <c r="A206" s="25" t="s">
        <v>587</v>
      </c>
      <c r="B206" s="26" t="s">
        <v>588</v>
      </c>
      <c r="C206" s="27" t="s">
        <v>208</v>
      </c>
      <c r="D206" s="27" t="s">
        <v>209</v>
      </c>
      <c r="E206" s="27" t="s">
        <v>225</v>
      </c>
      <c r="F206" s="27" t="s">
        <v>226</v>
      </c>
      <c r="G206" s="28" t="s">
        <v>44</v>
      </c>
      <c r="I206" s="1" t="str">
        <f>Table1[[#This Row],[Building ID]]</f>
        <v>a1826000001piEXAAY</v>
      </c>
      <c r="J206" t="str">
        <f>VLOOKUP(C206,'Distinct Queues'!$A$3:$B$39,2,FALSE)</f>
        <v>Finance_Team</v>
      </c>
      <c r="K206" t="str">
        <f>VLOOKUP(D206,'Distinct Queues'!$A$3:$B$39,2,FALSE)</f>
        <v>Customer_Service_Team</v>
      </c>
      <c r="L206" t="str">
        <f>VLOOKUP(E206,'Distinct Queues'!$A$3:$B$39,2,FALSE)</f>
        <v>PRS_Regions</v>
      </c>
      <c r="M206" t="str">
        <f>VLOOKUP(F206,'Distinct Queues'!$A$3:$B$39,2,FALSE)</f>
        <v>AM_PRS_Regions</v>
      </c>
      <c r="N206" t="str">
        <f>VLOOKUP(G206,'Distinct Queues'!$A$3:$B$39,2,FALSE)</f>
        <v>Lettings_North_West</v>
      </c>
    </row>
    <row r="207" spans="1:14">
      <c r="A207" s="29" t="s">
        <v>589</v>
      </c>
      <c r="B207" s="26" t="s">
        <v>590</v>
      </c>
      <c r="C207" s="26" t="s">
        <v>208</v>
      </c>
      <c r="D207" s="26" t="s">
        <v>209</v>
      </c>
      <c r="E207" s="26" t="s">
        <v>225</v>
      </c>
      <c r="F207" s="26" t="s">
        <v>226</v>
      </c>
      <c r="G207" s="30" t="s">
        <v>44</v>
      </c>
      <c r="I207" s="1" t="str">
        <f>Table1[[#This Row],[Building ID]]</f>
        <v>a1826000001phK8AAI</v>
      </c>
      <c r="J207" t="str">
        <f>VLOOKUP(C207,'Distinct Queues'!$A$3:$B$39,2,FALSE)</f>
        <v>Finance_Team</v>
      </c>
      <c r="K207" t="str">
        <f>VLOOKUP(D207,'Distinct Queues'!$A$3:$B$39,2,FALSE)</f>
        <v>Customer_Service_Team</v>
      </c>
      <c r="L207" t="str">
        <f>VLOOKUP(E207,'Distinct Queues'!$A$3:$B$39,2,FALSE)</f>
        <v>PRS_Regions</v>
      </c>
      <c r="M207" t="str">
        <f>VLOOKUP(F207,'Distinct Queues'!$A$3:$B$39,2,FALSE)</f>
        <v>AM_PRS_Regions</v>
      </c>
      <c r="N207" t="str">
        <f>VLOOKUP(G207,'Distinct Queues'!$A$3:$B$39,2,FALSE)</f>
        <v>Lettings_North_West</v>
      </c>
    </row>
    <row r="208" spans="1:14">
      <c r="A208" s="25" t="s">
        <v>591</v>
      </c>
      <c r="B208" s="26" t="s">
        <v>592</v>
      </c>
      <c r="C208" s="27" t="s">
        <v>208</v>
      </c>
      <c r="D208" s="27" t="s">
        <v>209</v>
      </c>
      <c r="E208" s="27" t="s">
        <v>225</v>
      </c>
      <c r="F208" s="27" t="s">
        <v>226</v>
      </c>
      <c r="G208" s="28" t="s">
        <v>44</v>
      </c>
      <c r="I208" s="1" t="str">
        <f>Table1[[#This Row],[Building ID]]</f>
        <v>a1826000001piEqAAI</v>
      </c>
      <c r="J208" t="str">
        <f>VLOOKUP(C208,'Distinct Queues'!$A$3:$B$39,2,FALSE)</f>
        <v>Finance_Team</v>
      </c>
      <c r="K208" t="str">
        <f>VLOOKUP(D208,'Distinct Queues'!$A$3:$B$39,2,FALSE)</f>
        <v>Customer_Service_Team</v>
      </c>
      <c r="L208" t="str">
        <f>VLOOKUP(E208,'Distinct Queues'!$A$3:$B$39,2,FALSE)</f>
        <v>PRS_Regions</v>
      </c>
      <c r="M208" t="str">
        <f>VLOOKUP(F208,'Distinct Queues'!$A$3:$B$39,2,FALSE)</f>
        <v>AM_PRS_Regions</v>
      </c>
      <c r="N208" t="str">
        <f>VLOOKUP(G208,'Distinct Queues'!$A$3:$B$39,2,FALSE)</f>
        <v>Lettings_North_West</v>
      </c>
    </row>
    <row r="209" spans="1:14">
      <c r="A209" s="29" t="s">
        <v>593</v>
      </c>
      <c r="B209" s="26" t="s">
        <v>594</v>
      </c>
      <c r="C209" s="26" t="s">
        <v>208</v>
      </c>
      <c r="D209" s="26" t="s">
        <v>209</v>
      </c>
      <c r="E209" s="26" t="s">
        <v>225</v>
      </c>
      <c r="F209" s="26" t="s">
        <v>226</v>
      </c>
      <c r="G209" s="30" t="s">
        <v>44</v>
      </c>
      <c r="I209" s="1" t="str">
        <f>Table1[[#This Row],[Building ID]]</f>
        <v>a1826000001piF0AAI</v>
      </c>
      <c r="J209" t="str">
        <f>VLOOKUP(C209,'Distinct Queues'!$A$3:$B$39,2,FALSE)</f>
        <v>Finance_Team</v>
      </c>
      <c r="K209" t="str">
        <f>VLOOKUP(D209,'Distinct Queues'!$A$3:$B$39,2,FALSE)</f>
        <v>Customer_Service_Team</v>
      </c>
      <c r="L209" t="str">
        <f>VLOOKUP(E209,'Distinct Queues'!$A$3:$B$39,2,FALSE)</f>
        <v>PRS_Regions</v>
      </c>
      <c r="M209" t="str">
        <f>VLOOKUP(F209,'Distinct Queues'!$A$3:$B$39,2,FALSE)</f>
        <v>AM_PRS_Regions</v>
      </c>
      <c r="N209" t="str">
        <f>VLOOKUP(G209,'Distinct Queues'!$A$3:$B$39,2,FALSE)</f>
        <v>Lettings_North_West</v>
      </c>
    </row>
    <row r="210" spans="1:14">
      <c r="A210" s="25" t="s">
        <v>595</v>
      </c>
      <c r="B210" s="26" t="s">
        <v>596</v>
      </c>
      <c r="C210" s="27" t="s">
        <v>208</v>
      </c>
      <c r="D210" s="27" t="s">
        <v>209</v>
      </c>
      <c r="E210" s="27" t="s">
        <v>225</v>
      </c>
      <c r="F210" s="27" t="s">
        <v>226</v>
      </c>
      <c r="G210" s="28" t="s">
        <v>44</v>
      </c>
      <c r="I210" s="1" t="str">
        <f>Table1[[#This Row],[Building ID]]</f>
        <v>a1826000001piqoAAA</v>
      </c>
      <c r="J210" t="str">
        <f>VLOOKUP(C210,'Distinct Queues'!$A$3:$B$39,2,FALSE)</f>
        <v>Finance_Team</v>
      </c>
      <c r="K210" t="str">
        <f>VLOOKUP(D210,'Distinct Queues'!$A$3:$B$39,2,FALSE)</f>
        <v>Customer_Service_Team</v>
      </c>
      <c r="L210" t="str">
        <f>VLOOKUP(E210,'Distinct Queues'!$A$3:$B$39,2,FALSE)</f>
        <v>PRS_Regions</v>
      </c>
      <c r="M210" t="str">
        <f>VLOOKUP(F210,'Distinct Queues'!$A$3:$B$39,2,FALSE)</f>
        <v>AM_PRS_Regions</v>
      </c>
      <c r="N210" t="str">
        <f>VLOOKUP(G210,'Distinct Queues'!$A$3:$B$39,2,FALSE)</f>
        <v>Lettings_North_West</v>
      </c>
    </row>
    <row r="211" spans="1:14">
      <c r="A211" s="29" t="s">
        <v>597</v>
      </c>
      <c r="B211" s="26" t="s">
        <v>598</v>
      </c>
      <c r="C211" s="26" t="s">
        <v>208</v>
      </c>
      <c r="D211" s="26" t="s">
        <v>209</v>
      </c>
      <c r="E211" s="26" t="s">
        <v>225</v>
      </c>
      <c r="F211" s="26" t="s">
        <v>226</v>
      </c>
      <c r="G211" s="30" t="s">
        <v>44</v>
      </c>
      <c r="I211" s="1" t="str">
        <f>Table1[[#This Row],[Building ID]]</f>
        <v>a1826000001piurAAA</v>
      </c>
      <c r="J211" t="str">
        <f>VLOOKUP(C211,'Distinct Queues'!$A$3:$B$39,2,FALSE)</f>
        <v>Finance_Team</v>
      </c>
      <c r="K211" t="str">
        <f>VLOOKUP(D211,'Distinct Queues'!$A$3:$B$39,2,FALSE)</f>
        <v>Customer_Service_Team</v>
      </c>
      <c r="L211" t="str">
        <f>VLOOKUP(E211,'Distinct Queues'!$A$3:$B$39,2,FALSE)</f>
        <v>PRS_Regions</v>
      </c>
      <c r="M211" t="str">
        <f>VLOOKUP(F211,'Distinct Queues'!$A$3:$B$39,2,FALSE)</f>
        <v>AM_PRS_Regions</v>
      </c>
      <c r="N211" t="str">
        <f>VLOOKUP(G211,'Distinct Queues'!$A$3:$B$39,2,FALSE)</f>
        <v>Lettings_North_West</v>
      </c>
    </row>
    <row r="212" spans="1:14">
      <c r="A212" s="25" t="s">
        <v>599</v>
      </c>
      <c r="B212" s="26" t="s">
        <v>600</v>
      </c>
      <c r="C212" s="27" t="s">
        <v>208</v>
      </c>
      <c r="D212" s="27" t="s">
        <v>209</v>
      </c>
      <c r="E212" s="27" t="s">
        <v>225</v>
      </c>
      <c r="F212" s="27" t="s">
        <v>226</v>
      </c>
      <c r="G212" s="28" t="s">
        <v>44</v>
      </c>
      <c r="I212" s="1" t="str">
        <f>Table1[[#This Row],[Building ID]]</f>
        <v>a1826000001piuhAAA</v>
      </c>
      <c r="J212" t="str">
        <f>VLOOKUP(C212,'Distinct Queues'!$A$3:$B$39,2,FALSE)</f>
        <v>Finance_Team</v>
      </c>
      <c r="K212" t="str">
        <f>VLOOKUP(D212,'Distinct Queues'!$A$3:$B$39,2,FALSE)</f>
        <v>Customer_Service_Team</v>
      </c>
      <c r="L212" t="str">
        <f>VLOOKUP(E212,'Distinct Queues'!$A$3:$B$39,2,FALSE)</f>
        <v>PRS_Regions</v>
      </c>
      <c r="M212" t="str">
        <f>VLOOKUP(F212,'Distinct Queues'!$A$3:$B$39,2,FALSE)</f>
        <v>AM_PRS_Regions</v>
      </c>
      <c r="N212" t="str">
        <f>VLOOKUP(G212,'Distinct Queues'!$A$3:$B$39,2,FALSE)</f>
        <v>Lettings_North_West</v>
      </c>
    </row>
    <row r="213" spans="1:14">
      <c r="A213" s="29" t="s">
        <v>601</v>
      </c>
      <c r="B213" s="26" t="s">
        <v>602</v>
      </c>
      <c r="C213" s="26" t="s">
        <v>208</v>
      </c>
      <c r="D213" s="26" t="s">
        <v>209</v>
      </c>
      <c r="E213" s="26" t="s">
        <v>225</v>
      </c>
      <c r="F213" s="26" t="s">
        <v>226</v>
      </c>
      <c r="G213" s="30" t="s">
        <v>44</v>
      </c>
      <c r="I213" s="1" t="str">
        <f>Table1[[#This Row],[Building ID]]</f>
        <v>a1826000001piuwAAA</v>
      </c>
      <c r="J213" t="str">
        <f>VLOOKUP(C213,'Distinct Queues'!$A$3:$B$39,2,FALSE)</f>
        <v>Finance_Team</v>
      </c>
      <c r="K213" t="str">
        <f>VLOOKUP(D213,'Distinct Queues'!$A$3:$B$39,2,FALSE)</f>
        <v>Customer_Service_Team</v>
      </c>
      <c r="L213" t="str">
        <f>VLOOKUP(E213,'Distinct Queues'!$A$3:$B$39,2,FALSE)</f>
        <v>PRS_Regions</v>
      </c>
      <c r="M213" t="str">
        <f>VLOOKUP(F213,'Distinct Queues'!$A$3:$B$39,2,FALSE)</f>
        <v>AM_PRS_Regions</v>
      </c>
      <c r="N213" t="str">
        <f>VLOOKUP(G213,'Distinct Queues'!$A$3:$B$39,2,FALSE)</f>
        <v>Lettings_North_West</v>
      </c>
    </row>
    <row r="214" spans="1:14">
      <c r="A214" s="25" t="s">
        <v>603</v>
      </c>
      <c r="B214" s="26" t="s">
        <v>604</v>
      </c>
      <c r="C214" s="27" t="s">
        <v>208</v>
      </c>
      <c r="D214" s="27" t="s">
        <v>209</v>
      </c>
      <c r="E214" s="27" t="s">
        <v>225</v>
      </c>
      <c r="F214" s="27" t="s">
        <v>226</v>
      </c>
      <c r="G214" s="28" t="s">
        <v>44</v>
      </c>
      <c r="I214" s="1" t="str">
        <f>Table1[[#This Row],[Building ID]]</f>
        <v>a1826000001piumAAA</v>
      </c>
      <c r="J214" t="str">
        <f>VLOOKUP(C214,'Distinct Queues'!$A$3:$B$39,2,FALSE)</f>
        <v>Finance_Team</v>
      </c>
      <c r="K214" t="str">
        <f>VLOOKUP(D214,'Distinct Queues'!$A$3:$B$39,2,FALSE)</f>
        <v>Customer_Service_Team</v>
      </c>
      <c r="L214" t="str">
        <f>VLOOKUP(E214,'Distinct Queues'!$A$3:$B$39,2,FALSE)</f>
        <v>PRS_Regions</v>
      </c>
      <c r="M214" t="str">
        <f>VLOOKUP(F214,'Distinct Queues'!$A$3:$B$39,2,FALSE)</f>
        <v>AM_PRS_Regions</v>
      </c>
      <c r="N214" t="str">
        <f>VLOOKUP(G214,'Distinct Queues'!$A$3:$B$39,2,FALSE)</f>
        <v>Lettings_North_West</v>
      </c>
    </row>
    <row r="215" spans="1:14">
      <c r="A215" s="29" t="s">
        <v>605</v>
      </c>
      <c r="B215" s="26" t="s">
        <v>606</v>
      </c>
      <c r="C215" s="26" t="s">
        <v>208</v>
      </c>
      <c r="D215" s="26" t="s">
        <v>209</v>
      </c>
      <c r="E215" s="26" t="s">
        <v>225</v>
      </c>
      <c r="F215" s="26" t="s">
        <v>226</v>
      </c>
      <c r="G215" s="30" t="s">
        <v>44</v>
      </c>
      <c r="I215" s="1" t="str">
        <f>Table1[[#This Row],[Building ID]]</f>
        <v>a1826000001piv1AAA</v>
      </c>
      <c r="J215" t="str">
        <f>VLOOKUP(C215,'Distinct Queues'!$A$3:$B$39,2,FALSE)</f>
        <v>Finance_Team</v>
      </c>
      <c r="K215" t="str">
        <f>VLOOKUP(D215,'Distinct Queues'!$A$3:$B$39,2,FALSE)</f>
        <v>Customer_Service_Team</v>
      </c>
      <c r="L215" t="str">
        <f>VLOOKUP(E215,'Distinct Queues'!$A$3:$B$39,2,FALSE)</f>
        <v>PRS_Regions</v>
      </c>
      <c r="M215" t="str">
        <f>VLOOKUP(F215,'Distinct Queues'!$A$3:$B$39,2,FALSE)</f>
        <v>AM_PRS_Regions</v>
      </c>
      <c r="N215" t="str">
        <f>VLOOKUP(G215,'Distinct Queues'!$A$3:$B$39,2,FALSE)</f>
        <v>Lettings_North_West</v>
      </c>
    </row>
    <row r="216" spans="1:14">
      <c r="A216" s="25" t="s">
        <v>607</v>
      </c>
      <c r="B216" s="26" t="s">
        <v>608</v>
      </c>
      <c r="C216" s="27" t="s">
        <v>208</v>
      </c>
      <c r="D216" s="27" t="s">
        <v>209</v>
      </c>
      <c r="E216" s="27" t="s">
        <v>210</v>
      </c>
      <c r="F216" s="27" t="s">
        <v>211</v>
      </c>
      <c r="G216" s="28" t="s">
        <v>212</v>
      </c>
      <c r="I216" s="1" t="str">
        <f>Table1[[#This Row],[Building ID]]</f>
        <v>a1826000001piYgAAI</v>
      </c>
      <c r="J216" t="str">
        <f>VLOOKUP(C216,'Distinct Queues'!$A$3:$B$39,2,FALSE)</f>
        <v>Finance_Team</v>
      </c>
      <c r="K216" t="str">
        <f>VLOOKUP(D216,'Distinct Queues'!$A$3:$B$39,2,FALSE)</f>
        <v>Customer_Service_Team</v>
      </c>
      <c r="L216" t="str">
        <f>VLOOKUP(E216,'Distinct Queues'!$A$3:$B$39,2,FALSE)</f>
        <v>PRS_London</v>
      </c>
      <c r="M216" t="str">
        <f>VLOOKUP(F216,'Distinct Queues'!$A$3:$B$39,2,FALSE)</f>
        <v>AM_PRS_London</v>
      </c>
      <c r="N216" t="str">
        <f>VLOOKUP(G216,'Distinct Queues'!$A$3:$B$39,2,FALSE)</f>
        <v>Lettings_South</v>
      </c>
    </row>
    <row r="217" spans="1:14">
      <c r="A217" s="29" t="s">
        <v>84</v>
      </c>
      <c r="B217" s="26" t="s">
        <v>609</v>
      </c>
      <c r="C217" s="26" t="s">
        <v>208</v>
      </c>
      <c r="D217" s="26" t="s">
        <v>87</v>
      </c>
      <c r="E217" s="26" t="s">
        <v>87</v>
      </c>
      <c r="F217" s="26" t="s">
        <v>11</v>
      </c>
      <c r="G217" s="30" t="s">
        <v>56</v>
      </c>
      <c r="I217" s="1" t="str">
        <f>Table1[[#This Row],[Building ID]]</f>
        <v>a1826000001pj0pAAA</v>
      </c>
      <c r="J217" t="str">
        <f>VLOOKUP(C217,'Distinct Queues'!$A$3:$B$39,2,FALSE)</f>
        <v>Finance_Team</v>
      </c>
      <c r="K217" t="str">
        <f>VLOOKUP(D217,'Distinct Queues'!$A$3:$B$39,2,FALSE)</f>
        <v>Solstice_Apartments_Team</v>
      </c>
      <c r="L217" t="str">
        <f>VLOOKUP(E217,'Distinct Queues'!$A$3:$B$39,2,FALSE)</f>
        <v>Solstice_Apartments_Team</v>
      </c>
      <c r="M217" t="str">
        <f>VLOOKUP(F217,'Distinct Queues'!$A$3:$B$39,2,FALSE)</f>
        <v>AM_BTR_Regions</v>
      </c>
      <c r="N217" t="str">
        <f>VLOOKUP(G217,'Distinct Queues'!$A$3:$B$39,2,FALSE)</f>
        <v>Lettings_Midlands</v>
      </c>
    </row>
    <row r="218" spans="1:14">
      <c r="A218" s="25" t="s">
        <v>91</v>
      </c>
      <c r="B218" s="26" t="s">
        <v>610</v>
      </c>
      <c r="C218" s="27" t="s">
        <v>208</v>
      </c>
      <c r="D218" s="27" t="s">
        <v>87</v>
      </c>
      <c r="E218" s="27" t="s">
        <v>87</v>
      </c>
      <c r="F218" s="27" t="s">
        <v>11</v>
      </c>
      <c r="G218" s="28" t="s">
        <v>56</v>
      </c>
      <c r="I218" s="1" t="str">
        <f>Table1[[#This Row],[Building ID]]</f>
        <v>a1826000001pj0qAAA</v>
      </c>
      <c r="J218" t="str">
        <f>VLOOKUP(C218,'Distinct Queues'!$A$3:$B$39,2,FALSE)</f>
        <v>Finance_Team</v>
      </c>
      <c r="K218" t="str">
        <f>VLOOKUP(D218,'Distinct Queues'!$A$3:$B$39,2,FALSE)</f>
        <v>Solstice_Apartments_Team</v>
      </c>
      <c r="L218" t="str">
        <f>VLOOKUP(E218,'Distinct Queues'!$A$3:$B$39,2,FALSE)</f>
        <v>Solstice_Apartments_Team</v>
      </c>
      <c r="M218" t="str">
        <f>VLOOKUP(F218,'Distinct Queues'!$A$3:$B$39,2,FALSE)</f>
        <v>AM_BTR_Regions</v>
      </c>
      <c r="N218" t="str">
        <f>VLOOKUP(G218,'Distinct Queues'!$A$3:$B$39,2,FALSE)</f>
        <v>Lettings_Midlands</v>
      </c>
    </row>
    <row r="219" spans="1:14">
      <c r="A219" s="29" t="s">
        <v>611</v>
      </c>
      <c r="B219" s="26" t="s">
        <v>612</v>
      </c>
      <c r="C219" s="26" t="s">
        <v>208</v>
      </c>
      <c r="D219" s="26" t="s">
        <v>209</v>
      </c>
      <c r="E219" s="26" t="s">
        <v>225</v>
      </c>
      <c r="F219" s="26" t="s">
        <v>226</v>
      </c>
      <c r="G219" s="30" t="s">
        <v>13</v>
      </c>
      <c r="I219" s="1" t="str">
        <f>Table1[[#This Row],[Building ID]]</f>
        <v>a1826000001pib4AAA</v>
      </c>
      <c r="J219" t="str">
        <f>VLOOKUP(C219,'Distinct Queues'!$A$3:$B$39,2,FALSE)</f>
        <v>Finance_Team</v>
      </c>
      <c r="K219" t="str">
        <f>VLOOKUP(D219,'Distinct Queues'!$A$3:$B$39,2,FALSE)</f>
        <v>Customer_Service_Team</v>
      </c>
      <c r="L219" t="str">
        <f>VLOOKUP(E219,'Distinct Queues'!$A$3:$B$39,2,FALSE)</f>
        <v>PRS_Regions</v>
      </c>
      <c r="M219" t="str">
        <f>VLOOKUP(F219,'Distinct Queues'!$A$3:$B$39,2,FALSE)</f>
        <v>AM_PRS_Regions</v>
      </c>
      <c r="N219" t="str">
        <f>VLOOKUP(G219,'Distinct Queues'!$A$3:$B$39,2,FALSE)</f>
        <v>Lettings_North_East</v>
      </c>
    </row>
    <row r="220" spans="1:14">
      <c r="A220" s="25" t="s">
        <v>613</v>
      </c>
      <c r="B220" s="26" t="s">
        <v>614</v>
      </c>
      <c r="C220" s="27" t="s">
        <v>208</v>
      </c>
      <c r="D220" s="27" t="s">
        <v>209</v>
      </c>
      <c r="E220" s="27" t="s">
        <v>210</v>
      </c>
      <c r="F220" s="27" t="s">
        <v>211</v>
      </c>
      <c r="G220" s="28" t="s">
        <v>212</v>
      </c>
      <c r="I220" s="1" t="str">
        <f>Table1[[#This Row],[Building ID]]</f>
        <v>a1826000001piXyAAI</v>
      </c>
      <c r="J220" t="str">
        <f>VLOOKUP(C220,'Distinct Queues'!$A$3:$B$39,2,FALSE)</f>
        <v>Finance_Team</v>
      </c>
      <c r="K220" t="str">
        <f>VLOOKUP(D220,'Distinct Queues'!$A$3:$B$39,2,FALSE)</f>
        <v>Customer_Service_Team</v>
      </c>
      <c r="L220" t="str">
        <f>VLOOKUP(E220,'Distinct Queues'!$A$3:$B$39,2,FALSE)</f>
        <v>PRS_London</v>
      </c>
      <c r="M220" t="str">
        <f>VLOOKUP(F220,'Distinct Queues'!$A$3:$B$39,2,FALSE)</f>
        <v>AM_PRS_London</v>
      </c>
      <c r="N220" t="str">
        <f>VLOOKUP(G220,'Distinct Queues'!$A$3:$B$39,2,FALSE)</f>
        <v>Lettings_South</v>
      </c>
    </row>
    <row r="221" spans="1:14">
      <c r="A221" s="29" t="s">
        <v>615</v>
      </c>
      <c r="B221" s="26" t="s">
        <v>616</v>
      </c>
      <c r="C221" s="26" t="s">
        <v>208</v>
      </c>
      <c r="D221" s="26" t="s">
        <v>209</v>
      </c>
      <c r="E221" s="26" t="s">
        <v>210</v>
      </c>
      <c r="F221" s="26" t="s">
        <v>211</v>
      </c>
      <c r="G221" s="30" t="s">
        <v>212</v>
      </c>
      <c r="I221" s="1" t="str">
        <f>Table1[[#This Row],[Building ID]]</f>
        <v>a1826000001piYHAAY</v>
      </c>
      <c r="J221" t="str">
        <f>VLOOKUP(C221,'Distinct Queues'!$A$3:$B$39,2,FALSE)</f>
        <v>Finance_Team</v>
      </c>
      <c r="K221" t="str">
        <f>VLOOKUP(D221,'Distinct Queues'!$A$3:$B$39,2,FALSE)</f>
        <v>Customer_Service_Team</v>
      </c>
      <c r="L221" t="str">
        <f>VLOOKUP(E221,'Distinct Queues'!$A$3:$B$39,2,FALSE)</f>
        <v>PRS_London</v>
      </c>
      <c r="M221" t="str">
        <f>VLOOKUP(F221,'Distinct Queues'!$A$3:$B$39,2,FALSE)</f>
        <v>AM_PRS_London</v>
      </c>
      <c r="N221" t="str">
        <f>VLOOKUP(G221,'Distinct Queues'!$A$3:$B$39,2,FALSE)</f>
        <v>Lettings_South</v>
      </c>
    </row>
    <row r="222" spans="1:14">
      <c r="A222" s="25" t="s">
        <v>617</v>
      </c>
      <c r="B222" s="26" t="s">
        <v>618</v>
      </c>
      <c r="C222" s="27" t="s">
        <v>208</v>
      </c>
      <c r="D222" s="27" t="s">
        <v>209</v>
      </c>
      <c r="E222" s="27" t="s">
        <v>210</v>
      </c>
      <c r="F222" s="27" t="s">
        <v>211</v>
      </c>
      <c r="G222" s="28" t="s">
        <v>212</v>
      </c>
      <c r="I222" s="1" t="str">
        <f>Table1[[#This Row],[Building ID]]</f>
        <v>a1826000001piYWAAY</v>
      </c>
      <c r="J222" t="str">
        <f>VLOOKUP(C222,'Distinct Queues'!$A$3:$B$39,2,FALSE)</f>
        <v>Finance_Team</v>
      </c>
      <c r="K222" t="str">
        <f>VLOOKUP(D222,'Distinct Queues'!$A$3:$B$39,2,FALSE)</f>
        <v>Customer_Service_Team</v>
      </c>
      <c r="L222" t="str">
        <f>VLOOKUP(E222,'Distinct Queues'!$A$3:$B$39,2,FALSE)</f>
        <v>PRS_London</v>
      </c>
      <c r="M222" t="str">
        <f>VLOOKUP(F222,'Distinct Queues'!$A$3:$B$39,2,FALSE)</f>
        <v>AM_PRS_London</v>
      </c>
      <c r="N222" t="str">
        <f>VLOOKUP(G222,'Distinct Queues'!$A$3:$B$39,2,FALSE)</f>
        <v>Lettings_South</v>
      </c>
    </row>
    <row r="223" spans="1:14">
      <c r="A223" s="29" t="s">
        <v>619</v>
      </c>
      <c r="B223" s="26" t="s">
        <v>620</v>
      </c>
      <c r="C223" s="26" t="s">
        <v>208</v>
      </c>
      <c r="D223" s="26" t="s">
        <v>209</v>
      </c>
      <c r="E223" s="26" t="s">
        <v>225</v>
      </c>
      <c r="F223" s="26" t="s">
        <v>226</v>
      </c>
      <c r="G223" s="30" t="s">
        <v>44</v>
      </c>
      <c r="I223" s="1" t="str">
        <f>Table1[[#This Row],[Building ID]]</f>
        <v>a1826000001pivQAAQ</v>
      </c>
      <c r="J223" t="str">
        <f>VLOOKUP(C223,'Distinct Queues'!$A$3:$B$39,2,FALSE)</f>
        <v>Finance_Team</v>
      </c>
      <c r="K223" t="str">
        <f>VLOOKUP(D223,'Distinct Queues'!$A$3:$B$39,2,FALSE)</f>
        <v>Customer_Service_Team</v>
      </c>
      <c r="L223" t="str">
        <f>VLOOKUP(E223,'Distinct Queues'!$A$3:$B$39,2,FALSE)</f>
        <v>PRS_Regions</v>
      </c>
      <c r="M223" t="str">
        <f>VLOOKUP(F223,'Distinct Queues'!$A$3:$B$39,2,FALSE)</f>
        <v>AM_PRS_Regions</v>
      </c>
      <c r="N223" t="str">
        <f>VLOOKUP(G223,'Distinct Queues'!$A$3:$B$39,2,FALSE)</f>
        <v>Lettings_North_West</v>
      </c>
    </row>
    <row r="224" spans="1:14">
      <c r="A224" s="25" t="s">
        <v>621</v>
      </c>
      <c r="B224" s="26" t="s">
        <v>622</v>
      </c>
      <c r="C224" s="27" t="s">
        <v>208</v>
      </c>
      <c r="D224" s="27" t="s">
        <v>209</v>
      </c>
      <c r="E224" s="27" t="s">
        <v>225</v>
      </c>
      <c r="F224" s="27" t="s">
        <v>226</v>
      </c>
      <c r="G224" s="28" t="s">
        <v>44</v>
      </c>
      <c r="I224" s="1" t="str">
        <f>Table1[[#This Row],[Building ID]]</f>
        <v>a1826000001pivVAAQ</v>
      </c>
      <c r="J224" t="str">
        <f>VLOOKUP(C224,'Distinct Queues'!$A$3:$B$39,2,FALSE)</f>
        <v>Finance_Team</v>
      </c>
      <c r="K224" t="str">
        <f>VLOOKUP(D224,'Distinct Queues'!$A$3:$B$39,2,FALSE)</f>
        <v>Customer_Service_Team</v>
      </c>
      <c r="L224" t="str">
        <f>VLOOKUP(E224,'Distinct Queues'!$A$3:$B$39,2,FALSE)</f>
        <v>PRS_Regions</v>
      </c>
      <c r="M224" t="str">
        <f>VLOOKUP(F224,'Distinct Queues'!$A$3:$B$39,2,FALSE)</f>
        <v>AM_PRS_Regions</v>
      </c>
      <c r="N224" t="str">
        <f>VLOOKUP(G224,'Distinct Queues'!$A$3:$B$39,2,FALSE)</f>
        <v>Lettings_North_West</v>
      </c>
    </row>
    <row r="225" spans="1:14">
      <c r="A225" s="29" t="s">
        <v>623</v>
      </c>
      <c r="B225" s="26" t="s">
        <v>624</v>
      </c>
      <c r="C225" s="26" t="s">
        <v>208</v>
      </c>
      <c r="D225" s="26" t="s">
        <v>209</v>
      </c>
      <c r="E225" s="26" t="s">
        <v>210</v>
      </c>
      <c r="F225" s="26" t="s">
        <v>211</v>
      </c>
      <c r="G225" s="30" t="s">
        <v>212</v>
      </c>
      <c r="I225" s="1" t="str">
        <f>Table1[[#This Row],[Building ID]]</f>
        <v>a1826000001piYlAAI</v>
      </c>
      <c r="J225" t="str">
        <f>VLOOKUP(C225,'Distinct Queues'!$A$3:$B$39,2,FALSE)</f>
        <v>Finance_Team</v>
      </c>
      <c r="K225" t="str">
        <f>VLOOKUP(D225,'Distinct Queues'!$A$3:$B$39,2,FALSE)</f>
        <v>Customer_Service_Team</v>
      </c>
      <c r="L225" t="str">
        <f>VLOOKUP(E225,'Distinct Queues'!$A$3:$B$39,2,FALSE)</f>
        <v>PRS_London</v>
      </c>
      <c r="M225" t="str">
        <f>VLOOKUP(F225,'Distinct Queues'!$A$3:$B$39,2,FALSE)</f>
        <v>AM_PRS_London</v>
      </c>
      <c r="N225" t="str">
        <f>VLOOKUP(G225,'Distinct Queues'!$A$3:$B$39,2,FALSE)</f>
        <v>Lettings_South</v>
      </c>
    </row>
    <row r="226" spans="1:14">
      <c r="A226" s="25" t="s">
        <v>625</v>
      </c>
      <c r="B226" s="26" t="s">
        <v>626</v>
      </c>
      <c r="C226" s="27" t="s">
        <v>208</v>
      </c>
      <c r="D226" s="27" t="s">
        <v>209</v>
      </c>
      <c r="E226" s="27" t="s">
        <v>210</v>
      </c>
      <c r="F226" s="27" t="s">
        <v>211</v>
      </c>
      <c r="G226" s="28" t="s">
        <v>212</v>
      </c>
      <c r="I226" s="1" t="str">
        <f>Table1[[#This Row],[Building ID]]</f>
        <v>a1826000001pj2HAAQ</v>
      </c>
      <c r="J226" t="str">
        <f>VLOOKUP(C226,'Distinct Queues'!$A$3:$B$39,2,FALSE)</f>
        <v>Finance_Team</v>
      </c>
      <c r="K226" t="str">
        <f>VLOOKUP(D226,'Distinct Queues'!$A$3:$B$39,2,FALSE)</f>
        <v>Customer_Service_Team</v>
      </c>
      <c r="L226" t="str">
        <f>VLOOKUP(E226,'Distinct Queues'!$A$3:$B$39,2,FALSE)</f>
        <v>PRS_London</v>
      </c>
      <c r="M226" t="str">
        <f>VLOOKUP(F226,'Distinct Queues'!$A$3:$B$39,2,FALSE)</f>
        <v>AM_PRS_London</v>
      </c>
      <c r="N226" t="str">
        <f>VLOOKUP(G226,'Distinct Queues'!$A$3:$B$39,2,FALSE)</f>
        <v>Lettings_South</v>
      </c>
    </row>
    <row r="227" spans="1:14">
      <c r="A227" s="29" t="s">
        <v>627</v>
      </c>
      <c r="B227" s="26" t="s">
        <v>628</v>
      </c>
      <c r="C227" s="26" t="s">
        <v>208</v>
      </c>
      <c r="D227" s="26" t="s">
        <v>209</v>
      </c>
      <c r="E227" s="26" t="s">
        <v>210</v>
      </c>
      <c r="F227" s="26" t="s">
        <v>211</v>
      </c>
      <c r="G227" s="30" t="s">
        <v>212</v>
      </c>
      <c r="I227" s="1" t="str">
        <f>Table1[[#This Row],[Building ID]]</f>
        <v>a1826000001piYmAAI</v>
      </c>
      <c r="J227" t="str">
        <f>VLOOKUP(C227,'Distinct Queues'!$A$3:$B$39,2,FALSE)</f>
        <v>Finance_Team</v>
      </c>
      <c r="K227" t="str">
        <f>VLOOKUP(D227,'Distinct Queues'!$A$3:$B$39,2,FALSE)</f>
        <v>Customer_Service_Team</v>
      </c>
      <c r="L227" t="str">
        <f>VLOOKUP(E227,'Distinct Queues'!$A$3:$B$39,2,FALSE)</f>
        <v>PRS_London</v>
      </c>
      <c r="M227" t="str">
        <f>VLOOKUP(F227,'Distinct Queues'!$A$3:$B$39,2,FALSE)</f>
        <v>AM_PRS_London</v>
      </c>
      <c r="N227" t="str">
        <f>VLOOKUP(G227,'Distinct Queues'!$A$3:$B$39,2,FALSE)</f>
        <v>Lettings_South</v>
      </c>
    </row>
    <row r="228" spans="1:14">
      <c r="A228" s="25" t="s">
        <v>629</v>
      </c>
      <c r="B228" s="26" t="s">
        <v>630</v>
      </c>
      <c r="C228" s="27" t="s">
        <v>208</v>
      </c>
      <c r="D228" s="27" t="s">
        <v>209</v>
      </c>
      <c r="E228" s="27" t="s">
        <v>210</v>
      </c>
      <c r="F228" s="27" t="s">
        <v>211</v>
      </c>
      <c r="G228" s="28" t="s">
        <v>212</v>
      </c>
      <c r="I228" s="1" t="str">
        <f>Table1[[#This Row],[Building ID]]</f>
        <v>a1826000001piWbAAI</v>
      </c>
      <c r="J228" t="str">
        <f>VLOOKUP(C228,'Distinct Queues'!$A$3:$B$39,2,FALSE)</f>
        <v>Finance_Team</v>
      </c>
      <c r="K228" t="str">
        <f>VLOOKUP(D228,'Distinct Queues'!$A$3:$B$39,2,FALSE)</f>
        <v>Customer_Service_Team</v>
      </c>
      <c r="L228" t="str">
        <f>VLOOKUP(E228,'Distinct Queues'!$A$3:$B$39,2,FALSE)</f>
        <v>PRS_London</v>
      </c>
      <c r="M228" t="str">
        <f>VLOOKUP(F228,'Distinct Queues'!$A$3:$B$39,2,FALSE)</f>
        <v>AM_PRS_London</v>
      </c>
      <c r="N228" t="str">
        <f>VLOOKUP(G228,'Distinct Queues'!$A$3:$B$39,2,FALSE)</f>
        <v>Lettings_South</v>
      </c>
    </row>
    <row r="229" spans="1:14">
      <c r="A229" s="29" t="s">
        <v>631</v>
      </c>
      <c r="B229" s="26" t="s">
        <v>632</v>
      </c>
      <c r="C229" s="26" t="s">
        <v>208</v>
      </c>
      <c r="D229" s="26" t="s">
        <v>209</v>
      </c>
      <c r="E229" s="26" t="s">
        <v>210</v>
      </c>
      <c r="F229" s="26" t="s">
        <v>211</v>
      </c>
      <c r="G229" s="30" t="s">
        <v>212</v>
      </c>
      <c r="I229" s="1" t="str">
        <f>Table1[[#This Row],[Building ID]]</f>
        <v>a1826000001piZPAAY</v>
      </c>
      <c r="J229" t="str">
        <f>VLOOKUP(C229,'Distinct Queues'!$A$3:$B$39,2,FALSE)</f>
        <v>Finance_Team</v>
      </c>
      <c r="K229" t="str">
        <f>VLOOKUP(D229,'Distinct Queues'!$A$3:$B$39,2,FALSE)</f>
        <v>Customer_Service_Team</v>
      </c>
      <c r="L229" t="str">
        <f>VLOOKUP(E229,'Distinct Queues'!$A$3:$B$39,2,FALSE)</f>
        <v>PRS_London</v>
      </c>
      <c r="M229" t="str">
        <f>VLOOKUP(F229,'Distinct Queues'!$A$3:$B$39,2,FALSE)</f>
        <v>AM_PRS_London</v>
      </c>
      <c r="N229" t="str">
        <f>VLOOKUP(G229,'Distinct Queues'!$A$3:$B$39,2,FALSE)</f>
        <v>Lettings_South</v>
      </c>
    </row>
    <row r="230" spans="1:14">
      <c r="A230" s="25" t="s">
        <v>633</v>
      </c>
      <c r="B230" s="26" t="s">
        <v>634</v>
      </c>
      <c r="C230" s="27" t="s">
        <v>208</v>
      </c>
      <c r="D230" s="27" t="s">
        <v>76</v>
      </c>
      <c r="E230" s="27" t="s">
        <v>76</v>
      </c>
      <c r="F230" s="27" t="s">
        <v>31</v>
      </c>
      <c r="G230" s="28" t="s">
        <v>56</v>
      </c>
      <c r="I230" s="1" t="str">
        <f>Table1[[#This Row],[Building ID]]</f>
        <v>a1826000001rdVKAAY</v>
      </c>
      <c r="J230" t="str">
        <f>VLOOKUP(C230,'Distinct Queues'!$A$3:$B$39,2,FALSE)</f>
        <v>Finance_Team</v>
      </c>
      <c r="K230" t="str">
        <f>VLOOKUP(D230,'Distinct Queues'!$A$3:$B$39,2,FALSE)</f>
        <v>The_Barnum_Team</v>
      </c>
      <c r="L230" t="str">
        <f>VLOOKUP(E230,'Distinct Queues'!$A$3:$B$39,2,FALSE)</f>
        <v>The_Barnum_Team</v>
      </c>
      <c r="M230" t="str">
        <f>VLOOKUP(F230,'Distinct Queues'!$A$3:$B$39,2,FALSE)</f>
        <v>AM_New_Launches</v>
      </c>
      <c r="N230" t="str">
        <f>VLOOKUP(G230,'Distinct Queues'!$A$3:$B$39,2,FALSE)</f>
        <v>Lettings_Midlands</v>
      </c>
    </row>
    <row r="231" spans="1:14">
      <c r="A231" s="29" t="s">
        <v>635</v>
      </c>
      <c r="B231" s="26" t="s">
        <v>634</v>
      </c>
      <c r="C231" s="26" t="s">
        <v>208</v>
      </c>
      <c r="D231" s="26" t="s">
        <v>76</v>
      </c>
      <c r="E231" s="26" t="s">
        <v>76</v>
      </c>
      <c r="F231" s="26" t="s">
        <v>31</v>
      </c>
      <c r="G231" s="30" t="s">
        <v>56</v>
      </c>
      <c r="I231" s="1" t="str">
        <f>Table1[[#This Row],[Building ID]]</f>
        <v>a1826000001rdVKAAY</v>
      </c>
      <c r="J231" t="str">
        <f>VLOOKUP(C231,'Distinct Queues'!$A$3:$B$39,2,FALSE)</f>
        <v>Finance_Team</v>
      </c>
      <c r="K231" t="str">
        <f>VLOOKUP(D231,'Distinct Queues'!$A$3:$B$39,2,FALSE)</f>
        <v>The_Barnum_Team</v>
      </c>
      <c r="L231" t="str">
        <f>VLOOKUP(E231,'Distinct Queues'!$A$3:$B$39,2,FALSE)</f>
        <v>The_Barnum_Team</v>
      </c>
      <c r="M231" t="str">
        <f>VLOOKUP(F231,'Distinct Queues'!$A$3:$B$39,2,FALSE)</f>
        <v>AM_New_Launches</v>
      </c>
      <c r="N231" t="str">
        <f>VLOOKUP(G231,'Distinct Queues'!$A$3:$B$39,2,FALSE)</f>
        <v>Lettings_Midlands</v>
      </c>
    </row>
    <row r="232" spans="1:14">
      <c r="A232" s="25" t="s">
        <v>636</v>
      </c>
      <c r="B232" s="26" t="s">
        <v>637</v>
      </c>
      <c r="C232" s="27" t="s">
        <v>208</v>
      </c>
      <c r="D232" s="27" t="s">
        <v>71</v>
      </c>
      <c r="E232" s="27" t="s">
        <v>71</v>
      </c>
      <c r="F232" s="27" t="s">
        <v>31</v>
      </c>
      <c r="G232" s="28" t="s">
        <v>56</v>
      </c>
      <c r="I232" s="1" t="str">
        <f>Table1[[#This Row],[Building ID]]</f>
        <v>a1826000001rdUMAAY</v>
      </c>
      <c r="J232" t="str">
        <f>VLOOKUP(C232,'Distinct Queues'!$A$3:$B$39,2,FALSE)</f>
        <v>Finance_Team</v>
      </c>
      <c r="K232" t="str">
        <f>VLOOKUP(D232,'Distinct Queues'!$A$3:$B$39,2,FALSE)</f>
        <v>The_Condor_Team</v>
      </c>
      <c r="L232" t="str">
        <f>VLOOKUP(E232,'Distinct Queues'!$A$3:$B$39,2,FALSE)</f>
        <v>The_Condor_Team</v>
      </c>
      <c r="M232" t="str">
        <f>VLOOKUP(F232,'Distinct Queues'!$A$3:$B$39,2,FALSE)</f>
        <v>AM_New_Launches</v>
      </c>
      <c r="N232" t="str">
        <f>VLOOKUP(G232,'Distinct Queues'!$A$3:$B$39,2,FALSE)</f>
        <v>Lettings_Midlands</v>
      </c>
    </row>
    <row r="233" spans="1:14">
      <c r="A233" s="29" t="s">
        <v>638</v>
      </c>
      <c r="B233" s="26" t="s">
        <v>637</v>
      </c>
      <c r="C233" s="26" t="s">
        <v>208</v>
      </c>
      <c r="D233" s="26" t="s">
        <v>71</v>
      </c>
      <c r="E233" s="26" t="s">
        <v>71</v>
      </c>
      <c r="F233" s="26" t="s">
        <v>31</v>
      </c>
      <c r="G233" s="30" t="s">
        <v>56</v>
      </c>
      <c r="I233" s="1" t="str">
        <f>Table1[[#This Row],[Building ID]]</f>
        <v>a1826000001rdUMAAY</v>
      </c>
      <c r="J233" t="str">
        <f>VLOOKUP(C233,'Distinct Queues'!$A$3:$B$39,2,FALSE)</f>
        <v>Finance_Team</v>
      </c>
      <c r="K233" t="str">
        <f>VLOOKUP(D233,'Distinct Queues'!$A$3:$B$39,2,FALSE)</f>
        <v>The_Condor_Team</v>
      </c>
      <c r="L233" t="str">
        <f>VLOOKUP(E233,'Distinct Queues'!$A$3:$B$39,2,FALSE)</f>
        <v>The_Condor_Team</v>
      </c>
      <c r="M233" t="str">
        <f>VLOOKUP(F233,'Distinct Queues'!$A$3:$B$39,2,FALSE)</f>
        <v>AM_New_Launches</v>
      </c>
      <c r="N233" t="str">
        <f>VLOOKUP(G233,'Distinct Queues'!$A$3:$B$39,2,FALSE)</f>
        <v>Lettings_Midlands</v>
      </c>
    </row>
    <row r="234" spans="1:14">
      <c r="A234" s="25" t="s">
        <v>98</v>
      </c>
      <c r="B234" s="26" t="s">
        <v>639</v>
      </c>
      <c r="C234" s="27" t="s">
        <v>208</v>
      </c>
      <c r="D234" s="27" t="s">
        <v>95</v>
      </c>
      <c r="E234" s="27" t="s">
        <v>95</v>
      </c>
      <c r="F234" s="27" t="s">
        <v>11</v>
      </c>
      <c r="G234" s="28" t="s">
        <v>44</v>
      </c>
      <c r="I234" s="1" t="str">
        <f>Table1[[#This Row],[Building ID]]</f>
        <v>a1826000001piyuAAA</v>
      </c>
      <c r="J234" t="str">
        <f>VLOOKUP(C234,'Distinct Queues'!$A$3:$B$39,2,FALSE)</f>
        <v>Finance_Team</v>
      </c>
      <c r="K234" t="str">
        <f>VLOOKUP(D234,'Distinct Queues'!$A$3:$B$39,2,FALSE)</f>
        <v>The_Filaments_Team</v>
      </c>
      <c r="L234" t="str">
        <f>VLOOKUP(E234,'Distinct Queues'!$A$3:$B$39,2,FALSE)</f>
        <v>The_Filaments_Team</v>
      </c>
      <c r="M234" t="str">
        <f>VLOOKUP(F234,'Distinct Queues'!$A$3:$B$39,2,FALSE)</f>
        <v>AM_BTR_Regions</v>
      </c>
      <c r="N234" t="str">
        <f>VLOOKUP(G234,'Distinct Queues'!$A$3:$B$39,2,FALSE)</f>
        <v>Lettings_North_West</v>
      </c>
    </row>
    <row r="235" spans="1:14">
      <c r="A235" s="29" t="s">
        <v>93</v>
      </c>
      <c r="B235" s="26" t="s">
        <v>640</v>
      </c>
      <c r="C235" s="26" t="s">
        <v>208</v>
      </c>
      <c r="D235" s="26" t="s">
        <v>95</v>
      </c>
      <c r="E235" s="26" t="s">
        <v>95</v>
      </c>
      <c r="F235" s="26" t="s">
        <v>11</v>
      </c>
      <c r="G235" s="30" t="s">
        <v>44</v>
      </c>
      <c r="I235" s="1" t="str">
        <f>Table1[[#This Row],[Building ID]]</f>
        <v>a1826000001pj14AAA</v>
      </c>
      <c r="J235" t="str">
        <f>VLOOKUP(C235,'Distinct Queues'!$A$3:$B$39,2,FALSE)</f>
        <v>Finance_Team</v>
      </c>
      <c r="K235" t="str">
        <f>VLOOKUP(D235,'Distinct Queues'!$A$3:$B$39,2,FALSE)</f>
        <v>The_Filaments_Team</v>
      </c>
      <c r="L235" t="str">
        <f>VLOOKUP(E235,'Distinct Queues'!$A$3:$B$39,2,FALSE)</f>
        <v>The_Filaments_Team</v>
      </c>
      <c r="M235" t="str">
        <f>VLOOKUP(F235,'Distinct Queues'!$A$3:$B$39,2,FALSE)</f>
        <v>AM_BTR_Regions</v>
      </c>
      <c r="N235" t="str">
        <f>VLOOKUP(G235,'Distinct Queues'!$A$3:$B$39,2,FALSE)</f>
        <v>Lettings_North_West</v>
      </c>
    </row>
    <row r="236" spans="1:14">
      <c r="A236" s="25" t="s">
        <v>100</v>
      </c>
      <c r="B236" s="26" t="s">
        <v>641</v>
      </c>
      <c r="C236" s="27" t="s">
        <v>208</v>
      </c>
      <c r="D236" s="27" t="s">
        <v>95</v>
      </c>
      <c r="E236" s="27" t="s">
        <v>95</v>
      </c>
      <c r="F236" s="27" t="s">
        <v>11</v>
      </c>
      <c r="G236" s="28" t="s">
        <v>44</v>
      </c>
      <c r="I236" s="1" t="str">
        <f>Table1[[#This Row],[Building ID]]</f>
        <v>a1826000001pj0zAAA</v>
      </c>
      <c r="J236" t="str">
        <f>VLOOKUP(C236,'Distinct Queues'!$A$3:$B$39,2,FALSE)</f>
        <v>Finance_Team</v>
      </c>
      <c r="K236" t="str">
        <f>VLOOKUP(D236,'Distinct Queues'!$A$3:$B$39,2,FALSE)</f>
        <v>The_Filaments_Team</v>
      </c>
      <c r="L236" t="str">
        <f>VLOOKUP(E236,'Distinct Queues'!$A$3:$B$39,2,FALSE)</f>
        <v>The_Filaments_Team</v>
      </c>
      <c r="M236" t="str">
        <f>VLOOKUP(F236,'Distinct Queues'!$A$3:$B$39,2,FALSE)</f>
        <v>AM_BTR_Regions</v>
      </c>
      <c r="N236" t="str">
        <f>VLOOKUP(G236,'Distinct Queues'!$A$3:$B$39,2,FALSE)</f>
        <v>Lettings_North_West</v>
      </c>
    </row>
    <row r="237" spans="1:14">
      <c r="A237" s="29" t="s">
        <v>96</v>
      </c>
      <c r="B237" s="26" t="s">
        <v>642</v>
      </c>
      <c r="C237" s="26" t="s">
        <v>208</v>
      </c>
      <c r="D237" s="26" t="s">
        <v>95</v>
      </c>
      <c r="E237" s="26" t="s">
        <v>95</v>
      </c>
      <c r="F237" s="26" t="s">
        <v>11</v>
      </c>
      <c r="G237" s="30" t="s">
        <v>44</v>
      </c>
      <c r="I237" s="1" t="str">
        <f>Table1[[#This Row],[Building ID]]</f>
        <v>a1826000001piyVAAQ</v>
      </c>
      <c r="J237" t="str">
        <f>VLOOKUP(C237,'Distinct Queues'!$A$3:$B$39,2,FALSE)</f>
        <v>Finance_Team</v>
      </c>
      <c r="K237" t="str">
        <f>VLOOKUP(D237,'Distinct Queues'!$A$3:$B$39,2,FALSE)</f>
        <v>The_Filaments_Team</v>
      </c>
      <c r="L237" t="str">
        <f>VLOOKUP(E237,'Distinct Queues'!$A$3:$B$39,2,FALSE)</f>
        <v>The_Filaments_Team</v>
      </c>
      <c r="M237" t="str">
        <f>VLOOKUP(F237,'Distinct Queues'!$A$3:$B$39,2,FALSE)</f>
        <v>AM_BTR_Regions</v>
      </c>
      <c r="N237" t="str">
        <f>VLOOKUP(G237,'Distinct Queues'!$A$3:$B$39,2,FALSE)</f>
        <v>Lettings_North_West</v>
      </c>
    </row>
    <row r="238" spans="1:14">
      <c r="A238" s="25" t="s">
        <v>21</v>
      </c>
      <c r="B238" s="26" t="s">
        <v>643</v>
      </c>
      <c r="C238" s="27" t="s">
        <v>208</v>
      </c>
      <c r="D238" s="27" t="s">
        <v>23</v>
      </c>
      <c r="E238" s="27" t="s">
        <v>23</v>
      </c>
      <c r="F238" s="27" t="s">
        <v>11</v>
      </c>
      <c r="G238" s="28" t="s">
        <v>13</v>
      </c>
      <c r="I238" s="1" t="str">
        <f>Table1[[#This Row],[Building ID]]</f>
        <v>a1826000001peHUAAY</v>
      </c>
      <c r="J238" t="str">
        <f>VLOOKUP(C238,'Distinct Queues'!$A$3:$B$39,2,FALSE)</f>
        <v>Finance_Team</v>
      </c>
      <c r="K238" t="str">
        <f>VLOOKUP(D238,'Distinct Queues'!$A$3:$B$39,2,FALSE)</f>
        <v>The_Forge_Team</v>
      </c>
      <c r="L238" t="str">
        <f>VLOOKUP(E238,'Distinct Queues'!$A$3:$B$39,2,FALSE)</f>
        <v>The_Forge_Team</v>
      </c>
      <c r="M238" t="str">
        <f>VLOOKUP(F238,'Distinct Queues'!$A$3:$B$39,2,FALSE)</f>
        <v>AM_BTR_Regions</v>
      </c>
      <c r="N238" t="str">
        <f>VLOOKUP(G238,'Distinct Queues'!$A$3:$B$39,2,FALSE)</f>
        <v>Lettings_North_East</v>
      </c>
    </row>
    <row r="239" spans="1:14">
      <c r="A239" s="29" t="s">
        <v>24</v>
      </c>
      <c r="B239" s="26" t="s">
        <v>644</v>
      </c>
      <c r="C239" s="26" t="s">
        <v>208</v>
      </c>
      <c r="D239" s="26" t="s">
        <v>23</v>
      </c>
      <c r="E239" s="26" t="s">
        <v>23</v>
      </c>
      <c r="F239" s="26" t="s">
        <v>11</v>
      </c>
      <c r="G239" s="30" t="s">
        <v>13</v>
      </c>
      <c r="I239" s="1" t="str">
        <f>Table1[[#This Row],[Building ID]]</f>
        <v>a1826000001pj07AAA</v>
      </c>
      <c r="J239" t="str">
        <f>VLOOKUP(C239,'Distinct Queues'!$A$3:$B$39,2,FALSE)</f>
        <v>Finance_Team</v>
      </c>
      <c r="K239" t="str">
        <f>VLOOKUP(D239,'Distinct Queues'!$A$3:$B$39,2,FALSE)</f>
        <v>The_Forge_Team</v>
      </c>
      <c r="L239" t="str">
        <f>VLOOKUP(E239,'Distinct Queues'!$A$3:$B$39,2,FALSE)</f>
        <v>The_Forge_Team</v>
      </c>
      <c r="M239" t="str">
        <f>VLOOKUP(F239,'Distinct Queues'!$A$3:$B$39,2,FALSE)</f>
        <v>AM_BTR_Regions</v>
      </c>
      <c r="N239" t="str">
        <f>VLOOKUP(G239,'Distinct Queues'!$A$3:$B$39,2,FALSE)</f>
        <v>Lettings_North_East</v>
      </c>
    </row>
    <row r="240" spans="1:14">
      <c r="A240" s="25" t="s">
        <v>26</v>
      </c>
      <c r="B240" s="26" t="s">
        <v>645</v>
      </c>
      <c r="C240" s="27" t="s">
        <v>208</v>
      </c>
      <c r="D240" s="27" t="s">
        <v>23</v>
      </c>
      <c r="E240" s="27" t="s">
        <v>23</v>
      </c>
      <c r="F240" s="27" t="s">
        <v>11</v>
      </c>
      <c r="G240" s="28" t="s">
        <v>13</v>
      </c>
      <c r="I240" s="1" t="str">
        <f>Table1[[#This Row],[Building ID]]</f>
        <v>a1826000001SA0qAAG</v>
      </c>
      <c r="J240" t="str">
        <f>VLOOKUP(C240,'Distinct Queues'!$A$3:$B$39,2,FALSE)</f>
        <v>Finance_Team</v>
      </c>
      <c r="K240" t="str">
        <f>VLOOKUP(D240,'Distinct Queues'!$A$3:$B$39,2,FALSE)</f>
        <v>The_Forge_Team</v>
      </c>
      <c r="L240" t="str">
        <f>VLOOKUP(E240,'Distinct Queues'!$A$3:$B$39,2,FALSE)</f>
        <v>The_Forge_Team</v>
      </c>
      <c r="M240" t="str">
        <f>VLOOKUP(F240,'Distinct Queues'!$A$3:$B$39,2,FALSE)</f>
        <v>AM_BTR_Regions</v>
      </c>
      <c r="N240" t="str">
        <f>VLOOKUP(G240,'Distinct Queues'!$A$3:$B$39,2,FALSE)</f>
        <v>Lettings_North_East</v>
      </c>
    </row>
    <row r="241" spans="1:14">
      <c r="A241" s="29" t="s">
        <v>646</v>
      </c>
      <c r="B241" s="26" t="s">
        <v>647</v>
      </c>
      <c r="C241" s="26" t="s">
        <v>208</v>
      </c>
      <c r="D241" s="26" t="s">
        <v>209</v>
      </c>
      <c r="E241" s="26" t="s">
        <v>210</v>
      </c>
      <c r="F241" s="26" t="s">
        <v>211</v>
      </c>
      <c r="G241" s="30" t="s">
        <v>212</v>
      </c>
      <c r="I241" s="1" t="str">
        <f>Table1[[#This Row],[Building ID]]</f>
        <v>a1826000001piaIAAQ</v>
      </c>
      <c r="J241" t="str">
        <f>VLOOKUP(C241,'Distinct Queues'!$A$3:$B$39,2,FALSE)</f>
        <v>Finance_Team</v>
      </c>
      <c r="K241" t="str">
        <f>VLOOKUP(D241,'Distinct Queues'!$A$3:$B$39,2,FALSE)</f>
        <v>Customer_Service_Team</v>
      </c>
      <c r="L241" t="str">
        <f>VLOOKUP(E241,'Distinct Queues'!$A$3:$B$39,2,FALSE)</f>
        <v>PRS_London</v>
      </c>
      <c r="M241" t="str">
        <f>VLOOKUP(F241,'Distinct Queues'!$A$3:$B$39,2,FALSE)</f>
        <v>AM_PRS_London</v>
      </c>
      <c r="N241" t="str">
        <f>VLOOKUP(G241,'Distinct Queues'!$A$3:$B$39,2,FALSE)</f>
        <v>Lettings_South</v>
      </c>
    </row>
    <row r="242" spans="1:14">
      <c r="A242" s="25" t="s">
        <v>648</v>
      </c>
      <c r="B242" s="26" t="s">
        <v>649</v>
      </c>
      <c r="C242" s="27" t="s">
        <v>208</v>
      </c>
      <c r="D242" s="27" t="s">
        <v>209</v>
      </c>
      <c r="E242" s="27" t="s">
        <v>210</v>
      </c>
      <c r="F242" s="27" t="s">
        <v>211</v>
      </c>
      <c r="G242" s="28" t="s">
        <v>212</v>
      </c>
      <c r="I242" s="1" t="str">
        <f>Table1[[#This Row],[Building ID]]</f>
        <v>a1826000001piaNAAQ</v>
      </c>
      <c r="J242" t="str">
        <f>VLOOKUP(C242,'Distinct Queues'!$A$3:$B$39,2,FALSE)</f>
        <v>Finance_Team</v>
      </c>
      <c r="K242" t="str">
        <f>VLOOKUP(D242,'Distinct Queues'!$A$3:$B$39,2,FALSE)</f>
        <v>Customer_Service_Team</v>
      </c>
      <c r="L242" t="str">
        <f>VLOOKUP(E242,'Distinct Queues'!$A$3:$B$39,2,FALSE)</f>
        <v>PRS_London</v>
      </c>
      <c r="M242" t="str">
        <f>VLOOKUP(F242,'Distinct Queues'!$A$3:$B$39,2,FALSE)</f>
        <v>AM_PRS_London</v>
      </c>
      <c r="N242" t="str">
        <f>VLOOKUP(G242,'Distinct Queues'!$A$3:$B$39,2,FALSE)</f>
        <v>Lettings_South</v>
      </c>
    </row>
    <row r="243" spans="1:14">
      <c r="A243" s="29" t="s">
        <v>650</v>
      </c>
      <c r="B243" s="26" t="s">
        <v>651</v>
      </c>
      <c r="C243" s="26" t="s">
        <v>208</v>
      </c>
      <c r="D243" s="26" t="s">
        <v>209</v>
      </c>
      <c r="E243" s="26" t="s">
        <v>210</v>
      </c>
      <c r="F243" s="26" t="s">
        <v>211</v>
      </c>
      <c r="G243" s="30" t="s">
        <v>212</v>
      </c>
      <c r="I243" s="1" t="str">
        <f>Table1[[#This Row],[Building ID]]</f>
        <v>a1826000001piVVAAY</v>
      </c>
      <c r="J243" t="str">
        <f>VLOOKUP(C243,'Distinct Queues'!$A$3:$B$39,2,FALSE)</f>
        <v>Finance_Team</v>
      </c>
      <c r="K243" t="str">
        <f>VLOOKUP(D243,'Distinct Queues'!$A$3:$B$39,2,FALSE)</f>
        <v>Customer_Service_Team</v>
      </c>
      <c r="L243" t="str">
        <f>VLOOKUP(E243,'Distinct Queues'!$A$3:$B$39,2,FALSE)</f>
        <v>PRS_London</v>
      </c>
      <c r="M243" t="str">
        <f>VLOOKUP(F243,'Distinct Queues'!$A$3:$B$39,2,FALSE)</f>
        <v>AM_PRS_London</v>
      </c>
      <c r="N243" t="str">
        <f>VLOOKUP(G243,'Distinct Queues'!$A$3:$B$39,2,FALSE)</f>
        <v>Lettings_South</v>
      </c>
    </row>
    <row r="244" spans="1:14">
      <c r="A244" s="25" t="s">
        <v>652</v>
      </c>
      <c r="B244" s="26" t="s">
        <v>653</v>
      </c>
      <c r="C244" s="27" t="s">
        <v>208</v>
      </c>
      <c r="D244" s="27" t="s">
        <v>209</v>
      </c>
      <c r="E244" s="27" t="s">
        <v>210</v>
      </c>
      <c r="F244" s="27" t="s">
        <v>211</v>
      </c>
      <c r="G244" s="28" t="s">
        <v>212</v>
      </c>
      <c r="I244" s="1" t="str">
        <f>Table1[[#This Row],[Building ID]]</f>
        <v>a1826000001piaSAAQ</v>
      </c>
      <c r="J244" t="str">
        <f>VLOOKUP(C244,'Distinct Queues'!$A$3:$B$39,2,FALSE)</f>
        <v>Finance_Team</v>
      </c>
      <c r="K244" t="str">
        <f>VLOOKUP(D244,'Distinct Queues'!$A$3:$B$39,2,FALSE)</f>
        <v>Customer_Service_Team</v>
      </c>
      <c r="L244" t="str">
        <f>VLOOKUP(E244,'Distinct Queues'!$A$3:$B$39,2,FALSE)</f>
        <v>PRS_London</v>
      </c>
      <c r="M244" t="str">
        <f>VLOOKUP(F244,'Distinct Queues'!$A$3:$B$39,2,FALSE)</f>
        <v>AM_PRS_London</v>
      </c>
      <c r="N244" t="str">
        <f>VLOOKUP(G244,'Distinct Queues'!$A$3:$B$39,2,FALSE)</f>
        <v>Lettings_South</v>
      </c>
    </row>
    <row r="245" spans="1:14">
      <c r="A245" s="29" t="s">
        <v>654</v>
      </c>
      <c r="B245" s="26" t="s">
        <v>655</v>
      </c>
      <c r="C245" s="26" t="s">
        <v>208</v>
      </c>
      <c r="D245" s="26" t="s">
        <v>209</v>
      </c>
      <c r="E245" s="26" t="s">
        <v>210</v>
      </c>
      <c r="F245" s="26" t="s">
        <v>211</v>
      </c>
      <c r="G245" s="30" t="s">
        <v>212</v>
      </c>
      <c r="I245" s="1" t="str">
        <f>Table1[[#This Row],[Building ID]]</f>
        <v>a1826000001piacAAA</v>
      </c>
      <c r="J245" t="str">
        <f>VLOOKUP(C245,'Distinct Queues'!$A$3:$B$39,2,FALSE)</f>
        <v>Finance_Team</v>
      </c>
      <c r="K245" t="str">
        <f>VLOOKUP(D245,'Distinct Queues'!$A$3:$B$39,2,FALSE)</f>
        <v>Customer_Service_Team</v>
      </c>
      <c r="L245" t="str">
        <f>VLOOKUP(E245,'Distinct Queues'!$A$3:$B$39,2,FALSE)</f>
        <v>PRS_London</v>
      </c>
      <c r="M245" t="str">
        <f>VLOOKUP(F245,'Distinct Queues'!$A$3:$B$39,2,FALSE)</f>
        <v>AM_PRS_London</v>
      </c>
      <c r="N245" t="str">
        <f>VLOOKUP(G245,'Distinct Queues'!$A$3:$B$39,2,FALSE)</f>
        <v>Lettings_South</v>
      </c>
    </row>
    <row r="246" spans="1:14">
      <c r="A246" s="25" t="s">
        <v>656</v>
      </c>
      <c r="B246" s="26" t="s">
        <v>657</v>
      </c>
      <c r="C246" s="27" t="s">
        <v>208</v>
      </c>
      <c r="D246" s="27" t="s">
        <v>209</v>
      </c>
      <c r="E246" s="27" t="s">
        <v>210</v>
      </c>
      <c r="F246" s="27" t="s">
        <v>211</v>
      </c>
      <c r="G246" s="28" t="s">
        <v>212</v>
      </c>
      <c r="I246" s="1" t="str">
        <f>Table1[[#This Row],[Building ID]]</f>
        <v>a1826000001piaXAAQ</v>
      </c>
      <c r="J246" t="str">
        <f>VLOOKUP(C246,'Distinct Queues'!$A$3:$B$39,2,FALSE)</f>
        <v>Finance_Team</v>
      </c>
      <c r="K246" t="str">
        <f>VLOOKUP(D246,'Distinct Queues'!$A$3:$B$39,2,FALSE)</f>
        <v>Customer_Service_Team</v>
      </c>
      <c r="L246" t="str">
        <f>VLOOKUP(E246,'Distinct Queues'!$A$3:$B$39,2,FALSE)</f>
        <v>PRS_London</v>
      </c>
      <c r="M246" t="str">
        <f>VLOOKUP(F246,'Distinct Queues'!$A$3:$B$39,2,FALSE)</f>
        <v>AM_PRS_London</v>
      </c>
      <c r="N246" t="str">
        <f>VLOOKUP(G246,'Distinct Queues'!$A$3:$B$39,2,FALSE)</f>
        <v>Lettings_South</v>
      </c>
    </row>
    <row r="247" spans="1:14">
      <c r="A247" s="29" t="s">
        <v>658</v>
      </c>
      <c r="B247" s="26" t="s">
        <v>659</v>
      </c>
      <c r="C247" s="26" t="s">
        <v>208</v>
      </c>
      <c r="D247" s="26" t="s">
        <v>209</v>
      </c>
      <c r="E247" s="26" t="s">
        <v>210</v>
      </c>
      <c r="F247" s="26" t="s">
        <v>211</v>
      </c>
      <c r="G247" s="30" t="s">
        <v>212</v>
      </c>
      <c r="I247" s="1" t="str">
        <f>Table1[[#This Row],[Building ID]]</f>
        <v>a1826000001piaTAAQ</v>
      </c>
      <c r="J247" t="str">
        <f>VLOOKUP(C247,'Distinct Queues'!$A$3:$B$39,2,FALSE)</f>
        <v>Finance_Team</v>
      </c>
      <c r="K247" t="str">
        <f>VLOOKUP(D247,'Distinct Queues'!$A$3:$B$39,2,FALSE)</f>
        <v>Customer_Service_Team</v>
      </c>
      <c r="L247" t="str">
        <f>VLOOKUP(E247,'Distinct Queues'!$A$3:$B$39,2,FALSE)</f>
        <v>PRS_London</v>
      </c>
      <c r="M247" t="str">
        <f>VLOOKUP(F247,'Distinct Queues'!$A$3:$B$39,2,FALSE)</f>
        <v>AM_PRS_London</v>
      </c>
      <c r="N247" t="str">
        <f>VLOOKUP(G247,'Distinct Queues'!$A$3:$B$39,2,FALSE)</f>
        <v>Lettings_South</v>
      </c>
    </row>
    <row r="248" spans="1:14">
      <c r="A248" s="25" t="s">
        <v>660</v>
      </c>
      <c r="B248" s="26" t="s">
        <v>661</v>
      </c>
      <c r="C248" s="27" t="s">
        <v>208</v>
      </c>
      <c r="D248" s="27" t="s">
        <v>209</v>
      </c>
      <c r="E248" s="27" t="s">
        <v>210</v>
      </c>
      <c r="F248" s="27" t="s">
        <v>211</v>
      </c>
      <c r="G248" s="28" t="s">
        <v>212</v>
      </c>
      <c r="I248" s="1" t="str">
        <f>Table1[[#This Row],[Building ID]]</f>
        <v>a1826000001piWNAAY</v>
      </c>
      <c r="J248" t="str">
        <f>VLOOKUP(C248,'Distinct Queues'!$A$3:$B$39,2,FALSE)</f>
        <v>Finance_Team</v>
      </c>
      <c r="K248" t="str">
        <f>VLOOKUP(D248,'Distinct Queues'!$A$3:$B$39,2,FALSE)</f>
        <v>Customer_Service_Team</v>
      </c>
      <c r="L248" t="str">
        <f>VLOOKUP(E248,'Distinct Queues'!$A$3:$B$39,2,FALSE)</f>
        <v>PRS_London</v>
      </c>
      <c r="M248" t="str">
        <f>VLOOKUP(F248,'Distinct Queues'!$A$3:$B$39,2,FALSE)</f>
        <v>AM_PRS_London</v>
      </c>
      <c r="N248" t="str">
        <f>VLOOKUP(G248,'Distinct Queues'!$A$3:$B$39,2,FALSE)</f>
        <v>Lettings_South</v>
      </c>
    </row>
    <row r="249" spans="1:14">
      <c r="A249" s="29" t="s">
        <v>662</v>
      </c>
      <c r="B249" s="26" t="s">
        <v>663</v>
      </c>
      <c r="C249" s="26" t="s">
        <v>208</v>
      </c>
      <c r="D249" s="26" t="s">
        <v>209</v>
      </c>
      <c r="E249" s="26" t="s">
        <v>210</v>
      </c>
      <c r="F249" s="26" t="s">
        <v>211</v>
      </c>
      <c r="G249" s="30" t="s">
        <v>212</v>
      </c>
      <c r="I249" s="1" t="str">
        <f>Table1[[#This Row],[Building ID]]</f>
        <v>a1826000001piZkAAI</v>
      </c>
      <c r="J249" t="str">
        <f>VLOOKUP(C249,'Distinct Queues'!$A$3:$B$39,2,FALSE)</f>
        <v>Finance_Team</v>
      </c>
      <c r="K249" t="str">
        <f>VLOOKUP(D249,'Distinct Queues'!$A$3:$B$39,2,FALSE)</f>
        <v>Customer_Service_Team</v>
      </c>
      <c r="L249" t="str">
        <f>VLOOKUP(E249,'Distinct Queues'!$A$3:$B$39,2,FALSE)</f>
        <v>PRS_London</v>
      </c>
      <c r="M249" t="str">
        <f>VLOOKUP(F249,'Distinct Queues'!$A$3:$B$39,2,FALSE)</f>
        <v>AM_PRS_London</v>
      </c>
      <c r="N249" t="str">
        <f>VLOOKUP(G249,'Distinct Queues'!$A$3:$B$39,2,FALSE)</f>
        <v>Lettings_South</v>
      </c>
    </row>
    <row r="250" spans="1:14">
      <c r="A250" s="25" t="s">
        <v>664</v>
      </c>
      <c r="B250" s="26" t="s">
        <v>665</v>
      </c>
      <c r="C250" s="27" t="s">
        <v>208</v>
      </c>
      <c r="D250" s="27" t="s">
        <v>209</v>
      </c>
      <c r="E250" s="27" t="s">
        <v>210</v>
      </c>
      <c r="F250" s="27" t="s">
        <v>211</v>
      </c>
      <c r="G250" s="28" t="s">
        <v>212</v>
      </c>
      <c r="I250" s="1" t="str">
        <f>Table1[[#This Row],[Building ID]]</f>
        <v>a1826000001piamAAA</v>
      </c>
      <c r="J250" t="str">
        <f>VLOOKUP(C250,'Distinct Queues'!$A$3:$B$39,2,FALSE)</f>
        <v>Finance_Team</v>
      </c>
      <c r="K250" t="str">
        <f>VLOOKUP(D250,'Distinct Queues'!$A$3:$B$39,2,FALSE)</f>
        <v>Customer_Service_Team</v>
      </c>
      <c r="L250" t="str">
        <f>VLOOKUP(E250,'Distinct Queues'!$A$3:$B$39,2,FALSE)</f>
        <v>PRS_London</v>
      </c>
      <c r="M250" t="str">
        <f>VLOOKUP(F250,'Distinct Queues'!$A$3:$B$39,2,FALSE)</f>
        <v>AM_PRS_London</v>
      </c>
      <c r="N250" t="str">
        <f>VLOOKUP(G250,'Distinct Queues'!$A$3:$B$39,2,FALSE)</f>
        <v>Lettings_South</v>
      </c>
    </row>
    <row r="251" spans="1:14">
      <c r="A251" s="29" t="s">
        <v>666</v>
      </c>
      <c r="B251" s="26" t="s">
        <v>667</v>
      </c>
      <c r="C251" s="26" t="s">
        <v>208</v>
      </c>
      <c r="D251" s="26" t="s">
        <v>209</v>
      </c>
      <c r="E251" s="26" t="s">
        <v>210</v>
      </c>
      <c r="F251" s="26" t="s">
        <v>211</v>
      </c>
      <c r="G251" s="30" t="s">
        <v>212</v>
      </c>
      <c r="I251" s="1" t="str">
        <f>Table1[[#This Row],[Building ID]]</f>
        <v>a1826000001piahAAA</v>
      </c>
      <c r="J251" t="str">
        <f>VLOOKUP(C251,'Distinct Queues'!$A$3:$B$39,2,FALSE)</f>
        <v>Finance_Team</v>
      </c>
      <c r="K251" t="str">
        <f>VLOOKUP(D251,'Distinct Queues'!$A$3:$B$39,2,FALSE)</f>
        <v>Customer_Service_Team</v>
      </c>
      <c r="L251" t="str">
        <f>VLOOKUP(E251,'Distinct Queues'!$A$3:$B$39,2,FALSE)</f>
        <v>PRS_London</v>
      </c>
      <c r="M251" t="str">
        <f>VLOOKUP(F251,'Distinct Queues'!$A$3:$B$39,2,FALSE)</f>
        <v>AM_PRS_London</v>
      </c>
      <c r="N251" t="str">
        <f>VLOOKUP(G251,'Distinct Queues'!$A$3:$B$39,2,FALSE)</f>
        <v>Lettings_South</v>
      </c>
    </row>
    <row r="252" spans="1:14">
      <c r="A252" s="25" t="s">
        <v>668</v>
      </c>
      <c r="B252" s="26" t="s">
        <v>669</v>
      </c>
      <c r="C252" s="27" t="s">
        <v>208</v>
      </c>
      <c r="D252" s="27" t="s">
        <v>209</v>
      </c>
      <c r="E252" s="27" t="s">
        <v>210</v>
      </c>
      <c r="F252" s="27" t="s">
        <v>211</v>
      </c>
      <c r="G252" s="28" t="s">
        <v>212</v>
      </c>
      <c r="I252" s="1" t="str">
        <f>Table1[[#This Row],[Building ID]]</f>
        <v>a1826000001piarAAA</v>
      </c>
      <c r="J252" t="str">
        <f>VLOOKUP(C252,'Distinct Queues'!$A$3:$B$39,2,FALSE)</f>
        <v>Finance_Team</v>
      </c>
      <c r="K252" t="str">
        <f>VLOOKUP(D252,'Distinct Queues'!$A$3:$B$39,2,FALSE)</f>
        <v>Customer_Service_Team</v>
      </c>
      <c r="L252" t="str">
        <f>VLOOKUP(E252,'Distinct Queues'!$A$3:$B$39,2,FALSE)</f>
        <v>PRS_London</v>
      </c>
      <c r="M252" t="str">
        <f>VLOOKUP(F252,'Distinct Queues'!$A$3:$B$39,2,FALSE)</f>
        <v>AM_PRS_London</v>
      </c>
      <c r="N252" t="str">
        <f>VLOOKUP(G252,'Distinct Queues'!$A$3:$B$39,2,FALSE)</f>
        <v>Lettings_South</v>
      </c>
    </row>
    <row r="253" spans="1:14">
      <c r="A253" s="29" t="s">
        <v>670</v>
      </c>
      <c r="B253" s="26" t="s">
        <v>671</v>
      </c>
      <c r="C253" s="26" t="s">
        <v>208</v>
      </c>
      <c r="D253" s="26" t="s">
        <v>209</v>
      </c>
      <c r="E253" s="26" t="s">
        <v>210</v>
      </c>
      <c r="F253" s="26" t="s">
        <v>211</v>
      </c>
      <c r="G253" s="30" t="s">
        <v>212</v>
      </c>
      <c r="I253" s="1" t="str">
        <f>Table1[[#This Row],[Building ID]]</f>
        <v>a1826000001piawAAA</v>
      </c>
      <c r="J253" t="str">
        <f>VLOOKUP(C253,'Distinct Queues'!$A$3:$B$39,2,FALSE)</f>
        <v>Finance_Team</v>
      </c>
      <c r="K253" t="str">
        <f>VLOOKUP(D253,'Distinct Queues'!$A$3:$B$39,2,FALSE)</f>
        <v>Customer_Service_Team</v>
      </c>
      <c r="L253" t="str">
        <f>VLOOKUP(E253,'Distinct Queues'!$A$3:$B$39,2,FALSE)</f>
        <v>PRS_London</v>
      </c>
      <c r="M253" t="str">
        <f>VLOOKUP(F253,'Distinct Queues'!$A$3:$B$39,2,FALSE)</f>
        <v>AM_PRS_London</v>
      </c>
      <c r="N253" t="str">
        <f>VLOOKUP(G253,'Distinct Queues'!$A$3:$B$39,2,FALSE)</f>
        <v>Lettings_South</v>
      </c>
    </row>
    <row r="254" spans="1:14">
      <c r="A254" s="25" t="s">
        <v>672</v>
      </c>
      <c r="B254" s="26" t="s">
        <v>673</v>
      </c>
      <c r="C254" s="27" t="s">
        <v>208</v>
      </c>
      <c r="D254" s="27" t="s">
        <v>209</v>
      </c>
      <c r="E254" s="27" t="s">
        <v>210</v>
      </c>
      <c r="F254" s="27" t="s">
        <v>211</v>
      </c>
      <c r="G254" s="28" t="s">
        <v>212</v>
      </c>
      <c r="I254" s="1" t="str">
        <f>Table1[[#This Row],[Building ID]]</f>
        <v>a1826000001piaEAAQ</v>
      </c>
      <c r="J254" t="str">
        <f>VLOOKUP(C254,'Distinct Queues'!$A$3:$B$39,2,FALSE)</f>
        <v>Finance_Team</v>
      </c>
      <c r="K254" t="str">
        <f>VLOOKUP(D254,'Distinct Queues'!$A$3:$B$39,2,FALSE)</f>
        <v>Customer_Service_Team</v>
      </c>
      <c r="L254" t="str">
        <f>VLOOKUP(E254,'Distinct Queues'!$A$3:$B$39,2,FALSE)</f>
        <v>PRS_London</v>
      </c>
      <c r="M254" t="str">
        <f>VLOOKUP(F254,'Distinct Queues'!$A$3:$B$39,2,FALSE)</f>
        <v>AM_PRS_London</v>
      </c>
      <c r="N254" t="str">
        <f>VLOOKUP(G254,'Distinct Queues'!$A$3:$B$39,2,FALSE)</f>
        <v>Lettings_South</v>
      </c>
    </row>
    <row r="255" spans="1:14">
      <c r="A255" s="29" t="s">
        <v>674</v>
      </c>
      <c r="B255" s="26" t="s">
        <v>675</v>
      </c>
      <c r="C255" s="26" t="s">
        <v>208</v>
      </c>
      <c r="D255" s="26" t="s">
        <v>209</v>
      </c>
      <c r="E255" s="26" t="s">
        <v>210</v>
      </c>
      <c r="F255" s="26" t="s">
        <v>211</v>
      </c>
      <c r="G255" s="30" t="s">
        <v>212</v>
      </c>
      <c r="I255" s="1" t="str">
        <f>Table1[[#This Row],[Building ID]]</f>
        <v>a1826000001pibBAAQ</v>
      </c>
      <c r="J255" t="str">
        <f>VLOOKUP(C255,'Distinct Queues'!$A$3:$B$39,2,FALSE)</f>
        <v>Finance_Team</v>
      </c>
      <c r="K255" t="str">
        <f>VLOOKUP(D255,'Distinct Queues'!$A$3:$B$39,2,FALSE)</f>
        <v>Customer_Service_Team</v>
      </c>
      <c r="L255" t="str">
        <f>VLOOKUP(E255,'Distinct Queues'!$A$3:$B$39,2,FALSE)</f>
        <v>PRS_London</v>
      </c>
      <c r="M255" t="str">
        <f>VLOOKUP(F255,'Distinct Queues'!$A$3:$B$39,2,FALSE)</f>
        <v>AM_PRS_London</v>
      </c>
      <c r="N255" t="str">
        <f>VLOOKUP(G255,'Distinct Queues'!$A$3:$B$39,2,FALSE)</f>
        <v>Lettings_South</v>
      </c>
    </row>
    <row r="256" spans="1:14">
      <c r="A256" s="25" t="s">
        <v>676</v>
      </c>
      <c r="B256" s="26" t="s">
        <v>677</v>
      </c>
      <c r="C256" s="27" t="s">
        <v>208</v>
      </c>
      <c r="D256" s="27" t="s">
        <v>209</v>
      </c>
      <c r="E256" s="27" t="s">
        <v>210</v>
      </c>
      <c r="F256" s="27" t="s">
        <v>211</v>
      </c>
      <c r="G256" s="28" t="s">
        <v>212</v>
      </c>
      <c r="I256" s="1" t="str">
        <f>Table1[[#This Row],[Building ID]]</f>
        <v>a1826000001pib6AAA</v>
      </c>
      <c r="J256" t="str">
        <f>VLOOKUP(C256,'Distinct Queues'!$A$3:$B$39,2,FALSE)</f>
        <v>Finance_Team</v>
      </c>
      <c r="K256" t="str">
        <f>VLOOKUP(D256,'Distinct Queues'!$A$3:$B$39,2,FALSE)</f>
        <v>Customer_Service_Team</v>
      </c>
      <c r="L256" t="str">
        <f>VLOOKUP(E256,'Distinct Queues'!$A$3:$B$39,2,FALSE)</f>
        <v>PRS_London</v>
      </c>
      <c r="M256" t="str">
        <f>VLOOKUP(F256,'Distinct Queues'!$A$3:$B$39,2,FALSE)</f>
        <v>AM_PRS_London</v>
      </c>
      <c r="N256" t="str">
        <f>VLOOKUP(G256,'Distinct Queues'!$A$3:$B$39,2,FALSE)</f>
        <v>Lettings_South</v>
      </c>
    </row>
    <row r="257" spans="1:14">
      <c r="A257" s="29" t="s">
        <v>678</v>
      </c>
      <c r="B257" s="26" t="s">
        <v>679</v>
      </c>
      <c r="C257" s="26" t="s">
        <v>208</v>
      </c>
      <c r="D257" s="26" t="s">
        <v>209</v>
      </c>
      <c r="E257" s="26" t="s">
        <v>210</v>
      </c>
      <c r="F257" s="26" t="s">
        <v>211</v>
      </c>
      <c r="G257" s="30" t="s">
        <v>212</v>
      </c>
      <c r="I257" s="1" t="str">
        <f>Table1[[#This Row],[Building ID]]</f>
        <v>a1826000001pib1AAA</v>
      </c>
      <c r="J257" t="str">
        <f>VLOOKUP(C257,'Distinct Queues'!$A$3:$B$39,2,FALSE)</f>
        <v>Finance_Team</v>
      </c>
      <c r="K257" t="str">
        <f>VLOOKUP(D257,'Distinct Queues'!$A$3:$B$39,2,FALSE)</f>
        <v>Customer_Service_Team</v>
      </c>
      <c r="L257" t="str">
        <f>VLOOKUP(E257,'Distinct Queues'!$A$3:$B$39,2,FALSE)</f>
        <v>PRS_London</v>
      </c>
      <c r="M257" t="str">
        <f>VLOOKUP(F257,'Distinct Queues'!$A$3:$B$39,2,FALSE)</f>
        <v>AM_PRS_London</v>
      </c>
      <c r="N257" t="str">
        <f>VLOOKUP(G257,'Distinct Queues'!$A$3:$B$39,2,FALSE)</f>
        <v>Lettings_South</v>
      </c>
    </row>
    <row r="258" spans="1:14">
      <c r="A258" s="25" t="s">
        <v>680</v>
      </c>
      <c r="B258" s="26" t="s">
        <v>681</v>
      </c>
      <c r="C258" s="27" t="s">
        <v>208</v>
      </c>
      <c r="D258" s="27" t="s">
        <v>209</v>
      </c>
      <c r="E258" s="27" t="s">
        <v>210</v>
      </c>
      <c r="F258" s="27" t="s">
        <v>211</v>
      </c>
      <c r="G258" s="28" t="s">
        <v>212</v>
      </c>
      <c r="I258" s="1" t="str">
        <f>Table1[[#This Row],[Building ID]]</f>
        <v>a1826000001pibGAAQ</v>
      </c>
      <c r="J258" t="str">
        <f>VLOOKUP(C258,'Distinct Queues'!$A$3:$B$39,2,FALSE)</f>
        <v>Finance_Team</v>
      </c>
      <c r="K258" t="str">
        <f>VLOOKUP(D258,'Distinct Queues'!$A$3:$B$39,2,FALSE)</f>
        <v>Customer_Service_Team</v>
      </c>
      <c r="L258" t="str">
        <f>VLOOKUP(E258,'Distinct Queues'!$A$3:$B$39,2,FALSE)</f>
        <v>PRS_London</v>
      </c>
      <c r="M258" t="str">
        <f>VLOOKUP(F258,'Distinct Queues'!$A$3:$B$39,2,FALSE)</f>
        <v>AM_PRS_London</v>
      </c>
      <c r="N258" t="str">
        <f>VLOOKUP(G258,'Distinct Queues'!$A$3:$B$39,2,FALSE)</f>
        <v>Lettings_South</v>
      </c>
    </row>
    <row r="259" spans="1:14">
      <c r="A259" s="29" t="s">
        <v>682</v>
      </c>
      <c r="B259" s="26" t="s">
        <v>683</v>
      </c>
      <c r="C259" s="26" t="s">
        <v>208</v>
      </c>
      <c r="D259" s="26" t="s">
        <v>209</v>
      </c>
      <c r="E259" s="26" t="s">
        <v>210</v>
      </c>
      <c r="F259" s="26" t="s">
        <v>211</v>
      </c>
      <c r="G259" s="30" t="s">
        <v>212</v>
      </c>
      <c r="I259" s="1" t="str">
        <f>Table1[[#This Row],[Building ID]]</f>
        <v>a1826000001piXeAAI</v>
      </c>
      <c r="J259" t="str">
        <f>VLOOKUP(C259,'Distinct Queues'!$A$3:$B$39,2,FALSE)</f>
        <v>Finance_Team</v>
      </c>
      <c r="K259" t="str">
        <f>VLOOKUP(D259,'Distinct Queues'!$A$3:$B$39,2,FALSE)</f>
        <v>Customer_Service_Team</v>
      </c>
      <c r="L259" t="str">
        <f>VLOOKUP(E259,'Distinct Queues'!$A$3:$B$39,2,FALSE)</f>
        <v>PRS_London</v>
      </c>
      <c r="M259" t="str">
        <f>VLOOKUP(F259,'Distinct Queues'!$A$3:$B$39,2,FALSE)</f>
        <v>AM_PRS_London</v>
      </c>
      <c r="N259" t="str">
        <f>VLOOKUP(G259,'Distinct Queues'!$A$3:$B$39,2,FALSE)</f>
        <v>Lettings_South</v>
      </c>
    </row>
    <row r="260" spans="1:14">
      <c r="A260" s="25" t="s">
        <v>684</v>
      </c>
      <c r="B260" s="26" t="s">
        <v>685</v>
      </c>
      <c r="C260" s="27" t="s">
        <v>208</v>
      </c>
      <c r="D260" s="27" t="s">
        <v>209</v>
      </c>
      <c r="E260" s="27" t="s">
        <v>210</v>
      </c>
      <c r="F260" s="27" t="s">
        <v>211</v>
      </c>
      <c r="G260" s="28" t="s">
        <v>212</v>
      </c>
      <c r="I260" s="1" t="str">
        <f>Table1[[#This Row],[Building ID]]</f>
        <v>a1826000001pibLAAQ</v>
      </c>
      <c r="J260" t="str">
        <f>VLOOKUP(C260,'Distinct Queues'!$A$3:$B$39,2,FALSE)</f>
        <v>Finance_Team</v>
      </c>
      <c r="K260" t="str">
        <f>VLOOKUP(D260,'Distinct Queues'!$A$3:$B$39,2,FALSE)</f>
        <v>Customer_Service_Team</v>
      </c>
      <c r="L260" t="str">
        <f>VLOOKUP(E260,'Distinct Queues'!$A$3:$B$39,2,FALSE)</f>
        <v>PRS_London</v>
      </c>
      <c r="M260" t="str">
        <f>VLOOKUP(F260,'Distinct Queues'!$A$3:$B$39,2,FALSE)</f>
        <v>AM_PRS_London</v>
      </c>
      <c r="N260" t="str">
        <f>VLOOKUP(G260,'Distinct Queues'!$A$3:$B$39,2,FALSE)</f>
        <v>Lettings_South</v>
      </c>
    </row>
    <row r="261" spans="1:14">
      <c r="A261" s="29" t="s">
        <v>686</v>
      </c>
      <c r="B261" s="26" t="s">
        <v>687</v>
      </c>
      <c r="C261" s="26" t="s">
        <v>208</v>
      </c>
      <c r="D261" s="26" t="s">
        <v>209</v>
      </c>
      <c r="E261" s="26" t="s">
        <v>210</v>
      </c>
      <c r="F261" s="26" t="s">
        <v>211</v>
      </c>
      <c r="G261" s="30" t="s">
        <v>212</v>
      </c>
      <c r="I261" s="1" t="str">
        <f>Table1[[#This Row],[Building ID]]</f>
        <v>a1826000001pibQAAQ</v>
      </c>
      <c r="J261" t="str">
        <f>VLOOKUP(C261,'Distinct Queues'!$A$3:$B$39,2,FALSE)</f>
        <v>Finance_Team</v>
      </c>
      <c r="K261" t="str">
        <f>VLOOKUP(D261,'Distinct Queues'!$A$3:$B$39,2,FALSE)</f>
        <v>Customer_Service_Team</v>
      </c>
      <c r="L261" t="str">
        <f>VLOOKUP(E261,'Distinct Queues'!$A$3:$B$39,2,FALSE)</f>
        <v>PRS_London</v>
      </c>
      <c r="M261" t="str">
        <f>VLOOKUP(F261,'Distinct Queues'!$A$3:$B$39,2,FALSE)</f>
        <v>AM_PRS_London</v>
      </c>
      <c r="N261" t="str">
        <f>VLOOKUP(G261,'Distinct Queues'!$A$3:$B$39,2,FALSE)</f>
        <v>Lettings_South</v>
      </c>
    </row>
    <row r="262" spans="1:14">
      <c r="A262" s="25" t="s">
        <v>688</v>
      </c>
      <c r="B262" s="26" t="s">
        <v>689</v>
      </c>
      <c r="C262" s="27" t="s">
        <v>208</v>
      </c>
      <c r="D262" s="27" t="s">
        <v>209</v>
      </c>
      <c r="E262" s="27" t="s">
        <v>210</v>
      </c>
      <c r="F262" s="27" t="s">
        <v>211</v>
      </c>
      <c r="G262" s="28" t="s">
        <v>212</v>
      </c>
      <c r="I262" s="1" t="str">
        <f>Table1[[#This Row],[Building ID]]</f>
        <v>a1826000001pibfAAA</v>
      </c>
      <c r="J262" t="str">
        <f>VLOOKUP(C262,'Distinct Queues'!$A$3:$B$39,2,FALSE)</f>
        <v>Finance_Team</v>
      </c>
      <c r="K262" t="str">
        <f>VLOOKUP(D262,'Distinct Queues'!$A$3:$B$39,2,FALSE)</f>
        <v>Customer_Service_Team</v>
      </c>
      <c r="L262" t="str">
        <f>VLOOKUP(E262,'Distinct Queues'!$A$3:$B$39,2,FALSE)</f>
        <v>PRS_London</v>
      </c>
      <c r="M262" t="str">
        <f>VLOOKUP(F262,'Distinct Queues'!$A$3:$B$39,2,FALSE)</f>
        <v>AM_PRS_London</v>
      </c>
      <c r="N262" t="str">
        <f>VLOOKUP(G262,'Distinct Queues'!$A$3:$B$39,2,FALSE)</f>
        <v>Lettings_South</v>
      </c>
    </row>
    <row r="263" spans="1:14">
      <c r="A263" s="29" t="s">
        <v>690</v>
      </c>
      <c r="B263" s="26" t="s">
        <v>691</v>
      </c>
      <c r="C263" s="26" t="s">
        <v>208</v>
      </c>
      <c r="D263" s="26" t="s">
        <v>209</v>
      </c>
      <c r="E263" s="26" t="s">
        <v>210</v>
      </c>
      <c r="F263" s="26" t="s">
        <v>211</v>
      </c>
      <c r="G263" s="30" t="s">
        <v>212</v>
      </c>
      <c r="I263" s="1" t="str">
        <f>Table1[[#This Row],[Building ID]]</f>
        <v>a1826000001pibVAAQ</v>
      </c>
      <c r="J263" t="str">
        <f>VLOOKUP(C263,'Distinct Queues'!$A$3:$B$39,2,FALSE)</f>
        <v>Finance_Team</v>
      </c>
      <c r="K263" t="str">
        <f>VLOOKUP(D263,'Distinct Queues'!$A$3:$B$39,2,FALSE)</f>
        <v>Customer_Service_Team</v>
      </c>
      <c r="L263" t="str">
        <f>VLOOKUP(E263,'Distinct Queues'!$A$3:$B$39,2,FALSE)</f>
        <v>PRS_London</v>
      </c>
      <c r="M263" t="str">
        <f>VLOOKUP(F263,'Distinct Queues'!$A$3:$B$39,2,FALSE)</f>
        <v>AM_PRS_London</v>
      </c>
      <c r="N263" t="str">
        <f>VLOOKUP(G263,'Distinct Queues'!$A$3:$B$39,2,FALSE)</f>
        <v>Lettings_South</v>
      </c>
    </row>
    <row r="264" spans="1:14">
      <c r="A264" s="25" t="s">
        <v>692</v>
      </c>
      <c r="B264" s="26" t="s">
        <v>693</v>
      </c>
      <c r="C264" s="27" t="s">
        <v>208</v>
      </c>
      <c r="D264" s="27" t="s">
        <v>209</v>
      </c>
      <c r="E264" s="27" t="s">
        <v>210</v>
      </c>
      <c r="F264" s="27" t="s">
        <v>211</v>
      </c>
      <c r="G264" s="28" t="s">
        <v>212</v>
      </c>
      <c r="I264" s="1" t="str">
        <f>Table1[[#This Row],[Building ID]]</f>
        <v>a1826000001piWgAAI</v>
      </c>
      <c r="J264" t="str">
        <f>VLOOKUP(C264,'Distinct Queues'!$A$3:$B$39,2,FALSE)</f>
        <v>Finance_Team</v>
      </c>
      <c r="K264" t="str">
        <f>VLOOKUP(D264,'Distinct Queues'!$A$3:$B$39,2,FALSE)</f>
        <v>Customer_Service_Team</v>
      </c>
      <c r="L264" t="str">
        <f>VLOOKUP(E264,'Distinct Queues'!$A$3:$B$39,2,FALSE)</f>
        <v>PRS_London</v>
      </c>
      <c r="M264" t="str">
        <f>VLOOKUP(F264,'Distinct Queues'!$A$3:$B$39,2,FALSE)</f>
        <v>AM_PRS_London</v>
      </c>
      <c r="N264" t="str">
        <f>VLOOKUP(G264,'Distinct Queues'!$A$3:$B$39,2,FALSE)</f>
        <v>Lettings_South</v>
      </c>
    </row>
    <row r="265" spans="1:14">
      <c r="A265" s="29" t="s">
        <v>694</v>
      </c>
      <c r="B265" s="26" t="s">
        <v>695</v>
      </c>
      <c r="C265" s="26" t="s">
        <v>208</v>
      </c>
      <c r="D265" s="26" t="s">
        <v>209</v>
      </c>
      <c r="E265" s="26" t="s">
        <v>210</v>
      </c>
      <c r="F265" s="26" t="s">
        <v>211</v>
      </c>
      <c r="G265" s="30" t="s">
        <v>212</v>
      </c>
      <c r="I265" s="1" t="str">
        <f>Table1[[#This Row],[Building ID]]</f>
        <v>a1826000001pibaAAA</v>
      </c>
      <c r="J265" t="str">
        <f>VLOOKUP(C265,'Distinct Queues'!$A$3:$B$39,2,FALSE)</f>
        <v>Finance_Team</v>
      </c>
      <c r="K265" t="str">
        <f>VLOOKUP(D265,'Distinct Queues'!$A$3:$B$39,2,FALSE)</f>
        <v>Customer_Service_Team</v>
      </c>
      <c r="L265" t="str">
        <f>VLOOKUP(E265,'Distinct Queues'!$A$3:$B$39,2,FALSE)</f>
        <v>PRS_London</v>
      </c>
      <c r="M265" t="str">
        <f>VLOOKUP(F265,'Distinct Queues'!$A$3:$B$39,2,FALSE)</f>
        <v>AM_PRS_London</v>
      </c>
      <c r="N265" t="str">
        <f>VLOOKUP(G265,'Distinct Queues'!$A$3:$B$39,2,FALSE)</f>
        <v>Lettings_South</v>
      </c>
    </row>
    <row r="266" spans="1:14">
      <c r="A266" s="25" t="s">
        <v>696</v>
      </c>
      <c r="B266" s="26" t="s">
        <v>697</v>
      </c>
      <c r="C266" s="27" t="s">
        <v>208</v>
      </c>
      <c r="D266" s="27" t="s">
        <v>209</v>
      </c>
      <c r="E266" s="27" t="s">
        <v>210</v>
      </c>
      <c r="F266" s="27" t="s">
        <v>211</v>
      </c>
      <c r="G266" s="28" t="s">
        <v>212</v>
      </c>
      <c r="I266" s="1" t="str">
        <f>Table1[[#This Row],[Building ID]]</f>
        <v>a1826000001piaxAAA</v>
      </c>
      <c r="J266" t="str">
        <f>VLOOKUP(C266,'Distinct Queues'!$A$3:$B$39,2,FALSE)</f>
        <v>Finance_Team</v>
      </c>
      <c r="K266" t="str">
        <f>VLOOKUP(D266,'Distinct Queues'!$A$3:$B$39,2,FALSE)</f>
        <v>Customer_Service_Team</v>
      </c>
      <c r="L266" t="str">
        <f>VLOOKUP(E266,'Distinct Queues'!$A$3:$B$39,2,FALSE)</f>
        <v>PRS_London</v>
      </c>
      <c r="M266" t="str">
        <f>VLOOKUP(F266,'Distinct Queues'!$A$3:$B$39,2,FALSE)</f>
        <v>AM_PRS_London</v>
      </c>
      <c r="N266" t="str">
        <f>VLOOKUP(G266,'Distinct Queues'!$A$3:$B$39,2,FALSE)</f>
        <v>Lettings_South</v>
      </c>
    </row>
    <row r="267" spans="1:14">
      <c r="A267" s="29" t="s">
        <v>698</v>
      </c>
      <c r="B267" s="26" t="s">
        <v>699</v>
      </c>
      <c r="C267" s="26" t="s">
        <v>208</v>
      </c>
      <c r="D267" s="26" t="s">
        <v>209</v>
      </c>
      <c r="E267" s="26" t="s">
        <v>210</v>
      </c>
      <c r="F267" s="26" t="s">
        <v>211</v>
      </c>
      <c r="G267" s="30" t="s">
        <v>212</v>
      </c>
      <c r="I267" s="1" t="str">
        <f>Table1[[#This Row],[Building ID]]</f>
        <v>a1826000001pibuAAA</v>
      </c>
      <c r="J267" t="str">
        <f>VLOOKUP(C267,'Distinct Queues'!$A$3:$B$39,2,FALSE)</f>
        <v>Finance_Team</v>
      </c>
      <c r="K267" t="str">
        <f>VLOOKUP(D267,'Distinct Queues'!$A$3:$B$39,2,FALSE)</f>
        <v>Customer_Service_Team</v>
      </c>
      <c r="L267" t="str">
        <f>VLOOKUP(E267,'Distinct Queues'!$A$3:$B$39,2,FALSE)</f>
        <v>PRS_London</v>
      </c>
      <c r="M267" t="str">
        <f>VLOOKUP(F267,'Distinct Queues'!$A$3:$B$39,2,FALSE)</f>
        <v>AM_PRS_London</v>
      </c>
      <c r="N267" t="str">
        <f>VLOOKUP(G267,'Distinct Queues'!$A$3:$B$39,2,FALSE)</f>
        <v>Lettings_South</v>
      </c>
    </row>
    <row r="268" spans="1:14">
      <c r="A268" s="25" t="s">
        <v>700</v>
      </c>
      <c r="B268" s="26" t="s">
        <v>701</v>
      </c>
      <c r="C268" s="27" t="s">
        <v>208</v>
      </c>
      <c r="D268" s="27" t="s">
        <v>209</v>
      </c>
      <c r="E268" s="27" t="s">
        <v>210</v>
      </c>
      <c r="F268" s="27" t="s">
        <v>211</v>
      </c>
      <c r="G268" s="28" t="s">
        <v>212</v>
      </c>
      <c r="I268" s="1" t="str">
        <f>Table1[[#This Row],[Building ID]]</f>
        <v>a1826000001pibpAAA</v>
      </c>
      <c r="J268" t="str">
        <f>VLOOKUP(C268,'Distinct Queues'!$A$3:$B$39,2,FALSE)</f>
        <v>Finance_Team</v>
      </c>
      <c r="K268" t="str">
        <f>VLOOKUP(D268,'Distinct Queues'!$A$3:$B$39,2,FALSE)</f>
        <v>Customer_Service_Team</v>
      </c>
      <c r="L268" t="str">
        <f>VLOOKUP(E268,'Distinct Queues'!$A$3:$B$39,2,FALSE)</f>
        <v>PRS_London</v>
      </c>
      <c r="M268" t="str">
        <f>VLOOKUP(F268,'Distinct Queues'!$A$3:$B$39,2,FALSE)</f>
        <v>AM_PRS_London</v>
      </c>
      <c r="N268" t="str">
        <f>VLOOKUP(G268,'Distinct Queues'!$A$3:$B$39,2,FALSE)</f>
        <v>Lettings_South</v>
      </c>
    </row>
    <row r="269" spans="1:14">
      <c r="A269" s="29" t="s">
        <v>702</v>
      </c>
      <c r="B269" s="26" t="s">
        <v>703</v>
      </c>
      <c r="C269" s="26" t="s">
        <v>208</v>
      </c>
      <c r="D269" s="26" t="s">
        <v>209</v>
      </c>
      <c r="E269" s="26" t="s">
        <v>210</v>
      </c>
      <c r="F269" s="26" t="s">
        <v>211</v>
      </c>
      <c r="G269" s="30" t="s">
        <v>212</v>
      </c>
      <c r="I269" s="1" t="str">
        <f>Table1[[#This Row],[Building ID]]</f>
        <v>a1826000001pibzAAA</v>
      </c>
      <c r="J269" t="str">
        <f>VLOOKUP(C269,'Distinct Queues'!$A$3:$B$39,2,FALSE)</f>
        <v>Finance_Team</v>
      </c>
      <c r="K269" t="str">
        <f>VLOOKUP(D269,'Distinct Queues'!$A$3:$B$39,2,FALSE)</f>
        <v>Customer_Service_Team</v>
      </c>
      <c r="L269" t="str">
        <f>VLOOKUP(E269,'Distinct Queues'!$A$3:$B$39,2,FALSE)</f>
        <v>PRS_London</v>
      </c>
      <c r="M269" t="str">
        <f>VLOOKUP(F269,'Distinct Queues'!$A$3:$B$39,2,FALSE)</f>
        <v>AM_PRS_London</v>
      </c>
      <c r="N269" t="str">
        <f>VLOOKUP(G269,'Distinct Queues'!$A$3:$B$39,2,FALSE)</f>
        <v>Lettings_South</v>
      </c>
    </row>
    <row r="270" spans="1:14">
      <c r="A270" s="25" t="s">
        <v>704</v>
      </c>
      <c r="B270" s="26" t="s">
        <v>705</v>
      </c>
      <c r="C270" s="27" t="s">
        <v>208</v>
      </c>
      <c r="D270" s="27" t="s">
        <v>209</v>
      </c>
      <c r="E270" s="27" t="s">
        <v>210</v>
      </c>
      <c r="F270" s="27" t="s">
        <v>211</v>
      </c>
      <c r="G270" s="28" t="s">
        <v>212</v>
      </c>
      <c r="I270" s="1" t="str">
        <f>Table1[[#This Row],[Building ID]]</f>
        <v>a1826000001pic4AAA</v>
      </c>
      <c r="J270" t="str">
        <f>VLOOKUP(C270,'Distinct Queues'!$A$3:$B$39,2,FALSE)</f>
        <v>Finance_Team</v>
      </c>
      <c r="K270" t="str">
        <f>VLOOKUP(D270,'Distinct Queues'!$A$3:$B$39,2,FALSE)</f>
        <v>Customer_Service_Team</v>
      </c>
      <c r="L270" t="str">
        <f>VLOOKUP(E270,'Distinct Queues'!$A$3:$B$39,2,FALSE)</f>
        <v>PRS_London</v>
      </c>
      <c r="M270" t="str">
        <f>VLOOKUP(F270,'Distinct Queues'!$A$3:$B$39,2,FALSE)</f>
        <v>AM_PRS_London</v>
      </c>
      <c r="N270" t="str">
        <f>VLOOKUP(G270,'Distinct Queues'!$A$3:$B$39,2,FALSE)</f>
        <v>Lettings_South</v>
      </c>
    </row>
    <row r="271" spans="1:14">
      <c r="A271" s="29" t="s">
        <v>706</v>
      </c>
      <c r="B271" s="26" t="s">
        <v>707</v>
      </c>
      <c r="C271" s="26" t="s">
        <v>208</v>
      </c>
      <c r="D271" s="26" t="s">
        <v>209</v>
      </c>
      <c r="E271" s="26" t="s">
        <v>210</v>
      </c>
      <c r="F271" s="26" t="s">
        <v>211</v>
      </c>
      <c r="G271" s="30" t="s">
        <v>212</v>
      </c>
      <c r="I271" s="1" t="str">
        <f>Table1[[#This Row],[Building ID]]</f>
        <v>a1826000001piZ1AAI</v>
      </c>
      <c r="J271" t="str">
        <f>VLOOKUP(C271,'Distinct Queues'!$A$3:$B$39,2,FALSE)</f>
        <v>Finance_Team</v>
      </c>
      <c r="K271" t="str">
        <f>VLOOKUP(D271,'Distinct Queues'!$A$3:$B$39,2,FALSE)</f>
        <v>Customer_Service_Team</v>
      </c>
      <c r="L271" t="str">
        <f>VLOOKUP(E271,'Distinct Queues'!$A$3:$B$39,2,FALSE)</f>
        <v>PRS_London</v>
      </c>
      <c r="M271" t="str">
        <f>VLOOKUP(F271,'Distinct Queues'!$A$3:$B$39,2,FALSE)</f>
        <v>AM_PRS_London</v>
      </c>
      <c r="N271" t="str">
        <f>VLOOKUP(G271,'Distinct Queues'!$A$3:$B$39,2,FALSE)</f>
        <v>Lettings_South</v>
      </c>
    </row>
    <row r="272" spans="1:14">
      <c r="A272" s="25" t="s">
        <v>708</v>
      </c>
      <c r="B272" s="26" t="s">
        <v>709</v>
      </c>
      <c r="C272" s="27" t="s">
        <v>208</v>
      </c>
      <c r="D272" s="27" t="s">
        <v>209</v>
      </c>
      <c r="E272" s="27" t="s">
        <v>210</v>
      </c>
      <c r="F272" s="27" t="s">
        <v>211</v>
      </c>
      <c r="G272" s="28" t="s">
        <v>212</v>
      </c>
      <c r="I272" s="1" t="str">
        <f>Table1[[#This Row],[Building ID]]</f>
        <v>a1826000001pic9AAA</v>
      </c>
      <c r="J272" t="str">
        <f>VLOOKUP(C272,'Distinct Queues'!$A$3:$B$39,2,FALSE)</f>
        <v>Finance_Team</v>
      </c>
      <c r="K272" t="str">
        <f>VLOOKUP(D272,'Distinct Queues'!$A$3:$B$39,2,FALSE)</f>
        <v>Customer_Service_Team</v>
      </c>
      <c r="L272" t="str">
        <f>VLOOKUP(E272,'Distinct Queues'!$A$3:$B$39,2,FALSE)</f>
        <v>PRS_London</v>
      </c>
      <c r="M272" t="str">
        <f>VLOOKUP(F272,'Distinct Queues'!$A$3:$B$39,2,FALSE)</f>
        <v>AM_PRS_London</v>
      </c>
      <c r="N272" t="str">
        <f>VLOOKUP(G272,'Distinct Queues'!$A$3:$B$39,2,FALSE)</f>
        <v>Lettings_South</v>
      </c>
    </row>
    <row r="273" spans="1:14">
      <c r="A273" s="29" t="s">
        <v>16</v>
      </c>
      <c r="B273" s="26" t="s">
        <v>710</v>
      </c>
      <c r="C273" s="26" t="s">
        <v>208</v>
      </c>
      <c r="D273" s="26" t="s">
        <v>18</v>
      </c>
      <c r="E273" s="26" t="s">
        <v>18</v>
      </c>
      <c r="F273" s="26" t="s">
        <v>11</v>
      </c>
      <c r="G273" s="30" t="s">
        <v>13</v>
      </c>
      <c r="I273" s="1" t="str">
        <f>Table1[[#This Row],[Building ID]]</f>
        <v>a1826000001pj1PAAQ</v>
      </c>
      <c r="J273" t="str">
        <f>VLOOKUP(C273,'Distinct Queues'!$A$3:$B$39,2,FALSE)</f>
        <v>Finance_Team</v>
      </c>
      <c r="K273" t="str">
        <f>VLOOKUP(D273,'Distinct Queues'!$A$3:$B$39,2,FALSE)</f>
        <v>The_Headline_Team</v>
      </c>
      <c r="L273" t="str">
        <f>VLOOKUP(E273,'Distinct Queues'!$A$3:$B$39,2,FALSE)</f>
        <v>The_Headline_Team</v>
      </c>
      <c r="M273" t="str">
        <f>VLOOKUP(F273,'Distinct Queues'!$A$3:$B$39,2,FALSE)</f>
        <v>AM_BTR_Regions</v>
      </c>
      <c r="N273" t="str">
        <f>VLOOKUP(G273,'Distinct Queues'!$A$3:$B$39,2,FALSE)</f>
        <v>Lettings_North_East</v>
      </c>
    </row>
    <row r="274" spans="1:14">
      <c r="A274" s="25" t="s">
        <v>19</v>
      </c>
      <c r="B274" s="26" t="s">
        <v>711</v>
      </c>
      <c r="C274" s="27" t="s">
        <v>208</v>
      </c>
      <c r="D274" s="27" t="s">
        <v>18</v>
      </c>
      <c r="E274" s="27" t="s">
        <v>18</v>
      </c>
      <c r="F274" s="27" t="s">
        <v>11</v>
      </c>
      <c r="G274" s="28" t="s">
        <v>13</v>
      </c>
      <c r="I274" s="1" t="str">
        <f>Table1[[#This Row],[Building ID]]</f>
        <v>a1826000001pif3AAA</v>
      </c>
      <c r="J274" t="str">
        <f>VLOOKUP(C274,'Distinct Queues'!$A$3:$B$39,2,FALSE)</f>
        <v>Finance_Team</v>
      </c>
      <c r="K274" t="str">
        <f>VLOOKUP(D274,'Distinct Queues'!$A$3:$B$39,2,FALSE)</f>
        <v>The_Headline_Team</v>
      </c>
      <c r="L274" t="str">
        <f>VLOOKUP(E274,'Distinct Queues'!$A$3:$B$39,2,FALSE)</f>
        <v>The_Headline_Team</v>
      </c>
      <c r="M274" t="str">
        <f>VLOOKUP(F274,'Distinct Queues'!$A$3:$B$39,2,FALSE)</f>
        <v>AM_BTR_Regions</v>
      </c>
      <c r="N274" t="str">
        <f>VLOOKUP(G274,'Distinct Queues'!$A$3:$B$39,2,FALSE)</f>
        <v>Lettings_North_East</v>
      </c>
    </row>
    <row r="275" spans="1:14">
      <c r="A275" s="29" t="s">
        <v>138</v>
      </c>
      <c r="B275" s="26" t="s">
        <v>712</v>
      </c>
      <c r="C275" s="26" t="s">
        <v>208</v>
      </c>
      <c r="D275" s="26" t="s">
        <v>137</v>
      </c>
      <c r="E275" s="26" t="s">
        <v>137</v>
      </c>
      <c r="F275" s="26" t="s">
        <v>31</v>
      </c>
      <c r="G275" s="30" t="s">
        <v>212</v>
      </c>
      <c r="I275" s="1" t="str">
        <f>Table1[[#This Row],[Building ID]]</f>
        <v>a1826000001rdUWAAY</v>
      </c>
      <c r="J275" t="str">
        <f>VLOOKUP(C275,'Distinct Queues'!$A$3:$B$39,2,FALSE)</f>
        <v>Finance_Team</v>
      </c>
      <c r="K275" t="str">
        <f>VLOOKUP(D275,'Distinct Queues'!$A$3:$B$39,2,FALSE)</f>
        <v>The_Mint_Team</v>
      </c>
      <c r="L275" t="str">
        <f>VLOOKUP(E275,'Distinct Queues'!$A$3:$B$39,2,FALSE)</f>
        <v>The_Mint_Team</v>
      </c>
      <c r="M275" t="str">
        <f>VLOOKUP(F275,'Distinct Queues'!$A$3:$B$39,2,FALSE)</f>
        <v>AM_New_Launches</v>
      </c>
      <c r="N275" t="str">
        <f>VLOOKUP(G275,'Distinct Queues'!$A$3:$B$39,2,FALSE)</f>
        <v>Lettings_South</v>
      </c>
    </row>
    <row r="276" spans="1:14">
      <c r="A276" s="25" t="s">
        <v>135</v>
      </c>
      <c r="B276" s="26" t="s">
        <v>713</v>
      </c>
      <c r="C276" s="27" t="s">
        <v>208</v>
      </c>
      <c r="D276" s="27" t="s">
        <v>137</v>
      </c>
      <c r="E276" s="27" t="s">
        <v>137</v>
      </c>
      <c r="F276" s="27" t="s">
        <v>31</v>
      </c>
      <c r="G276" s="28" t="s">
        <v>212</v>
      </c>
      <c r="I276" s="1" t="str">
        <f>Table1[[#This Row],[Building ID]]</f>
        <v>a1826000001rdXoAAI</v>
      </c>
      <c r="J276" t="str">
        <f>VLOOKUP(C276,'Distinct Queues'!$A$3:$B$39,2,FALSE)</f>
        <v>Finance_Team</v>
      </c>
      <c r="K276" t="str">
        <f>VLOOKUP(D276,'Distinct Queues'!$A$3:$B$39,2,FALSE)</f>
        <v>The_Mint_Team</v>
      </c>
      <c r="L276" t="str">
        <f>VLOOKUP(E276,'Distinct Queues'!$A$3:$B$39,2,FALSE)</f>
        <v>The_Mint_Team</v>
      </c>
      <c r="M276" t="str">
        <f>VLOOKUP(F276,'Distinct Queues'!$A$3:$B$39,2,FALSE)</f>
        <v>AM_New_Launches</v>
      </c>
      <c r="N276" t="str">
        <f>VLOOKUP(G276,'Distinct Queues'!$A$3:$B$39,2,FALSE)</f>
        <v>Lettings_South</v>
      </c>
    </row>
    <row r="277" spans="1:14">
      <c r="A277" s="29" t="s">
        <v>714</v>
      </c>
      <c r="B277" s="26" t="s">
        <v>715</v>
      </c>
      <c r="C277" s="26" t="s">
        <v>208</v>
      </c>
      <c r="D277" s="26" t="s">
        <v>209</v>
      </c>
      <c r="E277" s="26" t="s">
        <v>225</v>
      </c>
      <c r="F277" s="26" t="s">
        <v>226</v>
      </c>
      <c r="G277" s="30" t="s">
        <v>44</v>
      </c>
      <c r="I277" s="1" t="str">
        <f>Table1[[#This Row],[Building ID]]</f>
        <v>a1826000001piA6AAI</v>
      </c>
      <c r="J277" t="str">
        <f>VLOOKUP(C277,'Distinct Queues'!$A$3:$B$39,2,FALSE)</f>
        <v>Finance_Team</v>
      </c>
      <c r="K277" t="str">
        <f>VLOOKUP(D277,'Distinct Queues'!$A$3:$B$39,2,FALSE)</f>
        <v>Customer_Service_Team</v>
      </c>
      <c r="L277" t="str">
        <f>VLOOKUP(E277,'Distinct Queues'!$A$3:$B$39,2,FALSE)</f>
        <v>PRS_Regions</v>
      </c>
      <c r="M277" t="str">
        <f>VLOOKUP(F277,'Distinct Queues'!$A$3:$B$39,2,FALSE)</f>
        <v>AM_PRS_Regions</v>
      </c>
      <c r="N277" t="str">
        <f>VLOOKUP(G277,'Distinct Queues'!$A$3:$B$39,2,FALSE)</f>
        <v>Lettings_North_West</v>
      </c>
    </row>
    <row r="278" spans="1:14">
      <c r="A278" s="25" t="s">
        <v>716</v>
      </c>
      <c r="B278" s="26" t="s">
        <v>717</v>
      </c>
      <c r="C278" s="27" t="s">
        <v>208</v>
      </c>
      <c r="D278" s="27" t="s">
        <v>209</v>
      </c>
      <c r="E278" s="27" t="s">
        <v>225</v>
      </c>
      <c r="F278" s="27" t="s">
        <v>226</v>
      </c>
      <c r="G278" s="28" t="s">
        <v>44</v>
      </c>
      <c r="I278" s="1" t="str">
        <f>Table1[[#This Row],[Building ID]]</f>
        <v>a1826000001SA43AAG</v>
      </c>
      <c r="J278" t="str">
        <f>VLOOKUP(C278,'Distinct Queues'!$A$3:$B$39,2,FALSE)</f>
        <v>Finance_Team</v>
      </c>
      <c r="K278" t="str">
        <f>VLOOKUP(D278,'Distinct Queues'!$A$3:$B$39,2,FALSE)</f>
        <v>Customer_Service_Team</v>
      </c>
      <c r="L278" t="str">
        <f>VLOOKUP(E278,'Distinct Queues'!$A$3:$B$39,2,FALSE)</f>
        <v>PRS_Regions</v>
      </c>
      <c r="M278" t="str">
        <f>VLOOKUP(F278,'Distinct Queues'!$A$3:$B$39,2,FALSE)</f>
        <v>AM_PRS_Regions</v>
      </c>
      <c r="N278" t="str">
        <f>VLOOKUP(G278,'Distinct Queues'!$A$3:$B$39,2,FALSE)</f>
        <v>Lettings_North_West</v>
      </c>
    </row>
    <row r="279" spans="1:14">
      <c r="A279" s="29" t="s">
        <v>718</v>
      </c>
      <c r="B279" s="26" t="s">
        <v>719</v>
      </c>
      <c r="C279" s="26" t="s">
        <v>208</v>
      </c>
      <c r="D279" s="26" t="s">
        <v>209</v>
      </c>
      <c r="E279" s="26" t="s">
        <v>225</v>
      </c>
      <c r="F279" s="26" t="s">
        <v>226</v>
      </c>
      <c r="G279" s="30" t="s">
        <v>44</v>
      </c>
      <c r="I279" s="1" t="str">
        <f>Table1[[#This Row],[Building ID]]</f>
        <v>a1826000001pivaAAA</v>
      </c>
      <c r="J279" t="str">
        <f>VLOOKUP(C279,'Distinct Queues'!$A$3:$B$39,2,FALSE)</f>
        <v>Finance_Team</v>
      </c>
      <c r="K279" t="str">
        <f>VLOOKUP(D279,'Distinct Queues'!$A$3:$B$39,2,FALSE)</f>
        <v>Customer_Service_Team</v>
      </c>
      <c r="L279" t="str">
        <f>VLOOKUP(E279,'Distinct Queues'!$A$3:$B$39,2,FALSE)</f>
        <v>PRS_Regions</v>
      </c>
      <c r="M279" t="str">
        <f>VLOOKUP(F279,'Distinct Queues'!$A$3:$B$39,2,FALSE)</f>
        <v>AM_PRS_Regions</v>
      </c>
      <c r="N279" t="str">
        <f>VLOOKUP(G279,'Distinct Queues'!$A$3:$B$39,2,FALSE)</f>
        <v>Lettings_North_West</v>
      </c>
    </row>
    <row r="280" spans="1:14">
      <c r="A280" s="25" t="s">
        <v>720</v>
      </c>
      <c r="B280" s="26" t="s">
        <v>721</v>
      </c>
      <c r="C280" s="27" t="s">
        <v>208</v>
      </c>
      <c r="D280" s="27" t="s">
        <v>209</v>
      </c>
      <c r="E280" s="27" t="s">
        <v>225</v>
      </c>
      <c r="F280" s="27" t="s">
        <v>226</v>
      </c>
      <c r="G280" s="28" t="s">
        <v>44</v>
      </c>
      <c r="I280" s="1" t="str">
        <f>Table1[[#This Row],[Building ID]]</f>
        <v>a1826000001pitQAAQ</v>
      </c>
      <c r="J280" t="str">
        <f>VLOOKUP(C280,'Distinct Queues'!$A$3:$B$39,2,FALSE)</f>
        <v>Finance_Team</v>
      </c>
      <c r="K280" t="str">
        <f>VLOOKUP(D280,'Distinct Queues'!$A$3:$B$39,2,FALSE)</f>
        <v>Customer_Service_Team</v>
      </c>
      <c r="L280" t="str">
        <f>VLOOKUP(E280,'Distinct Queues'!$A$3:$B$39,2,FALSE)</f>
        <v>PRS_Regions</v>
      </c>
      <c r="M280" t="str">
        <f>VLOOKUP(F280,'Distinct Queues'!$A$3:$B$39,2,FALSE)</f>
        <v>AM_PRS_Regions</v>
      </c>
      <c r="N280" t="str">
        <f>VLOOKUP(G280,'Distinct Queues'!$A$3:$B$39,2,FALSE)</f>
        <v>Lettings_North_West</v>
      </c>
    </row>
    <row r="281" spans="1:14">
      <c r="A281" s="29" t="s">
        <v>722</v>
      </c>
      <c r="B281" s="26" t="s">
        <v>723</v>
      </c>
      <c r="C281" s="26" t="s">
        <v>208</v>
      </c>
      <c r="D281" s="26" t="s">
        <v>209</v>
      </c>
      <c r="E281" s="26" t="s">
        <v>225</v>
      </c>
      <c r="F281" s="26" t="s">
        <v>226</v>
      </c>
      <c r="G281" s="30" t="s">
        <v>44</v>
      </c>
      <c r="I281" s="1" t="str">
        <f>Table1[[#This Row],[Building ID]]</f>
        <v>a1826000001pivHAAQ</v>
      </c>
      <c r="J281" t="str">
        <f>VLOOKUP(C281,'Distinct Queues'!$A$3:$B$39,2,FALSE)</f>
        <v>Finance_Team</v>
      </c>
      <c r="K281" t="str">
        <f>VLOOKUP(D281,'Distinct Queues'!$A$3:$B$39,2,FALSE)</f>
        <v>Customer_Service_Team</v>
      </c>
      <c r="L281" t="str">
        <f>VLOOKUP(E281,'Distinct Queues'!$A$3:$B$39,2,FALSE)</f>
        <v>PRS_Regions</v>
      </c>
      <c r="M281" t="str">
        <f>VLOOKUP(F281,'Distinct Queues'!$A$3:$B$39,2,FALSE)</f>
        <v>AM_PRS_Regions</v>
      </c>
      <c r="N281" t="str">
        <f>VLOOKUP(G281,'Distinct Queues'!$A$3:$B$39,2,FALSE)</f>
        <v>Lettings_North_West</v>
      </c>
    </row>
    <row r="282" spans="1:14">
      <c r="A282" s="25" t="s">
        <v>724</v>
      </c>
      <c r="B282" s="26" t="s">
        <v>725</v>
      </c>
      <c r="C282" s="27" t="s">
        <v>208</v>
      </c>
      <c r="D282" s="27" t="s">
        <v>209</v>
      </c>
      <c r="E282" s="27" t="s">
        <v>225</v>
      </c>
      <c r="F282" s="27" t="s">
        <v>226</v>
      </c>
      <c r="G282" s="28" t="s">
        <v>44</v>
      </c>
      <c r="I282" s="1" t="str">
        <f>Table1[[#This Row],[Building ID]]</f>
        <v>a1826000001piCGAAY</v>
      </c>
      <c r="J282" t="str">
        <f>VLOOKUP(C282,'Distinct Queues'!$A$3:$B$39,2,FALSE)</f>
        <v>Finance_Team</v>
      </c>
      <c r="K282" t="str">
        <f>VLOOKUP(D282,'Distinct Queues'!$A$3:$B$39,2,FALSE)</f>
        <v>Customer_Service_Team</v>
      </c>
      <c r="L282" t="str">
        <f>VLOOKUP(E282,'Distinct Queues'!$A$3:$B$39,2,FALSE)</f>
        <v>PRS_Regions</v>
      </c>
      <c r="M282" t="str">
        <f>VLOOKUP(F282,'Distinct Queues'!$A$3:$B$39,2,FALSE)</f>
        <v>AM_PRS_Regions</v>
      </c>
      <c r="N282" t="str">
        <f>VLOOKUP(G282,'Distinct Queues'!$A$3:$B$39,2,FALSE)</f>
        <v>Lettings_North_West</v>
      </c>
    </row>
    <row r="283" spans="1:14">
      <c r="A283" s="29" t="s">
        <v>726</v>
      </c>
      <c r="B283" s="26" t="s">
        <v>727</v>
      </c>
      <c r="C283" s="26" t="s">
        <v>208</v>
      </c>
      <c r="D283" s="26" t="s">
        <v>209</v>
      </c>
      <c r="E283" s="26" t="s">
        <v>225</v>
      </c>
      <c r="F283" s="26" t="s">
        <v>226</v>
      </c>
      <c r="G283" s="30" t="s">
        <v>44</v>
      </c>
      <c r="I283" s="1" t="str">
        <f>Table1[[#This Row],[Building ID]]</f>
        <v>a1826000001piunAAA</v>
      </c>
      <c r="J283" t="str">
        <f>VLOOKUP(C283,'Distinct Queues'!$A$3:$B$39,2,FALSE)</f>
        <v>Finance_Team</v>
      </c>
      <c r="K283" t="str">
        <f>VLOOKUP(D283,'Distinct Queues'!$A$3:$B$39,2,FALSE)</f>
        <v>Customer_Service_Team</v>
      </c>
      <c r="L283" t="str">
        <f>VLOOKUP(E283,'Distinct Queues'!$A$3:$B$39,2,FALSE)</f>
        <v>PRS_Regions</v>
      </c>
      <c r="M283" t="str">
        <f>VLOOKUP(F283,'Distinct Queues'!$A$3:$B$39,2,FALSE)</f>
        <v>AM_PRS_Regions</v>
      </c>
      <c r="N283" t="str">
        <f>VLOOKUP(G283,'Distinct Queues'!$A$3:$B$39,2,FALSE)</f>
        <v>Lettings_North_West</v>
      </c>
    </row>
    <row r="284" spans="1:14">
      <c r="A284" s="25" t="s">
        <v>728</v>
      </c>
      <c r="B284" s="26" t="s">
        <v>729</v>
      </c>
      <c r="C284" s="27" t="s">
        <v>208</v>
      </c>
      <c r="D284" s="27" t="s">
        <v>209</v>
      </c>
      <c r="E284" s="27" t="s">
        <v>225</v>
      </c>
      <c r="F284" s="27" t="s">
        <v>226</v>
      </c>
      <c r="G284" s="28" t="s">
        <v>44</v>
      </c>
      <c r="I284" s="1" t="str">
        <f>Table1[[#This Row],[Building ID]]</f>
        <v>a1826000001pis5AAA</v>
      </c>
      <c r="J284" t="str">
        <f>VLOOKUP(C284,'Distinct Queues'!$A$3:$B$39,2,FALSE)</f>
        <v>Finance_Team</v>
      </c>
      <c r="K284" t="str">
        <f>VLOOKUP(D284,'Distinct Queues'!$A$3:$B$39,2,FALSE)</f>
        <v>Customer_Service_Team</v>
      </c>
      <c r="L284" t="str">
        <f>VLOOKUP(E284,'Distinct Queues'!$A$3:$B$39,2,FALSE)</f>
        <v>PRS_Regions</v>
      </c>
      <c r="M284" t="str">
        <f>VLOOKUP(F284,'Distinct Queues'!$A$3:$B$39,2,FALSE)</f>
        <v>AM_PRS_Regions</v>
      </c>
      <c r="N284" t="str">
        <f>VLOOKUP(G284,'Distinct Queues'!$A$3:$B$39,2,FALSE)</f>
        <v>Lettings_North_West</v>
      </c>
    </row>
    <row r="285" spans="1:14">
      <c r="A285" s="29" t="s">
        <v>32</v>
      </c>
      <c r="B285" s="26" t="s">
        <v>730</v>
      </c>
      <c r="C285" s="26" t="s">
        <v>208</v>
      </c>
      <c r="D285" s="26" t="s">
        <v>30</v>
      </c>
      <c r="E285" s="26" t="s">
        <v>30</v>
      </c>
      <c r="F285" s="26" t="s">
        <v>31</v>
      </c>
      <c r="G285" s="30" t="s">
        <v>13</v>
      </c>
      <c r="I285" s="1" t="str">
        <f>Table1[[#This Row],[Building ID]]</f>
        <v>a1826000001rcLhAAI</v>
      </c>
      <c r="J285" t="str">
        <f>VLOOKUP(C285,'Distinct Queues'!$A$3:$B$39,2,FALSE)</f>
        <v>Finance_Team</v>
      </c>
      <c r="K285" t="str">
        <f>VLOOKUP(D285,'Distinct Queues'!$A$3:$B$39,2,FALSE)</f>
        <v>The_Tilt_Works_Team</v>
      </c>
      <c r="L285" t="str">
        <f>VLOOKUP(E285,'Distinct Queues'!$A$3:$B$39,2,FALSE)</f>
        <v>The_Tilt_Works_Team</v>
      </c>
      <c r="M285" t="str">
        <f>VLOOKUP(F285,'Distinct Queues'!$A$3:$B$39,2,FALSE)</f>
        <v>AM_New_Launches</v>
      </c>
      <c r="N285" t="str">
        <f>VLOOKUP(G285,'Distinct Queues'!$A$3:$B$39,2,FALSE)</f>
        <v>Lettings_North_East</v>
      </c>
    </row>
    <row r="286" spans="1:14">
      <c r="A286" s="25" t="s">
        <v>28</v>
      </c>
      <c r="B286" s="26" t="s">
        <v>731</v>
      </c>
      <c r="C286" s="27" t="s">
        <v>208</v>
      </c>
      <c r="D286" s="27" t="s">
        <v>30</v>
      </c>
      <c r="E286" s="27" t="s">
        <v>30</v>
      </c>
      <c r="F286" s="27" t="s">
        <v>31</v>
      </c>
      <c r="G286" s="28" t="s">
        <v>13</v>
      </c>
      <c r="I286" s="1" t="str">
        <f>Table1[[#This Row],[Building ID]]</f>
        <v>a18UE000000G5lKYAS</v>
      </c>
      <c r="J286" t="str">
        <f>VLOOKUP(C286,'Distinct Queues'!$A$3:$B$39,2,FALSE)</f>
        <v>Finance_Team</v>
      </c>
      <c r="K286" t="str">
        <f>VLOOKUP(D286,'Distinct Queues'!$A$3:$B$39,2,FALSE)</f>
        <v>The_Tilt_Works_Team</v>
      </c>
      <c r="L286" t="str">
        <f>VLOOKUP(E286,'Distinct Queues'!$A$3:$B$39,2,FALSE)</f>
        <v>The_Tilt_Works_Team</v>
      </c>
      <c r="M286" t="str">
        <f>VLOOKUP(F286,'Distinct Queues'!$A$3:$B$39,2,FALSE)</f>
        <v>AM_New_Launches</v>
      </c>
      <c r="N286" t="str">
        <f>VLOOKUP(G286,'Distinct Queues'!$A$3:$B$39,2,FALSE)</f>
        <v>Lettings_North_East</v>
      </c>
    </row>
    <row r="287" spans="1:14">
      <c r="A287" s="29" t="s">
        <v>34</v>
      </c>
      <c r="B287" s="26" t="s">
        <v>732</v>
      </c>
      <c r="C287" s="26" t="s">
        <v>208</v>
      </c>
      <c r="D287" s="26" t="s">
        <v>30</v>
      </c>
      <c r="E287" s="26" t="s">
        <v>30</v>
      </c>
      <c r="F287" s="26" t="s">
        <v>31</v>
      </c>
      <c r="G287" s="30" t="s">
        <v>13</v>
      </c>
      <c r="I287" s="1" t="str">
        <f>Table1[[#This Row],[Building ID]]</f>
        <v>a1826000001rdUvAAI</v>
      </c>
      <c r="J287" t="str">
        <f>VLOOKUP(C287,'Distinct Queues'!$A$3:$B$39,2,FALSE)</f>
        <v>Finance_Team</v>
      </c>
      <c r="K287" t="str">
        <f>VLOOKUP(D287,'Distinct Queues'!$A$3:$B$39,2,FALSE)</f>
        <v>The_Tilt_Works_Team</v>
      </c>
      <c r="L287" t="str">
        <f>VLOOKUP(E287,'Distinct Queues'!$A$3:$B$39,2,FALSE)</f>
        <v>The_Tilt_Works_Team</v>
      </c>
      <c r="M287" t="str">
        <f>VLOOKUP(F287,'Distinct Queues'!$A$3:$B$39,2,FALSE)</f>
        <v>AM_New_Launches</v>
      </c>
      <c r="N287" t="str">
        <f>VLOOKUP(G287,'Distinct Queues'!$A$3:$B$39,2,FALSE)</f>
        <v>Lettings_North_East</v>
      </c>
    </row>
    <row r="288" spans="1:14">
      <c r="A288" s="25" t="s">
        <v>733</v>
      </c>
      <c r="B288" s="26" t="s">
        <v>734</v>
      </c>
      <c r="C288" s="27" t="s">
        <v>208</v>
      </c>
      <c r="D288" s="27" t="s">
        <v>209</v>
      </c>
      <c r="E288" s="27" t="s">
        <v>210</v>
      </c>
      <c r="F288" s="27" t="s">
        <v>211</v>
      </c>
      <c r="G288" s="28" t="s">
        <v>212</v>
      </c>
      <c r="I288" s="1" t="str">
        <f>Table1[[#This Row],[Building ID]]</f>
        <v>a1826000001pj7oAAA</v>
      </c>
      <c r="J288" t="str">
        <f>VLOOKUP(C288,'Distinct Queues'!$A$3:$B$39,2,FALSE)</f>
        <v>Finance_Team</v>
      </c>
      <c r="K288" t="str">
        <f>VLOOKUP(D288,'Distinct Queues'!$A$3:$B$39,2,FALSE)</f>
        <v>Customer_Service_Team</v>
      </c>
      <c r="L288" t="str">
        <f>VLOOKUP(E288,'Distinct Queues'!$A$3:$B$39,2,FALSE)</f>
        <v>PRS_London</v>
      </c>
      <c r="M288" t="str">
        <f>VLOOKUP(F288,'Distinct Queues'!$A$3:$B$39,2,FALSE)</f>
        <v>AM_PRS_London</v>
      </c>
      <c r="N288" t="str">
        <f>VLOOKUP(G288,'Distinct Queues'!$A$3:$B$39,2,FALSE)</f>
        <v>Lettings_South</v>
      </c>
    </row>
    <row r="289" spans="1:14">
      <c r="A289" s="29" t="s">
        <v>735</v>
      </c>
      <c r="B289" s="26" t="s">
        <v>736</v>
      </c>
      <c r="C289" s="26" t="s">
        <v>208</v>
      </c>
      <c r="D289" s="26" t="s">
        <v>209</v>
      </c>
      <c r="E289" s="26" t="s">
        <v>210</v>
      </c>
      <c r="F289" s="26" t="s">
        <v>211</v>
      </c>
      <c r="G289" s="30" t="s">
        <v>212</v>
      </c>
      <c r="I289" s="1" t="str">
        <f>Table1[[#This Row],[Building ID]]</f>
        <v>a1826000001pj7wAAA</v>
      </c>
      <c r="J289" t="str">
        <f>VLOOKUP(C289,'Distinct Queues'!$A$3:$B$39,2,FALSE)</f>
        <v>Finance_Team</v>
      </c>
      <c r="K289" t="str">
        <f>VLOOKUP(D289,'Distinct Queues'!$A$3:$B$39,2,FALSE)</f>
        <v>Customer_Service_Team</v>
      </c>
      <c r="L289" t="str">
        <f>VLOOKUP(E289,'Distinct Queues'!$A$3:$B$39,2,FALSE)</f>
        <v>PRS_London</v>
      </c>
      <c r="M289" t="str">
        <f>VLOOKUP(F289,'Distinct Queues'!$A$3:$B$39,2,FALSE)</f>
        <v>AM_PRS_London</v>
      </c>
      <c r="N289" t="str">
        <f>VLOOKUP(G289,'Distinct Queues'!$A$3:$B$39,2,FALSE)</f>
        <v>Lettings_South</v>
      </c>
    </row>
    <row r="290" spans="1:14">
      <c r="A290" s="25" t="s">
        <v>737</v>
      </c>
      <c r="B290" s="26" t="s">
        <v>738</v>
      </c>
      <c r="C290" s="27" t="s">
        <v>208</v>
      </c>
      <c r="D290" s="27" t="s">
        <v>209</v>
      </c>
      <c r="E290" s="27" t="s">
        <v>210</v>
      </c>
      <c r="F290" s="27" t="s">
        <v>211</v>
      </c>
      <c r="G290" s="28" t="s">
        <v>212</v>
      </c>
      <c r="I290" s="1" t="str">
        <f>Table1[[#This Row],[Building ID]]</f>
        <v>a1826000001pj8lAAA</v>
      </c>
      <c r="J290" t="str">
        <f>VLOOKUP(C290,'Distinct Queues'!$A$3:$B$39,2,FALSE)</f>
        <v>Finance_Team</v>
      </c>
      <c r="K290" t="str">
        <f>VLOOKUP(D290,'Distinct Queues'!$A$3:$B$39,2,FALSE)</f>
        <v>Customer_Service_Team</v>
      </c>
      <c r="L290" t="str">
        <f>VLOOKUP(E290,'Distinct Queues'!$A$3:$B$39,2,FALSE)</f>
        <v>PRS_London</v>
      </c>
      <c r="M290" t="str">
        <f>VLOOKUP(F290,'Distinct Queues'!$A$3:$B$39,2,FALSE)</f>
        <v>AM_PRS_London</v>
      </c>
      <c r="N290" t="str">
        <f>VLOOKUP(G290,'Distinct Queues'!$A$3:$B$39,2,FALSE)</f>
        <v>Lettings_South</v>
      </c>
    </row>
    <row r="291" spans="1:14">
      <c r="A291" s="29" t="s">
        <v>739</v>
      </c>
      <c r="B291" s="26" t="s">
        <v>740</v>
      </c>
      <c r="C291" s="26" t="s">
        <v>208</v>
      </c>
      <c r="D291" s="26" t="s">
        <v>209</v>
      </c>
      <c r="E291" s="26" t="s">
        <v>210</v>
      </c>
      <c r="F291" s="26" t="s">
        <v>211</v>
      </c>
      <c r="G291" s="30" t="s">
        <v>212</v>
      </c>
      <c r="I291" s="1" t="str">
        <f>Table1[[#This Row],[Building ID]]</f>
        <v>a1826000001pj8yAAA</v>
      </c>
      <c r="J291" t="str">
        <f>VLOOKUP(C291,'Distinct Queues'!$A$3:$B$39,2,FALSE)</f>
        <v>Finance_Team</v>
      </c>
      <c r="K291" t="str">
        <f>VLOOKUP(D291,'Distinct Queues'!$A$3:$B$39,2,FALSE)</f>
        <v>Customer_Service_Team</v>
      </c>
      <c r="L291" t="str">
        <f>VLOOKUP(E291,'Distinct Queues'!$A$3:$B$39,2,FALSE)</f>
        <v>PRS_London</v>
      </c>
      <c r="M291" t="str">
        <f>VLOOKUP(F291,'Distinct Queues'!$A$3:$B$39,2,FALSE)</f>
        <v>AM_PRS_London</v>
      </c>
      <c r="N291" t="str">
        <f>VLOOKUP(G291,'Distinct Queues'!$A$3:$B$39,2,FALSE)</f>
        <v>Lettings_South</v>
      </c>
    </row>
    <row r="292" spans="1:14">
      <c r="A292" s="25" t="s">
        <v>741</v>
      </c>
      <c r="B292" s="26" t="s">
        <v>742</v>
      </c>
      <c r="C292" s="27" t="s">
        <v>208</v>
      </c>
      <c r="D292" s="27" t="s">
        <v>209</v>
      </c>
      <c r="E292" s="27" t="s">
        <v>210</v>
      </c>
      <c r="F292" s="27" t="s">
        <v>211</v>
      </c>
      <c r="G292" s="28" t="s">
        <v>212</v>
      </c>
      <c r="I292" s="1" t="str">
        <f>Table1[[#This Row],[Building ID]]</f>
        <v>a1826000001pj8oAAA</v>
      </c>
      <c r="J292" t="str">
        <f>VLOOKUP(C292,'Distinct Queues'!$A$3:$B$39,2,FALSE)</f>
        <v>Finance_Team</v>
      </c>
      <c r="K292" t="str">
        <f>VLOOKUP(D292,'Distinct Queues'!$A$3:$B$39,2,FALSE)</f>
        <v>Customer_Service_Team</v>
      </c>
      <c r="L292" t="str">
        <f>VLOOKUP(E292,'Distinct Queues'!$A$3:$B$39,2,FALSE)</f>
        <v>PRS_London</v>
      </c>
      <c r="M292" t="str">
        <f>VLOOKUP(F292,'Distinct Queues'!$A$3:$B$39,2,FALSE)</f>
        <v>AM_PRS_London</v>
      </c>
      <c r="N292" t="str">
        <f>VLOOKUP(G292,'Distinct Queues'!$A$3:$B$39,2,FALSE)</f>
        <v>Lettings_South</v>
      </c>
    </row>
    <row r="293" spans="1:14">
      <c r="A293" s="29" t="s">
        <v>743</v>
      </c>
      <c r="B293" s="26" t="s">
        <v>744</v>
      </c>
      <c r="C293" s="26" t="s">
        <v>208</v>
      </c>
      <c r="D293" s="26" t="s">
        <v>209</v>
      </c>
      <c r="E293" s="26" t="s">
        <v>210</v>
      </c>
      <c r="F293" s="26" t="s">
        <v>211</v>
      </c>
      <c r="G293" s="30" t="s">
        <v>212</v>
      </c>
      <c r="I293" s="1" t="str">
        <f>Table1[[#This Row],[Building ID]]</f>
        <v>a1826000001pj98AAA</v>
      </c>
      <c r="J293" t="str">
        <f>VLOOKUP(C293,'Distinct Queues'!$A$3:$B$39,2,FALSE)</f>
        <v>Finance_Team</v>
      </c>
      <c r="K293" t="str">
        <f>VLOOKUP(D293,'Distinct Queues'!$A$3:$B$39,2,FALSE)</f>
        <v>Customer_Service_Team</v>
      </c>
      <c r="L293" t="str">
        <f>VLOOKUP(E293,'Distinct Queues'!$A$3:$B$39,2,FALSE)</f>
        <v>PRS_London</v>
      </c>
      <c r="M293" t="str">
        <f>VLOOKUP(F293,'Distinct Queues'!$A$3:$B$39,2,FALSE)</f>
        <v>AM_PRS_London</v>
      </c>
      <c r="N293" t="str">
        <f>VLOOKUP(G293,'Distinct Queues'!$A$3:$B$39,2,FALSE)</f>
        <v>Lettings_South</v>
      </c>
    </row>
    <row r="294" spans="1:14">
      <c r="A294" s="25" t="s">
        <v>745</v>
      </c>
      <c r="B294" s="26" t="s">
        <v>746</v>
      </c>
      <c r="C294" s="27" t="s">
        <v>208</v>
      </c>
      <c r="D294" s="27" t="s">
        <v>209</v>
      </c>
      <c r="E294" s="27" t="s">
        <v>210</v>
      </c>
      <c r="F294" s="27" t="s">
        <v>211</v>
      </c>
      <c r="G294" s="28" t="s">
        <v>212</v>
      </c>
      <c r="I294" s="1" t="str">
        <f>Table1[[#This Row],[Building ID]]</f>
        <v>a1826000001pj93AAA</v>
      </c>
      <c r="J294" t="str">
        <f>VLOOKUP(C294,'Distinct Queues'!$A$3:$B$39,2,FALSE)</f>
        <v>Finance_Team</v>
      </c>
      <c r="K294" t="str">
        <f>VLOOKUP(D294,'Distinct Queues'!$A$3:$B$39,2,FALSE)</f>
        <v>Customer_Service_Team</v>
      </c>
      <c r="L294" t="str">
        <f>VLOOKUP(E294,'Distinct Queues'!$A$3:$B$39,2,FALSE)</f>
        <v>PRS_London</v>
      </c>
      <c r="M294" t="str">
        <f>VLOOKUP(F294,'Distinct Queues'!$A$3:$B$39,2,FALSE)</f>
        <v>AM_PRS_London</v>
      </c>
      <c r="N294" t="str">
        <f>VLOOKUP(G294,'Distinct Queues'!$A$3:$B$39,2,FALSE)</f>
        <v>Lettings_South</v>
      </c>
    </row>
    <row r="295" spans="1:14">
      <c r="A295" s="29" t="s">
        <v>747</v>
      </c>
      <c r="B295" s="26" t="s">
        <v>748</v>
      </c>
      <c r="C295" s="26" t="s">
        <v>208</v>
      </c>
      <c r="D295" s="26" t="s">
        <v>209</v>
      </c>
      <c r="E295" s="26" t="s">
        <v>210</v>
      </c>
      <c r="F295" s="26" t="s">
        <v>211</v>
      </c>
      <c r="G295" s="30" t="s">
        <v>212</v>
      </c>
      <c r="I295" s="1" t="str">
        <f>Table1[[#This Row],[Building ID]]</f>
        <v>a1826000001pjApAAI</v>
      </c>
      <c r="J295" t="str">
        <f>VLOOKUP(C295,'Distinct Queues'!$A$3:$B$39,2,FALSE)</f>
        <v>Finance_Team</v>
      </c>
      <c r="K295" t="str">
        <f>VLOOKUP(D295,'Distinct Queues'!$A$3:$B$39,2,FALSE)</f>
        <v>Customer_Service_Team</v>
      </c>
      <c r="L295" t="str">
        <f>VLOOKUP(E295,'Distinct Queues'!$A$3:$B$39,2,FALSE)</f>
        <v>PRS_London</v>
      </c>
      <c r="M295" t="str">
        <f>VLOOKUP(F295,'Distinct Queues'!$A$3:$B$39,2,FALSE)</f>
        <v>AM_PRS_London</v>
      </c>
      <c r="N295" t="str">
        <f>VLOOKUP(G295,'Distinct Queues'!$A$3:$B$39,2,FALSE)</f>
        <v>Lettings_South</v>
      </c>
    </row>
    <row r="296" spans="1:14">
      <c r="A296" s="25" t="s">
        <v>749</v>
      </c>
      <c r="B296" s="26" t="s">
        <v>750</v>
      </c>
      <c r="C296" s="27" t="s">
        <v>208</v>
      </c>
      <c r="D296" s="27" t="s">
        <v>209</v>
      </c>
      <c r="E296" s="27" t="s">
        <v>210</v>
      </c>
      <c r="F296" s="27" t="s">
        <v>211</v>
      </c>
      <c r="G296" s="28" t="s">
        <v>212</v>
      </c>
      <c r="I296" s="1" t="str">
        <f>Table1[[#This Row],[Building ID]]</f>
        <v>a1826000001picEAAQ</v>
      </c>
      <c r="J296" t="str">
        <f>VLOOKUP(C296,'Distinct Queues'!$A$3:$B$39,2,FALSE)</f>
        <v>Finance_Team</v>
      </c>
      <c r="K296" t="str">
        <f>VLOOKUP(D296,'Distinct Queues'!$A$3:$B$39,2,FALSE)</f>
        <v>Customer_Service_Team</v>
      </c>
      <c r="L296" t="str">
        <f>VLOOKUP(E296,'Distinct Queues'!$A$3:$B$39,2,FALSE)</f>
        <v>PRS_London</v>
      </c>
      <c r="M296" t="str">
        <f>VLOOKUP(F296,'Distinct Queues'!$A$3:$B$39,2,FALSE)</f>
        <v>AM_PRS_London</v>
      </c>
      <c r="N296" t="str">
        <f>VLOOKUP(G296,'Distinct Queues'!$A$3:$B$39,2,FALSE)</f>
        <v>Lettings_South</v>
      </c>
    </row>
    <row r="297" spans="1:14">
      <c r="A297" s="29" t="s">
        <v>751</v>
      </c>
      <c r="B297" s="26" t="s">
        <v>752</v>
      </c>
      <c r="C297" s="26" t="s">
        <v>208</v>
      </c>
      <c r="D297" s="26" t="s">
        <v>209</v>
      </c>
      <c r="E297" s="26" t="s">
        <v>210</v>
      </c>
      <c r="F297" s="26" t="s">
        <v>211</v>
      </c>
      <c r="G297" s="30" t="s">
        <v>212</v>
      </c>
      <c r="I297" s="1" t="str">
        <f>Table1[[#This Row],[Building ID]]</f>
        <v>a1826000001piYiAAI</v>
      </c>
      <c r="J297" t="str">
        <f>VLOOKUP(C297,'Distinct Queues'!$A$3:$B$39,2,FALSE)</f>
        <v>Finance_Team</v>
      </c>
      <c r="K297" t="str">
        <f>VLOOKUP(D297,'Distinct Queues'!$A$3:$B$39,2,FALSE)</f>
        <v>Customer_Service_Team</v>
      </c>
      <c r="L297" t="str">
        <f>VLOOKUP(E297,'Distinct Queues'!$A$3:$B$39,2,FALSE)</f>
        <v>PRS_London</v>
      </c>
      <c r="M297" t="str">
        <f>VLOOKUP(F297,'Distinct Queues'!$A$3:$B$39,2,FALSE)</f>
        <v>AM_PRS_London</v>
      </c>
      <c r="N297" t="str">
        <f>VLOOKUP(G297,'Distinct Queues'!$A$3:$B$39,2,FALSE)</f>
        <v>Lettings_South</v>
      </c>
    </row>
    <row r="298" spans="1:14">
      <c r="A298" s="25" t="s">
        <v>753</v>
      </c>
      <c r="B298" s="26" t="s">
        <v>754</v>
      </c>
      <c r="C298" s="27" t="s">
        <v>208</v>
      </c>
      <c r="D298" s="27" t="s">
        <v>209</v>
      </c>
      <c r="E298" s="27" t="s">
        <v>210</v>
      </c>
      <c r="F298" s="27" t="s">
        <v>211</v>
      </c>
      <c r="G298" s="28" t="s">
        <v>212</v>
      </c>
      <c r="I298" s="1" t="str">
        <f>Table1[[#This Row],[Building ID]]</f>
        <v>a1826000001piYqAAI</v>
      </c>
      <c r="J298" t="str">
        <f>VLOOKUP(C298,'Distinct Queues'!$A$3:$B$39,2,FALSE)</f>
        <v>Finance_Team</v>
      </c>
      <c r="K298" t="str">
        <f>VLOOKUP(D298,'Distinct Queues'!$A$3:$B$39,2,FALSE)</f>
        <v>Customer_Service_Team</v>
      </c>
      <c r="L298" t="str">
        <f>VLOOKUP(E298,'Distinct Queues'!$A$3:$B$39,2,FALSE)</f>
        <v>PRS_London</v>
      </c>
      <c r="M298" t="str">
        <f>VLOOKUP(F298,'Distinct Queues'!$A$3:$B$39,2,FALSE)</f>
        <v>AM_PRS_London</v>
      </c>
      <c r="N298" t="str">
        <f>VLOOKUP(G298,'Distinct Queues'!$A$3:$B$39,2,FALSE)</f>
        <v>Lettings_South</v>
      </c>
    </row>
    <row r="299" spans="1:14">
      <c r="A299" s="29" t="s">
        <v>755</v>
      </c>
      <c r="B299" s="26" t="s">
        <v>756</v>
      </c>
      <c r="C299" s="26" t="s">
        <v>208</v>
      </c>
      <c r="D299" s="26" t="s">
        <v>209</v>
      </c>
      <c r="E299" s="26" t="s">
        <v>210</v>
      </c>
      <c r="F299" s="26" t="s">
        <v>211</v>
      </c>
      <c r="G299" s="30" t="s">
        <v>212</v>
      </c>
      <c r="I299" s="1" t="str">
        <f>Table1[[#This Row],[Building ID]]</f>
        <v>a1826000001piYvAAI</v>
      </c>
      <c r="J299" t="str">
        <f>VLOOKUP(C299,'Distinct Queues'!$A$3:$B$39,2,FALSE)</f>
        <v>Finance_Team</v>
      </c>
      <c r="K299" t="str">
        <f>VLOOKUP(D299,'Distinct Queues'!$A$3:$B$39,2,FALSE)</f>
        <v>Customer_Service_Team</v>
      </c>
      <c r="L299" t="str">
        <f>VLOOKUP(E299,'Distinct Queues'!$A$3:$B$39,2,FALSE)</f>
        <v>PRS_London</v>
      </c>
      <c r="M299" t="str">
        <f>VLOOKUP(F299,'Distinct Queues'!$A$3:$B$39,2,FALSE)</f>
        <v>AM_PRS_London</v>
      </c>
      <c r="N299" t="str">
        <f>VLOOKUP(G299,'Distinct Queues'!$A$3:$B$39,2,FALSE)</f>
        <v>Lettings_South</v>
      </c>
    </row>
    <row r="300" spans="1:14">
      <c r="A300" s="25" t="s">
        <v>757</v>
      </c>
      <c r="B300" s="26" t="s">
        <v>758</v>
      </c>
      <c r="C300" s="27" t="s">
        <v>208</v>
      </c>
      <c r="D300" s="27" t="s">
        <v>209</v>
      </c>
      <c r="E300" s="27" t="s">
        <v>210</v>
      </c>
      <c r="F300" s="27" t="s">
        <v>211</v>
      </c>
      <c r="G300" s="28" t="s">
        <v>212</v>
      </c>
      <c r="I300" s="1" t="str">
        <f>Table1[[#This Row],[Building ID]]</f>
        <v>a1826000001piZ0AAI</v>
      </c>
      <c r="J300" t="str">
        <f>VLOOKUP(C300,'Distinct Queues'!$A$3:$B$39,2,FALSE)</f>
        <v>Finance_Team</v>
      </c>
      <c r="K300" t="str">
        <f>VLOOKUP(D300,'Distinct Queues'!$A$3:$B$39,2,FALSE)</f>
        <v>Customer_Service_Team</v>
      </c>
      <c r="L300" t="str">
        <f>VLOOKUP(E300,'Distinct Queues'!$A$3:$B$39,2,FALSE)</f>
        <v>PRS_London</v>
      </c>
      <c r="M300" t="str">
        <f>VLOOKUP(F300,'Distinct Queues'!$A$3:$B$39,2,FALSE)</f>
        <v>AM_PRS_London</v>
      </c>
      <c r="N300" t="str">
        <f>VLOOKUP(G300,'Distinct Queues'!$A$3:$B$39,2,FALSE)</f>
        <v>Lettings_South</v>
      </c>
    </row>
    <row r="301" spans="1:14">
      <c r="A301" s="29" t="s">
        <v>759</v>
      </c>
      <c r="B301" s="26" t="s">
        <v>760</v>
      </c>
      <c r="C301" s="26" t="s">
        <v>208</v>
      </c>
      <c r="D301" s="26" t="s">
        <v>209</v>
      </c>
      <c r="E301" s="26" t="s">
        <v>210</v>
      </c>
      <c r="F301" s="26" t="s">
        <v>211</v>
      </c>
      <c r="G301" s="30" t="s">
        <v>212</v>
      </c>
      <c r="I301" s="1" t="str">
        <f>Table1[[#This Row],[Building ID]]</f>
        <v>a1826000001piXoAAI</v>
      </c>
      <c r="J301" t="str">
        <f>VLOOKUP(C301,'Distinct Queues'!$A$3:$B$39,2,FALSE)</f>
        <v>Finance_Team</v>
      </c>
      <c r="K301" t="str">
        <f>VLOOKUP(D301,'Distinct Queues'!$A$3:$B$39,2,FALSE)</f>
        <v>Customer_Service_Team</v>
      </c>
      <c r="L301" t="str">
        <f>VLOOKUP(E301,'Distinct Queues'!$A$3:$B$39,2,FALSE)</f>
        <v>PRS_London</v>
      </c>
      <c r="M301" t="str">
        <f>VLOOKUP(F301,'Distinct Queues'!$A$3:$B$39,2,FALSE)</f>
        <v>AM_PRS_London</v>
      </c>
      <c r="N301" t="str">
        <f>VLOOKUP(G301,'Distinct Queues'!$A$3:$B$39,2,FALSE)</f>
        <v>Lettings_South</v>
      </c>
    </row>
    <row r="302" spans="1:14">
      <c r="A302" s="25" t="s">
        <v>761</v>
      </c>
      <c r="B302" s="26" t="s">
        <v>762</v>
      </c>
      <c r="C302" s="27" t="s">
        <v>208</v>
      </c>
      <c r="D302" s="27" t="s">
        <v>209</v>
      </c>
      <c r="E302" s="27" t="s">
        <v>210</v>
      </c>
      <c r="F302" s="27" t="s">
        <v>211</v>
      </c>
      <c r="G302" s="28" t="s">
        <v>212</v>
      </c>
      <c r="I302" s="1" t="str">
        <f>Table1[[#This Row],[Building ID]]</f>
        <v>a1826000001piZ5AAI</v>
      </c>
      <c r="J302" t="str">
        <f>VLOOKUP(C302,'Distinct Queues'!$A$3:$B$39,2,FALSE)</f>
        <v>Finance_Team</v>
      </c>
      <c r="K302" t="str">
        <f>VLOOKUP(D302,'Distinct Queues'!$A$3:$B$39,2,FALSE)</f>
        <v>Customer_Service_Team</v>
      </c>
      <c r="L302" t="str">
        <f>VLOOKUP(E302,'Distinct Queues'!$A$3:$B$39,2,FALSE)</f>
        <v>PRS_London</v>
      </c>
      <c r="M302" t="str">
        <f>VLOOKUP(F302,'Distinct Queues'!$A$3:$B$39,2,FALSE)</f>
        <v>AM_PRS_London</v>
      </c>
      <c r="N302" t="str">
        <f>VLOOKUP(G302,'Distinct Queues'!$A$3:$B$39,2,FALSE)</f>
        <v>Lettings_South</v>
      </c>
    </row>
    <row r="303" spans="1:14">
      <c r="A303" s="29" t="s">
        <v>763</v>
      </c>
      <c r="B303" s="26" t="s">
        <v>764</v>
      </c>
      <c r="C303" s="26" t="s">
        <v>208</v>
      </c>
      <c r="D303" s="26" t="s">
        <v>209</v>
      </c>
      <c r="E303" s="26" t="s">
        <v>210</v>
      </c>
      <c r="F303" s="26" t="s">
        <v>211</v>
      </c>
      <c r="G303" s="30" t="s">
        <v>212</v>
      </c>
      <c r="I303" s="1" t="str">
        <f>Table1[[#This Row],[Building ID]]</f>
        <v>a1826000001piZFAAY</v>
      </c>
      <c r="J303" t="str">
        <f>VLOOKUP(C303,'Distinct Queues'!$A$3:$B$39,2,FALSE)</f>
        <v>Finance_Team</v>
      </c>
      <c r="K303" t="str">
        <f>VLOOKUP(D303,'Distinct Queues'!$A$3:$B$39,2,FALSE)</f>
        <v>Customer_Service_Team</v>
      </c>
      <c r="L303" t="str">
        <f>VLOOKUP(E303,'Distinct Queues'!$A$3:$B$39,2,FALSE)</f>
        <v>PRS_London</v>
      </c>
      <c r="M303" t="str">
        <f>VLOOKUP(F303,'Distinct Queues'!$A$3:$B$39,2,FALSE)</f>
        <v>AM_PRS_London</v>
      </c>
      <c r="N303" t="str">
        <f>VLOOKUP(G303,'Distinct Queues'!$A$3:$B$39,2,FALSE)</f>
        <v>Lettings_South</v>
      </c>
    </row>
    <row r="304" spans="1:14">
      <c r="A304" s="25" t="s">
        <v>765</v>
      </c>
      <c r="B304" s="26" t="s">
        <v>766</v>
      </c>
      <c r="C304" s="27" t="s">
        <v>208</v>
      </c>
      <c r="D304" s="27" t="s">
        <v>209</v>
      </c>
      <c r="E304" s="27" t="s">
        <v>210</v>
      </c>
      <c r="F304" s="27" t="s">
        <v>211</v>
      </c>
      <c r="G304" s="28" t="s">
        <v>212</v>
      </c>
      <c r="I304" s="1" t="str">
        <f>Table1[[#This Row],[Building ID]]</f>
        <v>a1826000001piXPAAY</v>
      </c>
      <c r="J304" t="str">
        <f>VLOOKUP(C304,'Distinct Queues'!$A$3:$B$39,2,FALSE)</f>
        <v>Finance_Team</v>
      </c>
      <c r="K304" t="str">
        <f>VLOOKUP(D304,'Distinct Queues'!$A$3:$B$39,2,FALSE)</f>
        <v>Customer_Service_Team</v>
      </c>
      <c r="L304" t="str">
        <f>VLOOKUP(E304,'Distinct Queues'!$A$3:$B$39,2,FALSE)</f>
        <v>PRS_London</v>
      </c>
      <c r="M304" t="str">
        <f>VLOOKUP(F304,'Distinct Queues'!$A$3:$B$39,2,FALSE)</f>
        <v>AM_PRS_London</v>
      </c>
      <c r="N304" t="str">
        <f>VLOOKUP(G304,'Distinct Queues'!$A$3:$B$39,2,FALSE)</f>
        <v>Lettings_South</v>
      </c>
    </row>
    <row r="305" spans="1:14">
      <c r="A305" s="29" t="s">
        <v>767</v>
      </c>
      <c r="B305" s="26" t="s">
        <v>768</v>
      </c>
      <c r="C305" s="26" t="s">
        <v>208</v>
      </c>
      <c r="D305" s="26" t="s">
        <v>209</v>
      </c>
      <c r="E305" s="26" t="s">
        <v>210</v>
      </c>
      <c r="F305" s="26" t="s">
        <v>211</v>
      </c>
      <c r="G305" s="30" t="s">
        <v>212</v>
      </c>
      <c r="I305" s="1" t="str">
        <f>Table1[[#This Row],[Building ID]]</f>
        <v>a1826000001pjAfAAI</v>
      </c>
      <c r="J305" t="str">
        <f>VLOOKUP(C305,'Distinct Queues'!$A$3:$B$39,2,FALSE)</f>
        <v>Finance_Team</v>
      </c>
      <c r="K305" t="str">
        <f>VLOOKUP(D305,'Distinct Queues'!$A$3:$B$39,2,FALSE)</f>
        <v>Customer_Service_Team</v>
      </c>
      <c r="L305" t="str">
        <f>VLOOKUP(E305,'Distinct Queues'!$A$3:$B$39,2,FALSE)</f>
        <v>PRS_London</v>
      </c>
      <c r="M305" t="str">
        <f>VLOOKUP(F305,'Distinct Queues'!$A$3:$B$39,2,FALSE)</f>
        <v>AM_PRS_London</v>
      </c>
      <c r="N305" t="str">
        <f>VLOOKUP(G305,'Distinct Queues'!$A$3:$B$39,2,FALSE)</f>
        <v>Lettings_South</v>
      </c>
    </row>
    <row r="306" spans="1:14">
      <c r="A306" s="25" t="s">
        <v>117</v>
      </c>
      <c r="B306" s="26" t="s">
        <v>769</v>
      </c>
      <c r="C306" s="27" t="s">
        <v>208</v>
      </c>
      <c r="D306" s="27" t="s">
        <v>119</v>
      </c>
      <c r="E306" s="27" t="s">
        <v>119</v>
      </c>
      <c r="F306" s="27" t="s">
        <v>120</v>
      </c>
      <c r="G306" s="28" t="s">
        <v>212</v>
      </c>
      <c r="I306" s="1" t="str">
        <f>Table1[[#This Row],[Building ID]]</f>
        <v>a1826000001S1Z9AAK</v>
      </c>
      <c r="J306" t="str">
        <f>VLOOKUP(C306,'Distinct Queues'!$A$3:$B$39,2,FALSE)</f>
        <v>Finance_Team</v>
      </c>
      <c r="K306" t="str">
        <f>VLOOKUP(D306,'Distinct Queues'!$A$3:$B$39,2,FALSE)</f>
        <v>Weavers_Yard_Team</v>
      </c>
      <c r="L306" t="str">
        <f>VLOOKUP(E306,'Distinct Queues'!$A$3:$B$39,2,FALSE)</f>
        <v>Weavers_Yard_Team</v>
      </c>
      <c r="M306" t="str">
        <f>VLOOKUP(F306,'Distinct Queues'!$A$3:$B$39,2,FALSE)</f>
        <v>AM_BTR_London</v>
      </c>
      <c r="N306" t="str">
        <f>VLOOKUP(G306,'Distinct Queues'!$A$3:$B$39,2,FALSE)</f>
        <v>Lettings_South</v>
      </c>
    </row>
    <row r="307" spans="1:14">
      <c r="A307" s="29" t="s">
        <v>121</v>
      </c>
      <c r="B307" s="26" t="s">
        <v>770</v>
      </c>
      <c r="C307" s="26" t="s">
        <v>208</v>
      </c>
      <c r="D307" s="26" t="s">
        <v>119</v>
      </c>
      <c r="E307" s="26" t="s">
        <v>119</v>
      </c>
      <c r="F307" s="26" t="s">
        <v>120</v>
      </c>
      <c r="G307" s="30" t="s">
        <v>212</v>
      </c>
      <c r="I307" s="1" t="str">
        <f>Table1[[#This Row],[Building ID]]</f>
        <v>a1826000001pis6AAA</v>
      </c>
      <c r="J307" t="str">
        <f>VLOOKUP(C307,'Distinct Queues'!$A$3:$B$39,2,FALSE)</f>
        <v>Finance_Team</v>
      </c>
      <c r="K307" t="str">
        <f>VLOOKUP(D307,'Distinct Queues'!$A$3:$B$39,2,FALSE)</f>
        <v>Weavers_Yard_Team</v>
      </c>
      <c r="L307" t="str">
        <f>VLOOKUP(E307,'Distinct Queues'!$A$3:$B$39,2,FALSE)</f>
        <v>Weavers_Yard_Team</v>
      </c>
      <c r="M307" t="str">
        <f>VLOOKUP(F307,'Distinct Queues'!$A$3:$B$39,2,FALSE)</f>
        <v>AM_BTR_London</v>
      </c>
      <c r="N307" t="str">
        <f>VLOOKUP(G307,'Distinct Queues'!$A$3:$B$39,2,FALSE)</f>
        <v>Lettings_South</v>
      </c>
    </row>
    <row r="308" spans="1:14">
      <c r="A308" s="25" t="s">
        <v>123</v>
      </c>
      <c r="B308" s="26" t="s">
        <v>771</v>
      </c>
      <c r="C308" s="27" t="s">
        <v>208</v>
      </c>
      <c r="D308" s="27" t="s">
        <v>119</v>
      </c>
      <c r="E308" s="27" t="s">
        <v>119</v>
      </c>
      <c r="F308" s="27" t="s">
        <v>120</v>
      </c>
      <c r="G308" s="28" t="s">
        <v>212</v>
      </c>
      <c r="I308" s="1" t="str">
        <f>Table1[[#This Row],[Building ID]]</f>
        <v>a1826000001pj1nAAA</v>
      </c>
      <c r="J308" t="str">
        <f>VLOOKUP(C308,'Distinct Queues'!$A$3:$B$39,2,FALSE)</f>
        <v>Finance_Team</v>
      </c>
      <c r="K308" t="str">
        <f>VLOOKUP(D308,'Distinct Queues'!$A$3:$B$39,2,FALSE)</f>
        <v>Weavers_Yard_Team</v>
      </c>
      <c r="L308" t="str">
        <f>VLOOKUP(E308,'Distinct Queues'!$A$3:$B$39,2,FALSE)</f>
        <v>Weavers_Yard_Team</v>
      </c>
      <c r="M308" t="str">
        <f>VLOOKUP(F308,'Distinct Queues'!$A$3:$B$39,2,FALSE)</f>
        <v>AM_BTR_London</v>
      </c>
      <c r="N308" t="str">
        <f>VLOOKUP(G308,'Distinct Queues'!$A$3:$B$39,2,FALSE)</f>
        <v>Lettings_South</v>
      </c>
    </row>
    <row r="309" spans="1:14">
      <c r="A309" s="29" t="s">
        <v>125</v>
      </c>
      <c r="B309" s="26" t="s">
        <v>772</v>
      </c>
      <c r="C309" s="26" t="s">
        <v>208</v>
      </c>
      <c r="D309" s="26" t="s">
        <v>119</v>
      </c>
      <c r="E309" s="26" t="s">
        <v>119</v>
      </c>
      <c r="F309" s="26" t="s">
        <v>120</v>
      </c>
      <c r="G309" s="30" t="s">
        <v>212</v>
      </c>
      <c r="I309" s="1" t="str">
        <f>Table1[[#This Row],[Building ID]]</f>
        <v>a1826000001pj1sAAA</v>
      </c>
      <c r="J309" t="str">
        <f>VLOOKUP(C309,'Distinct Queues'!$A$3:$B$39,2,FALSE)</f>
        <v>Finance_Team</v>
      </c>
      <c r="K309" t="str">
        <f>VLOOKUP(D309,'Distinct Queues'!$A$3:$B$39,2,FALSE)</f>
        <v>Weavers_Yard_Team</v>
      </c>
      <c r="L309" t="str">
        <f>VLOOKUP(E309,'Distinct Queues'!$A$3:$B$39,2,FALSE)</f>
        <v>Weavers_Yard_Team</v>
      </c>
      <c r="M309" t="str">
        <f>VLOOKUP(F309,'Distinct Queues'!$A$3:$B$39,2,FALSE)</f>
        <v>AM_BTR_London</v>
      </c>
      <c r="N309" t="str">
        <f>VLOOKUP(G309,'Distinct Queues'!$A$3:$B$39,2,FALSE)</f>
        <v>Lettings_South</v>
      </c>
    </row>
    <row r="310" spans="1:14">
      <c r="A310" s="25" t="s">
        <v>129</v>
      </c>
      <c r="B310" s="26" t="s">
        <v>773</v>
      </c>
      <c r="C310" s="27" t="s">
        <v>208</v>
      </c>
      <c r="D310" s="27" t="s">
        <v>119</v>
      </c>
      <c r="E310" s="27" t="s">
        <v>119</v>
      </c>
      <c r="F310" s="27" t="s">
        <v>120</v>
      </c>
      <c r="G310" s="28" t="s">
        <v>212</v>
      </c>
      <c r="I310" s="1" t="str">
        <f>Table1[[#This Row],[Building ID]]</f>
        <v>a1826000001pj22AAA</v>
      </c>
      <c r="J310" t="str">
        <f>VLOOKUP(C310,'Distinct Queues'!$A$3:$B$39,2,FALSE)</f>
        <v>Finance_Team</v>
      </c>
      <c r="K310" t="str">
        <f>VLOOKUP(D310,'Distinct Queues'!$A$3:$B$39,2,FALSE)</f>
        <v>Weavers_Yard_Team</v>
      </c>
      <c r="L310" t="str">
        <f>VLOOKUP(E310,'Distinct Queues'!$A$3:$B$39,2,FALSE)</f>
        <v>Weavers_Yard_Team</v>
      </c>
      <c r="M310" t="str">
        <f>VLOOKUP(F310,'Distinct Queues'!$A$3:$B$39,2,FALSE)</f>
        <v>AM_BTR_London</v>
      </c>
      <c r="N310" t="str">
        <f>VLOOKUP(G310,'Distinct Queues'!$A$3:$B$39,2,FALSE)</f>
        <v>Lettings_South</v>
      </c>
    </row>
    <row r="311" spans="1:14">
      <c r="A311" s="29" t="s">
        <v>131</v>
      </c>
      <c r="B311" s="26" t="s">
        <v>774</v>
      </c>
      <c r="C311" s="26" t="s">
        <v>208</v>
      </c>
      <c r="D311" s="26" t="s">
        <v>119</v>
      </c>
      <c r="E311" s="26" t="s">
        <v>119</v>
      </c>
      <c r="F311" s="26" t="s">
        <v>120</v>
      </c>
      <c r="G311" s="30" t="s">
        <v>212</v>
      </c>
      <c r="I311" s="1" t="str">
        <f>Table1[[#This Row],[Building ID]]</f>
        <v>a1826000001pj1dAAA</v>
      </c>
      <c r="J311" t="str">
        <f>VLOOKUP(C311,'Distinct Queues'!$A$3:$B$39,2,FALSE)</f>
        <v>Finance_Team</v>
      </c>
      <c r="K311" t="str">
        <f>VLOOKUP(D311,'Distinct Queues'!$A$3:$B$39,2,FALSE)</f>
        <v>Weavers_Yard_Team</v>
      </c>
      <c r="L311" t="str">
        <f>VLOOKUP(E311,'Distinct Queues'!$A$3:$B$39,2,FALSE)</f>
        <v>Weavers_Yard_Team</v>
      </c>
      <c r="M311" t="str">
        <f>VLOOKUP(F311,'Distinct Queues'!$A$3:$B$39,2,FALSE)</f>
        <v>AM_BTR_London</v>
      </c>
      <c r="N311" t="str">
        <f>VLOOKUP(G311,'Distinct Queues'!$A$3:$B$39,2,FALSE)</f>
        <v>Lettings_South</v>
      </c>
    </row>
    <row r="312" spans="1:14">
      <c r="A312" s="25" t="s">
        <v>133</v>
      </c>
      <c r="B312" s="26" t="s">
        <v>775</v>
      </c>
      <c r="C312" s="27" t="s">
        <v>208</v>
      </c>
      <c r="D312" s="27" t="s">
        <v>119</v>
      </c>
      <c r="E312" s="27" t="s">
        <v>119</v>
      </c>
      <c r="F312" s="27" t="s">
        <v>120</v>
      </c>
      <c r="G312" s="28" t="s">
        <v>212</v>
      </c>
      <c r="I312" s="1" t="str">
        <f>Table1[[#This Row],[Building ID]]</f>
        <v>a1826000001piwjAAA</v>
      </c>
      <c r="J312" t="str">
        <f>VLOOKUP(C312,'Distinct Queues'!$A$3:$B$39,2,FALSE)</f>
        <v>Finance_Team</v>
      </c>
      <c r="K312" t="str">
        <f>VLOOKUP(D312,'Distinct Queues'!$A$3:$B$39,2,FALSE)</f>
        <v>Weavers_Yard_Team</v>
      </c>
      <c r="L312" t="str">
        <f>VLOOKUP(E312,'Distinct Queues'!$A$3:$B$39,2,FALSE)</f>
        <v>Weavers_Yard_Team</v>
      </c>
      <c r="M312" t="str">
        <f>VLOOKUP(F312,'Distinct Queues'!$A$3:$B$39,2,FALSE)</f>
        <v>AM_BTR_London</v>
      </c>
      <c r="N312" t="str">
        <f>VLOOKUP(G312,'Distinct Queues'!$A$3:$B$39,2,FALSE)</f>
        <v>Lettings_South</v>
      </c>
    </row>
    <row r="313" spans="1:14">
      <c r="A313" s="29" t="s">
        <v>127</v>
      </c>
      <c r="B313" s="26" t="s">
        <v>776</v>
      </c>
      <c r="C313" s="26" t="s">
        <v>208</v>
      </c>
      <c r="D313" s="26" t="s">
        <v>119</v>
      </c>
      <c r="E313" s="26" t="s">
        <v>119</v>
      </c>
      <c r="F313" s="26" t="s">
        <v>120</v>
      </c>
      <c r="G313" s="30" t="s">
        <v>212</v>
      </c>
      <c r="I313" s="1" t="str">
        <f>Table1[[#This Row],[Building ID]]</f>
        <v>a1826000001S1YnAAK</v>
      </c>
      <c r="J313" t="str">
        <f>VLOOKUP(C313,'Distinct Queues'!$A$3:$B$39,2,FALSE)</f>
        <v>Finance_Team</v>
      </c>
      <c r="K313" t="str">
        <f>VLOOKUP(D313,'Distinct Queues'!$A$3:$B$39,2,FALSE)</f>
        <v>Weavers_Yard_Team</v>
      </c>
      <c r="L313" t="str">
        <f>VLOOKUP(E313,'Distinct Queues'!$A$3:$B$39,2,FALSE)</f>
        <v>Weavers_Yard_Team</v>
      </c>
      <c r="M313" t="str">
        <f>VLOOKUP(F313,'Distinct Queues'!$A$3:$B$39,2,FALSE)</f>
        <v>AM_BTR_London</v>
      </c>
      <c r="N313" t="str">
        <f>VLOOKUP(G313,'Distinct Queues'!$A$3:$B$39,2,FALSE)</f>
        <v>Lettings_South</v>
      </c>
    </row>
    <row r="314" spans="1:14">
      <c r="A314" s="25" t="s">
        <v>777</v>
      </c>
      <c r="B314" s="26" t="s">
        <v>778</v>
      </c>
      <c r="C314" s="27" t="s">
        <v>208</v>
      </c>
      <c r="D314" s="27" t="s">
        <v>209</v>
      </c>
      <c r="E314" s="27" t="s">
        <v>210</v>
      </c>
      <c r="F314" s="27" t="s">
        <v>211</v>
      </c>
      <c r="G314" s="28" t="s">
        <v>212</v>
      </c>
      <c r="I314" s="1" t="str">
        <f>Table1[[#This Row],[Building ID]]</f>
        <v>a1826000001pj9IAAQ</v>
      </c>
      <c r="J314" t="str">
        <f>VLOOKUP(C314,'Distinct Queues'!$A$3:$B$39,2,FALSE)</f>
        <v>Finance_Team</v>
      </c>
      <c r="K314" t="str">
        <f>VLOOKUP(D314,'Distinct Queues'!$A$3:$B$39,2,FALSE)</f>
        <v>Customer_Service_Team</v>
      </c>
      <c r="L314" t="str">
        <f>VLOOKUP(E314,'Distinct Queues'!$A$3:$B$39,2,FALSE)</f>
        <v>PRS_London</v>
      </c>
      <c r="M314" t="str">
        <f>VLOOKUP(F314,'Distinct Queues'!$A$3:$B$39,2,FALSE)</f>
        <v>AM_PRS_London</v>
      </c>
      <c r="N314" t="str">
        <f>VLOOKUP(G314,'Distinct Queues'!$A$3:$B$39,2,FALSE)</f>
        <v>Lettings_South</v>
      </c>
    </row>
    <row r="315" spans="1:14">
      <c r="A315" s="29" t="s">
        <v>779</v>
      </c>
      <c r="B315" s="26" t="s">
        <v>780</v>
      </c>
      <c r="C315" s="26" t="s">
        <v>208</v>
      </c>
      <c r="D315" s="26" t="s">
        <v>209</v>
      </c>
      <c r="E315" s="26" t="s">
        <v>210</v>
      </c>
      <c r="F315" s="26" t="s">
        <v>211</v>
      </c>
      <c r="G315" s="30" t="s">
        <v>212</v>
      </c>
      <c r="I315" s="1" t="str">
        <f>Table1[[#This Row],[Building ID]]</f>
        <v>a1826000001pj9DAAQ</v>
      </c>
      <c r="J315" t="str">
        <f>VLOOKUP(C315,'Distinct Queues'!$A$3:$B$39,2,FALSE)</f>
        <v>Finance_Team</v>
      </c>
      <c r="K315" t="str">
        <f>VLOOKUP(D315,'Distinct Queues'!$A$3:$B$39,2,FALSE)</f>
        <v>Customer_Service_Team</v>
      </c>
      <c r="L315" t="str">
        <f>VLOOKUP(E315,'Distinct Queues'!$A$3:$B$39,2,FALSE)</f>
        <v>PRS_London</v>
      </c>
      <c r="M315" t="str">
        <f>VLOOKUP(F315,'Distinct Queues'!$A$3:$B$39,2,FALSE)</f>
        <v>AM_PRS_London</v>
      </c>
      <c r="N315" t="str">
        <f>VLOOKUP(G315,'Distinct Queues'!$A$3:$B$39,2,FALSE)</f>
        <v>Lettings_South</v>
      </c>
    </row>
    <row r="316" spans="1:14">
      <c r="A316" s="25" t="s">
        <v>781</v>
      </c>
      <c r="B316" s="26" t="s">
        <v>782</v>
      </c>
      <c r="C316" s="27" t="s">
        <v>208</v>
      </c>
      <c r="D316" s="27" t="s">
        <v>209</v>
      </c>
      <c r="E316" s="27" t="s">
        <v>210</v>
      </c>
      <c r="F316" s="27" t="s">
        <v>211</v>
      </c>
      <c r="G316" s="28" t="s">
        <v>212</v>
      </c>
      <c r="I316" s="1" t="str">
        <f>Table1[[#This Row],[Building ID]]</f>
        <v>a1826000001pj9NAAQ</v>
      </c>
      <c r="J316" t="str">
        <f>VLOOKUP(C316,'Distinct Queues'!$A$3:$B$39,2,FALSE)</f>
        <v>Finance_Team</v>
      </c>
      <c r="K316" t="str">
        <f>VLOOKUP(D316,'Distinct Queues'!$A$3:$B$39,2,FALSE)</f>
        <v>Customer_Service_Team</v>
      </c>
      <c r="L316" t="str">
        <f>VLOOKUP(E316,'Distinct Queues'!$A$3:$B$39,2,FALSE)</f>
        <v>PRS_London</v>
      </c>
      <c r="M316" t="str">
        <f>VLOOKUP(F316,'Distinct Queues'!$A$3:$B$39,2,FALSE)</f>
        <v>AM_PRS_London</v>
      </c>
      <c r="N316" t="str">
        <f>VLOOKUP(G316,'Distinct Queues'!$A$3:$B$39,2,FALSE)</f>
        <v>Lettings_South</v>
      </c>
    </row>
    <row r="317" spans="1:14">
      <c r="A317" s="29" t="s">
        <v>783</v>
      </c>
      <c r="B317" s="26" t="s">
        <v>784</v>
      </c>
      <c r="C317" s="26" t="s">
        <v>208</v>
      </c>
      <c r="D317" s="26" t="s">
        <v>209</v>
      </c>
      <c r="E317" s="26" t="s">
        <v>210</v>
      </c>
      <c r="F317" s="26" t="s">
        <v>211</v>
      </c>
      <c r="G317" s="30" t="s">
        <v>212</v>
      </c>
      <c r="I317" s="1" t="str">
        <f>Table1[[#This Row],[Building ID]]</f>
        <v>a1826000001pjAkAAI</v>
      </c>
      <c r="J317" t="str">
        <f>VLOOKUP(C317,'Distinct Queues'!$A$3:$B$39,2,FALSE)</f>
        <v>Finance_Team</v>
      </c>
      <c r="K317" t="str">
        <f>VLOOKUP(D317,'Distinct Queues'!$A$3:$B$39,2,FALSE)</f>
        <v>Customer_Service_Team</v>
      </c>
      <c r="L317" t="str">
        <f>VLOOKUP(E317,'Distinct Queues'!$A$3:$B$39,2,FALSE)</f>
        <v>PRS_London</v>
      </c>
      <c r="M317" t="str">
        <f>VLOOKUP(F317,'Distinct Queues'!$A$3:$B$39,2,FALSE)</f>
        <v>AM_PRS_London</v>
      </c>
      <c r="N317" t="str">
        <f>VLOOKUP(G317,'Distinct Queues'!$A$3:$B$39,2,FALSE)</f>
        <v>Lettings_South</v>
      </c>
    </row>
    <row r="318" spans="1:14">
      <c r="A318" s="29" t="s">
        <v>785</v>
      </c>
      <c r="B318" s="26" t="s">
        <v>786</v>
      </c>
      <c r="C318" s="26" t="s">
        <v>208</v>
      </c>
      <c r="D318" s="26" t="s">
        <v>209</v>
      </c>
      <c r="E318" s="26" t="s">
        <v>225</v>
      </c>
      <c r="F318" s="26" t="s">
        <v>226</v>
      </c>
      <c r="G318" s="30" t="s">
        <v>44</v>
      </c>
      <c r="I318" s="1" t="str">
        <f>Table1[[#This Row],[Building ID]]</f>
        <v>a1826000001piECAAY</v>
      </c>
      <c r="J318" t="str">
        <f>VLOOKUP(C318,'Distinct Queues'!$A$3:$B$39,2,FALSE)</f>
        <v>Finance_Team</v>
      </c>
      <c r="K318" t="str">
        <f>VLOOKUP(D318,'Distinct Queues'!$A$3:$B$39,2,FALSE)</f>
        <v>Customer_Service_Team</v>
      </c>
      <c r="L318" t="str">
        <f>VLOOKUP(E318,'Distinct Queues'!$A$3:$B$39,2,FALSE)</f>
        <v>PRS_Regions</v>
      </c>
      <c r="M318" t="str">
        <f>VLOOKUP(F318,'Distinct Queues'!$A$3:$B$39,2,FALSE)</f>
        <v>AM_PRS_Regions</v>
      </c>
      <c r="N318" t="str">
        <f>VLOOKUP(G318,'Distinct Queues'!$A$3:$B$39,2,FALSE)</f>
        <v>Lettings_North_West</v>
      </c>
    </row>
    <row r="319" spans="1:14">
      <c r="A319" s="25" t="s">
        <v>787</v>
      </c>
      <c r="B319" s="26" t="s">
        <v>788</v>
      </c>
      <c r="C319" s="27" t="s">
        <v>208</v>
      </c>
      <c r="D319" s="27" t="s">
        <v>209</v>
      </c>
      <c r="E319" s="27" t="s">
        <v>225</v>
      </c>
      <c r="F319" s="27" t="s">
        <v>226</v>
      </c>
      <c r="G319" s="28" t="s">
        <v>44</v>
      </c>
      <c r="I319" s="1" t="str">
        <f>Table1[[#This Row],[Building ID]]</f>
        <v>a1826000001phK7AAI</v>
      </c>
      <c r="J319" t="str">
        <f>VLOOKUP(C319,'Distinct Queues'!$A$3:$B$39,2,FALSE)</f>
        <v>Finance_Team</v>
      </c>
      <c r="K319" t="str">
        <f>VLOOKUP(D319,'Distinct Queues'!$A$3:$B$39,2,FALSE)</f>
        <v>Customer_Service_Team</v>
      </c>
      <c r="L319" t="str">
        <f>VLOOKUP(E319,'Distinct Queues'!$A$3:$B$39,2,FALSE)</f>
        <v>PRS_Regions</v>
      </c>
      <c r="M319" t="str">
        <f>VLOOKUP(F319,'Distinct Queues'!$A$3:$B$39,2,FALSE)</f>
        <v>AM_PRS_Regions</v>
      </c>
      <c r="N319" t="str">
        <f>VLOOKUP(G319,'Distinct Queues'!$A$3:$B$39,2,FALSE)</f>
        <v>Lettings_North_West</v>
      </c>
    </row>
    <row r="320" spans="1:14">
      <c r="A320" s="29" t="s">
        <v>789</v>
      </c>
      <c r="B320" s="26" t="s">
        <v>790</v>
      </c>
      <c r="C320" s="26" t="s">
        <v>208</v>
      </c>
      <c r="D320" s="26" t="s">
        <v>209</v>
      </c>
      <c r="E320" s="26" t="s">
        <v>225</v>
      </c>
      <c r="F320" s="26" t="s">
        <v>226</v>
      </c>
      <c r="G320" s="30" t="s">
        <v>44</v>
      </c>
      <c r="I320" s="1" t="str">
        <f>Table1[[#This Row],[Building ID]]</f>
        <v>a1826000001phjFAAQ</v>
      </c>
      <c r="J320" t="str">
        <f>VLOOKUP(C320,'Distinct Queues'!$A$3:$B$39,2,FALSE)</f>
        <v>Finance_Team</v>
      </c>
      <c r="K320" t="str">
        <f>VLOOKUP(D320,'Distinct Queues'!$A$3:$B$39,2,FALSE)</f>
        <v>Customer_Service_Team</v>
      </c>
      <c r="L320" t="str">
        <f>VLOOKUP(E320,'Distinct Queues'!$A$3:$B$39,2,FALSE)</f>
        <v>PRS_Regions</v>
      </c>
      <c r="M320" t="str">
        <f>VLOOKUP(F320,'Distinct Queues'!$A$3:$B$39,2,FALSE)</f>
        <v>AM_PRS_Regions</v>
      </c>
      <c r="N320" t="str">
        <f>VLOOKUP(G320,'Distinct Queues'!$A$3:$B$39,2,FALSE)</f>
        <v>Lettings_North_West</v>
      </c>
    </row>
    <row r="321" spans="1:14">
      <c r="A321" s="25" t="s">
        <v>791</v>
      </c>
      <c r="B321" s="26" t="s">
        <v>792</v>
      </c>
      <c r="C321" s="27" t="s">
        <v>208</v>
      </c>
      <c r="D321" s="27" t="s">
        <v>209</v>
      </c>
      <c r="E321" s="27" t="s">
        <v>225</v>
      </c>
      <c r="F321" s="27" t="s">
        <v>226</v>
      </c>
      <c r="G321" s="28" t="s">
        <v>44</v>
      </c>
      <c r="I321" s="1" t="str">
        <f>Table1[[#This Row],[Building ID]]</f>
        <v>a1826000001piE7AAI</v>
      </c>
      <c r="J321" t="str">
        <f>VLOOKUP(C321,'Distinct Queues'!$A$3:$B$39,2,FALSE)</f>
        <v>Finance_Team</v>
      </c>
      <c r="K321" t="str">
        <f>VLOOKUP(D321,'Distinct Queues'!$A$3:$B$39,2,FALSE)</f>
        <v>Customer_Service_Team</v>
      </c>
      <c r="L321" t="str">
        <f>VLOOKUP(E321,'Distinct Queues'!$A$3:$B$39,2,FALSE)</f>
        <v>PRS_Regions</v>
      </c>
      <c r="M321" t="str">
        <f>VLOOKUP(F321,'Distinct Queues'!$A$3:$B$39,2,FALSE)</f>
        <v>AM_PRS_Regions</v>
      </c>
      <c r="N321" t="str">
        <f>VLOOKUP(G321,'Distinct Queues'!$A$3:$B$39,2,FALSE)</f>
        <v>Lettings_North_West</v>
      </c>
    </row>
    <row r="322" spans="1:14">
      <c r="A322" s="29" t="s">
        <v>793</v>
      </c>
      <c r="B322" s="26" t="s">
        <v>794</v>
      </c>
      <c r="C322" s="26" t="s">
        <v>208</v>
      </c>
      <c r="D322" s="26" t="s">
        <v>209</v>
      </c>
      <c r="E322" s="26" t="s">
        <v>225</v>
      </c>
      <c r="F322" s="26" t="s">
        <v>226</v>
      </c>
      <c r="G322" s="30" t="s">
        <v>44</v>
      </c>
      <c r="I322" s="1" t="str">
        <f>Table1[[#This Row],[Building ID]]</f>
        <v>a1826000001piEMAAY</v>
      </c>
      <c r="J322" t="str">
        <f>VLOOKUP(C322,'Distinct Queues'!$A$3:$B$39,2,FALSE)</f>
        <v>Finance_Team</v>
      </c>
      <c r="K322" t="str">
        <f>VLOOKUP(D322,'Distinct Queues'!$A$3:$B$39,2,FALSE)</f>
        <v>Customer_Service_Team</v>
      </c>
      <c r="L322" t="str">
        <f>VLOOKUP(E322,'Distinct Queues'!$A$3:$B$39,2,FALSE)</f>
        <v>PRS_Regions</v>
      </c>
      <c r="M322" t="str">
        <f>VLOOKUP(F322,'Distinct Queues'!$A$3:$B$39,2,FALSE)</f>
        <v>AM_PRS_Regions</v>
      </c>
      <c r="N322" t="str">
        <f>VLOOKUP(G322,'Distinct Queues'!$A$3:$B$39,2,FALSE)</f>
        <v>Lettings_North_West</v>
      </c>
    </row>
    <row r="323" spans="1:14">
      <c r="A323" s="25" t="s">
        <v>795</v>
      </c>
      <c r="B323" s="26" t="s">
        <v>796</v>
      </c>
      <c r="C323" s="27" t="s">
        <v>208</v>
      </c>
      <c r="D323" s="27" t="s">
        <v>209</v>
      </c>
      <c r="E323" s="27" t="s">
        <v>225</v>
      </c>
      <c r="F323" s="27" t="s">
        <v>226</v>
      </c>
      <c r="G323" s="28" t="s">
        <v>44</v>
      </c>
      <c r="I323" s="1" t="str">
        <f>Table1[[#This Row],[Building ID]]</f>
        <v>a1826000001piEHAAY</v>
      </c>
      <c r="J323" t="str">
        <f>VLOOKUP(C323,'Distinct Queues'!$A$3:$B$39,2,FALSE)</f>
        <v>Finance_Team</v>
      </c>
      <c r="K323" t="str">
        <f>VLOOKUP(D323,'Distinct Queues'!$A$3:$B$39,2,FALSE)</f>
        <v>Customer_Service_Team</v>
      </c>
      <c r="L323" t="str">
        <f>VLOOKUP(E323,'Distinct Queues'!$A$3:$B$39,2,FALSE)</f>
        <v>PRS_Regions</v>
      </c>
      <c r="M323" t="str">
        <f>VLOOKUP(F323,'Distinct Queues'!$A$3:$B$39,2,FALSE)</f>
        <v>AM_PRS_Regions</v>
      </c>
      <c r="N323" t="str">
        <f>VLOOKUP(G323,'Distinct Queues'!$A$3:$B$39,2,FALSE)</f>
        <v>Lettings_North_West</v>
      </c>
    </row>
    <row r="324" spans="1:14">
      <c r="A324" s="29" t="s">
        <v>797</v>
      </c>
      <c r="B324" s="26" t="s">
        <v>798</v>
      </c>
      <c r="C324" s="26" t="s">
        <v>208</v>
      </c>
      <c r="D324" s="26" t="s">
        <v>209</v>
      </c>
      <c r="E324" s="26" t="s">
        <v>225</v>
      </c>
      <c r="F324" s="26" t="s">
        <v>226</v>
      </c>
      <c r="G324" s="30" t="s">
        <v>44</v>
      </c>
      <c r="I324" s="1" t="str">
        <f>Table1[[#This Row],[Building ID]]</f>
        <v>a1826000001piEWAAY</v>
      </c>
      <c r="J324" t="str">
        <f>VLOOKUP(C324,'Distinct Queues'!$A$3:$B$39,2,FALSE)</f>
        <v>Finance_Team</v>
      </c>
      <c r="K324" t="str">
        <f>VLOOKUP(D324,'Distinct Queues'!$A$3:$B$39,2,FALSE)</f>
        <v>Customer_Service_Team</v>
      </c>
      <c r="L324" t="str">
        <f>VLOOKUP(E324,'Distinct Queues'!$A$3:$B$39,2,FALSE)</f>
        <v>PRS_Regions</v>
      </c>
      <c r="M324" t="str">
        <f>VLOOKUP(F324,'Distinct Queues'!$A$3:$B$39,2,FALSE)</f>
        <v>AM_PRS_Regions</v>
      </c>
      <c r="N324" t="str">
        <f>VLOOKUP(G324,'Distinct Queues'!$A$3:$B$39,2,FALSE)</f>
        <v>Lettings_North_West</v>
      </c>
    </row>
    <row r="325" spans="1:14">
      <c r="A325" s="25" t="s">
        <v>799</v>
      </c>
      <c r="B325" s="26" t="s">
        <v>800</v>
      </c>
      <c r="C325" s="27" t="s">
        <v>208</v>
      </c>
      <c r="D325" s="27" t="s">
        <v>209</v>
      </c>
      <c r="E325" s="27" t="s">
        <v>225</v>
      </c>
      <c r="F325" s="27" t="s">
        <v>226</v>
      </c>
      <c r="G325" s="28" t="s">
        <v>44</v>
      </c>
      <c r="I325" s="1" t="str">
        <f>Table1[[#This Row],[Building ID]]</f>
        <v>a1826000001piERAAY</v>
      </c>
      <c r="J325" t="str">
        <f>VLOOKUP(C325,'Distinct Queues'!$A$3:$B$39,2,FALSE)</f>
        <v>Finance_Team</v>
      </c>
      <c r="K325" t="str">
        <f>VLOOKUP(D325,'Distinct Queues'!$A$3:$B$39,2,FALSE)</f>
        <v>Customer_Service_Team</v>
      </c>
      <c r="L325" t="str">
        <f>VLOOKUP(E325,'Distinct Queues'!$A$3:$B$39,2,FALSE)</f>
        <v>PRS_Regions</v>
      </c>
      <c r="M325" t="str">
        <f>VLOOKUP(F325,'Distinct Queues'!$A$3:$B$39,2,FALSE)</f>
        <v>AM_PRS_Regions</v>
      </c>
      <c r="N325" t="str">
        <f>VLOOKUP(G325,'Distinct Queues'!$A$3:$B$39,2,FALSE)</f>
        <v>Lettings_North_West</v>
      </c>
    </row>
    <row r="326" spans="1:14">
      <c r="A326" s="29" t="s">
        <v>801</v>
      </c>
      <c r="B326" s="26" t="s">
        <v>802</v>
      </c>
      <c r="C326" s="26" t="s">
        <v>208</v>
      </c>
      <c r="D326" s="26" t="s">
        <v>209</v>
      </c>
      <c r="E326" s="26" t="s">
        <v>225</v>
      </c>
      <c r="F326" s="26" t="s">
        <v>226</v>
      </c>
      <c r="G326" s="30" t="s">
        <v>44</v>
      </c>
      <c r="I326" s="1" t="str">
        <f>Table1[[#This Row],[Building ID]]</f>
        <v>a1826000001piBiAAI</v>
      </c>
      <c r="J326" t="str">
        <f>VLOOKUP(C326,'Distinct Queues'!$A$3:$B$39,2,FALSE)</f>
        <v>Finance_Team</v>
      </c>
      <c r="K326" t="str">
        <f>VLOOKUP(D326,'Distinct Queues'!$A$3:$B$39,2,FALSE)</f>
        <v>Customer_Service_Team</v>
      </c>
      <c r="L326" t="str">
        <f>VLOOKUP(E326,'Distinct Queues'!$A$3:$B$39,2,FALSE)</f>
        <v>PRS_Regions</v>
      </c>
      <c r="M326" t="str">
        <f>VLOOKUP(F326,'Distinct Queues'!$A$3:$B$39,2,FALSE)</f>
        <v>AM_PRS_Regions</v>
      </c>
      <c r="N326" t="str">
        <f>VLOOKUP(G326,'Distinct Queues'!$A$3:$B$39,2,FALSE)</f>
        <v>Lettings_North_West</v>
      </c>
    </row>
    <row r="327" spans="1:14">
      <c r="A327" s="25" t="s">
        <v>803</v>
      </c>
      <c r="B327" s="26" t="s">
        <v>804</v>
      </c>
      <c r="C327" s="27" t="s">
        <v>208</v>
      </c>
      <c r="D327" s="27" t="s">
        <v>209</v>
      </c>
      <c r="E327" s="27" t="s">
        <v>210</v>
      </c>
      <c r="F327" s="27" t="s">
        <v>211</v>
      </c>
      <c r="G327" s="28" t="s">
        <v>212</v>
      </c>
      <c r="I327" s="1" t="str">
        <f>Table1[[#This Row],[Building ID]]</f>
        <v>a1826000001pj9XAAQ</v>
      </c>
      <c r="J327" t="str">
        <f>VLOOKUP(C327,'Distinct Queues'!$A$3:$B$39,2,FALSE)</f>
        <v>Finance_Team</v>
      </c>
      <c r="K327" t="str">
        <f>VLOOKUP(D327,'Distinct Queues'!$A$3:$B$39,2,FALSE)</f>
        <v>Customer_Service_Team</v>
      </c>
      <c r="L327" t="str">
        <f>VLOOKUP(E327,'Distinct Queues'!$A$3:$B$39,2,FALSE)</f>
        <v>PRS_London</v>
      </c>
      <c r="M327" t="str">
        <f>VLOOKUP(F327,'Distinct Queues'!$A$3:$B$39,2,FALSE)</f>
        <v>AM_PRS_London</v>
      </c>
      <c r="N327" t="str">
        <f>VLOOKUP(G327,'Distinct Queues'!$A$3:$B$39,2,FALSE)</f>
        <v>Lettings_South</v>
      </c>
    </row>
    <row r="328" spans="1:14">
      <c r="A328" s="29" t="s">
        <v>805</v>
      </c>
      <c r="B328" s="26" t="s">
        <v>806</v>
      </c>
      <c r="C328" s="26" t="s">
        <v>208</v>
      </c>
      <c r="D328" s="26" t="s">
        <v>209</v>
      </c>
      <c r="E328" s="26" t="s">
        <v>210</v>
      </c>
      <c r="F328" s="26" t="s">
        <v>211</v>
      </c>
      <c r="G328" s="30" t="s">
        <v>212</v>
      </c>
      <c r="I328" s="1" t="str">
        <f>Table1[[#This Row],[Building ID]]</f>
        <v>a1826000001pjAaAAI</v>
      </c>
      <c r="J328" t="str">
        <f>VLOOKUP(C328,'Distinct Queues'!$A$3:$B$39,2,FALSE)</f>
        <v>Finance_Team</v>
      </c>
      <c r="K328" t="str">
        <f>VLOOKUP(D328,'Distinct Queues'!$A$3:$B$39,2,FALSE)</f>
        <v>Customer_Service_Team</v>
      </c>
      <c r="L328" t="str">
        <f>VLOOKUP(E328,'Distinct Queues'!$A$3:$B$39,2,FALSE)</f>
        <v>PRS_London</v>
      </c>
      <c r="M328" t="str">
        <f>VLOOKUP(F328,'Distinct Queues'!$A$3:$B$39,2,FALSE)</f>
        <v>AM_PRS_London</v>
      </c>
      <c r="N328" t="str">
        <f>VLOOKUP(G328,'Distinct Queues'!$A$3:$B$39,2,FALSE)</f>
        <v>Lettings_South</v>
      </c>
    </row>
    <row r="329" spans="1:14">
      <c r="A329" s="25" t="s">
        <v>191</v>
      </c>
      <c r="B329" s="26" t="s">
        <v>807</v>
      </c>
      <c r="C329" s="27" t="s">
        <v>208</v>
      </c>
      <c r="D329" s="27" t="s">
        <v>194</v>
      </c>
      <c r="E329" s="27" t="s">
        <v>194</v>
      </c>
      <c r="F329" s="27" t="s">
        <v>120</v>
      </c>
      <c r="G329" s="28" t="s">
        <v>212</v>
      </c>
      <c r="I329" s="1" t="str">
        <f>Table1[[#This Row],[Building ID]]</f>
        <v>a1826000001pixSAAQ</v>
      </c>
      <c r="J329" t="str">
        <f>VLOOKUP(C329,'Distinct Queues'!$A$3:$B$39,2,FALSE)</f>
        <v>Finance_Team</v>
      </c>
      <c r="K329" t="str">
        <f>VLOOKUP(D329,'Distinct Queues'!$A$3:$B$39,2,FALSE)</f>
        <v>Windlass_Apartments_Team</v>
      </c>
      <c r="L329" t="str">
        <f>VLOOKUP(E329,'Distinct Queues'!$A$3:$B$39,2,FALSE)</f>
        <v>Windlass_Apartments_Team</v>
      </c>
      <c r="M329" t="str">
        <f>VLOOKUP(F329,'Distinct Queues'!$A$3:$B$39,2,FALSE)</f>
        <v>AM_BTR_London</v>
      </c>
      <c r="N329" t="str">
        <f>VLOOKUP(G329,'Distinct Queues'!$A$3:$B$39,2,FALSE)</f>
        <v>Lettings_South</v>
      </c>
    </row>
    <row r="330" spans="1:14">
      <c r="A330" s="29" t="s">
        <v>808</v>
      </c>
      <c r="B330" s="26" t="s">
        <v>809</v>
      </c>
      <c r="C330" s="26" t="s">
        <v>208</v>
      </c>
      <c r="D330" s="26" t="s">
        <v>209</v>
      </c>
      <c r="E330" s="26" t="s">
        <v>210</v>
      </c>
      <c r="F330" s="26" t="s">
        <v>211</v>
      </c>
      <c r="G330" s="30" t="s">
        <v>212</v>
      </c>
      <c r="I330" s="1" t="str">
        <f>Table1[[#This Row],[Building ID]]</f>
        <v>a1826000001piYNAAY</v>
      </c>
      <c r="J330" t="str">
        <f>VLOOKUP(C330,'Distinct Queues'!$A$3:$B$39,2,FALSE)</f>
        <v>Finance_Team</v>
      </c>
      <c r="K330" t="str">
        <f>VLOOKUP(D330,'Distinct Queues'!$A$3:$B$39,2,FALSE)</f>
        <v>Customer_Service_Team</v>
      </c>
      <c r="L330" t="str">
        <f>VLOOKUP(E330,'Distinct Queues'!$A$3:$B$39,2,FALSE)</f>
        <v>PRS_London</v>
      </c>
      <c r="M330" t="str">
        <f>VLOOKUP(F330,'Distinct Queues'!$A$3:$B$39,2,FALSE)</f>
        <v>AM_PRS_London</v>
      </c>
      <c r="N330" t="str">
        <f>VLOOKUP(G330,'Distinct Queues'!$A$3:$B$39,2,FALSE)</f>
        <v>Lettings_South</v>
      </c>
    </row>
    <row r="331" spans="1:14">
      <c r="A331" s="25" t="s">
        <v>810</v>
      </c>
      <c r="B331" s="26" t="s">
        <v>811</v>
      </c>
      <c r="C331" s="27" t="s">
        <v>208</v>
      </c>
      <c r="D331" s="27" t="s">
        <v>209</v>
      </c>
      <c r="E331" s="27" t="s">
        <v>210</v>
      </c>
      <c r="F331" s="27" t="s">
        <v>211</v>
      </c>
      <c r="G331" s="28" t="s">
        <v>212</v>
      </c>
      <c r="I331" s="1" t="str">
        <f>Table1[[#This Row],[Building ID]]</f>
        <v>a1826000001piZUAAY</v>
      </c>
      <c r="J331" t="str">
        <f>VLOOKUP(C331,'Distinct Queues'!$A$3:$B$39,2,FALSE)</f>
        <v>Finance_Team</v>
      </c>
      <c r="K331" t="str">
        <f>VLOOKUP(D331,'Distinct Queues'!$A$3:$B$39,2,FALSE)</f>
        <v>Customer_Service_Team</v>
      </c>
      <c r="L331" t="str">
        <f>VLOOKUP(E331,'Distinct Queues'!$A$3:$B$39,2,FALSE)</f>
        <v>PRS_London</v>
      </c>
      <c r="M331" t="str">
        <f>VLOOKUP(F331,'Distinct Queues'!$A$3:$B$39,2,FALSE)</f>
        <v>AM_PRS_London</v>
      </c>
      <c r="N331" t="str">
        <f>VLOOKUP(G331,'Distinct Queues'!$A$3:$B$39,2,FALSE)</f>
        <v>Lettings_South</v>
      </c>
    </row>
    <row r="332" spans="1:14">
      <c r="A332" s="31" t="s">
        <v>812</v>
      </c>
      <c r="B332" s="32" t="s">
        <v>813</v>
      </c>
      <c r="C332" s="32" t="s">
        <v>208</v>
      </c>
      <c r="D332" s="32" t="s">
        <v>209</v>
      </c>
      <c r="E332" s="32" t="s">
        <v>210</v>
      </c>
      <c r="F332" s="32" t="s">
        <v>211</v>
      </c>
      <c r="G332" s="33" t="s">
        <v>212</v>
      </c>
      <c r="I332" s="1" t="str">
        <f>Table1[[#This Row],[Building ID]]</f>
        <v>a1826000001pj82AAA</v>
      </c>
      <c r="J332" t="str">
        <f>VLOOKUP(C332,'Distinct Queues'!$A$3:$B$39,2,FALSE)</f>
        <v>Finance_Team</v>
      </c>
      <c r="K332" t="str">
        <f>VLOOKUP(D332,'Distinct Queues'!$A$3:$B$39,2,FALSE)</f>
        <v>Customer_Service_Team</v>
      </c>
      <c r="L332" t="str">
        <f>VLOOKUP(E332,'Distinct Queues'!$A$3:$B$39,2,FALSE)</f>
        <v>PRS_London</v>
      </c>
      <c r="M332" t="str">
        <f>VLOOKUP(F332,'Distinct Queues'!$A$3:$B$39,2,FALSE)</f>
        <v>AM_PRS_London</v>
      </c>
      <c r="N332" t="str">
        <f>VLOOKUP(G332,'Distinct Queues'!$A$3:$B$39,2,FALSE)</f>
        <v>Lettings_South</v>
      </c>
    </row>
    <row r="333" spans="1:14">
      <c r="D333" s="2"/>
      <c r="E333" s="2"/>
      <c r="F333" s="2"/>
      <c r="G333" s="2"/>
      <c r="I333" s="1">
        <f>Table1[[#This Row],[Building ID]]</f>
        <v>0</v>
      </c>
      <c r="J333" t="e">
        <f>VLOOKUP(C333,'Distinct Queues'!$A$3:$B$39,2,FALSE)</f>
        <v>#N/A</v>
      </c>
      <c r="K333" t="e">
        <f>VLOOKUP(D333,'Distinct Queues'!$A$3:$B$39,2,FALSE)</f>
        <v>#N/A</v>
      </c>
      <c r="L333" t="e">
        <f>VLOOKUP(E333,'Distinct Queues'!$A$3:$B$39,2,FALSE)</f>
        <v>#N/A</v>
      </c>
      <c r="M333" t="e">
        <f>VLOOKUP(F333,'Distinct Queues'!$A$3:$B$39,2,FALSE)</f>
        <v>#N/A</v>
      </c>
      <c r="N333" t="e">
        <f>VLOOKUP(G333,'Distinct Queues'!$A$3:$B$39,2,FALSE)</f>
        <v>#N/A</v>
      </c>
    </row>
    <row r="334" spans="1:14">
      <c r="D334" s="2"/>
      <c r="E334" s="2"/>
      <c r="F334" s="2"/>
      <c r="G334" s="2"/>
      <c r="I334" s="1">
        <f>Table1[[#This Row],[Building ID]]</f>
        <v>0</v>
      </c>
      <c r="J334" t="e">
        <f>VLOOKUP(C334,'Distinct Queues'!$A$3:$B$39,2,FALSE)</f>
        <v>#N/A</v>
      </c>
      <c r="K334" t="e">
        <f>VLOOKUP(D334,'Distinct Queues'!$A$3:$B$39,2,FALSE)</f>
        <v>#N/A</v>
      </c>
      <c r="L334" t="e">
        <f>VLOOKUP(E334,'Distinct Queues'!$A$3:$B$39,2,FALSE)</f>
        <v>#N/A</v>
      </c>
      <c r="M334" t="e">
        <f>VLOOKUP(F334,'Distinct Queues'!$A$3:$B$39,2,FALSE)</f>
        <v>#N/A</v>
      </c>
      <c r="N334" t="e">
        <f>VLOOKUP(G334,'Distinct Queues'!$A$3:$B$39,2,FALSE)</f>
        <v>#N/A</v>
      </c>
    </row>
    <row r="335" spans="1:14">
      <c r="D335" s="2"/>
      <c r="E335" s="2"/>
      <c r="F335" s="2"/>
      <c r="G335" s="2"/>
      <c r="I335" s="1">
        <f>Table1[[#This Row],[Building ID]]</f>
        <v>0</v>
      </c>
      <c r="J335" t="e">
        <f>VLOOKUP(C335,'Distinct Queues'!$A$3:$B$39,2,FALSE)</f>
        <v>#N/A</v>
      </c>
      <c r="K335" t="e">
        <f>VLOOKUP(D335,'Distinct Queues'!$A$3:$B$39,2,FALSE)</f>
        <v>#N/A</v>
      </c>
      <c r="L335" t="e">
        <f>VLOOKUP(E335,'Distinct Queues'!$A$3:$B$39,2,FALSE)</f>
        <v>#N/A</v>
      </c>
      <c r="M335" t="e">
        <f>VLOOKUP(F335,'Distinct Queues'!$A$3:$B$39,2,FALSE)</f>
        <v>#N/A</v>
      </c>
      <c r="N335" t="e">
        <f>VLOOKUP(G335,'Distinct Queues'!$A$3:$B$39,2,FALSE)</f>
        <v>#N/A</v>
      </c>
    </row>
    <row r="336" spans="1:14">
      <c r="D336" s="2"/>
      <c r="E336" s="2"/>
      <c r="F336" s="2"/>
      <c r="G336" s="2"/>
      <c r="I336" s="1">
        <f>Table1[[#This Row],[Building ID]]</f>
        <v>0</v>
      </c>
      <c r="J336" t="e">
        <f>VLOOKUP(C336,'Distinct Queues'!$A$3:$B$39,2,FALSE)</f>
        <v>#N/A</v>
      </c>
      <c r="K336" t="e">
        <f>VLOOKUP(D336,'Distinct Queues'!$A$3:$B$39,2,FALSE)</f>
        <v>#N/A</v>
      </c>
      <c r="L336" t="e">
        <f>VLOOKUP(E336,'Distinct Queues'!$A$3:$B$39,2,FALSE)</f>
        <v>#N/A</v>
      </c>
      <c r="M336" t="e">
        <f>VLOOKUP(F336,'Distinct Queues'!$A$3:$B$39,2,FALSE)</f>
        <v>#N/A</v>
      </c>
      <c r="N336" t="e">
        <f>VLOOKUP(G336,'Distinct Queues'!$A$3:$B$39,2,FALSE)</f>
        <v>#N/A</v>
      </c>
    </row>
    <row r="337" spans="4:14">
      <c r="D337" s="2"/>
      <c r="E337" s="2"/>
      <c r="F337" s="2"/>
      <c r="G337" s="2"/>
      <c r="I337" s="1">
        <f>Table1[[#This Row],[Building ID]]</f>
        <v>0</v>
      </c>
      <c r="J337" t="e">
        <f>VLOOKUP(C337,'Distinct Queues'!$A$3:$B$39,2,FALSE)</f>
        <v>#N/A</v>
      </c>
      <c r="K337" t="e">
        <f>VLOOKUP(D337,'Distinct Queues'!$A$3:$B$39,2,FALSE)</f>
        <v>#N/A</v>
      </c>
      <c r="L337" t="e">
        <f>VLOOKUP(E337,'Distinct Queues'!$A$3:$B$39,2,FALSE)</f>
        <v>#N/A</v>
      </c>
      <c r="M337" t="e">
        <f>VLOOKUP(F337,'Distinct Queues'!$A$3:$B$39,2,FALSE)</f>
        <v>#N/A</v>
      </c>
      <c r="N337" t="e">
        <f>VLOOKUP(G337,'Distinct Queues'!$A$3:$B$39,2,FALSE)</f>
        <v>#N/A</v>
      </c>
    </row>
    <row r="338" spans="4:14">
      <c r="D338" s="2"/>
      <c r="E338" s="2"/>
      <c r="F338" s="2"/>
      <c r="G338" s="2"/>
      <c r="I338" s="1">
        <f>Table1[[#This Row],[Building ID]]</f>
        <v>0</v>
      </c>
      <c r="J338" t="e">
        <f>VLOOKUP(C338,'Distinct Queues'!$A$3:$B$39,2,FALSE)</f>
        <v>#N/A</v>
      </c>
      <c r="K338" t="e">
        <f>VLOOKUP(D338,'Distinct Queues'!$A$3:$B$39,2,FALSE)</f>
        <v>#N/A</v>
      </c>
      <c r="L338" t="e">
        <f>VLOOKUP(E338,'Distinct Queues'!$A$3:$B$39,2,FALSE)</f>
        <v>#N/A</v>
      </c>
      <c r="M338" t="e">
        <f>VLOOKUP(F338,'Distinct Queues'!$A$3:$B$39,2,FALSE)</f>
        <v>#N/A</v>
      </c>
      <c r="N338" t="e">
        <f>VLOOKUP(G338,'Distinct Queues'!$A$3:$B$39,2,FALSE)</f>
        <v>#N/A</v>
      </c>
    </row>
    <row r="339" spans="4:14">
      <c r="D339" s="2"/>
      <c r="E339" s="2"/>
      <c r="F339" s="2"/>
      <c r="G339" s="2"/>
      <c r="I339" s="1">
        <f>Table1[[#This Row],[Building ID]]</f>
        <v>0</v>
      </c>
      <c r="J339" t="e">
        <f>VLOOKUP(C339,'Distinct Queues'!$A$3:$B$39,2,FALSE)</f>
        <v>#N/A</v>
      </c>
      <c r="K339" t="e">
        <f>VLOOKUP(D339,'Distinct Queues'!$A$3:$B$39,2,FALSE)</f>
        <v>#N/A</v>
      </c>
      <c r="L339" t="e">
        <f>VLOOKUP(E339,'Distinct Queues'!$A$3:$B$39,2,FALSE)</f>
        <v>#N/A</v>
      </c>
      <c r="M339" t="e">
        <f>VLOOKUP(F339,'Distinct Queues'!$A$3:$B$39,2,FALSE)</f>
        <v>#N/A</v>
      </c>
      <c r="N339" t="e">
        <f>VLOOKUP(G339,'Distinct Queues'!$A$3:$B$39,2,FALSE)</f>
        <v>#N/A</v>
      </c>
    </row>
    <row r="340" spans="4:14">
      <c r="D340" s="2"/>
      <c r="E340" s="2"/>
      <c r="F340" s="2"/>
      <c r="G340" s="2"/>
      <c r="I340" s="1">
        <f>Table1[[#This Row],[Building ID]]</f>
        <v>0</v>
      </c>
      <c r="J340" t="e">
        <f>VLOOKUP(C340,'Distinct Queues'!$A$3:$B$39,2,FALSE)</f>
        <v>#N/A</v>
      </c>
      <c r="K340" t="e">
        <f>VLOOKUP(D340,'Distinct Queues'!$A$3:$B$39,2,FALSE)</f>
        <v>#N/A</v>
      </c>
      <c r="L340" t="e">
        <f>VLOOKUP(E340,'Distinct Queues'!$A$3:$B$39,2,FALSE)</f>
        <v>#N/A</v>
      </c>
      <c r="M340" t="e">
        <f>VLOOKUP(F340,'Distinct Queues'!$A$3:$B$39,2,FALSE)</f>
        <v>#N/A</v>
      </c>
      <c r="N340" t="e">
        <f>VLOOKUP(G340,'Distinct Queues'!$A$3:$B$39,2,FALSE)</f>
        <v>#N/A</v>
      </c>
    </row>
    <row r="341" spans="4:14">
      <c r="D341" s="2"/>
      <c r="E341" s="2"/>
      <c r="F341" s="2"/>
      <c r="G341" s="2"/>
      <c r="I341" s="1">
        <f>Table1[[#This Row],[Building ID]]</f>
        <v>0</v>
      </c>
      <c r="J341" t="e">
        <f>VLOOKUP(C341,'Distinct Queues'!$A$3:$B$39,2,FALSE)</f>
        <v>#N/A</v>
      </c>
      <c r="K341" t="e">
        <f>VLOOKUP(D341,'Distinct Queues'!$A$3:$B$39,2,FALSE)</f>
        <v>#N/A</v>
      </c>
      <c r="L341" t="e">
        <f>VLOOKUP(E341,'Distinct Queues'!$A$3:$B$39,2,FALSE)</f>
        <v>#N/A</v>
      </c>
      <c r="M341" t="e">
        <f>VLOOKUP(F341,'Distinct Queues'!$A$3:$B$39,2,FALSE)</f>
        <v>#N/A</v>
      </c>
      <c r="N341" t="e">
        <f>VLOOKUP(G341,'Distinct Queues'!$A$3:$B$39,2,FALSE)</f>
        <v>#N/A</v>
      </c>
    </row>
    <row r="342" spans="4:14">
      <c r="D342" s="2"/>
      <c r="E342" s="2"/>
      <c r="F342" s="2"/>
      <c r="G342" s="2"/>
      <c r="I342" s="1">
        <f>Table1[[#This Row],[Building ID]]</f>
        <v>0</v>
      </c>
      <c r="J342" t="e">
        <f>VLOOKUP(C342,'Distinct Queues'!$A$3:$B$39,2,FALSE)</f>
        <v>#N/A</v>
      </c>
      <c r="K342" t="e">
        <f>VLOOKUP(D342,'Distinct Queues'!$A$3:$B$39,2,FALSE)</f>
        <v>#N/A</v>
      </c>
      <c r="L342" t="e">
        <f>VLOOKUP(E342,'Distinct Queues'!$A$3:$B$39,2,FALSE)</f>
        <v>#N/A</v>
      </c>
      <c r="M342" t="e">
        <f>VLOOKUP(F342,'Distinct Queues'!$A$3:$B$39,2,FALSE)</f>
        <v>#N/A</v>
      </c>
      <c r="N342" t="e">
        <f>VLOOKUP(G342,'Distinct Queues'!$A$3:$B$39,2,FALSE)</f>
        <v>#N/A</v>
      </c>
    </row>
    <row r="343" spans="4:14">
      <c r="D343" s="2"/>
      <c r="E343" s="2"/>
      <c r="F343" s="2"/>
      <c r="G343" s="2"/>
      <c r="I343" s="1">
        <f>Table1[[#This Row],[Building ID]]</f>
        <v>0</v>
      </c>
      <c r="J343" t="e">
        <f>VLOOKUP(C343,'Distinct Queues'!$A$3:$B$39,2,FALSE)</f>
        <v>#N/A</v>
      </c>
      <c r="K343" t="e">
        <f>VLOOKUP(D343,'Distinct Queues'!$A$3:$B$39,2,FALSE)</f>
        <v>#N/A</v>
      </c>
      <c r="L343" t="e">
        <f>VLOOKUP(E343,'Distinct Queues'!$A$3:$B$39,2,FALSE)</f>
        <v>#N/A</v>
      </c>
      <c r="M343" t="e">
        <f>VLOOKUP(F343,'Distinct Queues'!$A$3:$B$39,2,FALSE)</f>
        <v>#N/A</v>
      </c>
      <c r="N343" t="e">
        <f>VLOOKUP(G343,'Distinct Queues'!$A$3:$B$39,2,FALSE)</f>
        <v>#N/A</v>
      </c>
    </row>
    <row r="344" spans="4:14">
      <c r="D344" s="2"/>
      <c r="E344" s="2"/>
      <c r="F344" s="2"/>
      <c r="G344" s="2"/>
      <c r="I344" s="1">
        <f>Table1[[#This Row],[Building ID]]</f>
        <v>0</v>
      </c>
      <c r="J344" t="e">
        <f>VLOOKUP(C344,'Distinct Queues'!$A$3:$B$39,2,FALSE)</f>
        <v>#N/A</v>
      </c>
      <c r="K344" t="e">
        <f>VLOOKUP(D344,'Distinct Queues'!$A$3:$B$39,2,FALSE)</f>
        <v>#N/A</v>
      </c>
      <c r="L344" t="e">
        <f>VLOOKUP(E344,'Distinct Queues'!$A$3:$B$39,2,FALSE)</f>
        <v>#N/A</v>
      </c>
      <c r="M344" t="e">
        <f>VLOOKUP(F344,'Distinct Queues'!$A$3:$B$39,2,FALSE)</f>
        <v>#N/A</v>
      </c>
      <c r="N344" t="e">
        <f>VLOOKUP(G344,'Distinct Queues'!$A$3:$B$39,2,FALSE)</f>
        <v>#N/A</v>
      </c>
    </row>
    <row r="345" spans="4:14">
      <c r="D345" s="2"/>
      <c r="E345" s="2"/>
      <c r="F345" s="2"/>
      <c r="G345" s="2"/>
      <c r="I345" s="1">
        <f>Table1[[#This Row],[Building ID]]</f>
        <v>0</v>
      </c>
      <c r="J345" t="e">
        <f>VLOOKUP(C345,'Distinct Queues'!$A$3:$B$39,2,FALSE)</f>
        <v>#N/A</v>
      </c>
      <c r="K345" t="e">
        <f>VLOOKUP(D345,'Distinct Queues'!$A$3:$B$39,2,FALSE)</f>
        <v>#N/A</v>
      </c>
      <c r="L345" t="e">
        <f>VLOOKUP(E345,'Distinct Queues'!$A$3:$B$39,2,FALSE)</f>
        <v>#N/A</v>
      </c>
      <c r="M345" t="e">
        <f>VLOOKUP(F345,'Distinct Queues'!$A$3:$B$39,2,FALSE)</f>
        <v>#N/A</v>
      </c>
      <c r="N345" t="e">
        <f>VLOOKUP(G345,'Distinct Queues'!$A$3:$B$39,2,FALSE)</f>
        <v>#N/A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DAAC4-348D-4096-A497-27BEFD032A54}">
  <dimension ref="A1:B138"/>
  <sheetViews>
    <sheetView zoomScale="85" zoomScaleNormal="85" workbookViewId="0">
      <selection activeCell="C109" sqref="C109"/>
    </sheetView>
  </sheetViews>
  <sheetFormatPr defaultColWidth="8.85546875" defaultRowHeight="15"/>
  <cols>
    <col min="1" max="1" width="22.28515625" bestFit="1" customWidth="1"/>
    <col min="2" max="2" width="24" bestFit="1" customWidth="1"/>
  </cols>
  <sheetData>
    <row r="1" spans="1:2">
      <c r="A1" s="3" t="s">
        <v>814</v>
      </c>
      <c r="B1" s="3" t="s">
        <v>815</v>
      </c>
    </row>
    <row r="2" spans="1:2">
      <c r="A2" t="s">
        <v>816</v>
      </c>
      <c r="B2" t="s">
        <v>13</v>
      </c>
    </row>
    <row r="3" spans="1:2">
      <c r="A3" t="s">
        <v>817</v>
      </c>
      <c r="B3" t="s">
        <v>13</v>
      </c>
    </row>
    <row r="4" spans="1:2">
      <c r="A4" t="s">
        <v>818</v>
      </c>
      <c r="B4" t="s">
        <v>13</v>
      </c>
    </row>
    <row r="5" spans="1:2">
      <c r="A5" s="2" t="s">
        <v>819</v>
      </c>
      <c r="B5" t="s">
        <v>8</v>
      </c>
    </row>
    <row r="6" spans="1:2">
      <c r="A6" s="2" t="s">
        <v>820</v>
      </c>
      <c r="B6" t="s">
        <v>8</v>
      </c>
    </row>
    <row r="7" spans="1:2">
      <c r="A7" s="2" t="s">
        <v>821</v>
      </c>
      <c r="B7" t="s">
        <v>8</v>
      </c>
    </row>
    <row r="8" spans="1:2">
      <c r="A8" s="2" t="s">
        <v>822</v>
      </c>
      <c r="B8" t="s">
        <v>8</v>
      </c>
    </row>
    <row r="9" spans="1:2">
      <c r="A9" s="5" t="s">
        <v>823</v>
      </c>
      <c r="B9" t="s">
        <v>18</v>
      </c>
    </row>
    <row r="10" spans="1:2">
      <c r="A10" s="5" t="s">
        <v>824</v>
      </c>
      <c r="B10" t="s">
        <v>18</v>
      </c>
    </row>
    <row r="11" spans="1:2">
      <c r="A11" s="5" t="s">
        <v>825</v>
      </c>
      <c r="B11" t="s">
        <v>18</v>
      </c>
    </row>
    <row r="12" spans="1:2">
      <c r="A12" s="2" t="s">
        <v>826</v>
      </c>
      <c r="B12" t="s">
        <v>23</v>
      </c>
    </row>
    <row r="13" spans="1:2">
      <c r="A13" s="2" t="s">
        <v>827</v>
      </c>
      <c r="B13" t="s">
        <v>23</v>
      </c>
    </row>
    <row r="14" spans="1:2">
      <c r="A14" s="2" t="s">
        <v>828</v>
      </c>
      <c r="B14" t="s">
        <v>23</v>
      </c>
    </row>
    <row r="15" spans="1:2">
      <c r="A15" s="2" t="s">
        <v>829</v>
      </c>
      <c r="B15" t="s">
        <v>30</v>
      </c>
    </row>
    <row r="16" spans="1:2">
      <c r="A16" s="2" t="s">
        <v>830</v>
      </c>
      <c r="B16" t="s">
        <v>30</v>
      </c>
    </row>
    <row r="17" spans="1:2">
      <c r="A17" s="2" t="s">
        <v>831</v>
      </c>
      <c r="B17" t="s">
        <v>30</v>
      </c>
    </row>
    <row r="18" spans="1:2">
      <c r="A18" s="2" t="s">
        <v>832</v>
      </c>
      <c r="B18" t="s">
        <v>30</v>
      </c>
    </row>
    <row r="19" spans="1:2">
      <c r="A19" s="2" t="s">
        <v>833</v>
      </c>
      <c r="B19" s="2" t="s">
        <v>38</v>
      </c>
    </row>
    <row r="20" spans="1:2">
      <c r="A20" s="2" t="s">
        <v>834</v>
      </c>
      <c r="B20" s="2" t="s">
        <v>38</v>
      </c>
    </row>
    <row r="21" spans="1:2">
      <c r="A21" s="2" t="s">
        <v>835</v>
      </c>
      <c r="B21" s="2" t="s">
        <v>38</v>
      </c>
    </row>
    <row r="22" spans="1:2">
      <c r="A22" s="2" t="s">
        <v>836</v>
      </c>
      <c r="B22" s="2" t="s">
        <v>43</v>
      </c>
    </row>
    <row r="23" spans="1:2">
      <c r="A23" s="2" t="s">
        <v>837</v>
      </c>
      <c r="B23" s="2" t="s">
        <v>43</v>
      </c>
    </row>
    <row r="24" spans="1:2">
      <c r="A24" s="2" t="s">
        <v>838</v>
      </c>
      <c r="B24" s="2" t="s">
        <v>43</v>
      </c>
    </row>
    <row r="25" spans="1:2">
      <c r="A25" s="2" t="s">
        <v>839</v>
      </c>
      <c r="B25" s="2" t="s">
        <v>43</v>
      </c>
    </row>
    <row r="26" spans="1:2">
      <c r="A26" s="2" t="s">
        <v>840</v>
      </c>
      <c r="B26" s="2" t="s">
        <v>43</v>
      </c>
    </row>
    <row r="27" spans="1:2">
      <c r="A27" s="2" t="s">
        <v>841</v>
      </c>
      <c r="B27" s="2" t="s">
        <v>95</v>
      </c>
    </row>
    <row r="28" spans="1:2">
      <c r="A28" s="2" t="s">
        <v>842</v>
      </c>
      <c r="B28" s="2" t="s">
        <v>95</v>
      </c>
    </row>
    <row r="29" spans="1:2">
      <c r="A29" s="2" t="s">
        <v>843</v>
      </c>
      <c r="B29" s="2" t="s">
        <v>95</v>
      </c>
    </row>
    <row r="30" spans="1:2">
      <c r="A30" s="2" t="s">
        <v>844</v>
      </c>
      <c r="B30" s="2" t="s">
        <v>95</v>
      </c>
    </row>
    <row r="31" spans="1:2">
      <c r="A31" s="2" t="s">
        <v>845</v>
      </c>
      <c r="B31" s="2" t="s">
        <v>95</v>
      </c>
    </row>
    <row r="32" spans="1:2">
      <c r="A32" s="2" t="s">
        <v>846</v>
      </c>
      <c r="B32" s="2" t="s">
        <v>56</v>
      </c>
    </row>
    <row r="33" spans="1:2">
      <c r="A33" s="2" t="s">
        <v>847</v>
      </c>
      <c r="B33" s="2" t="s">
        <v>56</v>
      </c>
    </row>
    <row r="34" spans="1:2">
      <c r="A34" s="2" t="s">
        <v>846</v>
      </c>
      <c r="B34" s="2" t="s">
        <v>44</v>
      </c>
    </row>
    <row r="35" spans="1:2">
      <c r="A35" s="2" t="s">
        <v>848</v>
      </c>
      <c r="B35" s="2" t="s">
        <v>44</v>
      </c>
    </row>
    <row r="36" spans="1:2">
      <c r="A36" s="2" t="s">
        <v>818</v>
      </c>
      <c r="B36" s="2" t="s">
        <v>44</v>
      </c>
    </row>
    <row r="37" spans="1:2">
      <c r="A37" s="2" t="s">
        <v>849</v>
      </c>
      <c r="B37" s="2" t="s">
        <v>44</v>
      </c>
    </row>
    <row r="38" spans="1:2">
      <c r="A38" s="2" t="s">
        <v>850</v>
      </c>
      <c r="B38" s="2" t="s">
        <v>44</v>
      </c>
    </row>
    <row r="39" spans="1:2">
      <c r="A39" s="2" t="s">
        <v>851</v>
      </c>
      <c r="B39" s="2" t="s">
        <v>55</v>
      </c>
    </row>
    <row r="40" spans="1:2">
      <c r="A40" s="2" t="s">
        <v>852</v>
      </c>
      <c r="B40" s="2" t="s">
        <v>55</v>
      </c>
    </row>
    <row r="41" spans="1:2">
      <c r="A41" s="2" t="s">
        <v>853</v>
      </c>
      <c r="B41" s="2" t="s">
        <v>55</v>
      </c>
    </row>
    <row r="42" spans="1:2">
      <c r="A42" s="2" t="s">
        <v>854</v>
      </c>
      <c r="B42" s="2" t="s">
        <v>55</v>
      </c>
    </row>
    <row r="43" spans="1:2">
      <c r="A43" s="2" t="s">
        <v>855</v>
      </c>
      <c r="B43" s="2" t="s">
        <v>71</v>
      </c>
    </row>
    <row r="44" spans="1:2">
      <c r="A44" s="2" t="s">
        <v>856</v>
      </c>
      <c r="B44" s="2" t="s">
        <v>71</v>
      </c>
    </row>
    <row r="45" spans="1:2">
      <c r="A45" s="2" t="s">
        <v>857</v>
      </c>
      <c r="B45" s="2" t="s">
        <v>71</v>
      </c>
    </row>
    <row r="46" spans="1:2">
      <c r="A46" s="2" t="s">
        <v>858</v>
      </c>
      <c r="B46" s="2" t="s">
        <v>71</v>
      </c>
    </row>
    <row r="47" spans="1:2">
      <c r="A47" s="2" t="s">
        <v>855</v>
      </c>
      <c r="B47" s="2" t="s">
        <v>76</v>
      </c>
    </row>
    <row r="48" spans="1:2">
      <c r="A48" s="2" t="s">
        <v>859</v>
      </c>
      <c r="B48" s="2" t="s">
        <v>76</v>
      </c>
    </row>
    <row r="49" spans="1:2">
      <c r="A49" s="2" t="s">
        <v>860</v>
      </c>
      <c r="B49" s="2" t="s">
        <v>76</v>
      </c>
    </row>
    <row r="50" spans="1:2">
      <c r="A50" s="2" t="s">
        <v>861</v>
      </c>
      <c r="B50" s="2" t="s">
        <v>76</v>
      </c>
    </row>
    <row r="51" spans="1:2">
      <c r="A51" s="2" t="s">
        <v>862</v>
      </c>
      <c r="B51" s="2" t="s">
        <v>81</v>
      </c>
    </row>
    <row r="52" spans="1:2">
      <c r="A52" s="2" t="s">
        <v>863</v>
      </c>
      <c r="B52" s="2" t="s">
        <v>81</v>
      </c>
    </row>
    <row r="53" spans="1:2">
      <c r="A53" s="2" t="s">
        <v>864</v>
      </c>
      <c r="B53" s="2" t="s">
        <v>81</v>
      </c>
    </row>
    <row r="54" spans="1:2">
      <c r="A54" s="2" t="s">
        <v>865</v>
      </c>
      <c r="B54" s="2" t="s">
        <v>81</v>
      </c>
    </row>
    <row r="55" spans="1:2">
      <c r="A55" s="2" t="s">
        <v>865</v>
      </c>
      <c r="B55" s="2" t="s">
        <v>87</v>
      </c>
    </row>
    <row r="56" spans="1:2">
      <c r="A56" s="2" t="s">
        <v>866</v>
      </c>
      <c r="B56" s="2" t="s">
        <v>87</v>
      </c>
    </row>
    <row r="57" spans="1:2">
      <c r="A57" s="2" t="s">
        <v>867</v>
      </c>
      <c r="B57" s="2" t="s">
        <v>87</v>
      </c>
    </row>
    <row r="58" spans="1:2">
      <c r="A58" s="2" t="s">
        <v>868</v>
      </c>
      <c r="B58" s="2" t="s">
        <v>87</v>
      </c>
    </row>
    <row r="59" spans="1:2">
      <c r="A59" s="2" t="s">
        <v>869</v>
      </c>
      <c r="B59" s="2" t="s">
        <v>11</v>
      </c>
    </row>
    <row r="60" spans="1:2">
      <c r="A60" s="2" t="s">
        <v>870</v>
      </c>
      <c r="B60" s="2" t="s">
        <v>31</v>
      </c>
    </row>
    <row r="61" spans="1:2">
      <c r="A61" s="2" t="s">
        <v>871</v>
      </c>
      <c r="B61" s="2" t="s">
        <v>104</v>
      </c>
    </row>
    <row r="62" spans="1:2">
      <c r="A62" s="2" t="s">
        <v>872</v>
      </c>
      <c r="B62" s="2" t="s">
        <v>104</v>
      </c>
    </row>
    <row r="63" spans="1:2">
      <c r="A63" s="2" t="s">
        <v>873</v>
      </c>
      <c r="B63" s="2" t="s">
        <v>104</v>
      </c>
    </row>
    <row r="64" spans="1:2">
      <c r="A64" s="2" t="s">
        <v>874</v>
      </c>
      <c r="B64" s="2" t="s">
        <v>104</v>
      </c>
    </row>
    <row r="65" spans="1:2">
      <c r="A65" s="2" t="s">
        <v>875</v>
      </c>
      <c r="B65" s="2" t="s">
        <v>111</v>
      </c>
    </row>
    <row r="66" spans="1:2">
      <c r="A66" s="2" t="s">
        <v>876</v>
      </c>
      <c r="B66" s="2" t="s">
        <v>111</v>
      </c>
    </row>
    <row r="67" spans="1:2">
      <c r="A67" s="2" t="s">
        <v>818</v>
      </c>
      <c r="B67" s="2" t="s">
        <v>112</v>
      </c>
    </row>
    <row r="68" spans="1:2">
      <c r="A68" s="2" t="s">
        <v>877</v>
      </c>
      <c r="B68" s="2" t="s">
        <v>119</v>
      </c>
    </row>
    <row r="69" spans="1:2">
      <c r="A69" s="2" t="s">
        <v>878</v>
      </c>
      <c r="B69" s="2" t="s">
        <v>119</v>
      </c>
    </row>
    <row r="70" spans="1:2">
      <c r="A70" s="2" t="s">
        <v>879</v>
      </c>
      <c r="B70" s="2" t="s">
        <v>119</v>
      </c>
    </row>
    <row r="71" spans="1:2">
      <c r="A71" s="2" t="s">
        <v>880</v>
      </c>
      <c r="B71" s="2" t="s">
        <v>119</v>
      </c>
    </row>
    <row r="72" spans="1:2">
      <c r="A72" s="2" t="s">
        <v>881</v>
      </c>
      <c r="B72" s="2" t="s">
        <v>120</v>
      </c>
    </row>
    <row r="73" spans="1:2">
      <c r="A73" s="2" t="s">
        <v>882</v>
      </c>
      <c r="B73" s="2" t="s">
        <v>137</v>
      </c>
    </row>
    <row r="74" spans="1:2">
      <c r="A74" s="2" t="s">
        <v>883</v>
      </c>
      <c r="B74" s="2" t="s">
        <v>137</v>
      </c>
    </row>
    <row r="75" spans="1:2">
      <c r="A75" s="2" t="s">
        <v>884</v>
      </c>
      <c r="B75" s="2" t="s">
        <v>142</v>
      </c>
    </row>
    <row r="76" spans="1:2">
      <c r="A76" s="2" t="s">
        <v>885</v>
      </c>
      <c r="B76" s="2" t="s">
        <v>142</v>
      </c>
    </row>
    <row r="77" spans="1:2">
      <c r="A77" s="2" t="s">
        <v>886</v>
      </c>
      <c r="B77" s="2" t="s">
        <v>145</v>
      </c>
    </row>
    <row r="78" spans="1:2">
      <c r="A78" s="2" t="s">
        <v>887</v>
      </c>
      <c r="B78" s="2" t="s">
        <v>145</v>
      </c>
    </row>
    <row r="79" spans="1:2">
      <c r="A79" s="2" t="s">
        <v>888</v>
      </c>
      <c r="B79" s="2" t="s">
        <v>151</v>
      </c>
    </row>
    <row r="80" spans="1:2">
      <c r="A80" s="2" t="s">
        <v>889</v>
      </c>
      <c r="B80" s="2" t="s">
        <v>159</v>
      </c>
    </row>
    <row r="81" spans="1:2">
      <c r="A81" s="2" t="s">
        <v>890</v>
      </c>
      <c r="B81" s="2" t="s">
        <v>159</v>
      </c>
    </row>
    <row r="82" spans="1:2">
      <c r="A82" s="2" t="s">
        <v>891</v>
      </c>
      <c r="B82" s="2" t="s">
        <v>159</v>
      </c>
    </row>
    <row r="83" spans="1:2">
      <c r="A83" s="2" t="s">
        <v>892</v>
      </c>
      <c r="B83" s="2" t="s">
        <v>159</v>
      </c>
    </row>
    <row r="84" spans="1:2">
      <c r="A84" s="2" t="s">
        <v>893</v>
      </c>
      <c r="B84" s="2" t="s">
        <v>186</v>
      </c>
    </row>
    <row r="85" spans="1:2">
      <c r="A85" s="2" t="s">
        <v>894</v>
      </c>
      <c r="B85" s="2" t="s">
        <v>186</v>
      </c>
    </row>
    <row r="86" spans="1:2">
      <c r="A86" s="2" t="s">
        <v>895</v>
      </c>
      <c r="B86" s="2" t="s">
        <v>186</v>
      </c>
    </row>
    <row r="87" spans="1:2">
      <c r="A87" s="2" t="s">
        <v>896</v>
      </c>
      <c r="B87" s="2" t="s">
        <v>186</v>
      </c>
    </row>
    <row r="88" spans="1:2">
      <c r="A88" s="2" t="s">
        <v>893</v>
      </c>
      <c r="B88" s="2" t="s">
        <v>194</v>
      </c>
    </row>
    <row r="89" spans="1:2">
      <c r="A89" s="2" t="s">
        <v>897</v>
      </c>
      <c r="B89" s="2" t="s">
        <v>194</v>
      </c>
    </row>
    <row r="90" spans="1:2">
      <c r="A90" s="2" t="s">
        <v>898</v>
      </c>
      <c r="B90" s="2" t="s">
        <v>194</v>
      </c>
    </row>
    <row r="91" spans="1:2">
      <c r="A91" s="2" t="s">
        <v>899</v>
      </c>
      <c r="B91" s="2" t="s">
        <v>900</v>
      </c>
    </row>
    <row r="92" spans="1:2">
      <c r="A92" s="2" t="s">
        <v>901</v>
      </c>
      <c r="B92" s="2" t="s">
        <v>212</v>
      </c>
    </row>
    <row r="93" spans="1:2">
      <c r="A93" s="2" t="s">
        <v>902</v>
      </c>
      <c r="B93" s="2" t="s">
        <v>362</v>
      </c>
    </row>
    <row r="94" spans="1:2">
      <c r="A94" s="2" t="s">
        <v>903</v>
      </c>
      <c r="B94" s="2" t="s">
        <v>362</v>
      </c>
    </row>
    <row r="95" spans="1:2">
      <c r="A95" t="s">
        <v>904</v>
      </c>
      <c r="B95" s="2" t="s">
        <v>362</v>
      </c>
    </row>
    <row r="96" spans="1:2">
      <c r="A96" s="2" t="s">
        <v>905</v>
      </c>
      <c r="B96" s="2" t="s">
        <v>362</v>
      </c>
    </row>
    <row r="97" spans="1:2">
      <c r="A97" s="2" t="s">
        <v>869</v>
      </c>
      <c r="B97" s="2" t="s">
        <v>226</v>
      </c>
    </row>
    <row r="98" spans="1:2">
      <c r="A98" s="2" t="s">
        <v>819</v>
      </c>
      <c r="B98" s="2" t="s">
        <v>225</v>
      </c>
    </row>
    <row r="99" spans="1:2">
      <c r="A99" s="2" t="s">
        <v>820</v>
      </c>
      <c r="B99" s="2" t="s">
        <v>225</v>
      </c>
    </row>
    <row r="100" spans="1:2">
      <c r="A100" s="2" t="s">
        <v>826</v>
      </c>
      <c r="B100" s="2" t="s">
        <v>225</v>
      </c>
    </row>
    <row r="101" spans="1:2">
      <c r="A101" s="2" t="s">
        <v>906</v>
      </c>
      <c r="B101" s="2" t="s">
        <v>225</v>
      </c>
    </row>
    <row r="102" spans="1:2">
      <c r="A102" s="2" t="s">
        <v>907</v>
      </c>
      <c r="B102" s="2" t="s">
        <v>225</v>
      </c>
    </row>
    <row r="103" spans="1:2">
      <c r="A103" s="2" t="s">
        <v>908</v>
      </c>
      <c r="B103" s="2" t="s">
        <v>225</v>
      </c>
    </row>
    <row r="104" spans="1:2">
      <c r="A104" s="2" t="s">
        <v>909</v>
      </c>
      <c r="B104" s="2" t="s">
        <v>225</v>
      </c>
    </row>
    <row r="105" spans="1:2">
      <c r="A105" s="2" t="s">
        <v>910</v>
      </c>
      <c r="B105" s="2" t="s">
        <v>210</v>
      </c>
    </row>
    <row r="106" spans="1:2">
      <c r="A106" s="2" t="s">
        <v>911</v>
      </c>
      <c r="B106" s="2" t="s">
        <v>210</v>
      </c>
    </row>
    <row r="107" spans="1:2">
      <c r="A107" s="2" t="s">
        <v>912</v>
      </c>
      <c r="B107" s="2" t="s">
        <v>210</v>
      </c>
    </row>
    <row r="108" spans="1:2">
      <c r="A108" s="2" t="s">
        <v>913</v>
      </c>
      <c r="B108" s="2" t="s">
        <v>210</v>
      </c>
    </row>
    <row r="109" spans="1:2">
      <c r="A109" s="2" t="s">
        <v>914</v>
      </c>
      <c r="B109" s="2" t="s">
        <v>210</v>
      </c>
    </row>
    <row r="110" spans="1:2">
      <c r="A110" s="2" t="s">
        <v>915</v>
      </c>
      <c r="B110" s="2" t="s">
        <v>210</v>
      </c>
    </row>
    <row r="111" spans="1:2">
      <c r="A111" s="2" t="s">
        <v>916</v>
      </c>
      <c r="B111" s="2" t="s">
        <v>210</v>
      </c>
    </row>
    <row r="112" spans="1:2">
      <c r="A112" s="2" t="s">
        <v>917</v>
      </c>
      <c r="B112" s="2" t="s">
        <v>210</v>
      </c>
    </row>
    <row r="113" spans="1:2">
      <c r="A113" s="2" t="s">
        <v>918</v>
      </c>
      <c r="B113" s="2" t="s">
        <v>210</v>
      </c>
    </row>
    <row r="114" spans="1:2">
      <c r="A114" s="2" t="s">
        <v>919</v>
      </c>
      <c r="B114" s="2" t="s">
        <v>211</v>
      </c>
    </row>
    <row r="115" spans="1:2">
      <c r="A115" s="2" t="s">
        <v>920</v>
      </c>
      <c r="B115" s="2" t="s">
        <v>211</v>
      </c>
    </row>
    <row r="116" spans="1:2">
      <c r="A116" s="12" t="s">
        <v>921</v>
      </c>
      <c r="B116" s="2" t="s">
        <v>208</v>
      </c>
    </row>
    <row r="117" spans="1:2">
      <c r="A117" s="12" t="s">
        <v>922</v>
      </c>
      <c r="B117" s="2" t="s">
        <v>208</v>
      </c>
    </row>
    <row r="118" spans="1:2">
      <c r="A118" s="12" t="s">
        <v>923</v>
      </c>
      <c r="B118" s="2" t="s">
        <v>208</v>
      </c>
    </row>
    <row r="119" spans="1:2">
      <c r="A119" s="12" t="s">
        <v>924</v>
      </c>
      <c r="B119" s="2" t="s">
        <v>208</v>
      </c>
    </row>
    <row r="120" spans="1:2">
      <c r="A120" s="12" t="s">
        <v>925</v>
      </c>
      <c r="B120" s="2" t="s">
        <v>208</v>
      </c>
    </row>
    <row r="121" spans="1:2">
      <c r="A121" s="12" t="s">
        <v>926</v>
      </c>
      <c r="B121" s="2" t="s">
        <v>208</v>
      </c>
    </row>
    <row r="122" spans="1:2">
      <c r="A122" s="12" t="s">
        <v>927</v>
      </c>
      <c r="B122" s="2" t="s">
        <v>208</v>
      </c>
    </row>
    <row r="123" spans="1:2">
      <c r="A123" s="12" t="s">
        <v>928</v>
      </c>
      <c r="B123" s="2" t="s">
        <v>208</v>
      </c>
    </row>
    <row r="124" spans="1:2">
      <c r="A124" s="12" t="s">
        <v>929</v>
      </c>
      <c r="B124" s="2" t="s">
        <v>208</v>
      </c>
    </row>
    <row r="125" spans="1:2">
      <c r="A125" s="12" t="s">
        <v>930</v>
      </c>
      <c r="B125" s="2" t="s">
        <v>208</v>
      </c>
    </row>
    <row r="126" spans="1:2">
      <c r="A126" s="12" t="s">
        <v>931</v>
      </c>
      <c r="B126" s="2" t="s">
        <v>208</v>
      </c>
    </row>
    <row r="127" spans="1:2">
      <c r="A127" s="12" t="s">
        <v>932</v>
      </c>
      <c r="B127" s="2" t="s">
        <v>208</v>
      </c>
    </row>
    <row r="128" spans="1:2">
      <c r="A128" s="12" t="s">
        <v>933</v>
      </c>
      <c r="B128" s="2" t="s">
        <v>208</v>
      </c>
    </row>
    <row r="129" spans="1:2">
      <c r="A129" s="12" t="s">
        <v>934</v>
      </c>
      <c r="B129" s="2" t="s">
        <v>209</v>
      </c>
    </row>
    <row r="130" spans="1:2">
      <c r="A130" s="12" t="s">
        <v>935</v>
      </c>
      <c r="B130" s="2" t="s">
        <v>209</v>
      </c>
    </row>
    <row r="131" spans="1:2">
      <c r="A131" s="12" t="s">
        <v>936</v>
      </c>
      <c r="B131" s="2" t="s">
        <v>209</v>
      </c>
    </row>
    <row r="132" spans="1:2">
      <c r="A132" s="12" t="s">
        <v>937</v>
      </c>
      <c r="B132" s="2" t="s">
        <v>209</v>
      </c>
    </row>
    <row r="133" spans="1:2">
      <c r="A133" s="12" t="s">
        <v>938</v>
      </c>
      <c r="B133" s="2" t="s">
        <v>209</v>
      </c>
    </row>
    <row r="134" spans="1:2">
      <c r="A134" s="12" t="s">
        <v>939</v>
      </c>
      <c r="B134" s="2" t="s">
        <v>209</v>
      </c>
    </row>
    <row r="135" spans="1:2">
      <c r="A135" s="12" t="s">
        <v>940</v>
      </c>
      <c r="B135" s="2" t="s">
        <v>209</v>
      </c>
    </row>
    <row r="136" spans="1:2">
      <c r="A136" s="12" t="s">
        <v>941</v>
      </c>
      <c r="B136" s="2" t="s">
        <v>209</v>
      </c>
    </row>
    <row r="137" spans="1:2">
      <c r="A137" s="12" t="s">
        <v>942</v>
      </c>
      <c r="B137" s="2" t="s">
        <v>209</v>
      </c>
    </row>
    <row r="138" spans="1:2">
      <c r="A138" s="12" t="s">
        <v>943</v>
      </c>
      <c r="B138" s="2" t="s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7CD1A-D2DD-854E-972D-9D76349ADE80}">
  <dimension ref="A1:G40"/>
  <sheetViews>
    <sheetView workbookViewId="0">
      <selection activeCell="F7" sqref="F7"/>
    </sheetView>
  </sheetViews>
  <sheetFormatPr defaultColWidth="11.42578125" defaultRowHeight="15"/>
  <cols>
    <col min="1" max="1" width="21.85546875" bestFit="1" customWidth="1"/>
    <col min="2" max="2" width="22.85546875" bestFit="1" customWidth="1"/>
    <col min="6" max="6" width="25.7109375" bestFit="1" customWidth="1"/>
    <col min="7" max="7" width="24" bestFit="1" customWidth="1"/>
  </cols>
  <sheetData>
    <row r="1" spans="1:7">
      <c r="A1" t="s">
        <v>198</v>
      </c>
      <c r="F1" t="s">
        <v>199</v>
      </c>
    </row>
    <row r="2" spans="1:7" ht="17.100000000000001">
      <c r="A2" s="15" t="s">
        <v>0</v>
      </c>
      <c r="B2" s="14" t="s">
        <v>944</v>
      </c>
      <c r="C2" s="14" t="s">
        <v>945</v>
      </c>
      <c r="F2" s="16" t="s">
        <v>946</v>
      </c>
      <c r="G2" s="16" t="s">
        <v>947</v>
      </c>
    </row>
    <row r="3" spans="1:7">
      <c r="A3" t="s">
        <v>208</v>
      </c>
      <c r="B3" t="s">
        <v>948</v>
      </c>
      <c r="C3" t="s">
        <v>949</v>
      </c>
      <c r="F3" t="str">
        <f>A3</f>
        <v>Finance Team</v>
      </c>
      <c r="G3" t="s">
        <v>950</v>
      </c>
    </row>
    <row r="4" spans="1:7">
      <c r="A4" t="s">
        <v>8</v>
      </c>
      <c r="B4" t="s">
        <v>951</v>
      </c>
      <c r="C4" t="s">
        <v>949</v>
      </c>
      <c r="F4" t="str">
        <f t="shared" ref="F4:F39" si="0">A4</f>
        <v>Pin Yard Team</v>
      </c>
      <c r="G4" t="s">
        <v>950</v>
      </c>
    </row>
    <row r="5" spans="1:7">
      <c r="A5" t="s">
        <v>18</v>
      </c>
      <c r="B5" t="s">
        <v>952</v>
      </c>
      <c r="C5" t="s">
        <v>949</v>
      </c>
      <c r="F5" t="str">
        <f t="shared" si="0"/>
        <v>The Headline Team</v>
      </c>
      <c r="G5" t="s">
        <v>950</v>
      </c>
    </row>
    <row r="6" spans="1:7">
      <c r="A6" t="s">
        <v>23</v>
      </c>
      <c r="B6" t="s">
        <v>953</v>
      </c>
      <c r="C6" t="s">
        <v>949</v>
      </c>
      <c r="F6" t="str">
        <f t="shared" si="0"/>
        <v>The Forge Team</v>
      </c>
      <c r="G6" t="s">
        <v>950</v>
      </c>
    </row>
    <row r="7" spans="1:7">
      <c r="A7" t="s">
        <v>30</v>
      </c>
      <c r="B7" t="s">
        <v>954</v>
      </c>
      <c r="C7" t="s">
        <v>949</v>
      </c>
      <c r="F7" t="str">
        <f t="shared" si="0"/>
        <v>The Tilt Works Team</v>
      </c>
      <c r="G7" t="s">
        <v>950</v>
      </c>
    </row>
    <row r="8" spans="1:7">
      <c r="A8" s="2" t="s">
        <v>38</v>
      </c>
      <c r="B8" s="2" t="s">
        <v>955</v>
      </c>
      <c r="C8" t="s">
        <v>949</v>
      </c>
      <c r="F8" t="str">
        <f t="shared" si="0"/>
        <v>Brook Place Team</v>
      </c>
      <c r="G8" t="s">
        <v>950</v>
      </c>
    </row>
    <row r="9" spans="1:7">
      <c r="A9" s="2" t="s">
        <v>43</v>
      </c>
      <c r="B9" s="2" t="s">
        <v>956</v>
      </c>
      <c r="C9" t="s">
        <v>949</v>
      </c>
      <c r="F9" t="str">
        <f t="shared" si="0"/>
        <v>Clippers Quay Team</v>
      </c>
      <c r="G9" t="s">
        <v>950</v>
      </c>
    </row>
    <row r="10" spans="1:7">
      <c r="A10" s="2" t="s">
        <v>55</v>
      </c>
      <c r="B10" s="2" t="s">
        <v>957</v>
      </c>
      <c r="C10" t="s">
        <v>949</v>
      </c>
      <c r="F10" t="str">
        <f t="shared" si="0"/>
        <v>Hawkins &amp; George Team</v>
      </c>
      <c r="G10" t="s">
        <v>950</v>
      </c>
    </row>
    <row r="11" spans="1:7">
      <c r="A11" s="2" t="s">
        <v>71</v>
      </c>
      <c r="B11" s="2" t="s">
        <v>958</v>
      </c>
      <c r="C11" t="s">
        <v>949</v>
      </c>
      <c r="F11" t="str">
        <f t="shared" si="0"/>
        <v>The Condor Team</v>
      </c>
      <c r="G11" t="s">
        <v>950</v>
      </c>
    </row>
    <row r="12" spans="1:7">
      <c r="A12" s="2" t="s">
        <v>76</v>
      </c>
      <c r="B12" s="2" t="s">
        <v>959</v>
      </c>
      <c r="C12" t="s">
        <v>949</v>
      </c>
      <c r="F12" t="str">
        <f t="shared" si="0"/>
        <v>The Barnum Team</v>
      </c>
      <c r="G12" t="s">
        <v>950</v>
      </c>
    </row>
    <row r="13" spans="1:7">
      <c r="A13" s="2" t="s">
        <v>81</v>
      </c>
      <c r="B13" s="2" t="s">
        <v>960</v>
      </c>
      <c r="C13" t="s">
        <v>949</v>
      </c>
      <c r="F13" t="str">
        <f t="shared" si="0"/>
        <v>Enigma Square Team</v>
      </c>
      <c r="G13" t="s">
        <v>950</v>
      </c>
    </row>
    <row r="14" spans="1:7">
      <c r="A14" s="2" t="s">
        <v>87</v>
      </c>
      <c r="B14" s="2" t="s">
        <v>961</v>
      </c>
      <c r="C14" t="s">
        <v>949</v>
      </c>
      <c r="F14" t="str">
        <f t="shared" si="0"/>
        <v>Solstice Apartments Team</v>
      </c>
      <c r="G14" t="s">
        <v>950</v>
      </c>
    </row>
    <row r="15" spans="1:7">
      <c r="A15" s="2" t="s">
        <v>95</v>
      </c>
      <c r="B15" s="2" t="s">
        <v>962</v>
      </c>
      <c r="C15" t="s">
        <v>949</v>
      </c>
      <c r="F15" t="str">
        <f t="shared" si="0"/>
        <v>The Filaments Team</v>
      </c>
      <c r="G15" t="s">
        <v>950</v>
      </c>
    </row>
    <row r="16" spans="1:7">
      <c r="A16" s="2" t="s">
        <v>104</v>
      </c>
      <c r="B16" s="2" t="s">
        <v>963</v>
      </c>
      <c r="C16" t="s">
        <v>949</v>
      </c>
      <c r="F16" t="str">
        <f t="shared" si="0"/>
        <v>Gilders Yard Team</v>
      </c>
      <c r="G16" t="s">
        <v>950</v>
      </c>
    </row>
    <row r="17" spans="1:7">
      <c r="A17" s="2" t="s">
        <v>111</v>
      </c>
      <c r="B17" s="2" t="s">
        <v>964</v>
      </c>
      <c r="C17" t="s">
        <v>949</v>
      </c>
      <c r="F17" t="str">
        <f t="shared" si="0"/>
        <v>Copperworks Team</v>
      </c>
      <c r="G17" t="s">
        <v>950</v>
      </c>
    </row>
    <row r="18" spans="1:7">
      <c r="A18" s="2" t="s">
        <v>119</v>
      </c>
      <c r="B18" s="2" t="s">
        <v>965</v>
      </c>
      <c r="C18" t="s">
        <v>949</v>
      </c>
      <c r="F18" t="str">
        <f t="shared" si="0"/>
        <v>Weavers Yard Team</v>
      </c>
      <c r="G18" t="s">
        <v>950</v>
      </c>
    </row>
    <row r="19" spans="1:7">
      <c r="A19" s="2" t="s">
        <v>137</v>
      </c>
      <c r="B19" s="2" t="s">
        <v>966</v>
      </c>
      <c r="C19" t="s">
        <v>949</v>
      </c>
      <c r="F19" t="str">
        <f t="shared" si="0"/>
        <v>The Mint Team</v>
      </c>
      <c r="G19" t="s">
        <v>950</v>
      </c>
    </row>
    <row r="20" spans="1:7">
      <c r="A20" s="2" t="s">
        <v>142</v>
      </c>
      <c r="B20" s="2" t="s">
        <v>967</v>
      </c>
      <c r="C20" t="s">
        <v>949</v>
      </c>
      <c r="F20" t="str">
        <f t="shared" si="0"/>
        <v>Argo Apartments Team</v>
      </c>
      <c r="G20" t="s">
        <v>950</v>
      </c>
    </row>
    <row r="21" spans="1:7">
      <c r="A21" s="2" t="s">
        <v>145</v>
      </c>
      <c r="B21" s="2" t="s">
        <v>968</v>
      </c>
      <c r="C21" t="s">
        <v>949</v>
      </c>
      <c r="F21" t="str">
        <f t="shared" si="0"/>
        <v>Nautilus Apartments Team</v>
      </c>
      <c r="G21" t="s">
        <v>950</v>
      </c>
    </row>
    <row r="22" spans="1:7">
      <c r="A22" s="2" t="s">
        <v>151</v>
      </c>
      <c r="B22" s="2" t="s">
        <v>969</v>
      </c>
      <c r="C22" t="s">
        <v>949</v>
      </c>
      <c r="F22" t="str">
        <f t="shared" si="0"/>
        <v>Abbeville Apartments</v>
      </c>
      <c r="G22" t="s">
        <v>950</v>
      </c>
    </row>
    <row r="23" spans="1:7">
      <c r="A23" s="2" t="s">
        <v>159</v>
      </c>
      <c r="B23" s="2" t="s">
        <v>970</v>
      </c>
      <c r="C23" t="s">
        <v>949</v>
      </c>
      <c r="F23" t="str">
        <f t="shared" si="0"/>
        <v>Millet Place Team</v>
      </c>
      <c r="G23" t="s">
        <v>950</v>
      </c>
    </row>
    <row r="24" spans="1:7">
      <c r="A24" s="2" t="s">
        <v>186</v>
      </c>
      <c r="B24" s="2" t="s">
        <v>971</v>
      </c>
      <c r="C24" t="s">
        <v>949</v>
      </c>
      <c r="F24" t="str">
        <f t="shared" si="0"/>
        <v>Apex Gardens Team</v>
      </c>
      <c r="G24" t="s">
        <v>950</v>
      </c>
    </row>
    <row r="25" spans="1:7">
      <c r="A25" s="2" t="s">
        <v>194</v>
      </c>
      <c r="B25" s="2" t="s">
        <v>972</v>
      </c>
      <c r="C25" t="s">
        <v>949</v>
      </c>
      <c r="F25" t="str">
        <f t="shared" si="0"/>
        <v>Windlass Apartments Team</v>
      </c>
      <c r="G25" t="s">
        <v>950</v>
      </c>
    </row>
    <row r="26" spans="1:7">
      <c r="A26" s="2" t="s">
        <v>362</v>
      </c>
      <c r="B26" s="2" t="s">
        <v>973</v>
      </c>
      <c r="C26" t="s">
        <v>949</v>
      </c>
      <c r="F26" t="str">
        <f t="shared" si="0"/>
        <v>Gatehouse Team</v>
      </c>
      <c r="G26" t="s">
        <v>950</v>
      </c>
    </row>
    <row r="27" spans="1:7">
      <c r="A27" s="2" t="s">
        <v>209</v>
      </c>
      <c r="B27" s="2" t="s">
        <v>974</v>
      </c>
      <c r="C27" t="s">
        <v>949</v>
      </c>
      <c r="F27" t="str">
        <f t="shared" si="0"/>
        <v>Customer Service Team</v>
      </c>
      <c r="G27" t="s">
        <v>950</v>
      </c>
    </row>
    <row r="28" spans="1:7">
      <c r="A28" s="2" t="s">
        <v>225</v>
      </c>
      <c r="B28" s="2" t="s">
        <v>975</v>
      </c>
      <c r="C28" t="s">
        <v>949</v>
      </c>
      <c r="F28" t="str">
        <f t="shared" si="0"/>
        <v>PRS: Regions</v>
      </c>
      <c r="G28" t="s">
        <v>950</v>
      </c>
    </row>
    <row r="29" spans="1:7">
      <c r="A29" s="2" t="s">
        <v>210</v>
      </c>
      <c r="B29" s="2" t="s">
        <v>976</v>
      </c>
      <c r="C29" t="s">
        <v>949</v>
      </c>
      <c r="F29" t="str">
        <f t="shared" si="0"/>
        <v>PRS: London</v>
      </c>
      <c r="G29" t="s">
        <v>950</v>
      </c>
    </row>
    <row r="30" spans="1:7">
      <c r="A30" s="2" t="s">
        <v>11</v>
      </c>
      <c r="B30" s="2" t="s">
        <v>977</v>
      </c>
      <c r="C30" t="s">
        <v>949</v>
      </c>
      <c r="F30" t="str">
        <f t="shared" si="0"/>
        <v>AM: BTR-Regions</v>
      </c>
      <c r="G30" t="s">
        <v>950</v>
      </c>
    </row>
    <row r="31" spans="1:7">
      <c r="A31" t="s">
        <v>31</v>
      </c>
      <c r="B31" t="s">
        <v>978</v>
      </c>
      <c r="C31" t="s">
        <v>949</v>
      </c>
      <c r="F31" t="str">
        <f t="shared" si="0"/>
        <v>AM: New Launches</v>
      </c>
      <c r="G31" t="s">
        <v>950</v>
      </c>
    </row>
    <row r="32" spans="1:7">
      <c r="A32" s="2" t="s">
        <v>120</v>
      </c>
      <c r="B32" s="2" t="s">
        <v>979</v>
      </c>
      <c r="C32" t="s">
        <v>949</v>
      </c>
      <c r="F32" t="str">
        <f t="shared" si="0"/>
        <v>AM: BTR-London</v>
      </c>
      <c r="G32" t="s">
        <v>950</v>
      </c>
    </row>
    <row r="33" spans="1:7">
      <c r="A33" s="2" t="s">
        <v>226</v>
      </c>
      <c r="B33" s="2" t="s">
        <v>980</v>
      </c>
      <c r="C33" t="s">
        <v>949</v>
      </c>
      <c r="F33" t="str">
        <f t="shared" si="0"/>
        <v>AM: PRS-Regions</v>
      </c>
      <c r="G33" t="s">
        <v>950</v>
      </c>
    </row>
    <row r="34" spans="1:7">
      <c r="A34" s="2" t="s">
        <v>211</v>
      </c>
      <c r="B34" s="2" t="s">
        <v>981</v>
      </c>
      <c r="C34" t="s">
        <v>949</v>
      </c>
      <c r="F34" t="str">
        <f t="shared" si="0"/>
        <v>AM: PRS-London</v>
      </c>
      <c r="G34" t="s">
        <v>950</v>
      </c>
    </row>
    <row r="35" spans="1:7">
      <c r="A35" t="s">
        <v>13</v>
      </c>
      <c r="B35" t="s">
        <v>982</v>
      </c>
      <c r="C35" t="s">
        <v>949</v>
      </c>
      <c r="F35" t="str">
        <f t="shared" si="0"/>
        <v>Lettings North East</v>
      </c>
      <c r="G35" t="s">
        <v>950</v>
      </c>
    </row>
    <row r="36" spans="1:7">
      <c r="A36" s="2" t="s">
        <v>44</v>
      </c>
      <c r="B36" s="2" t="s">
        <v>983</v>
      </c>
      <c r="C36" t="s">
        <v>949</v>
      </c>
      <c r="F36" t="str">
        <f t="shared" si="0"/>
        <v>Lettings North West</v>
      </c>
      <c r="G36" t="s">
        <v>950</v>
      </c>
    </row>
    <row r="37" spans="1:7">
      <c r="A37" s="2" t="s">
        <v>56</v>
      </c>
      <c r="B37" s="2" t="s">
        <v>984</v>
      </c>
      <c r="C37" t="s">
        <v>949</v>
      </c>
      <c r="F37" t="str">
        <f t="shared" si="0"/>
        <v>Lettings Midlands</v>
      </c>
      <c r="G37" t="s">
        <v>950</v>
      </c>
    </row>
    <row r="38" spans="1:7">
      <c r="A38" s="2" t="s">
        <v>112</v>
      </c>
      <c r="B38" s="2" t="s">
        <v>985</v>
      </c>
      <c r="C38" t="s">
        <v>949</v>
      </c>
      <c r="F38" t="str">
        <f t="shared" si="0"/>
        <v>Lettings Wales</v>
      </c>
      <c r="G38" t="s">
        <v>950</v>
      </c>
    </row>
    <row r="39" spans="1:7">
      <c r="A39" s="2" t="s">
        <v>212</v>
      </c>
      <c r="B39" s="2" t="s">
        <v>986</v>
      </c>
      <c r="C39" t="s">
        <v>949</v>
      </c>
      <c r="F39" t="str">
        <f t="shared" si="0"/>
        <v>Lettings South</v>
      </c>
      <c r="G39" t="s">
        <v>950</v>
      </c>
    </row>
    <row r="40" spans="1:7">
      <c r="A40" s="2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F21EB-B941-0D48-B4F5-03AE44799A61}">
  <sheetPr filterMode="1"/>
  <dimension ref="A1:C138"/>
  <sheetViews>
    <sheetView workbookViewId="0"/>
  </sheetViews>
  <sheetFormatPr defaultColWidth="11.42578125" defaultRowHeight="15"/>
  <cols>
    <col min="1" max="1" width="18.7109375" bestFit="1" customWidth="1"/>
    <col min="2" max="2" width="22.7109375" bestFit="1" customWidth="1"/>
    <col min="3" max="3" width="20.140625" bestFit="1" customWidth="1"/>
  </cols>
  <sheetData>
    <row r="1" spans="1:3">
      <c r="A1" s="17" t="s">
        <v>814</v>
      </c>
      <c r="B1" s="17" t="s">
        <v>987</v>
      </c>
      <c r="C1" s="18" t="s">
        <v>988</v>
      </c>
    </row>
    <row r="2" spans="1:3" hidden="1">
      <c r="A2" s="2" t="s">
        <v>826</v>
      </c>
      <c r="B2" t="s">
        <v>23</v>
      </c>
      <c r="C2" t="e">
        <f>VLOOKUP(A2,'User Extract'!$C$2:$D$563,2,FALSE)</f>
        <v>#N/A</v>
      </c>
    </row>
    <row r="3" spans="1:3" hidden="1">
      <c r="A3" s="2" t="s">
        <v>826</v>
      </c>
      <c r="B3" s="2" t="s">
        <v>225</v>
      </c>
      <c r="C3" t="e">
        <f>VLOOKUP(A3,'User Extract'!$C$2:$D$563,2,FALSE)</f>
        <v>#N/A</v>
      </c>
    </row>
    <row r="4" spans="1:3" hidden="1">
      <c r="A4" s="2" t="s">
        <v>869</v>
      </c>
      <c r="B4" s="2" t="s">
        <v>11</v>
      </c>
      <c r="C4" t="e">
        <f>VLOOKUP(A4,'User Extract'!$C$2:$D$563,2,FALSE)</f>
        <v>#N/A</v>
      </c>
    </row>
    <row r="5" spans="1:3" hidden="1">
      <c r="A5" s="2" t="s">
        <v>869</v>
      </c>
      <c r="B5" s="2" t="s">
        <v>226</v>
      </c>
      <c r="C5" t="e">
        <f>VLOOKUP(A5,'User Extract'!$C$2:$D$563,2,FALSE)</f>
        <v>#N/A</v>
      </c>
    </row>
    <row r="6" spans="1:3">
      <c r="A6" s="2" t="s">
        <v>902</v>
      </c>
      <c r="B6" s="2" t="s">
        <v>362</v>
      </c>
      <c r="C6" t="str">
        <f>VLOOKUP(A6,'User Extract'!$C$2:$D$563,2,FALSE)</f>
        <v>0058d0000034L6QAAU</v>
      </c>
    </row>
    <row r="7" spans="1:3">
      <c r="A7" s="12" t="s">
        <v>930</v>
      </c>
      <c r="B7" s="2" t="s">
        <v>208</v>
      </c>
      <c r="C7" t="str">
        <f>VLOOKUP(A7,'User Extract'!$C$2:$D$563,2,FALSE)</f>
        <v>0054J000004vXPIQA2</v>
      </c>
    </row>
    <row r="8" spans="1:3" hidden="1">
      <c r="A8" s="2" t="s">
        <v>909</v>
      </c>
      <c r="B8" s="2" t="s">
        <v>225</v>
      </c>
      <c r="C8" t="e">
        <f>VLOOKUP(A8,'User Extract'!$C$2:$D$563,2,FALSE)</f>
        <v>#N/A</v>
      </c>
    </row>
    <row r="9" spans="1:3" hidden="1">
      <c r="A9" s="2" t="s">
        <v>836</v>
      </c>
      <c r="B9" s="2" t="s">
        <v>43</v>
      </c>
      <c r="C9" t="e">
        <f>VLOOKUP(A9,'User Extract'!$C$2:$D$563,2,FALSE)</f>
        <v>#N/A</v>
      </c>
    </row>
    <row r="10" spans="1:3" hidden="1">
      <c r="A10" s="2" t="s">
        <v>870</v>
      </c>
      <c r="B10" s="2" t="s">
        <v>31</v>
      </c>
      <c r="C10" t="e">
        <f>VLOOKUP(A10,'User Extract'!$C$2:$D$563,2,FALSE)</f>
        <v>#N/A</v>
      </c>
    </row>
    <row r="11" spans="1:3">
      <c r="A11" s="12" t="s">
        <v>932</v>
      </c>
      <c r="B11" s="2" t="s">
        <v>208</v>
      </c>
      <c r="C11" t="str">
        <f>VLOOKUP(A11,'User Extract'!$C$2:$D$563,2,FALSE)</f>
        <v>0052600000BnKKdAAN</v>
      </c>
    </row>
    <row r="12" spans="1:3">
      <c r="A12" s="12" t="s">
        <v>921</v>
      </c>
      <c r="B12" s="2" t="s">
        <v>208</v>
      </c>
      <c r="C12" t="str">
        <f>VLOOKUP(A12,'User Extract'!$C$2:$D$563,2,FALSE)</f>
        <v>0054J000004vXPHQA2</v>
      </c>
    </row>
    <row r="13" spans="1:3">
      <c r="A13" s="2" t="s">
        <v>820</v>
      </c>
      <c r="B13" t="s">
        <v>8</v>
      </c>
      <c r="C13" t="str">
        <f>VLOOKUP(A13,'User Extract'!$C$2:$D$563,2,FALSE)</f>
        <v>0058d0000034KskAAE</v>
      </c>
    </row>
    <row r="14" spans="1:3">
      <c r="A14" s="2" t="s">
        <v>820</v>
      </c>
      <c r="B14" s="2" t="s">
        <v>225</v>
      </c>
      <c r="C14" t="str">
        <f>VLOOKUP(A14,'User Extract'!$C$2:$D$563,2,FALSE)</f>
        <v>0058d0000034KskAAE</v>
      </c>
    </row>
    <row r="15" spans="1:3">
      <c r="A15" s="2" t="s">
        <v>879</v>
      </c>
      <c r="B15" s="2" t="s">
        <v>119</v>
      </c>
      <c r="C15" t="str">
        <f>VLOOKUP(A15,'User Extract'!$C$2:$D$563,2,FALSE)</f>
        <v>0058d000004GuDNAA0</v>
      </c>
    </row>
    <row r="16" spans="1:3">
      <c r="A16" s="2" t="s">
        <v>827</v>
      </c>
      <c r="B16" t="s">
        <v>23</v>
      </c>
      <c r="C16" t="str">
        <f>VLOOKUP(A16,'User Extract'!$C$2:$D$563,2,FALSE)</f>
        <v>0058d000005QzutAAC</v>
      </c>
    </row>
    <row r="17" spans="1:3">
      <c r="A17" s="2" t="s">
        <v>845</v>
      </c>
      <c r="B17" s="2" t="s">
        <v>95</v>
      </c>
      <c r="C17" t="str">
        <f>VLOOKUP(A17,'User Extract'!$C$2:$D$563,2,FALSE)</f>
        <v>0058d000006c3QUAAY</v>
      </c>
    </row>
    <row r="18" spans="1:3">
      <c r="A18" s="2" t="s">
        <v>828</v>
      </c>
      <c r="B18" t="s">
        <v>23</v>
      </c>
      <c r="C18" t="str">
        <f>VLOOKUP(A18,'User Extract'!$C$2:$D$563,2,FALSE)</f>
        <v>0058d000000mAE2AAM</v>
      </c>
    </row>
    <row r="19" spans="1:3">
      <c r="A19" s="2" t="s">
        <v>848</v>
      </c>
      <c r="B19" s="2" t="s">
        <v>44</v>
      </c>
      <c r="C19" t="str">
        <f>VLOOKUP(A19,'User Extract'!$C$2:$D$563,2,FALSE)</f>
        <v>0054J000004vXOWQA2</v>
      </c>
    </row>
    <row r="20" spans="1:3">
      <c r="A20" s="2" t="s">
        <v>840</v>
      </c>
      <c r="B20" s="2" t="s">
        <v>43</v>
      </c>
      <c r="C20" t="str">
        <f>VLOOKUP(TRIM(A20),'User Extract'!$C$2:$D$563,2,FALSE)</f>
        <v>0058d000004GtmhAAC</v>
      </c>
    </row>
    <row r="21" spans="1:3">
      <c r="A21" s="5" t="s">
        <v>824</v>
      </c>
      <c r="B21" t="s">
        <v>18</v>
      </c>
      <c r="C21" t="str">
        <f>VLOOKUP(A21,'User Extract'!$C$2:$D$563,2,FALSE)</f>
        <v>0058d0000034Kn5AAE</v>
      </c>
    </row>
    <row r="22" spans="1:3">
      <c r="A22" s="5" t="s">
        <v>825</v>
      </c>
      <c r="B22" t="s">
        <v>18</v>
      </c>
      <c r="C22" t="str">
        <f>VLOOKUP(A22,'User Extract'!$C$2:$D$563,2,FALSE)</f>
        <v>0058d000005RQ1sAAG</v>
      </c>
    </row>
    <row r="23" spans="1:3" hidden="1">
      <c r="A23" s="12" t="s">
        <v>931</v>
      </c>
      <c r="B23" s="2" t="s">
        <v>208</v>
      </c>
      <c r="C23" t="e">
        <f>VLOOKUP(A23,'User Extract'!$C$2:$D$563,2,FALSE)</f>
        <v>#N/A</v>
      </c>
    </row>
    <row r="24" spans="1:3">
      <c r="A24" s="2" t="s">
        <v>878</v>
      </c>
      <c r="B24" s="2" t="s">
        <v>119</v>
      </c>
      <c r="C24" t="str">
        <f>VLOOKUP(A24,'User Extract'!$C$2:$D$563,2,FALSE)</f>
        <v>0058d000006csAqAAI</v>
      </c>
    </row>
    <row r="25" spans="1:3">
      <c r="A25" s="2" t="s">
        <v>910</v>
      </c>
      <c r="B25" s="2" t="s">
        <v>210</v>
      </c>
      <c r="C25" t="str">
        <f>VLOOKUP(A25,'User Extract'!$C$2:$D$563,2,FALSE)</f>
        <v>0054J000004vm8wQAA</v>
      </c>
    </row>
    <row r="26" spans="1:3" hidden="1">
      <c r="A26" s="2" t="s">
        <v>841</v>
      </c>
      <c r="B26" s="2" t="s">
        <v>95</v>
      </c>
      <c r="C26" t="e">
        <f>VLOOKUP(A26,'User Extract'!$C$2:$D$563,2,FALSE)</f>
        <v>#N/A</v>
      </c>
    </row>
    <row r="27" spans="1:3">
      <c r="A27" s="2" t="s">
        <v>837</v>
      </c>
      <c r="B27" s="2" t="s">
        <v>43</v>
      </c>
      <c r="C27" t="str">
        <f>VLOOKUP(TRIM(A27),'User Extract'!$C$2:$D$563,2,FALSE)</f>
        <v>0058d000004H4neAAC</v>
      </c>
    </row>
    <row r="28" spans="1:3">
      <c r="A28" t="s">
        <v>817</v>
      </c>
      <c r="B28" t="s">
        <v>13</v>
      </c>
      <c r="C28" t="str">
        <f>VLOOKUP(A28,'User Extract'!$C$2:$D$563,2,FALSE)</f>
        <v>0058d00000202rVAAQ</v>
      </c>
    </row>
    <row r="29" spans="1:3">
      <c r="A29" s="2" t="s">
        <v>911</v>
      </c>
      <c r="B29" s="2" t="s">
        <v>210</v>
      </c>
      <c r="C29" t="str">
        <f>VLOOKUP(A29,'User Extract'!$C$2:$D$563,2,FALSE)</f>
        <v>0054J000004vm8xQAA</v>
      </c>
    </row>
    <row r="30" spans="1:3">
      <c r="A30" s="2" t="s">
        <v>833</v>
      </c>
      <c r="B30" s="2" t="s">
        <v>38</v>
      </c>
      <c r="C30" t="str">
        <f>VLOOKUP(A30,'User Extract'!$C$2:$D$563,2,FALSE)</f>
        <v>0058d0000034c7KAAQ</v>
      </c>
    </row>
    <row r="31" spans="1:3">
      <c r="A31" s="2" t="s">
        <v>901</v>
      </c>
      <c r="B31" s="2" t="s">
        <v>989</v>
      </c>
      <c r="C31" t="str">
        <f>VLOOKUP(A31,'User Extract'!$C$2:$D$563,2,FALSE)</f>
        <v>0058d000001yXerAAE</v>
      </c>
    </row>
    <row r="32" spans="1:3">
      <c r="A32" s="2" t="s">
        <v>862</v>
      </c>
      <c r="B32" s="2" t="s">
        <v>81</v>
      </c>
      <c r="C32" t="str">
        <f>VLOOKUP(TRIM(A32),'User Extract'!$C$2:$D$563,2,FALSE)</f>
        <v>0058d00000343K8AAI</v>
      </c>
    </row>
    <row r="33" spans="1:3" hidden="1">
      <c r="A33" s="2" t="s">
        <v>919</v>
      </c>
      <c r="B33" s="2" t="s">
        <v>211</v>
      </c>
      <c r="C33" t="e">
        <f>VLOOKUP(A33,'User Extract'!$C$2:$D$563,2,FALSE)</f>
        <v>#N/A</v>
      </c>
    </row>
    <row r="34" spans="1:3" hidden="1">
      <c r="A34" s="2" t="s">
        <v>920</v>
      </c>
      <c r="B34" s="2" t="s">
        <v>211</v>
      </c>
      <c r="C34" t="e">
        <f>VLOOKUP(A34,'User Extract'!$C$2:$D$563,2,FALSE)</f>
        <v>#N/A</v>
      </c>
    </row>
    <row r="35" spans="1:3">
      <c r="A35" s="12" t="s">
        <v>922</v>
      </c>
      <c r="B35" s="2" t="s">
        <v>208</v>
      </c>
      <c r="C35" t="str">
        <f>VLOOKUP(A35,'User Extract'!$C$2:$D$563,2,FALSE)</f>
        <v>0054J000006BlkiQAC</v>
      </c>
    </row>
    <row r="36" spans="1:3">
      <c r="A36" s="2" t="s">
        <v>872</v>
      </c>
      <c r="B36" s="2" t="s">
        <v>104</v>
      </c>
      <c r="C36" t="str">
        <f>VLOOKUP(TRIM(A36),'User Extract'!$C$2:$D$563,2,FALSE)</f>
        <v>0058d0000034KYsAAM</v>
      </c>
    </row>
    <row r="37" spans="1:3">
      <c r="A37" s="2" t="s">
        <v>903</v>
      </c>
      <c r="B37" s="2" t="s">
        <v>362</v>
      </c>
      <c r="C37" t="str">
        <f>VLOOKUP(A37,'User Extract'!$C$2:$D$563,2,FALSE)</f>
        <v>0058d0000034KYTAA2</v>
      </c>
    </row>
    <row r="38" spans="1:3">
      <c r="A38" s="12" t="s">
        <v>928</v>
      </c>
      <c r="B38" s="2" t="s">
        <v>208</v>
      </c>
      <c r="C38" t="str">
        <f>VLOOKUP(A38,'User Extract'!$C$2:$D$563,2,FALSE)</f>
        <v>0054J000004vXPLQA2</v>
      </c>
    </row>
    <row r="39" spans="1:3">
      <c r="A39" s="2" t="s">
        <v>884</v>
      </c>
      <c r="B39" s="2" t="s">
        <v>142</v>
      </c>
      <c r="C39" t="str">
        <f>VLOOKUP(A39,'User Extract'!$C$2:$D$563,2,FALSE)</f>
        <v>0058d000006cbqpAAA</v>
      </c>
    </row>
    <row r="40" spans="1:3">
      <c r="A40" s="2" t="s">
        <v>834</v>
      </c>
      <c r="B40" s="2" t="s">
        <v>38</v>
      </c>
      <c r="C40" t="str">
        <f>VLOOKUP(TRIM(A40),'User Extract'!$C$2:$D$563,2,FALSE)</f>
        <v>0058d0000034KliAAE</v>
      </c>
    </row>
    <row r="41" spans="1:3">
      <c r="A41" t="s">
        <v>816</v>
      </c>
      <c r="B41" t="s">
        <v>13</v>
      </c>
      <c r="C41" t="str">
        <f>VLOOKUP(A41,'User Extract'!$C$2:$D$563,2,FALSE)</f>
        <v>0054J000006BkQgQAK</v>
      </c>
    </row>
    <row r="42" spans="1:3">
      <c r="A42" s="2" t="s">
        <v>849</v>
      </c>
      <c r="B42" s="2" t="s">
        <v>44</v>
      </c>
      <c r="C42" t="str">
        <f>VLOOKUP(A42,'User Extract'!$C$2:$D$563,2,FALSE)</f>
        <v>0054J000004wSINQA2</v>
      </c>
    </row>
    <row r="43" spans="1:3" hidden="1">
      <c r="A43" s="2" t="s">
        <v>852</v>
      </c>
      <c r="B43" s="2" t="s">
        <v>55</v>
      </c>
      <c r="C43" t="e">
        <f>VLOOKUP(A43,'User Extract'!$C$2:$D$563,2,FALSE)</f>
        <v>#N/A</v>
      </c>
    </row>
    <row r="44" spans="1:3">
      <c r="A44" s="2" t="s">
        <v>858</v>
      </c>
      <c r="B44" s="2" t="s">
        <v>71</v>
      </c>
      <c r="C44" t="str">
        <f>VLOOKUP(A44,'User Extract'!$C$2:$D$563,2,FALSE)</f>
        <v>0058d000005TEYFAA4</v>
      </c>
    </row>
    <row r="45" spans="1:3">
      <c r="A45" s="12" t="s">
        <v>939</v>
      </c>
      <c r="B45" s="2" t="s">
        <v>209</v>
      </c>
      <c r="C45" t="str">
        <f>VLOOKUP(A45,'User Extract'!$C$2:$D$563,2,FALSE)</f>
        <v>0058d000004FsUgAAK</v>
      </c>
    </row>
    <row r="46" spans="1:3">
      <c r="A46" s="2" t="s">
        <v>871</v>
      </c>
      <c r="B46" s="2" t="s">
        <v>104</v>
      </c>
      <c r="C46" t="str">
        <f>VLOOKUP(A46,'User Extract'!$C$2:$D$563,2,FALSE)</f>
        <v>0058d000001zVWjAAM</v>
      </c>
    </row>
    <row r="47" spans="1:3">
      <c r="A47" s="2" t="s">
        <v>876</v>
      </c>
      <c r="B47" s="2" t="s">
        <v>111</v>
      </c>
      <c r="C47" t="str">
        <f>VLOOKUP(A47,'User Extract'!$C$2:$D$563,2,FALSE)</f>
        <v>0058d0000034e9SAAQ</v>
      </c>
    </row>
    <row r="48" spans="1:3">
      <c r="A48" s="2" t="s">
        <v>842</v>
      </c>
      <c r="B48" s="2" t="s">
        <v>95</v>
      </c>
      <c r="C48" t="str">
        <f>VLOOKUP(A48,'User Extract'!$C$2:$D$563,2,FALSE)</f>
        <v>0058d0000034Km2AAE</v>
      </c>
    </row>
    <row r="49" spans="1:3">
      <c r="A49" s="12" t="s">
        <v>942</v>
      </c>
      <c r="B49" s="2" t="s">
        <v>209</v>
      </c>
      <c r="C49" t="str">
        <f>VLOOKUP(A49,'User Extract'!$C$2:$D$563,2,FALSE)</f>
        <v>0058d00000348B4AAI</v>
      </c>
    </row>
    <row r="50" spans="1:3">
      <c r="A50" s="2" t="s">
        <v>898</v>
      </c>
      <c r="B50" s="2" t="s">
        <v>194</v>
      </c>
      <c r="C50" t="str">
        <f>VLOOKUP(A50,'User Extract'!$C$2:$D$563,2,FALSE)</f>
        <v>0058d0000034KXpAAM</v>
      </c>
    </row>
    <row r="51" spans="1:3">
      <c r="A51" s="5" t="s">
        <v>823</v>
      </c>
      <c r="B51" t="s">
        <v>18</v>
      </c>
      <c r="C51" t="str">
        <f>VLOOKUP(A51,'User Extract'!$C$2:$D$563,2,FALSE)</f>
        <v>0058d0000034Ks6AAE</v>
      </c>
    </row>
    <row r="52" spans="1:3">
      <c r="A52" s="2" t="s">
        <v>875</v>
      </c>
      <c r="B52" s="2" t="s">
        <v>111</v>
      </c>
      <c r="C52" t="str">
        <f>VLOOKUP(A52,'User Extract'!$C$2:$D$563,2,FALSE)</f>
        <v>0058d000004En5hAAC</v>
      </c>
    </row>
    <row r="53" spans="1:3">
      <c r="A53" s="2" t="s">
        <v>880</v>
      </c>
      <c r="B53" s="2" t="s">
        <v>119</v>
      </c>
      <c r="C53" t="str">
        <f>VLOOKUP(A53,'User Extract'!$C$2:$D$563,2,FALSE)</f>
        <v>0052600000BnKKbAAN</v>
      </c>
    </row>
    <row r="54" spans="1:3">
      <c r="A54" s="2" t="s">
        <v>877</v>
      </c>
      <c r="B54" s="2" t="s">
        <v>119</v>
      </c>
      <c r="C54" t="str">
        <f>VLOOKUP(A54,'User Extract'!$C$2:$D$563,2,FALSE)</f>
        <v>0058d000001yXeuAAE</v>
      </c>
    </row>
    <row r="55" spans="1:3">
      <c r="A55" s="12" t="s">
        <v>926</v>
      </c>
      <c r="B55" s="2" t="s">
        <v>208</v>
      </c>
      <c r="C55" t="str">
        <f>VLOOKUP(A55,'User Extract'!$C$2:$D$563,2,FALSE)</f>
        <v>0054J000004vXPNQA2</v>
      </c>
    </row>
    <row r="56" spans="1:3">
      <c r="A56" s="2" t="s">
        <v>847</v>
      </c>
      <c r="B56" s="2" t="s">
        <v>56</v>
      </c>
      <c r="C56" t="str">
        <f>VLOOKUP(A56,'User Extract'!$C$2:$D$563,2,FALSE)</f>
        <v>0058d000006chw3AAA</v>
      </c>
    </row>
    <row r="57" spans="1:3">
      <c r="A57" s="12" t="s">
        <v>923</v>
      </c>
      <c r="B57" s="2" t="s">
        <v>208</v>
      </c>
      <c r="C57" t="str">
        <f>VLOOKUP(A57,'User Extract'!$C$2:$D$563,2,FALSE)</f>
        <v>0054J000004vXPJQA2</v>
      </c>
    </row>
    <row r="58" spans="1:3">
      <c r="A58" s="2" t="s">
        <v>908</v>
      </c>
      <c r="B58" s="2" t="s">
        <v>225</v>
      </c>
      <c r="C58" t="str">
        <f>VLOOKUP(A58,'User Extract'!$C$2:$D$563,2,FALSE)</f>
        <v>0054J000004vm9BQAQ</v>
      </c>
    </row>
    <row r="59" spans="1:3">
      <c r="A59" s="2" t="s">
        <v>850</v>
      </c>
      <c r="B59" s="2" t="s">
        <v>44</v>
      </c>
      <c r="C59" t="str">
        <f>VLOOKUP(A59,'User Extract'!$C$2:$D$563,2,FALSE)</f>
        <v>0054J000004vXObQAM</v>
      </c>
    </row>
    <row r="60" spans="1:3">
      <c r="A60" s="2" t="s">
        <v>907</v>
      </c>
      <c r="B60" s="2" t="s">
        <v>225</v>
      </c>
      <c r="C60" t="str">
        <f>VLOOKUP(A60,'User Extract'!$C$2:$D$563,2,FALSE)</f>
        <v>0054J000004vm99QAA</v>
      </c>
    </row>
    <row r="61" spans="1:3">
      <c r="A61" s="12" t="s">
        <v>943</v>
      </c>
      <c r="B61" s="2" t="s">
        <v>209</v>
      </c>
      <c r="C61" t="str">
        <f>VLOOKUP(A61,'User Extract'!$C$2:$D$563,2,FALSE)</f>
        <v>0054J000006BlkxQAC</v>
      </c>
    </row>
    <row r="62" spans="1:3">
      <c r="A62" s="2" t="s">
        <v>829</v>
      </c>
      <c r="B62" t="s">
        <v>30</v>
      </c>
      <c r="C62" t="str">
        <f>VLOOKUP(TRIM(A62),'User Extract'!$C$2:$D$563,2,FALSE)</f>
        <v>0054J000004vm86QAA</v>
      </c>
    </row>
    <row r="63" spans="1:3">
      <c r="A63" s="12" t="s">
        <v>924</v>
      </c>
      <c r="B63" s="2" t="s">
        <v>208</v>
      </c>
      <c r="C63" t="str">
        <f>VLOOKUP(A63,'User Extract'!$C$2:$D$563,2,FALSE)</f>
        <v>0054J000004vXOyQAM</v>
      </c>
    </row>
    <row r="64" spans="1:3">
      <c r="A64" s="2" t="s">
        <v>913</v>
      </c>
      <c r="B64" s="2" t="s">
        <v>210</v>
      </c>
      <c r="C64" t="str">
        <f>VLOOKUP(A64,'User Extract'!$C$2:$D$563,2,FALSE)</f>
        <v>0054J000004vm8oQAA</v>
      </c>
    </row>
    <row r="65" spans="1:3">
      <c r="A65" s="2" t="s">
        <v>888</v>
      </c>
      <c r="B65" s="2" t="s">
        <v>151</v>
      </c>
      <c r="C65" t="str">
        <f>VLOOKUP(A65,'User Extract'!$C$2:$D$563,2,FALSE)</f>
        <v>0058d0000034KXaAAM</v>
      </c>
    </row>
    <row r="66" spans="1:3">
      <c r="A66" s="2" t="s">
        <v>914</v>
      </c>
      <c r="B66" s="2" t="s">
        <v>210</v>
      </c>
      <c r="C66" t="str">
        <f>VLOOKUP(A66,'User Extract'!$C$2:$D$563,2,FALSE)</f>
        <v>0054J000005JVuPQAW</v>
      </c>
    </row>
    <row r="67" spans="1:3">
      <c r="A67" t="s">
        <v>818</v>
      </c>
      <c r="B67" t="s">
        <v>13</v>
      </c>
      <c r="C67" t="str">
        <f>VLOOKUP(A67,'User Extract'!$C$2:$D$563,2,FALSE)</f>
        <v>0054J000004vXOZQA2</v>
      </c>
    </row>
    <row r="68" spans="1:3" hidden="1">
      <c r="A68" s="2" t="s">
        <v>881</v>
      </c>
      <c r="B68" s="2" t="s">
        <v>120</v>
      </c>
      <c r="C68" t="e">
        <f>VLOOKUP(A68,'User Extract'!$C$2:$D$563,2,FALSE)</f>
        <v>#N/A</v>
      </c>
    </row>
    <row r="69" spans="1:3">
      <c r="A69" s="2" t="s">
        <v>818</v>
      </c>
      <c r="B69" s="2" t="s">
        <v>44</v>
      </c>
      <c r="C69" t="str">
        <f>VLOOKUP(A69,'User Extract'!$C$2:$D$563,2,FALSE)</f>
        <v>0054J000004vXOZQA2</v>
      </c>
    </row>
    <row r="70" spans="1:3">
      <c r="A70" s="2" t="s">
        <v>818</v>
      </c>
      <c r="B70" s="2" t="s">
        <v>112</v>
      </c>
      <c r="C70" t="str">
        <f>VLOOKUP(A70,'User Extract'!$C$2:$D$563,2,FALSE)</f>
        <v>0054J000004vXOZQA2</v>
      </c>
    </row>
    <row r="71" spans="1:3" hidden="1">
      <c r="A71" s="2" t="s">
        <v>853</v>
      </c>
      <c r="B71" s="2" t="s">
        <v>55</v>
      </c>
      <c r="C71" t="e">
        <f>VLOOKUP(A71,'User Extract'!$C$2:$D$563,2,FALSE)</f>
        <v>#N/A</v>
      </c>
    </row>
    <row r="72" spans="1:3">
      <c r="A72" s="2" t="s">
        <v>893</v>
      </c>
      <c r="B72" s="2" t="s">
        <v>186</v>
      </c>
      <c r="C72" t="str">
        <f>VLOOKUP(A72,'User Extract'!$C$2:$D$563,2,FALSE)</f>
        <v>0058d0000021IvSAAU</v>
      </c>
    </row>
    <row r="73" spans="1:3" hidden="1">
      <c r="A73" s="2" t="s">
        <v>897</v>
      </c>
      <c r="B73" s="2" t="s">
        <v>194</v>
      </c>
      <c r="C73" t="e">
        <f>VLOOKUP(A73,'User Extract'!$C$2:$D$563,2,FALSE)</f>
        <v>#N/A</v>
      </c>
    </row>
    <row r="74" spans="1:3" hidden="1">
      <c r="A74" s="12" t="s">
        <v>925</v>
      </c>
      <c r="B74" s="2" t="s">
        <v>208</v>
      </c>
      <c r="C74" t="e">
        <f>VLOOKUP(A74,'User Extract'!$C$2:$D$563,2,FALSE)</f>
        <v>#N/A</v>
      </c>
    </row>
    <row r="75" spans="1:3">
      <c r="A75" s="2" t="s">
        <v>893</v>
      </c>
      <c r="B75" s="2" t="s">
        <v>194</v>
      </c>
      <c r="C75" t="str">
        <f>VLOOKUP(A75,'User Extract'!$C$2:$D$563,2,FALSE)</f>
        <v>0058d0000021IvSAAU</v>
      </c>
    </row>
    <row r="76" spans="1:3">
      <c r="A76" s="2" t="s">
        <v>915</v>
      </c>
      <c r="B76" s="2" t="s">
        <v>210</v>
      </c>
      <c r="C76" t="str">
        <f>VLOOKUP(A76,'User Extract'!$C$2:$D$563,2,FALSE)</f>
        <v>0054J000004vm8pQAA</v>
      </c>
    </row>
    <row r="77" spans="1:3">
      <c r="A77" s="12" t="s">
        <v>936</v>
      </c>
      <c r="B77" s="2" t="s">
        <v>209</v>
      </c>
      <c r="C77" t="str">
        <f>VLOOKUP(A77,'User Extract'!$C$2:$D$563,2,FALSE)</f>
        <v>005UE000001aCGbYAM</v>
      </c>
    </row>
    <row r="78" spans="1:3">
      <c r="A78" s="2" t="s">
        <v>890</v>
      </c>
      <c r="B78" s="2" t="s">
        <v>159</v>
      </c>
      <c r="C78" t="str">
        <f>VLOOKUP(A78,'User Extract'!$C$2:$D$563,2,FALSE)</f>
        <v>0058d000005QXRuAAO</v>
      </c>
    </row>
    <row r="79" spans="1:3">
      <c r="A79" s="2" t="s">
        <v>854</v>
      </c>
      <c r="B79" s="2" t="s">
        <v>55</v>
      </c>
      <c r="C79" t="str">
        <f>VLOOKUP(A79,'User Extract'!$C$2:$D$563,2,FALSE)</f>
        <v>0058d000004DM6nAAG</v>
      </c>
    </row>
    <row r="80" spans="1:3">
      <c r="A80" s="2" t="s">
        <v>916</v>
      </c>
      <c r="B80" s="2" t="s">
        <v>210</v>
      </c>
      <c r="C80" t="str">
        <f>VLOOKUP(A80,'User Extract'!$C$2:$D$563,2,FALSE)</f>
        <v>0054J000004vm8hQAA</v>
      </c>
    </row>
    <row r="81" spans="1:3" hidden="1">
      <c r="A81" s="2" t="s">
        <v>839</v>
      </c>
      <c r="B81" s="2" t="s">
        <v>43</v>
      </c>
      <c r="C81" t="e">
        <f>VLOOKUP(A81,'User Extract'!$C$2:$D$563,2,FALSE)</f>
        <v>#N/A</v>
      </c>
    </row>
    <row r="82" spans="1:3" hidden="1">
      <c r="A82" s="2" t="s">
        <v>891</v>
      </c>
      <c r="B82" s="2" t="s">
        <v>159</v>
      </c>
      <c r="C82" t="e">
        <f>VLOOKUP(A82,'User Extract'!$C$2:$D$563,2,FALSE)</f>
        <v>#N/A</v>
      </c>
    </row>
    <row r="83" spans="1:3" hidden="1">
      <c r="A83" s="2" t="s">
        <v>856</v>
      </c>
      <c r="B83" s="2" t="s">
        <v>71</v>
      </c>
      <c r="C83" t="e">
        <f>VLOOKUP(A83,'User Extract'!$C$2:$D$563,2,FALSE)</f>
        <v>#N/A</v>
      </c>
    </row>
    <row r="84" spans="1:3" hidden="1">
      <c r="A84" s="12" t="s">
        <v>933</v>
      </c>
      <c r="B84" s="2" t="s">
        <v>208</v>
      </c>
      <c r="C84" t="e">
        <f>VLOOKUP(A84,'User Extract'!$C$2:$D$563,2,FALSE)</f>
        <v>#N/A</v>
      </c>
    </row>
    <row r="85" spans="1:3" hidden="1">
      <c r="A85" s="2" t="s">
        <v>857</v>
      </c>
      <c r="B85" s="2" t="s">
        <v>71</v>
      </c>
      <c r="C85" t="e">
        <f>VLOOKUP(A85,'User Extract'!$C$2:$D$563,2,FALSE)</f>
        <v>#N/A</v>
      </c>
    </row>
    <row r="86" spans="1:3" hidden="1">
      <c r="A86" s="2" t="s">
        <v>892</v>
      </c>
      <c r="B86" s="2" t="s">
        <v>159</v>
      </c>
      <c r="C86" t="e">
        <f>VLOOKUP(A86,'User Extract'!$C$2:$D$563,2,FALSE)</f>
        <v>#N/A</v>
      </c>
    </row>
    <row r="87" spans="1:3" hidden="1">
      <c r="A87" s="12" t="s">
        <v>940</v>
      </c>
      <c r="B87" s="2" t="s">
        <v>209</v>
      </c>
      <c r="C87" t="e">
        <f>VLOOKUP(A87,'User Extract'!$C$2:$D$563,2,FALSE)</f>
        <v>#N/A</v>
      </c>
    </row>
    <row r="88" spans="1:3" hidden="1">
      <c r="A88" s="2" t="s">
        <v>821</v>
      </c>
      <c r="B88" t="s">
        <v>8</v>
      </c>
      <c r="C88" t="e">
        <f>VLOOKUP(A88,'User Extract'!$C$2:$D$563,2,FALSE)</f>
        <v>#N/A</v>
      </c>
    </row>
    <row r="89" spans="1:3" hidden="1">
      <c r="A89" s="2" t="s">
        <v>865</v>
      </c>
      <c r="B89" s="2" t="s">
        <v>81</v>
      </c>
      <c r="C89" t="e">
        <f>VLOOKUP(A89,'User Extract'!$C$2:$D$563,2,FALSE)</f>
        <v>#N/A</v>
      </c>
    </row>
    <row r="90" spans="1:3" hidden="1">
      <c r="A90" s="2" t="s">
        <v>865</v>
      </c>
      <c r="B90" s="2" t="s">
        <v>87</v>
      </c>
      <c r="C90" t="e">
        <f>VLOOKUP(A90,'User Extract'!$C$2:$D$563,2,FALSE)</f>
        <v>#N/A</v>
      </c>
    </row>
    <row r="91" spans="1:3" hidden="1">
      <c r="A91" s="2" t="s">
        <v>882</v>
      </c>
      <c r="B91" s="2" t="s">
        <v>137</v>
      </c>
      <c r="C91" t="e">
        <f>VLOOKUP(A91,'User Extract'!$C$2:$D$563,2,FALSE)</f>
        <v>#N/A</v>
      </c>
    </row>
    <row r="92" spans="1:3" hidden="1">
      <c r="A92" s="2" t="s">
        <v>895</v>
      </c>
      <c r="B92" s="2" t="s">
        <v>186</v>
      </c>
      <c r="C92" t="e">
        <f>VLOOKUP(A92,'User Extract'!$C$2:$D$563,2,FALSE)</f>
        <v>#N/A</v>
      </c>
    </row>
    <row r="93" spans="1:3">
      <c r="A93" s="2" t="s">
        <v>846</v>
      </c>
      <c r="B93" s="2" t="s">
        <v>56</v>
      </c>
      <c r="C93" t="str">
        <f>VLOOKUP(A93,'User Extract'!$C$2:$D$563,2,FALSE)</f>
        <v>0054J000004vXOYQA2</v>
      </c>
    </row>
    <row r="94" spans="1:3" hidden="1">
      <c r="A94" s="2" t="s">
        <v>867</v>
      </c>
      <c r="B94" s="2" t="s">
        <v>87</v>
      </c>
      <c r="C94" t="e">
        <f>VLOOKUP(A94,'User Extract'!$C$2:$D$563,2,FALSE)</f>
        <v>#N/A</v>
      </c>
    </row>
    <row r="95" spans="1:3" hidden="1">
      <c r="A95" s="2" t="s">
        <v>885</v>
      </c>
      <c r="B95" s="2" t="s">
        <v>142</v>
      </c>
      <c r="C95" t="e">
        <f>VLOOKUP(A95,'User Extract'!$C$2:$D$563,2,FALSE)</f>
        <v>#N/A</v>
      </c>
    </row>
    <row r="96" spans="1:3" hidden="1">
      <c r="A96" s="2" t="s">
        <v>859</v>
      </c>
      <c r="B96" s="2" t="s">
        <v>76</v>
      </c>
      <c r="C96" t="e">
        <f>VLOOKUP(A96,'User Extract'!$C$2:$D$563,2,FALSE)</f>
        <v>#N/A</v>
      </c>
    </row>
    <row r="97" spans="1:3" hidden="1">
      <c r="A97" s="2" t="s">
        <v>894</v>
      </c>
      <c r="B97" s="2" t="s">
        <v>186</v>
      </c>
      <c r="C97" t="e">
        <f>VLOOKUP(A97,'User Extract'!$C$2:$D$563,2,FALSE)</f>
        <v>#N/A</v>
      </c>
    </row>
    <row r="98" spans="1:3" hidden="1">
      <c r="A98" s="2" t="s">
        <v>822</v>
      </c>
      <c r="B98" t="s">
        <v>8</v>
      </c>
      <c r="C98" t="e">
        <f>VLOOKUP(A98,'User Extract'!$C$2:$D$563,2,FALSE)</f>
        <v>#N/A</v>
      </c>
    </row>
    <row r="99" spans="1:3">
      <c r="A99" s="19" t="s">
        <v>846</v>
      </c>
      <c r="B99" s="19" t="s">
        <v>44</v>
      </c>
      <c r="C99" s="18" t="str">
        <f>VLOOKUP(A99,'User Extract'!$C$2:$D$563,2,FALSE)</f>
        <v>0054J000004vXOYQA2</v>
      </c>
    </row>
    <row r="100" spans="1:3" hidden="1">
      <c r="A100" s="19" t="s">
        <v>830</v>
      </c>
      <c r="B100" s="18" t="s">
        <v>30</v>
      </c>
      <c r="C100" s="18" t="e">
        <f>VLOOKUP(TRIM(A100),'User Extract'!$C$2:$D$563,2,FALSE)</f>
        <v>#N/A</v>
      </c>
    </row>
    <row r="101" spans="1:3" hidden="1">
      <c r="A101" s="19" t="s">
        <v>831</v>
      </c>
      <c r="B101" s="18" t="s">
        <v>30</v>
      </c>
      <c r="C101" s="18" t="e">
        <f>VLOOKUP(TRIM(A101),'User Extract'!$C$2:$D$563,2,FALSE)</f>
        <v>#N/A</v>
      </c>
    </row>
    <row r="102" spans="1:3" hidden="1">
      <c r="A102" s="19" t="s">
        <v>832</v>
      </c>
      <c r="B102" s="18" t="s">
        <v>30</v>
      </c>
      <c r="C102" s="18" t="e">
        <f>VLOOKUP(TRIM(A102),'User Extract'!$C$2:$D$563,2,FALSE)</f>
        <v>#N/A</v>
      </c>
    </row>
    <row r="103" spans="1:3">
      <c r="A103" s="19" t="s">
        <v>819</v>
      </c>
      <c r="B103" s="18" t="s">
        <v>8</v>
      </c>
      <c r="C103" s="18" t="str">
        <f>VLOOKUP(A103,'User Extract'!$C$2:$D$563,2,FALSE)</f>
        <v>0058d0000020QoXAAU</v>
      </c>
    </row>
    <row r="104" spans="1:3" hidden="1">
      <c r="A104" s="19" t="s">
        <v>835</v>
      </c>
      <c r="B104" s="19" t="s">
        <v>38</v>
      </c>
      <c r="C104" s="18" t="e">
        <f>VLOOKUP(TRIM(A104),'User Extract'!$C$2:$D$563,2,FALSE)</f>
        <v>#N/A</v>
      </c>
    </row>
    <row r="105" spans="1:3">
      <c r="A105" s="19" t="s">
        <v>819</v>
      </c>
      <c r="B105" s="19" t="s">
        <v>225</v>
      </c>
      <c r="C105" s="18" t="str">
        <f>VLOOKUP(A105,'User Extract'!$C$2:$D$563,2,FALSE)</f>
        <v>0058d0000020QoXAAU</v>
      </c>
    </row>
    <row r="106" spans="1:3">
      <c r="A106" s="19" t="s">
        <v>889</v>
      </c>
      <c r="B106" s="19" t="s">
        <v>159</v>
      </c>
      <c r="C106" s="18" t="str">
        <f>VLOOKUP(A106,'User Extract'!$C$2:$D$563,2,FALSE)</f>
        <v>0058d000004Cx8uAAC</v>
      </c>
    </row>
    <row r="107" spans="1:3">
      <c r="A107" s="19" t="s">
        <v>851</v>
      </c>
      <c r="B107" s="19" t="s">
        <v>55</v>
      </c>
      <c r="C107" s="18" t="str">
        <f>VLOOKUP(A107,'User Extract'!$C$2:$D$563,2,FALSE)</f>
        <v>0054J000005JMoGQAW</v>
      </c>
    </row>
    <row r="108" spans="1:3" hidden="1">
      <c r="A108" s="19" t="s">
        <v>860</v>
      </c>
      <c r="B108" s="19" t="s">
        <v>76</v>
      </c>
      <c r="C108" s="18" t="e">
        <f>VLOOKUP(TRIM(A108),'User Extract'!$C$2:$D$563,2,FALSE)</f>
        <v>#N/A</v>
      </c>
    </row>
    <row r="109" spans="1:3" hidden="1">
      <c r="A109" s="19" t="s">
        <v>861</v>
      </c>
      <c r="B109" s="19" t="s">
        <v>76</v>
      </c>
      <c r="C109" s="18" t="e">
        <f>VLOOKUP(TRIM(A109),'User Extract'!$C$2:$D$563,2,FALSE)</f>
        <v>#N/A</v>
      </c>
    </row>
    <row r="110" spans="1:3">
      <c r="A110" s="19" t="s">
        <v>855</v>
      </c>
      <c r="B110" s="19" t="s">
        <v>71</v>
      </c>
      <c r="C110" s="18" t="str">
        <f>VLOOKUP(A110,'User Extract'!$C$2:$D$563,2,FALSE)</f>
        <v>0058d000006chw2AAA</v>
      </c>
    </row>
    <row r="111" spans="1:3" hidden="1">
      <c r="A111" s="2" t="s">
        <v>863</v>
      </c>
      <c r="B111" s="2" t="s">
        <v>81</v>
      </c>
      <c r="C111" t="e">
        <f>VLOOKUP(A111,'User Extract'!$C$2:$D$563,2,FALSE)</f>
        <v>#N/A</v>
      </c>
    </row>
    <row r="112" spans="1:3" hidden="1">
      <c r="A112" s="2" t="s">
        <v>864</v>
      </c>
      <c r="B112" s="2" t="s">
        <v>81</v>
      </c>
      <c r="C112" t="e">
        <f>VLOOKUP(A112,'User Extract'!$C$2:$D$563,2,FALSE)</f>
        <v>#N/A</v>
      </c>
    </row>
    <row r="113" spans="1:3" hidden="1">
      <c r="A113" s="19" t="s">
        <v>868</v>
      </c>
      <c r="B113" s="19" t="s">
        <v>87</v>
      </c>
      <c r="C113" s="18" t="e">
        <f>VLOOKUP(TRIM(A113),'User Extract'!$C$2:$D$563,2,FALSE)</f>
        <v>#N/A</v>
      </c>
    </row>
    <row r="114" spans="1:3">
      <c r="A114" s="19" t="s">
        <v>855</v>
      </c>
      <c r="B114" s="19" t="s">
        <v>76</v>
      </c>
      <c r="C114" s="18" t="str">
        <f>VLOOKUP(A114,'User Extract'!$C$2:$D$563,2,FALSE)</f>
        <v>0058d000006chw2AAA</v>
      </c>
    </row>
    <row r="115" spans="1:3">
      <c r="A115" s="19" t="s">
        <v>838</v>
      </c>
      <c r="B115" s="19" t="s">
        <v>43</v>
      </c>
      <c r="C115" s="18" t="str">
        <f>VLOOKUP(TRIM(A115),'User Extract'!$C$2:$D$563,2,FALSE)</f>
        <v>0058d0000034KtEAAU</v>
      </c>
    </row>
    <row r="116" spans="1:3">
      <c r="A116" s="2" t="s">
        <v>866</v>
      </c>
      <c r="B116" s="2" t="s">
        <v>87</v>
      </c>
      <c r="C116" t="str">
        <f>VLOOKUP(A116,'User Extract'!$C$2:$D$563,2,FALSE)</f>
        <v>0058d0000034c7JAAQ</v>
      </c>
    </row>
    <row r="117" spans="1:3" hidden="1">
      <c r="A117" s="2" t="s">
        <v>887</v>
      </c>
      <c r="B117" s="2" t="s">
        <v>145</v>
      </c>
      <c r="C117" t="e">
        <f>VLOOKUP(A117,'User Extract'!$C$2:$D$563,2,FALSE)</f>
        <v>#N/A</v>
      </c>
    </row>
    <row r="118" spans="1:3">
      <c r="A118" s="19" t="s">
        <v>843</v>
      </c>
      <c r="B118" s="19" t="s">
        <v>95</v>
      </c>
      <c r="C118" s="18" t="str">
        <f>VLOOKUP(A118,'User Extract'!$C$2:$D$563,2,FALSE)</f>
        <v>0058d0000034Km7AAE</v>
      </c>
    </row>
    <row r="119" spans="1:3" hidden="1">
      <c r="A119" s="19" t="s">
        <v>899</v>
      </c>
      <c r="B119" s="19" t="s">
        <v>900</v>
      </c>
      <c r="C119" s="18" t="e">
        <f>VLOOKUP(TRIM(A119),'User Extract'!$C$2:$D$563,2,FALSE)</f>
        <v>#N/A</v>
      </c>
    </row>
    <row r="120" spans="1:3" hidden="1">
      <c r="A120" t="s">
        <v>904</v>
      </c>
      <c r="B120" s="2" t="s">
        <v>362</v>
      </c>
      <c r="C120" t="e">
        <f>VLOOKUP(A120,'User Extract'!$C$2:$D$563,2,FALSE)</f>
        <v>#N/A</v>
      </c>
    </row>
    <row r="121" spans="1:3" hidden="1">
      <c r="A121" s="19" t="s">
        <v>906</v>
      </c>
      <c r="B121" s="19" t="s">
        <v>225</v>
      </c>
      <c r="C121" s="18" t="e">
        <f>VLOOKUP(TRIM(A121),'User Extract'!$C$2:$D$563,2,FALSE)</f>
        <v>#N/A</v>
      </c>
    </row>
    <row r="122" spans="1:3">
      <c r="A122" s="2" t="s">
        <v>886</v>
      </c>
      <c r="B122" s="2" t="s">
        <v>145</v>
      </c>
      <c r="C122" t="str">
        <f>VLOOKUP(A122,'User Extract'!$C$2:$D$563,2,FALSE)</f>
        <v>0058d000005R8xzAAC</v>
      </c>
    </row>
    <row r="123" spans="1:3">
      <c r="A123" s="2" t="s">
        <v>874</v>
      </c>
      <c r="B123" s="2" t="s">
        <v>104</v>
      </c>
      <c r="C123" t="str">
        <f>VLOOKUP(TRIM(A123),'User Extract'!$C$2:$D$563,2,FALSE)</f>
        <v>0058d000004FHK0AAO</v>
      </c>
    </row>
    <row r="124" spans="1:3" hidden="1">
      <c r="A124" s="19" t="s">
        <v>912</v>
      </c>
      <c r="B124" s="19" t="s">
        <v>210</v>
      </c>
      <c r="C124" s="18" t="e">
        <f>VLOOKUP(TRIM(A124),'User Extract'!$C$2:$D$563,2,FALSE)</f>
        <v>#N/A</v>
      </c>
    </row>
    <row r="125" spans="1:3">
      <c r="A125" s="2" t="s">
        <v>896</v>
      </c>
      <c r="B125" s="2" t="s">
        <v>186</v>
      </c>
      <c r="C125" t="str">
        <f>VLOOKUP(TRIM(A125),'User Extract'!$C$2:$D$563,2,FALSE)</f>
        <v>0058d000005ToH7AAK</v>
      </c>
    </row>
    <row r="126" spans="1:3">
      <c r="A126" s="2" t="s">
        <v>905</v>
      </c>
      <c r="B126" s="2" t="s">
        <v>362</v>
      </c>
      <c r="C126" t="str">
        <f>VLOOKUP(A126,'User Extract'!$C$2:$D$563,2,FALSE)</f>
        <v>0054J000004waNuQAI</v>
      </c>
    </row>
    <row r="127" spans="1:3">
      <c r="A127" s="2" t="s">
        <v>844</v>
      </c>
      <c r="B127" s="2" t="s">
        <v>95</v>
      </c>
      <c r="C127" t="str">
        <f>VLOOKUP(A127,'User Extract'!$C$2:$D$563,2,FALSE)</f>
        <v>0058d0000034KmgAAE</v>
      </c>
    </row>
    <row r="128" spans="1:3">
      <c r="A128" s="2" t="s">
        <v>883</v>
      </c>
      <c r="B128" s="2" t="s">
        <v>137</v>
      </c>
      <c r="C128" t="str">
        <f>VLOOKUP(A128,'User Extract'!$C$2:$D$563,2,FALSE)</f>
        <v>0058d000006b6mpAAA</v>
      </c>
    </row>
    <row r="129" spans="1:3">
      <c r="A129" s="2" t="s">
        <v>917</v>
      </c>
      <c r="B129" s="2" t="s">
        <v>210</v>
      </c>
      <c r="C129" t="str">
        <f>VLOOKUP(A129,'User Extract'!$C$2:$D$563,2,FALSE)</f>
        <v>0058d000001yXevAAE</v>
      </c>
    </row>
    <row r="130" spans="1:3">
      <c r="A130" s="2" t="s">
        <v>918</v>
      </c>
      <c r="B130" s="2" t="s">
        <v>210</v>
      </c>
      <c r="C130" t="str">
        <f>VLOOKUP(A130,'User Extract'!$C$2:$D$563,2,FALSE)</f>
        <v>0058d00000348xkAAA</v>
      </c>
    </row>
    <row r="131" spans="1:3" hidden="1">
      <c r="A131" s="20" t="s">
        <v>927</v>
      </c>
      <c r="B131" s="19" t="s">
        <v>208</v>
      </c>
      <c r="C131" s="18" t="e">
        <f>VLOOKUP(TRIM(A131),'User Extract'!$C$2:$D$563,2,FALSE)</f>
        <v>#N/A</v>
      </c>
    </row>
    <row r="132" spans="1:3" hidden="1">
      <c r="A132" s="12" t="s">
        <v>929</v>
      </c>
      <c r="B132" s="2" t="s">
        <v>208</v>
      </c>
      <c r="C132" t="e">
        <f>VLOOKUP(A132,'User Extract'!$C$2:$D$563,2,FALSE)</f>
        <v>#N/A</v>
      </c>
    </row>
    <row r="133" spans="1:3" hidden="1">
      <c r="A133" s="12" t="s">
        <v>934</v>
      </c>
      <c r="B133" s="2" t="s">
        <v>209</v>
      </c>
      <c r="C133" t="e">
        <f>VLOOKUP(A133,'User Extract'!$C$2:$D$563,2,FALSE)</f>
        <v>#N/A</v>
      </c>
    </row>
    <row r="134" spans="1:3" hidden="1">
      <c r="A134" s="12" t="s">
        <v>935</v>
      </c>
      <c r="B134" s="2" t="s">
        <v>209</v>
      </c>
      <c r="C134" t="e">
        <f>VLOOKUP(A134,'User Extract'!$C$2:$D$563,2,FALSE)</f>
        <v>#N/A</v>
      </c>
    </row>
    <row r="135" spans="1:3">
      <c r="A135" s="2" t="s">
        <v>873</v>
      </c>
      <c r="B135" s="2" t="s">
        <v>104</v>
      </c>
      <c r="C135" t="str">
        <f>VLOOKUP(A135,'User Extract'!$C$2:$D$563,2,FALSE)</f>
        <v>0058d0000034KZ2AAM</v>
      </c>
    </row>
    <row r="136" spans="1:3" hidden="1">
      <c r="A136" s="12" t="s">
        <v>937</v>
      </c>
      <c r="B136" s="2" t="s">
        <v>209</v>
      </c>
      <c r="C136" t="e">
        <f>VLOOKUP(A136,'User Extract'!$C$2:$D$563,2,FALSE)</f>
        <v>#N/A</v>
      </c>
    </row>
    <row r="137" spans="1:3" hidden="1">
      <c r="A137" s="12" t="s">
        <v>938</v>
      </c>
      <c r="B137" s="2" t="s">
        <v>209</v>
      </c>
      <c r="C137" t="e">
        <f>VLOOKUP(A137,'User Extract'!$C$2:$D$563,2,FALSE)</f>
        <v>#N/A</v>
      </c>
    </row>
    <row r="138" spans="1:3" hidden="1">
      <c r="A138" s="12" t="s">
        <v>941</v>
      </c>
      <c r="B138" s="2" t="s">
        <v>209</v>
      </c>
      <c r="C138" t="e">
        <f>VLOOKUP(A138,'User Extract'!$C$2:$D$563,2,FALSE)</f>
        <v>#N/A</v>
      </c>
    </row>
  </sheetData>
  <autoFilter ref="A1:C138" xr:uid="{4CBF21EB-B941-0D48-B4F5-03AE44799A61}">
    <filterColumn colId="2">
      <filters>
        <filter val="0052600000BnKKbAAN"/>
        <filter val="0052600000BnKKdAAN"/>
        <filter val="0054J000004vm86QAA"/>
        <filter val="0054J000004vm8hQAA"/>
        <filter val="0054J000004vm8oQAA"/>
        <filter val="0054J000004vm8pQAA"/>
        <filter val="0054J000004vm8wQAA"/>
        <filter val="0054J000004vm8xQAA"/>
        <filter val="0054J000004vm99QAA"/>
        <filter val="0054J000004vm9BQAQ"/>
        <filter val="0054J000004vXObQAM"/>
        <filter val="0054J000004vXOWQA2"/>
        <filter val="0054J000004vXOYQA2"/>
        <filter val="0054J000004vXOyQAM"/>
        <filter val="0054J000004vXOZQA2"/>
        <filter val="0054J000004vXPHQA2"/>
        <filter val="0054J000004vXPIQA2"/>
        <filter val="0054J000004vXPJQA2"/>
        <filter val="0054J000004vXPLQA2"/>
        <filter val="0054J000004vXPNQA2"/>
        <filter val="0054J000004waNuQAI"/>
        <filter val="0054J000004wSINQA2"/>
        <filter val="0054J000005JMoGQAW"/>
        <filter val="0054J000005JVuPQAW"/>
        <filter val="0054J000006BkQgQAK"/>
        <filter val="0054J000006BlkiQAC"/>
        <filter val="0054J000006BlkxQAC"/>
        <filter val="0058d000000mAE2AAM"/>
        <filter val="0058d000001yXerAAE"/>
        <filter val="0058d000001yXeuAAE"/>
        <filter val="0058d000001yXevAAE"/>
        <filter val="0058d000001zVWjAAM"/>
        <filter val="0058d00000202rVAAQ"/>
        <filter val="0058d0000020QoXAAU"/>
        <filter val="0058d0000021IvSAAU"/>
        <filter val="0058d00000343K8AAI"/>
        <filter val="0058d00000348B4AAI"/>
        <filter val="0058d00000348xkAAA"/>
        <filter val="0058d0000034c7JAAQ"/>
        <filter val="0058d0000034c7KAAQ"/>
        <filter val="0058d0000034e9SAAQ"/>
        <filter val="0058d0000034KliAAE"/>
        <filter val="0058d0000034Km2AAE"/>
        <filter val="0058d0000034Km7AAE"/>
        <filter val="0058d0000034KmgAAE"/>
        <filter val="0058d0000034Kn5AAE"/>
        <filter val="0058d0000034Ks6AAE"/>
        <filter val="0058d0000034KskAAE"/>
        <filter val="0058d0000034KtEAAU"/>
        <filter val="0058d0000034KXaAAM"/>
        <filter val="0058d0000034KXpAAM"/>
        <filter val="0058d0000034KYsAAM"/>
        <filter val="0058d0000034KYTAA2"/>
        <filter val="0058d0000034KZ2AAM"/>
        <filter val="0058d0000034L6QAAU"/>
        <filter val="0058d000004Cx8uAAC"/>
        <filter val="0058d000004DM6nAAG"/>
        <filter val="0058d000004En5hAAC"/>
        <filter val="0058d000004FHK0AAO"/>
        <filter val="0058d000004FsUgAAK"/>
        <filter val="0058d000004GtmhAAC"/>
        <filter val="0058d000004GuDNAA0"/>
        <filter val="0058d000004H4neAAC"/>
        <filter val="0058d000005QXRuAAO"/>
        <filter val="0058d000005QzutAAC"/>
        <filter val="0058d000005R8xzAAC"/>
        <filter val="0058d000005RQ1sAAG"/>
        <filter val="0058d000005TEYFAA4"/>
        <filter val="0058d000005ToH7AAK"/>
        <filter val="0058d000006b6mpAAA"/>
        <filter val="0058d000006c3QUAAY"/>
        <filter val="0058d000006cbqpAAA"/>
        <filter val="0058d000006chw2AAA"/>
        <filter val="0058d000006chw3AAA"/>
        <filter val="0058d000006csAqAAI"/>
        <filter val="005UE000001aCGbYAM"/>
      </filters>
    </filterColumn>
    <sortState xmlns:xlrd2="http://schemas.microsoft.com/office/spreadsheetml/2017/richdata2" ref="A2:C138">
      <sortCondition ref="A1:A138"/>
    </sortState>
  </autoFilter>
  <sortState xmlns:xlrd2="http://schemas.microsoft.com/office/spreadsheetml/2017/richdata2" ref="A2:C138">
    <sortCondition ref="C2:C138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5B52-6C4C-9F42-9DD4-5BBAC5459141}">
  <dimension ref="A1:D123"/>
  <sheetViews>
    <sheetView workbookViewId="0">
      <selection sqref="A1:D123"/>
    </sheetView>
  </sheetViews>
  <sheetFormatPr defaultColWidth="11.42578125" defaultRowHeight="15"/>
  <cols>
    <col min="1" max="1" width="18.7109375" bestFit="1" customWidth="1"/>
    <col min="2" max="2" width="20.140625" bestFit="1" customWidth="1"/>
    <col min="3" max="3" width="18.85546875" bestFit="1" customWidth="1"/>
    <col min="4" max="4" width="16.42578125" bestFit="1" customWidth="1"/>
  </cols>
  <sheetData>
    <row r="1" spans="1:4" s="3" customFormat="1">
      <c r="A1" s="17" t="s">
        <v>814</v>
      </c>
      <c r="B1" s="17" t="s">
        <v>990</v>
      </c>
      <c r="C1" s="3" t="s">
        <v>991</v>
      </c>
      <c r="D1" s="3" t="s">
        <v>992</v>
      </c>
    </row>
    <row r="2" spans="1:4">
      <c r="A2" s="2" t="s">
        <v>826</v>
      </c>
      <c r="B2" t="s">
        <v>993</v>
      </c>
      <c r="C2" s="21" t="s">
        <v>994</v>
      </c>
      <c r="D2" t="s">
        <v>995</v>
      </c>
    </row>
    <row r="3" spans="1:4">
      <c r="A3" s="2" t="s">
        <v>869</v>
      </c>
      <c r="B3" t="s">
        <v>996</v>
      </c>
      <c r="C3" s="21" t="s">
        <v>994</v>
      </c>
      <c r="D3" t="s">
        <v>995</v>
      </c>
    </row>
    <row r="4" spans="1:4">
      <c r="A4" s="2" t="s">
        <v>907</v>
      </c>
      <c r="B4" t="s">
        <v>997</v>
      </c>
      <c r="C4" s="21" t="s">
        <v>994</v>
      </c>
      <c r="D4" t="s">
        <v>995</v>
      </c>
    </row>
    <row r="5" spans="1:4">
      <c r="A5" s="2" t="s">
        <v>908</v>
      </c>
      <c r="B5" t="s">
        <v>998</v>
      </c>
      <c r="C5" s="21" t="s">
        <v>994</v>
      </c>
      <c r="D5" t="s">
        <v>995</v>
      </c>
    </row>
    <row r="6" spans="1:4">
      <c r="A6" s="2" t="s">
        <v>909</v>
      </c>
      <c r="B6" t="s">
        <v>999</v>
      </c>
      <c r="C6" s="21" t="s">
        <v>994</v>
      </c>
      <c r="D6" t="s">
        <v>995</v>
      </c>
    </row>
    <row r="7" spans="1:4">
      <c r="A7" s="2" t="s">
        <v>836</v>
      </c>
      <c r="B7" t="s">
        <v>1000</v>
      </c>
      <c r="C7" s="21" t="s">
        <v>994</v>
      </c>
      <c r="D7" t="s">
        <v>995</v>
      </c>
    </row>
    <row r="8" spans="1:4">
      <c r="A8" s="2" t="s">
        <v>870</v>
      </c>
      <c r="B8" t="s">
        <v>1001</v>
      </c>
      <c r="C8" s="21" t="s">
        <v>994</v>
      </c>
      <c r="D8" t="s">
        <v>995</v>
      </c>
    </row>
    <row r="9" spans="1:4">
      <c r="A9" s="2" t="s">
        <v>850</v>
      </c>
      <c r="B9" t="s">
        <v>1002</v>
      </c>
      <c r="C9" s="21" t="s">
        <v>994</v>
      </c>
      <c r="D9" t="s">
        <v>1003</v>
      </c>
    </row>
    <row r="10" spans="1:4">
      <c r="A10" s="2" t="s">
        <v>848</v>
      </c>
      <c r="B10" t="s">
        <v>1004</v>
      </c>
      <c r="C10" s="21" t="s">
        <v>994</v>
      </c>
      <c r="D10" t="s">
        <v>995</v>
      </c>
    </row>
    <row r="11" spans="1:4">
      <c r="A11" s="2" t="s">
        <v>846</v>
      </c>
      <c r="B11" t="s">
        <v>1005</v>
      </c>
      <c r="C11" s="21" t="s">
        <v>994</v>
      </c>
      <c r="D11" t="s">
        <v>995</v>
      </c>
    </row>
    <row r="12" spans="1:4">
      <c r="A12" s="12" t="s">
        <v>924</v>
      </c>
      <c r="B12" t="s">
        <v>1006</v>
      </c>
      <c r="C12" s="21" t="s">
        <v>994</v>
      </c>
      <c r="D12" t="s">
        <v>995</v>
      </c>
    </row>
    <row r="13" spans="1:4">
      <c r="A13" t="s">
        <v>818</v>
      </c>
      <c r="B13" t="s">
        <v>1007</v>
      </c>
      <c r="C13" s="21" t="s">
        <v>994</v>
      </c>
      <c r="D13" t="s">
        <v>995</v>
      </c>
    </row>
    <row r="14" spans="1:4">
      <c r="A14" s="12" t="s">
        <v>921</v>
      </c>
      <c r="B14" t="s">
        <v>1008</v>
      </c>
      <c r="C14" s="21" t="s">
        <v>994</v>
      </c>
      <c r="D14" t="s">
        <v>995</v>
      </c>
    </row>
    <row r="15" spans="1:4">
      <c r="A15" s="12" t="s">
        <v>930</v>
      </c>
      <c r="B15" t="s">
        <v>1009</v>
      </c>
      <c r="C15" s="21" t="s">
        <v>994</v>
      </c>
      <c r="D15" t="s">
        <v>995</v>
      </c>
    </row>
    <row r="16" spans="1:4">
      <c r="A16" s="12" t="s">
        <v>923</v>
      </c>
      <c r="B16" t="s">
        <v>1010</v>
      </c>
      <c r="C16" s="21" t="s">
        <v>994</v>
      </c>
      <c r="D16" t="s">
        <v>995</v>
      </c>
    </row>
    <row r="17" spans="1:4">
      <c r="A17" s="12" t="s">
        <v>928</v>
      </c>
      <c r="B17" t="s">
        <v>1011</v>
      </c>
      <c r="C17" s="21" t="s">
        <v>994</v>
      </c>
      <c r="D17" t="s">
        <v>995</v>
      </c>
    </row>
    <row r="18" spans="1:4">
      <c r="A18" s="12" t="s">
        <v>931</v>
      </c>
      <c r="B18" t="s">
        <v>1012</v>
      </c>
      <c r="C18" s="21" t="s">
        <v>994</v>
      </c>
      <c r="D18" t="s">
        <v>995</v>
      </c>
    </row>
    <row r="19" spans="1:4">
      <c r="A19" s="12" t="s">
        <v>926</v>
      </c>
      <c r="B19" t="s">
        <v>1013</v>
      </c>
      <c r="C19" s="21" t="s">
        <v>994</v>
      </c>
      <c r="D19" t="s">
        <v>995</v>
      </c>
    </row>
    <row r="20" spans="1:4">
      <c r="A20" s="2" t="s">
        <v>905</v>
      </c>
      <c r="B20" t="s">
        <v>1014</v>
      </c>
      <c r="C20" s="21" t="s">
        <v>994</v>
      </c>
      <c r="D20" t="s">
        <v>995</v>
      </c>
    </row>
    <row r="21" spans="1:4">
      <c r="A21" s="2" t="s">
        <v>841</v>
      </c>
      <c r="B21" t="s">
        <v>1015</v>
      </c>
      <c r="C21" s="21" t="s">
        <v>994</v>
      </c>
      <c r="D21" t="s">
        <v>995</v>
      </c>
    </row>
    <row r="22" spans="1:4">
      <c r="A22" s="2" t="s">
        <v>849</v>
      </c>
      <c r="B22" t="s">
        <v>1016</v>
      </c>
      <c r="C22" s="21" t="s">
        <v>994</v>
      </c>
      <c r="D22" t="s">
        <v>995</v>
      </c>
    </row>
    <row r="23" spans="1:4">
      <c r="A23" s="2" t="s">
        <v>851</v>
      </c>
      <c r="B23" t="s">
        <v>1017</v>
      </c>
      <c r="C23" s="21" t="s">
        <v>994</v>
      </c>
      <c r="D23" t="s">
        <v>995</v>
      </c>
    </row>
    <row r="24" spans="1:4">
      <c r="A24" t="s">
        <v>816</v>
      </c>
      <c r="B24" t="s">
        <v>1018</v>
      </c>
      <c r="C24" s="21" t="s">
        <v>994</v>
      </c>
      <c r="D24" t="s">
        <v>995</v>
      </c>
    </row>
    <row r="25" spans="1:4">
      <c r="A25" s="12" t="s">
        <v>922</v>
      </c>
      <c r="B25" t="s">
        <v>1019</v>
      </c>
      <c r="C25" s="21" t="s">
        <v>994</v>
      </c>
      <c r="D25" t="s">
        <v>995</v>
      </c>
    </row>
    <row r="26" spans="1:4">
      <c r="A26" s="12" t="s">
        <v>943</v>
      </c>
      <c r="B26" t="s">
        <v>1020</v>
      </c>
      <c r="C26" s="21" t="s">
        <v>994</v>
      </c>
      <c r="D26" t="s">
        <v>995</v>
      </c>
    </row>
    <row r="27" spans="1:4">
      <c r="A27" s="2" t="s">
        <v>828</v>
      </c>
      <c r="B27" t="s">
        <v>1021</v>
      </c>
      <c r="C27" s="21" t="s">
        <v>994</v>
      </c>
      <c r="D27" t="s">
        <v>995</v>
      </c>
    </row>
    <row r="28" spans="1:4">
      <c r="A28" s="2" t="s">
        <v>919</v>
      </c>
      <c r="B28" t="s">
        <v>1022</v>
      </c>
      <c r="C28" s="21" t="s">
        <v>994</v>
      </c>
      <c r="D28" t="s">
        <v>995</v>
      </c>
    </row>
    <row r="29" spans="1:4">
      <c r="A29" s="2" t="s">
        <v>920</v>
      </c>
      <c r="B29" t="s">
        <v>1023</v>
      </c>
      <c r="C29" s="21" t="s">
        <v>994</v>
      </c>
      <c r="D29" t="s">
        <v>995</v>
      </c>
    </row>
    <row r="30" spans="1:4">
      <c r="A30" s="2" t="s">
        <v>901</v>
      </c>
      <c r="B30" t="s">
        <v>1024</v>
      </c>
      <c r="C30" s="21" t="s">
        <v>994</v>
      </c>
      <c r="D30" t="s">
        <v>995</v>
      </c>
    </row>
    <row r="31" spans="1:4">
      <c r="A31" s="2" t="s">
        <v>877</v>
      </c>
      <c r="B31" t="s">
        <v>1025</v>
      </c>
      <c r="C31" s="21" t="s">
        <v>994</v>
      </c>
      <c r="D31" t="s">
        <v>995</v>
      </c>
    </row>
    <row r="32" spans="1:4">
      <c r="A32" s="2" t="s">
        <v>871</v>
      </c>
      <c r="B32" t="s">
        <v>1026</v>
      </c>
      <c r="C32" s="21" t="s">
        <v>994</v>
      </c>
      <c r="D32" t="s">
        <v>995</v>
      </c>
    </row>
    <row r="33" spans="1:4">
      <c r="A33" t="s">
        <v>817</v>
      </c>
      <c r="B33" t="s">
        <v>1027</v>
      </c>
      <c r="C33" s="21" t="s">
        <v>994</v>
      </c>
      <c r="D33" t="s">
        <v>995</v>
      </c>
    </row>
    <row r="34" spans="1:4">
      <c r="A34" s="2" t="s">
        <v>819</v>
      </c>
      <c r="B34" t="s">
        <v>1028</v>
      </c>
      <c r="C34" s="21" t="s">
        <v>994</v>
      </c>
      <c r="D34" t="s">
        <v>995</v>
      </c>
    </row>
    <row r="35" spans="1:4">
      <c r="A35" s="2" t="s">
        <v>893</v>
      </c>
      <c r="B35" t="s">
        <v>1029</v>
      </c>
      <c r="C35" s="21" t="s">
        <v>994</v>
      </c>
      <c r="D35" t="s">
        <v>995</v>
      </c>
    </row>
    <row r="36" spans="1:4">
      <c r="A36" s="2" t="s">
        <v>852</v>
      </c>
      <c r="B36" t="s">
        <v>1030</v>
      </c>
      <c r="C36" s="21" t="s">
        <v>994</v>
      </c>
      <c r="D36" t="s">
        <v>995</v>
      </c>
    </row>
    <row r="37" spans="1:4">
      <c r="A37" s="12" t="s">
        <v>942</v>
      </c>
      <c r="B37" t="s">
        <v>1031</v>
      </c>
      <c r="C37" s="21" t="s">
        <v>994</v>
      </c>
      <c r="D37" t="s">
        <v>995</v>
      </c>
    </row>
    <row r="38" spans="1:4">
      <c r="A38" s="2" t="s">
        <v>833</v>
      </c>
      <c r="B38" t="s">
        <v>1032</v>
      </c>
      <c r="C38" s="21" t="s">
        <v>994</v>
      </c>
      <c r="D38" t="s">
        <v>995</v>
      </c>
    </row>
    <row r="39" spans="1:4">
      <c r="A39" s="2" t="s">
        <v>876</v>
      </c>
      <c r="B39" t="s">
        <v>1033</v>
      </c>
      <c r="C39" s="21" t="s">
        <v>994</v>
      </c>
      <c r="D39" t="s">
        <v>995</v>
      </c>
    </row>
    <row r="40" spans="1:4">
      <c r="A40" s="2" t="s">
        <v>866</v>
      </c>
      <c r="B40" t="s">
        <v>1034</v>
      </c>
      <c r="C40" s="21" t="s">
        <v>994</v>
      </c>
      <c r="D40" t="s">
        <v>1003</v>
      </c>
    </row>
    <row r="41" spans="1:4">
      <c r="A41" s="2" t="s">
        <v>842</v>
      </c>
      <c r="B41" t="s">
        <v>1035</v>
      </c>
      <c r="C41" s="21" t="s">
        <v>994</v>
      </c>
      <c r="D41" t="s">
        <v>995</v>
      </c>
    </row>
    <row r="42" spans="1:4">
      <c r="A42" s="2" t="s">
        <v>843</v>
      </c>
      <c r="B42" t="s">
        <v>1036</v>
      </c>
      <c r="C42" s="21" t="s">
        <v>994</v>
      </c>
      <c r="D42" t="s">
        <v>995</v>
      </c>
    </row>
    <row r="43" spans="1:4">
      <c r="A43" s="2" t="s">
        <v>844</v>
      </c>
      <c r="B43" t="s">
        <v>1037</v>
      </c>
      <c r="C43" s="21" t="s">
        <v>994</v>
      </c>
      <c r="D43" t="s">
        <v>995</v>
      </c>
    </row>
    <row r="44" spans="1:4">
      <c r="A44" s="5" t="s">
        <v>824</v>
      </c>
      <c r="B44" t="s">
        <v>1038</v>
      </c>
      <c r="C44" s="21" t="s">
        <v>994</v>
      </c>
      <c r="D44" t="s">
        <v>995</v>
      </c>
    </row>
    <row r="45" spans="1:4">
      <c r="A45" s="5" t="s">
        <v>823</v>
      </c>
      <c r="B45" t="s">
        <v>1039</v>
      </c>
      <c r="C45" s="21" t="s">
        <v>994</v>
      </c>
      <c r="D45" t="s">
        <v>995</v>
      </c>
    </row>
    <row r="46" spans="1:4">
      <c r="A46" s="2" t="s">
        <v>820</v>
      </c>
      <c r="B46" t="s">
        <v>1040</v>
      </c>
      <c r="C46" s="21" t="s">
        <v>994</v>
      </c>
      <c r="D46" t="s">
        <v>995</v>
      </c>
    </row>
    <row r="47" spans="1:4">
      <c r="A47" s="2" t="s">
        <v>888</v>
      </c>
      <c r="B47" t="s">
        <v>1041</v>
      </c>
      <c r="C47" s="21" t="s">
        <v>994</v>
      </c>
      <c r="D47" t="s">
        <v>995</v>
      </c>
    </row>
    <row r="48" spans="1:4">
      <c r="A48" s="2" t="s">
        <v>898</v>
      </c>
      <c r="B48" t="s">
        <v>1042</v>
      </c>
      <c r="C48" s="21" t="s">
        <v>994</v>
      </c>
      <c r="D48" t="s">
        <v>995</v>
      </c>
    </row>
    <row r="49" spans="1:4">
      <c r="A49" s="2" t="s">
        <v>903</v>
      </c>
      <c r="B49" t="s">
        <v>1043</v>
      </c>
      <c r="C49" s="21" t="s">
        <v>994</v>
      </c>
      <c r="D49" t="s">
        <v>995</v>
      </c>
    </row>
    <row r="50" spans="1:4">
      <c r="A50" s="2" t="s">
        <v>873</v>
      </c>
      <c r="B50" t="s">
        <v>1044</v>
      </c>
      <c r="C50" s="21" t="s">
        <v>994</v>
      </c>
      <c r="D50" t="s">
        <v>995</v>
      </c>
    </row>
    <row r="51" spans="1:4">
      <c r="A51" s="2" t="s">
        <v>902</v>
      </c>
      <c r="B51" t="s">
        <v>1045</v>
      </c>
      <c r="C51" s="21" t="s">
        <v>994</v>
      </c>
      <c r="D51" t="s">
        <v>1003</v>
      </c>
    </row>
    <row r="52" spans="1:4">
      <c r="A52" s="2" t="s">
        <v>889</v>
      </c>
      <c r="B52" t="s">
        <v>1046</v>
      </c>
      <c r="C52" s="21" t="s">
        <v>994</v>
      </c>
      <c r="D52" t="s">
        <v>995</v>
      </c>
    </row>
    <row r="53" spans="1:4">
      <c r="A53" s="2" t="s">
        <v>854</v>
      </c>
      <c r="B53" t="s">
        <v>1047</v>
      </c>
      <c r="C53" s="21" t="s">
        <v>994</v>
      </c>
      <c r="D53" t="s">
        <v>995</v>
      </c>
    </row>
    <row r="54" spans="1:4">
      <c r="A54" s="2" t="s">
        <v>875</v>
      </c>
      <c r="B54" t="s">
        <v>1048</v>
      </c>
      <c r="C54" s="21" t="s">
        <v>994</v>
      </c>
      <c r="D54" t="s">
        <v>995</v>
      </c>
    </row>
    <row r="55" spans="1:4">
      <c r="A55" s="12" t="s">
        <v>939</v>
      </c>
      <c r="B55" t="s">
        <v>1049</v>
      </c>
      <c r="C55" s="21" t="s">
        <v>994</v>
      </c>
      <c r="D55" t="s">
        <v>995</v>
      </c>
    </row>
    <row r="56" spans="1:4">
      <c r="A56" s="2" t="s">
        <v>879</v>
      </c>
      <c r="B56" t="s">
        <v>1050</v>
      </c>
      <c r="C56" s="21" t="s">
        <v>994</v>
      </c>
      <c r="D56" t="s">
        <v>995</v>
      </c>
    </row>
    <row r="57" spans="1:4">
      <c r="A57" s="2" t="s">
        <v>890</v>
      </c>
      <c r="B57" t="s">
        <v>1051</v>
      </c>
      <c r="C57" s="21" t="s">
        <v>994</v>
      </c>
      <c r="D57" t="s">
        <v>995</v>
      </c>
    </row>
    <row r="58" spans="1:4">
      <c r="A58" s="2" t="s">
        <v>827</v>
      </c>
      <c r="B58" t="s">
        <v>1052</v>
      </c>
      <c r="C58" s="21" t="s">
        <v>994</v>
      </c>
      <c r="D58" t="s">
        <v>995</v>
      </c>
    </row>
    <row r="59" spans="1:4">
      <c r="A59" s="2" t="s">
        <v>886</v>
      </c>
      <c r="B59" t="s">
        <v>1053</v>
      </c>
      <c r="C59" s="21" t="s">
        <v>994</v>
      </c>
      <c r="D59" t="s">
        <v>995</v>
      </c>
    </row>
    <row r="60" spans="1:4">
      <c r="A60" s="2" t="s">
        <v>881</v>
      </c>
      <c r="B60" t="s">
        <v>1054</v>
      </c>
      <c r="C60" s="21" t="s">
        <v>994</v>
      </c>
      <c r="D60" t="s">
        <v>995</v>
      </c>
    </row>
    <row r="61" spans="1:4">
      <c r="A61" s="5" t="s">
        <v>825</v>
      </c>
      <c r="B61" t="s">
        <v>1055</v>
      </c>
      <c r="C61" s="21" t="s">
        <v>994</v>
      </c>
      <c r="D61" t="s">
        <v>995</v>
      </c>
    </row>
    <row r="62" spans="1:4">
      <c r="A62" s="2" t="s">
        <v>858</v>
      </c>
      <c r="B62" t="s">
        <v>1056</v>
      </c>
      <c r="C62" s="21" t="s">
        <v>994</v>
      </c>
      <c r="D62" t="s">
        <v>995</v>
      </c>
    </row>
    <row r="63" spans="1:4">
      <c r="A63" s="2" t="s">
        <v>853</v>
      </c>
      <c r="B63" t="s">
        <v>1057</v>
      </c>
      <c r="C63" s="21" t="s">
        <v>994</v>
      </c>
      <c r="D63" t="s">
        <v>995</v>
      </c>
    </row>
    <row r="64" spans="1:4">
      <c r="A64" s="2" t="s">
        <v>883</v>
      </c>
      <c r="B64" t="s">
        <v>1058</v>
      </c>
      <c r="C64" s="21" t="s">
        <v>994</v>
      </c>
      <c r="D64" t="s">
        <v>995</v>
      </c>
    </row>
    <row r="65" spans="1:4">
      <c r="A65" s="2" t="s">
        <v>897</v>
      </c>
      <c r="B65" t="s">
        <v>1059</v>
      </c>
      <c r="C65" s="21" t="s">
        <v>994</v>
      </c>
      <c r="D65" t="s">
        <v>995</v>
      </c>
    </row>
    <row r="66" spans="1:4">
      <c r="A66" s="12" t="s">
        <v>925</v>
      </c>
      <c r="B66" t="s">
        <v>1060</v>
      </c>
      <c r="C66" s="21" t="s">
        <v>994</v>
      </c>
      <c r="D66" t="s">
        <v>995</v>
      </c>
    </row>
    <row r="67" spans="1:4">
      <c r="A67" s="2" t="s">
        <v>845</v>
      </c>
      <c r="B67" t="s">
        <v>1061</v>
      </c>
      <c r="C67" s="21" t="s">
        <v>994</v>
      </c>
      <c r="D67" t="s">
        <v>995</v>
      </c>
    </row>
    <row r="68" spans="1:4">
      <c r="A68" s="2" t="s">
        <v>884</v>
      </c>
      <c r="B68" t="s">
        <v>1062</v>
      </c>
      <c r="C68" s="21" t="s">
        <v>994</v>
      </c>
      <c r="D68" t="s">
        <v>1003</v>
      </c>
    </row>
    <row r="69" spans="1:4">
      <c r="A69" s="2" t="s">
        <v>855</v>
      </c>
      <c r="B69" t="s">
        <v>1063</v>
      </c>
      <c r="C69" s="21" t="s">
        <v>994</v>
      </c>
      <c r="D69" t="s">
        <v>995</v>
      </c>
    </row>
    <row r="70" spans="1:4">
      <c r="A70" s="2" t="s">
        <v>847</v>
      </c>
      <c r="B70" t="s">
        <v>1064</v>
      </c>
      <c r="C70" s="21" t="s">
        <v>994</v>
      </c>
      <c r="D70" t="s">
        <v>995</v>
      </c>
    </row>
    <row r="71" spans="1:4">
      <c r="A71" s="2" t="s">
        <v>878</v>
      </c>
      <c r="B71" t="s">
        <v>1065</v>
      </c>
      <c r="C71" s="21" t="s">
        <v>994</v>
      </c>
      <c r="D71" t="s">
        <v>995</v>
      </c>
    </row>
    <row r="72" spans="1:4">
      <c r="A72" s="2" t="s">
        <v>839</v>
      </c>
      <c r="B72" t="s">
        <v>1066</v>
      </c>
      <c r="C72" s="21" t="s">
        <v>994</v>
      </c>
      <c r="D72" t="s">
        <v>995</v>
      </c>
    </row>
    <row r="73" spans="1:4">
      <c r="A73" s="2" t="s">
        <v>891</v>
      </c>
      <c r="B73" t="s">
        <v>1067</v>
      </c>
      <c r="C73" s="21" t="s">
        <v>994</v>
      </c>
      <c r="D73" t="s">
        <v>995</v>
      </c>
    </row>
    <row r="74" spans="1:4">
      <c r="A74" s="2" t="s">
        <v>856</v>
      </c>
      <c r="B74" t="s">
        <v>1068</v>
      </c>
      <c r="C74" s="21" t="s">
        <v>994</v>
      </c>
      <c r="D74" t="s">
        <v>995</v>
      </c>
    </row>
    <row r="75" spans="1:4">
      <c r="A75" s="12" t="s">
        <v>933</v>
      </c>
      <c r="B75" t="s">
        <v>1069</v>
      </c>
      <c r="C75" s="21" t="s">
        <v>994</v>
      </c>
      <c r="D75" t="s">
        <v>995</v>
      </c>
    </row>
    <row r="76" spans="1:4">
      <c r="A76" s="2" t="s">
        <v>857</v>
      </c>
      <c r="B76" t="s">
        <v>1070</v>
      </c>
      <c r="C76" s="21" t="s">
        <v>994</v>
      </c>
      <c r="D76" t="s">
        <v>1003</v>
      </c>
    </row>
    <row r="77" spans="1:4">
      <c r="A77" s="2" t="s">
        <v>892</v>
      </c>
      <c r="B77" t="s">
        <v>1071</v>
      </c>
      <c r="C77" s="21" t="s">
        <v>994</v>
      </c>
      <c r="D77" t="s">
        <v>995</v>
      </c>
    </row>
    <row r="78" spans="1:4">
      <c r="A78" s="12" t="s">
        <v>940</v>
      </c>
      <c r="B78" t="s">
        <v>1072</v>
      </c>
      <c r="C78" s="21" t="s">
        <v>994</v>
      </c>
      <c r="D78" t="s">
        <v>995</v>
      </c>
    </row>
    <row r="79" spans="1:4">
      <c r="A79" s="2" t="s">
        <v>821</v>
      </c>
      <c r="B79" t="s">
        <v>1073</v>
      </c>
      <c r="C79" s="21" t="s">
        <v>994</v>
      </c>
      <c r="D79" t="s">
        <v>995</v>
      </c>
    </row>
    <row r="80" spans="1:4">
      <c r="A80" s="2" t="s">
        <v>865</v>
      </c>
      <c r="B80" t="s">
        <v>1074</v>
      </c>
      <c r="C80" s="21" t="s">
        <v>994</v>
      </c>
      <c r="D80" t="s">
        <v>995</v>
      </c>
    </row>
    <row r="81" spans="1:4">
      <c r="A81" s="2" t="s">
        <v>882</v>
      </c>
      <c r="B81" t="s">
        <v>1075</v>
      </c>
      <c r="C81" s="21" t="s">
        <v>994</v>
      </c>
      <c r="D81" t="s">
        <v>995</v>
      </c>
    </row>
    <row r="82" spans="1:4">
      <c r="A82" s="2" t="s">
        <v>895</v>
      </c>
      <c r="B82" t="s">
        <v>1076</v>
      </c>
      <c r="C82" s="21" t="s">
        <v>994</v>
      </c>
      <c r="D82" t="s">
        <v>995</v>
      </c>
    </row>
    <row r="83" spans="1:4">
      <c r="A83" s="12" t="s">
        <v>932</v>
      </c>
      <c r="B83" t="s">
        <v>1077</v>
      </c>
      <c r="C83" s="21" t="s">
        <v>994</v>
      </c>
      <c r="D83" t="s">
        <v>995</v>
      </c>
    </row>
    <row r="84" spans="1:4">
      <c r="A84" s="2" t="s">
        <v>867</v>
      </c>
      <c r="B84" t="s">
        <v>1078</v>
      </c>
      <c r="C84" s="21" t="s">
        <v>994</v>
      </c>
      <c r="D84" t="s">
        <v>995</v>
      </c>
    </row>
    <row r="85" spans="1:4">
      <c r="A85" s="2" t="s">
        <v>885</v>
      </c>
      <c r="B85" t="s">
        <v>1079</v>
      </c>
      <c r="C85" s="21" t="s">
        <v>994</v>
      </c>
      <c r="D85" t="s">
        <v>995</v>
      </c>
    </row>
    <row r="86" spans="1:4">
      <c r="A86" s="2" t="s">
        <v>859</v>
      </c>
      <c r="B86" t="s">
        <v>1080</v>
      </c>
      <c r="C86" s="21" t="s">
        <v>994</v>
      </c>
      <c r="D86" t="s">
        <v>995</v>
      </c>
    </row>
    <row r="87" spans="1:4">
      <c r="A87" s="2" t="s">
        <v>894</v>
      </c>
      <c r="B87" t="s">
        <v>1081</v>
      </c>
      <c r="C87" s="21" t="s">
        <v>994</v>
      </c>
      <c r="D87" t="s">
        <v>1003</v>
      </c>
    </row>
    <row r="88" spans="1:4">
      <c r="A88" s="2" t="s">
        <v>822</v>
      </c>
      <c r="B88" t="s">
        <v>1082</v>
      </c>
      <c r="C88" s="21" t="s">
        <v>994</v>
      </c>
      <c r="D88" t="s">
        <v>995</v>
      </c>
    </row>
    <row r="89" spans="1:4">
      <c r="A89" s="2" t="s">
        <v>829</v>
      </c>
      <c r="B89" t="s">
        <v>1083</v>
      </c>
      <c r="C89" s="21" t="s">
        <v>994</v>
      </c>
      <c r="D89" t="s">
        <v>995</v>
      </c>
    </row>
    <row r="90" spans="1:4">
      <c r="A90" s="2" t="s">
        <v>830</v>
      </c>
      <c r="B90" t="s">
        <v>1084</v>
      </c>
      <c r="C90" s="21" t="s">
        <v>994</v>
      </c>
      <c r="D90" t="s">
        <v>995</v>
      </c>
    </row>
    <row r="91" spans="1:4">
      <c r="A91" s="2" t="s">
        <v>831</v>
      </c>
      <c r="B91" t="s">
        <v>1085</v>
      </c>
      <c r="C91" s="21" t="s">
        <v>994</v>
      </c>
      <c r="D91" t="s">
        <v>995</v>
      </c>
    </row>
    <row r="92" spans="1:4">
      <c r="A92" s="2" t="s">
        <v>834</v>
      </c>
      <c r="B92" t="s">
        <v>1086</v>
      </c>
      <c r="C92" s="21" t="s">
        <v>994</v>
      </c>
      <c r="D92" t="s">
        <v>995</v>
      </c>
    </row>
    <row r="93" spans="1:4">
      <c r="A93" s="2" t="s">
        <v>835</v>
      </c>
      <c r="B93" t="s">
        <v>1087</v>
      </c>
      <c r="C93" s="21" t="s">
        <v>994</v>
      </c>
      <c r="D93" t="s">
        <v>995</v>
      </c>
    </row>
    <row r="94" spans="1:4">
      <c r="A94" s="2" t="s">
        <v>837</v>
      </c>
      <c r="B94" t="s">
        <v>1088</v>
      </c>
      <c r="C94" s="21" t="s">
        <v>994</v>
      </c>
      <c r="D94" t="s">
        <v>995</v>
      </c>
    </row>
    <row r="95" spans="1:4">
      <c r="A95" s="2" t="s">
        <v>838</v>
      </c>
      <c r="B95" t="s">
        <v>1089</v>
      </c>
      <c r="C95" s="21" t="s">
        <v>994</v>
      </c>
      <c r="D95" t="s">
        <v>1003</v>
      </c>
    </row>
    <row r="96" spans="1:4">
      <c r="A96" s="2" t="s">
        <v>840</v>
      </c>
      <c r="B96" t="s">
        <v>1090</v>
      </c>
      <c r="C96" s="21" t="s">
        <v>994</v>
      </c>
      <c r="D96" t="s">
        <v>995</v>
      </c>
    </row>
    <row r="97" spans="1:4">
      <c r="A97" s="2" t="s">
        <v>860</v>
      </c>
      <c r="B97" t="s">
        <v>1091</v>
      </c>
      <c r="C97" s="21" t="s">
        <v>994</v>
      </c>
      <c r="D97" t="s">
        <v>995</v>
      </c>
    </row>
    <row r="98" spans="1:4">
      <c r="A98" s="2" t="s">
        <v>861</v>
      </c>
      <c r="B98" t="s">
        <v>1092</v>
      </c>
      <c r="C98" s="21" t="s">
        <v>994</v>
      </c>
      <c r="D98" t="s">
        <v>995</v>
      </c>
    </row>
    <row r="99" spans="1:4">
      <c r="A99" s="19" t="s">
        <v>862</v>
      </c>
      <c r="B99" s="18" t="s">
        <v>1093</v>
      </c>
      <c r="C99" s="21" t="s">
        <v>994</v>
      </c>
      <c r="D99" t="s">
        <v>995</v>
      </c>
    </row>
    <row r="100" spans="1:4">
      <c r="A100" s="19" t="s">
        <v>863</v>
      </c>
      <c r="B100" s="18" t="s">
        <v>1094</v>
      </c>
      <c r="C100" s="21" t="s">
        <v>994</v>
      </c>
      <c r="D100" t="s">
        <v>1003</v>
      </c>
    </row>
    <row r="101" spans="1:4">
      <c r="A101" s="19" t="s">
        <v>864</v>
      </c>
      <c r="B101" s="18" t="s">
        <v>1095</v>
      </c>
      <c r="C101" s="21" t="s">
        <v>994</v>
      </c>
      <c r="D101" t="s">
        <v>995</v>
      </c>
    </row>
    <row r="102" spans="1:4">
      <c r="A102" s="19" t="s">
        <v>868</v>
      </c>
      <c r="B102" s="18" t="s">
        <v>1096</v>
      </c>
      <c r="C102" s="21" t="s">
        <v>994</v>
      </c>
      <c r="D102" t="s">
        <v>1003</v>
      </c>
    </row>
    <row r="103" spans="1:4">
      <c r="A103" s="19" t="s">
        <v>872</v>
      </c>
      <c r="B103" s="18" t="s">
        <v>1097</v>
      </c>
      <c r="C103" s="21" t="s">
        <v>994</v>
      </c>
      <c r="D103" t="s">
        <v>995</v>
      </c>
    </row>
    <row r="104" spans="1:4">
      <c r="A104" s="19" t="s">
        <v>874</v>
      </c>
      <c r="B104" s="18" t="s">
        <v>1098</v>
      </c>
      <c r="C104" s="21" t="s">
        <v>994</v>
      </c>
      <c r="D104" t="s">
        <v>1003</v>
      </c>
    </row>
    <row r="105" spans="1:4">
      <c r="A105" s="19" t="s">
        <v>880</v>
      </c>
      <c r="B105" s="18" t="s">
        <v>1099</v>
      </c>
      <c r="C105" s="21" t="s">
        <v>994</v>
      </c>
      <c r="D105" t="s">
        <v>995</v>
      </c>
    </row>
    <row r="106" spans="1:4">
      <c r="A106" s="19" t="s">
        <v>887</v>
      </c>
      <c r="B106" s="18" t="s">
        <v>1100</v>
      </c>
      <c r="C106" s="21" t="s">
        <v>994</v>
      </c>
      <c r="D106" t="s">
        <v>995</v>
      </c>
    </row>
    <row r="107" spans="1:4">
      <c r="A107" s="19" t="s">
        <v>896</v>
      </c>
      <c r="B107" s="18" t="s">
        <v>1101</v>
      </c>
      <c r="C107" s="21" t="s">
        <v>994</v>
      </c>
      <c r="D107" t="s">
        <v>995</v>
      </c>
    </row>
    <row r="108" spans="1:4">
      <c r="A108" s="18" t="s">
        <v>904</v>
      </c>
      <c r="B108" s="18" t="s">
        <v>1102</v>
      </c>
      <c r="C108" s="21" t="s">
        <v>994</v>
      </c>
      <c r="D108" t="s">
        <v>995</v>
      </c>
    </row>
    <row r="109" spans="1:4">
      <c r="A109" s="19" t="s">
        <v>910</v>
      </c>
      <c r="B109" s="18" t="s">
        <v>1103</v>
      </c>
      <c r="C109" s="21" t="s">
        <v>994</v>
      </c>
      <c r="D109" t="s">
        <v>995</v>
      </c>
    </row>
    <row r="110" spans="1:4">
      <c r="A110" s="2" t="s">
        <v>911</v>
      </c>
      <c r="B110" t="s">
        <v>1104</v>
      </c>
      <c r="C110" s="21" t="s">
        <v>994</v>
      </c>
      <c r="D110" t="s">
        <v>1003</v>
      </c>
    </row>
    <row r="111" spans="1:4">
      <c r="A111" s="2" t="s">
        <v>913</v>
      </c>
      <c r="B111" t="s">
        <v>1105</v>
      </c>
      <c r="C111" s="21" t="s">
        <v>994</v>
      </c>
      <c r="D111" t="s">
        <v>995</v>
      </c>
    </row>
    <row r="112" spans="1:4">
      <c r="A112" s="19" t="s">
        <v>914</v>
      </c>
      <c r="B112" s="18" t="s">
        <v>1106</v>
      </c>
      <c r="C112" s="21" t="s">
        <v>994</v>
      </c>
      <c r="D112" t="s">
        <v>995</v>
      </c>
    </row>
    <row r="113" spans="1:4">
      <c r="A113" s="19" t="s">
        <v>915</v>
      </c>
      <c r="B113" s="18" t="s">
        <v>1107</v>
      </c>
      <c r="C113" s="21" t="s">
        <v>994</v>
      </c>
      <c r="D113" t="s">
        <v>995</v>
      </c>
    </row>
    <row r="114" spans="1:4">
      <c r="A114" s="19" t="s">
        <v>916</v>
      </c>
      <c r="B114" s="18" t="s">
        <v>1108</v>
      </c>
      <c r="C114" s="21" t="s">
        <v>994</v>
      </c>
      <c r="D114" t="s">
        <v>995</v>
      </c>
    </row>
    <row r="115" spans="1:4">
      <c r="A115" s="2" t="s">
        <v>917</v>
      </c>
      <c r="B115" t="s">
        <v>1109</v>
      </c>
      <c r="C115" s="21" t="s">
        <v>994</v>
      </c>
      <c r="D115" t="s">
        <v>995</v>
      </c>
    </row>
    <row r="116" spans="1:4">
      <c r="A116" s="2" t="s">
        <v>918</v>
      </c>
      <c r="B116" t="s">
        <v>1110</v>
      </c>
      <c r="C116" s="21" t="s">
        <v>994</v>
      </c>
      <c r="D116" t="s">
        <v>995</v>
      </c>
    </row>
    <row r="117" spans="1:4">
      <c r="A117" s="20" t="s">
        <v>929</v>
      </c>
      <c r="B117" s="18" t="s">
        <v>1111</v>
      </c>
      <c r="C117" s="21" t="s">
        <v>994</v>
      </c>
      <c r="D117" t="s">
        <v>995</v>
      </c>
    </row>
    <row r="118" spans="1:4">
      <c r="A118" s="12" t="s">
        <v>934</v>
      </c>
      <c r="B118" t="s">
        <v>1112</v>
      </c>
      <c r="C118" s="21" t="s">
        <v>994</v>
      </c>
      <c r="D118" t="s">
        <v>995</v>
      </c>
    </row>
    <row r="119" spans="1:4">
      <c r="A119" s="12" t="s">
        <v>935</v>
      </c>
      <c r="B119" t="s">
        <v>1113</v>
      </c>
      <c r="C119" s="21" t="s">
        <v>994</v>
      </c>
      <c r="D119" t="s">
        <v>995</v>
      </c>
    </row>
    <row r="120" spans="1:4">
      <c r="A120" s="12" t="s">
        <v>936</v>
      </c>
      <c r="B120" t="s">
        <v>1114</v>
      </c>
      <c r="C120" s="21" t="s">
        <v>994</v>
      </c>
      <c r="D120" t="s">
        <v>995</v>
      </c>
    </row>
    <row r="121" spans="1:4">
      <c r="A121" s="12" t="s">
        <v>937</v>
      </c>
      <c r="B121" t="s">
        <v>1115</v>
      </c>
      <c r="C121" s="21" t="s">
        <v>994</v>
      </c>
      <c r="D121" t="s">
        <v>995</v>
      </c>
    </row>
    <row r="122" spans="1:4">
      <c r="A122" s="12" t="s">
        <v>938</v>
      </c>
      <c r="B122" t="s">
        <v>1116</v>
      </c>
      <c r="C122" s="21" t="s">
        <v>994</v>
      </c>
      <c r="D122" t="s">
        <v>995</v>
      </c>
    </row>
    <row r="123" spans="1:4">
      <c r="A123" s="12" t="s">
        <v>941</v>
      </c>
      <c r="B123" t="s">
        <v>1117</v>
      </c>
      <c r="C123" s="21" t="s">
        <v>994</v>
      </c>
      <c r="D123" t="s">
        <v>995</v>
      </c>
    </row>
  </sheetData>
  <autoFilter ref="A1:D123" xr:uid="{17F45B52-6C4C-9F42-9DD4-5BBAC5459141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F516F-857A-3446-928F-0CFA1C2576BB}">
  <dimension ref="A1:D29"/>
  <sheetViews>
    <sheetView workbookViewId="0"/>
  </sheetViews>
  <sheetFormatPr defaultColWidth="11.42578125" defaultRowHeight="15"/>
  <cols>
    <col min="1" max="1" width="16.28515625" bestFit="1" customWidth="1"/>
    <col min="2" max="2" width="20.140625" bestFit="1" customWidth="1"/>
    <col min="3" max="3" width="19.42578125" bestFit="1" customWidth="1"/>
    <col min="4" max="4" width="16.42578125" bestFit="1" customWidth="1"/>
  </cols>
  <sheetData>
    <row r="1" spans="1:4" s="3" customFormat="1">
      <c r="A1" s="3" t="s">
        <v>0</v>
      </c>
      <c r="B1" s="3" t="s">
        <v>990</v>
      </c>
      <c r="C1" s="3" t="s">
        <v>991</v>
      </c>
      <c r="D1" s="3" t="s">
        <v>1118</v>
      </c>
    </row>
    <row r="2" spans="1:4">
      <c r="A2" t="s">
        <v>1119</v>
      </c>
      <c r="B2" t="s">
        <v>1083</v>
      </c>
      <c r="C2" s="21" t="s">
        <v>1120</v>
      </c>
      <c r="D2" t="s">
        <v>995</v>
      </c>
    </row>
    <row r="3" spans="1:4">
      <c r="A3" t="s">
        <v>918</v>
      </c>
      <c r="B3" t="s">
        <v>1110</v>
      </c>
      <c r="C3" s="21" t="s">
        <v>1120</v>
      </c>
      <c r="D3" t="s">
        <v>995</v>
      </c>
    </row>
    <row r="4" spans="1:4">
      <c r="A4" t="s">
        <v>826</v>
      </c>
      <c r="B4" t="s">
        <v>993</v>
      </c>
      <c r="C4" s="21" t="s">
        <v>1120</v>
      </c>
      <c r="D4" t="s">
        <v>995</v>
      </c>
    </row>
    <row r="5" spans="1:4">
      <c r="A5" t="s">
        <v>916</v>
      </c>
      <c r="B5" t="s">
        <v>1108</v>
      </c>
      <c r="C5" s="21" t="s">
        <v>1120</v>
      </c>
      <c r="D5" t="s">
        <v>995</v>
      </c>
    </row>
    <row r="6" spans="1:4">
      <c r="A6" t="s">
        <v>913</v>
      </c>
      <c r="B6" t="s">
        <v>1105</v>
      </c>
      <c r="C6" s="21" t="s">
        <v>1120</v>
      </c>
      <c r="D6" t="s">
        <v>995</v>
      </c>
    </row>
    <row r="7" spans="1:4">
      <c r="A7" t="s">
        <v>915</v>
      </c>
      <c r="B7" t="s">
        <v>1107</v>
      </c>
      <c r="C7" s="21" t="s">
        <v>1120</v>
      </c>
      <c r="D7" t="s">
        <v>995</v>
      </c>
    </row>
    <row r="8" spans="1:4">
      <c r="A8" t="s">
        <v>910</v>
      </c>
      <c r="B8" t="s">
        <v>1103</v>
      </c>
      <c r="C8" s="21" t="s">
        <v>1120</v>
      </c>
      <c r="D8" t="s">
        <v>995</v>
      </c>
    </row>
    <row r="9" spans="1:4">
      <c r="A9" t="s">
        <v>911</v>
      </c>
      <c r="B9" t="s">
        <v>1104</v>
      </c>
      <c r="C9" s="21" t="s">
        <v>1120</v>
      </c>
      <c r="D9" t="s">
        <v>1003</v>
      </c>
    </row>
    <row r="10" spans="1:4">
      <c r="A10" t="s">
        <v>1121</v>
      </c>
      <c r="B10" t="s">
        <v>1122</v>
      </c>
      <c r="C10" s="21" t="s">
        <v>1120</v>
      </c>
      <c r="D10" t="s">
        <v>995</v>
      </c>
    </row>
    <row r="11" spans="1:4">
      <c r="A11" t="s">
        <v>907</v>
      </c>
      <c r="B11" t="s">
        <v>997</v>
      </c>
      <c r="C11" s="21" t="s">
        <v>1120</v>
      </c>
      <c r="D11" t="s">
        <v>995</v>
      </c>
    </row>
    <row r="12" spans="1:4">
      <c r="A12" t="s">
        <v>908</v>
      </c>
      <c r="B12" t="s">
        <v>998</v>
      </c>
      <c r="C12" s="21" t="s">
        <v>1120</v>
      </c>
      <c r="D12" t="s">
        <v>995</v>
      </c>
    </row>
    <row r="13" spans="1:4">
      <c r="A13" t="s">
        <v>836</v>
      </c>
      <c r="B13" t="s">
        <v>1000</v>
      </c>
      <c r="C13" s="21" t="s">
        <v>1120</v>
      </c>
      <c r="D13" t="s">
        <v>995</v>
      </c>
    </row>
    <row r="14" spans="1:4">
      <c r="A14" t="s">
        <v>841</v>
      </c>
      <c r="B14" t="s">
        <v>1015</v>
      </c>
      <c r="C14" s="21" t="s">
        <v>1120</v>
      </c>
      <c r="D14" t="s">
        <v>995</v>
      </c>
    </row>
    <row r="15" spans="1:4">
      <c r="A15" t="s">
        <v>1123</v>
      </c>
      <c r="B15" t="s">
        <v>1124</v>
      </c>
      <c r="C15" s="21" t="s">
        <v>1120</v>
      </c>
      <c r="D15" t="s">
        <v>995</v>
      </c>
    </row>
    <row r="16" spans="1:4">
      <c r="A16" t="s">
        <v>851</v>
      </c>
      <c r="B16" t="s">
        <v>1017</v>
      </c>
      <c r="C16" s="21" t="s">
        <v>1120</v>
      </c>
      <c r="D16" t="s">
        <v>995</v>
      </c>
    </row>
    <row r="17" spans="1:4">
      <c r="A17" t="s">
        <v>1125</v>
      </c>
      <c r="B17" t="s">
        <v>1126</v>
      </c>
      <c r="C17" s="21" t="s">
        <v>1120</v>
      </c>
      <c r="D17" t="s">
        <v>995</v>
      </c>
    </row>
    <row r="18" spans="1:4">
      <c r="A18" t="s">
        <v>914</v>
      </c>
      <c r="B18" t="s">
        <v>1106</v>
      </c>
      <c r="C18" s="21" t="s">
        <v>1120</v>
      </c>
      <c r="D18" t="s">
        <v>995</v>
      </c>
    </row>
    <row r="19" spans="1:4">
      <c r="A19" t="s">
        <v>877</v>
      </c>
      <c r="B19" t="s">
        <v>1025</v>
      </c>
      <c r="C19" s="21" t="s">
        <v>1120</v>
      </c>
      <c r="D19" t="s">
        <v>995</v>
      </c>
    </row>
    <row r="20" spans="1:4">
      <c r="A20" t="s">
        <v>917</v>
      </c>
      <c r="B20" t="s">
        <v>1109</v>
      </c>
      <c r="C20" s="21" t="s">
        <v>1120</v>
      </c>
      <c r="D20" t="s">
        <v>995</v>
      </c>
    </row>
    <row r="21" spans="1:4">
      <c r="A21" t="s">
        <v>871</v>
      </c>
      <c r="B21" t="s">
        <v>1026</v>
      </c>
      <c r="C21" s="21" t="s">
        <v>1120</v>
      </c>
      <c r="D21" t="s">
        <v>995</v>
      </c>
    </row>
    <row r="22" spans="1:4">
      <c r="A22" t="s">
        <v>819</v>
      </c>
      <c r="B22" t="s">
        <v>1028</v>
      </c>
      <c r="C22" s="21" t="s">
        <v>1120</v>
      </c>
      <c r="D22" t="s">
        <v>995</v>
      </c>
    </row>
    <row r="23" spans="1:4">
      <c r="A23" t="s">
        <v>893</v>
      </c>
      <c r="B23" t="s">
        <v>1029</v>
      </c>
      <c r="C23" s="21" t="s">
        <v>1120</v>
      </c>
      <c r="D23" t="s">
        <v>995</v>
      </c>
    </row>
    <row r="24" spans="1:4">
      <c r="A24" t="s">
        <v>823</v>
      </c>
      <c r="B24" t="s">
        <v>1039</v>
      </c>
      <c r="C24" s="21" t="s">
        <v>1120</v>
      </c>
      <c r="D24" t="s">
        <v>995</v>
      </c>
    </row>
    <row r="25" spans="1:4">
      <c r="A25" t="s">
        <v>902</v>
      </c>
      <c r="B25" t="s">
        <v>1045</v>
      </c>
      <c r="C25" s="21" t="s">
        <v>1120</v>
      </c>
      <c r="D25" t="s">
        <v>1003</v>
      </c>
    </row>
    <row r="26" spans="1:4">
      <c r="A26" t="s">
        <v>889</v>
      </c>
      <c r="B26" t="s">
        <v>1046</v>
      </c>
      <c r="C26" s="21" t="s">
        <v>1120</v>
      </c>
      <c r="D26" t="s">
        <v>995</v>
      </c>
    </row>
    <row r="27" spans="1:4">
      <c r="A27" t="s">
        <v>875</v>
      </c>
      <c r="B27" t="s">
        <v>1048</v>
      </c>
      <c r="C27" s="21" t="s">
        <v>1120</v>
      </c>
      <c r="D27" t="s">
        <v>995</v>
      </c>
    </row>
    <row r="28" spans="1:4">
      <c r="A28" t="s">
        <v>855</v>
      </c>
      <c r="B28" t="s">
        <v>1063</v>
      </c>
      <c r="C28" s="21" t="s">
        <v>1120</v>
      </c>
      <c r="D28" t="s">
        <v>995</v>
      </c>
    </row>
    <row r="29" spans="1:4">
      <c r="A29" t="s">
        <v>865</v>
      </c>
      <c r="B29" t="s">
        <v>1074</v>
      </c>
      <c r="C29" s="21" t="s">
        <v>1120</v>
      </c>
      <c r="D29" t="s">
        <v>995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7C576-EA9A-B049-A012-56D16425B52B}">
  <dimension ref="A1:D563"/>
  <sheetViews>
    <sheetView workbookViewId="0">
      <selection activeCell="G8" sqref="G8"/>
    </sheetView>
  </sheetViews>
  <sheetFormatPr defaultColWidth="11.42578125" defaultRowHeight="15"/>
  <cols>
    <col min="2" max="2" width="22.28515625" bestFit="1" customWidth="1"/>
    <col min="3" max="3" width="37" bestFit="1" customWidth="1"/>
    <col min="4" max="4" width="22.28515625" bestFit="1" customWidth="1"/>
  </cols>
  <sheetData>
    <row r="1" spans="1:4">
      <c r="A1" t="s">
        <v>1127</v>
      </c>
      <c r="B1" t="s">
        <v>1128</v>
      </c>
      <c r="C1" t="s">
        <v>0</v>
      </c>
      <c r="D1" t="s">
        <v>1128</v>
      </c>
    </row>
    <row r="2" spans="1:4">
      <c r="A2" t="s">
        <v>1129</v>
      </c>
      <c r="B2" t="s">
        <v>1130</v>
      </c>
      <c r="C2" t="s">
        <v>1131</v>
      </c>
      <c r="D2" t="str">
        <f>B2</f>
        <v>0052600000Ac7aoAAB</v>
      </c>
    </row>
    <row r="3" spans="1:4">
      <c r="A3" t="s">
        <v>1129</v>
      </c>
      <c r="B3" t="s">
        <v>1132</v>
      </c>
      <c r="C3" t="s">
        <v>1133</v>
      </c>
      <c r="D3" t="str">
        <f t="shared" ref="D3:D66" si="0">B3</f>
        <v>0052600000Ac7atAAB</v>
      </c>
    </row>
    <row r="4" spans="1:4">
      <c r="A4" t="s">
        <v>1129</v>
      </c>
      <c r="B4" t="s">
        <v>1134</v>
      </c>
      <c r="C4" t="s">
        <v>1135</v>
      </c>
      <c r="D4" t="str">
        <f t="shared" si="0"/>
        <v>0052600000AcPSIAA3</v>
      </c>
    </row>
    <row r="5" spans="1:4">
      <c r="A5" t="s">
        <v>1129</v>
      </c>
      <c r="B5" t="s">
        <v>1136</v>
      </c>
      <c r="C5" t="s">
        <v>1137</v>
      </c>
      <c r="D5" t="str">
        <f t="shared" si="0"/>
        <v>0052600000AcPzmAAF</v>
      </c>
    </row>
    <row r="6" spans="1:4">
      <c r="A6" t="s">
        <v>1129</v>
      </c>
      <c r="B6" t="s">
        <v>1138</v>
      </c>
      <c r="C6" t="s">
        <v>1139</v>
      </c>
      <c r="D6" t="str">
        <f t="shared" si="0"/>
        <v>0052600000Ar27XAAR</v>
      </c>
    </row>
    <row r="7" spans="1:4">
      <c r="A7" t="s">
        <v>1129</v>
      </c>
      <c r="B7" t="s">
        <v>1140</v>
      </c>
      <c r="C7" t="s">
        <v>1141</v>
      </c>
      <c r="D7" t="str">
        <f t="shared" si="0"/>
        <v>0052600000ArJSbAAN</v>
      </c>
    </row>
    <row r="8" spans="1:4">
      <c r="A8" t="s">
        <v>1129</v>
      </c>
      <c r="B8" t="s">
        <v>1142</v>
      </c>
      <c r="C8" t="s">
        <v>1143</v>
      </c>
      <c r="D8" t="str">
        <f t="shared" si="0"/>
        <v>0052600000ArwIhAAJ</v>
      </c>
    </row>
    <row r="9" spans="1:4">
      <c r="A9" t="s">
        <v>1129</v>
      </c>
      <c r="B9" t="s">
        <v>1144</v>
      </c>
      <c r="C9" t="s">
        <v>1145</v>
      </c>
      <c r="D9" t="str">
        <f t="shared" si="0"/>
        <v>0052600000AtV3EAAV</v>
      </c>
    </row>
    <row r="10" spans="1:4">
      <c r="A10" t="s">
        <v>1129</v>
      </c>
      <c r="B10" t="s">
        <v>1146</v>
      </c>
      <c r="C10" t="s">
        <v>1147</v>
      </c>
      <c r="D10" t="str">
        <f t="shared" si="0"/>
        <v>0052600000B30btAAB</v>
      </c>
    </row>
    <row r="11" spans="1:4">
      <c r="A11" t="s">
        <v>1129</v>
      </c>
      <c r="B11" t="s">
        <v>1148</v>
      </c>
      <c r="C11" t="s">
        <v>1149</v>
      </c>
      <c r="D11" t="str">
        <f t="shared" si="0"/>
        <v>0052600000B30bzAAB</v>
      </c>
    </row>
    <row r="12" spans="1:4">
      <c r="A12" t="s">
        <v>1129</v>
      </c>
      <c r="B12" t="s">
        <v>1150</v>
      </c>
      <c r="C12" t="s">
        <v>1151</v>
      </c>
      <c r="D12" t="str">
        <f t="shared" si="0"/>
        <v>0052600000B30c0AAB</v>
      </c>
    </row>
    <row r="13" spans="1:4">
      <c r="A13" t="s">
        <v>1129</v>
      </c>
      <c r="B13" t="s">
        <v>1152</v>
      </c>
      <c r="C13" t="s">
        <v>1153</v>
      </c>
      <c r="D13" t="str">
        <f t="shared" si="0"/>
        <v>0052600000B30c2AAB</v>
      </c>
    </row>
    <row r="14" spans="1:4">
      <c r="A14" t="s">
        <v>1129</v>
      </c>
      <c r="B14" t="s">
        <v>1154</v>
      </c>
      <c r="C14" t="s">
        <v>1155</v>
      </c>
      <c r="D14" t="str">
        <f t="shared" si="0"/>
        <v>0052600000B30c4AAB</v>
      </c>
    </row>
    <row r="15" spans="1:4">
      <c r="A15" t="s">
        <v>1129</v>
      </c>
      <c r="B15" t="s">
        <v>1156</v>
      </c>
      <c r="C15" t="s">
        <v>1157</v>
      </c>
      <c r="D15" t="str">
        <f t="shared" si="0"/>
        <v>0052600000B4td2AAB</v>
      </c>
    </row>
    <row r="16" spans="1:4">
      <c r="A16" t="s">
        <v>1129</v>
      </c>
      <c r="B16" t="s">
        <v>1158</v>
      </c>
      <c r="C16" t="s">
        <v>1159</v>
      </c>
      <c r="D16" t="str">
        <f t="shared" si="0"/>
        <v>0052600000BbyE7AAJ</v>
      </c>
    </row>
    <row r="17" spans="1:4">
      <c r="A17" t="s">
        <v>1129</v>
      </c>
      <c r="B17" t="s">
        <v>1160</v>
      </c>
      <c r="C17" t="s">
        <v>1161</v>
      </c>
      <c r="D17" t="str">
        <f t="shared" si="0"/>
        <v>0052600000Bn2SoAAJ</v>
      </c>
    </row>
    <row r="18" spans="1:4">
      <c r="A18" t="s">
        <v>1129</v>
      </c>
      <c r="B18" t="s">
        <v>1162</v>
      </c>
      <c r="C18" t="s">
        <v>1163</v>
      </c>
      <c r="D18" t="str">
        <f t="shared" si="0"/>
        <v>0052600000BnJchAAF</v>
      </c>
    </row>
    <row r="19" spans="1:4">
      <c r="A19" t="s">
        <v>1129</v>
      </c>
      <c r="B19" t="s">
        <v>1164</v>
      </c>
      <c r="C19" t="s">
        <v>1165</v>
      </c>
      <c r="D19" t="str">
        <f t="shared" si="0"/>
        <v>0052600000BnJg5AAF</v>
      </c>
    </row>
    <row r="20" spans="1:4">
      <c r="A20" t="s">
        <v>1129</v>
      </c>
      <c r="B20" t="s">
        <v>1166</v>
      </c>
      <c r="C20" t="s">
        <v>880</v>
      </c>
      <c r="D20" t="str">
        <f t="shared" si="0"/>
        <v>0052600000BnKKbAAN</v>
      </c>
    </row>
    <row r="21" spans="1:4">
      <c r="A21" t="s">
        <v>1129</v>
      </c>
      <c r="B21" t="s">
        <v>1167</v>
      </c>
      <c r="C21" t="s">
        <v>1168</v>
      </c>
      <c r="D21" t="str">
        <f t="shared" si="0"/>
        <v>0052600000BnKKcAAN</v>
      </c>
    </row>
    <row r="22" spans="1:4">
      <c r="A22" t="s">
        <v>1129</v>
      </c>
      <c r="B22" t="s">
        <v>1169</v>
      </c>
      <c r="C22" t="s">
        <v>932</v>
      </c>
      <c r="D22" t="str">
        <f t="shared" si="0"/>
        <v>0052600000BnKKdAAN</v>
      </c>
    </row>
    <row r="23" spans="1:4">
      <c r="A23" t="s">
        <v>1129</v>
      </c>
      <c r="B23" t="s">
        <v>1170</v>
      </c>
      <c r="C23" t="s">
        <v>1171</v>
      </c>
      <c r="D23" t="str">
        <f t="shared" si="0"/>
        <v>0052600000Bp2I4AAJ</v>
      </c>
    </row>
    <row r="24" spans="1:4">
      <c r="A24" t="s">
        <v>1129</v>
      </c>
      <c r="B24" t="s">
        <v>1172</v>
      </c>
      <c r="C24" t="s">
        <v>1173</v>
      </c>
      <c r="D24" t="str">
        <f t="shared" si="0"/>
        <v>0052600000Bp3nNAAR</v>
      </c>
    </row>
    <row r="25" spans="1:4">
      <c r="A25" t="s">
        <v>1129</v>
      </c>
      <c r="B25" t="s">
        <v>1174</v>
      </c>
      <c r="C25" t="s">
        <v>1175</v>
      </c>
      <c r="D25" t="str">
        <f t="shared" si="0"/>
        <v>0052600000BpqvqAAB</v>
      </c>
    </row>
    <row r="26" spans="1:4">
      <c r="A26" t="s">
        <v>1129</v>
      </c>
      <c r="B26" t="s">
        <v>1176</v>
      </c>
      <c r="C26" t="s">
        <v>1177</v>
      </c>
      <c r="D26" t="str">
        <f t="shared" si="0"/>
        <v>0052600000C0DtdAAF</v>
      </c>
    </row>
    <row r="27" spans="1:4">
      <c r="A27" t="s">
        <v>1129</v>
      </c>
      <c r="B27" t="s">
        <v>1178</v>
      </c>
      <c r="C27" t="s">
        <v>1179</v>
      </c>
      <c r="D27" t="str">
        <f t="shared" si="0"/>
        <v>0052600000C0dZTAAZ</v>
      </c>
    </row>
    <row r="28" spans="1:4">
      <c r="A28" t="s">
        <v>1129</v>
      </c>
      <c r="B28" t="s">
        <v>1180</v>
      </c>
      <c r="C28" t="s">
        <v>1181</v>
      </c>
      <c r="D28" t="str">
        <f t="shared" si="0"/>
        <v>0052600000C0tZKAAZ</v>
      </c>
    </row>
    <row r="29" spans="1:4">
      <c r="A29" t="s">
        <v>1129</v>
      </c>
      <c r="B29" t="s">
        <v>1182</v>
      </c>
      <c r="C29" t="s">
        <v>1183</v>
      </c>
      <c r="D29" t="str">
        <f t="shared" si="0"/>
        <v>0052600000C1reuAAB</v>
      </c>
    </row>
    <row r="30" spans="1:4">
      <c r="A30" t="s">
        <v>1129</v>
      </c>
      <c r="B30" t="s">
        <v>1184</v>
      </c>
      <c r="C30" t="s">
        <v>1185</v>
      </c>
      <c r="D30" t="str">
        <f t="shared" si="0"/>
        <v>0054J0000012JWQQA2</v>
      </c>
    </row>
    <row r="31" spans="1:4">
      <c r="A31" t="s">
        <v>1129</v>
      </c>
      <c r="B31" t="s">
        <v>1186</v>
      </c>
      <c r="C31" t="s">
        <v>1187</v>
      </c>
      <c r="D31" t="str">
        <f t="shared" si="0"/>
        <v>0054J0000012JwyQAE</v>
      </c>
    </row>
    <row r="32" spans="1:4">
      <c r="A32" t="s">
        <v>1129</v>
      </c>
      <c r="B32" t="s">
        <v>1188</v>
      </c>
      <c r="C32" t="s">
        <v>1189</v>
      </c>
      <c r="D32" t="str">
        <f t="shared" si="0"/>
        <v>0054J0000012JxDQAU</v>
      </c>
    </row>
    <row r="33" spans="1:4">
      <c r="A33" t="s">
        <v>1129</v>
      </c>
      <c r="B33" t="s">
        <v>1190</v>
      </c>
      <c r="C33" t="s">
        <v>1191</v>
      </c>
      <c r="D33" t="str">
        <f t="shared" si="0"/>
        <v>0054J0000012KE9QAM</v>
      </c>
    </row>
    <row r="34" spans="1:4">
      <c r="A34" t="s">
        <v>1129</v>
      </c>
      <c r="B34" t="s">
        <v>1192</v>
      </c>
      <c r="C34" t="s">
        <v>1193</v>
      </c>
      <c r="D34" t="str">
        <f t="shared" si="0"/>
        <v>0054J00000297NQQAY</v>
      </c>
    </row>
    <row r="35" spans="1:4">
      <c r="A35" t="s">
        <v>1129</v>
      </c>
      <c r="B35" t="s">
        <v>1194</v>
      </c>
      <c r="C35" t="s">
        <v>1195</v>
      </c>
      <c r="D35" t="str">
        <f t="shared" si="0"/>
        <v>0054J00000297NWQAY</v>
      </c>
    </row>
    <row r="36" spans="1:4">
      <c r="A36" t="s">
        <v>1129</v>
      </c>
      <c r="B36" t="s">
        <v>1196</v>
      </c>
      <c r="C36" t="s">
        <v>1197</v>
      </c>
      <c r="D36" t="str">
        <f t="shared" si="0"/>
        <v>0054J000002G8OUQA0</v>
      </c>
    </row>
    <row r="37" spans="1:4">
      <c r="A37" t="s">
        <v>1129</v>
      </c>
      <c r="B37" t="s">
        <v>1198</v>
      </c>
      <c r="C37" t="s">
        <v>1199</v>
      </c>
      <c r="D37" t="str">
        <f t="shared" si="0"/>
        <v>0054J000002G8OjQAK</v>
      </c>
    </row>
    <row r="38" spans="1:4">
      <c r="A38" t="s">
        <v>1129</v>
      </c>
      <c r="B38" t="s">
        <v>1200</v>
      </c>
      <c r="C38" t="s">
        <v>1201</v>
      </c>
      <c r="D38" t="str">
        <f t="shared" si="0"/>
        <v>0054J000002G8fZQAS</v>
      </c>
    </row>
    <row r="39" spans="1:4">
      <c r="A39" t="s">
        <v>1129</v>
      </c>
      <c r="B39" t="s">
        <v>1202</v>
      </c>
      <c r="C39" t="s">
        <v>1203</v>
      </c>
      <c r="D39" t="str">
        <f t="shared" si="0"/>
        <v>0054J000002JFLKQA4</v>
      </c>
    </row>
    <row r="40" spans="1:4">
      <c r="A40" t="s">
        <v>1129</v>
      </c>
      <c r="B40" t="s">
        <v>1004</v>
      </c>
      <c r="C40" t="s">
        <v>848</v>
      </c>
      <c r="D40" t="str">
        <f t="shared" si="0"/>
        <v>0054J000004vXOWQA2</v>
      </c>
    </row>
    <row r="41" spans="1:4">
      <c r="A41" t="s">
        <v>1129</v>
      </c>
      <c r="B41" t="s">
        <v>1005</v>
      </c>
      <c r="C41" t="s">
        <v>846</v>
      </c>
      <c r="D41" t="str">
        <f t="shared" si="0"/>
        <v>0054J000004vXOYQA2</v>
      </c>
    </row>
    <row r="42" spans="1:4">
      <c r="A42" t="s">
        <v>1129</v>
      </c>
      <c r="B42" t="s">
        <v>1007</v>
      </c>
      <c r="C42" t="s">
        <v>818</v>
      </c>
      <c r="D42" t="str">
        <f t="shared" si="0"/>
        <v>0054J000004vXOZQA2</v>
      </c>
    </row>
    <row r="43" spans="1:4">
      <c r="A43" t="s">
        <v>1129</v>
      </c>
      <c r="B43" t="s">
        <v>1204</v>
      </c>
      <c r="C43" t="s">
        <v>1205</v>
      </c>
      <c r="D43" t="str">
        <f t="shared" si="0"/>
        <v>0054J000004vXOaQAM</v>
      </c>
    </row>
    <row r="44" spans="1:4">
      <c r="A44" t="s">
        <v>1129</v>
      </c>
      <c r="B44" t="s">
        <v>1002</v>
      </c>
      <c r="C44" t="s">
        <v>850</v>
      </c>
      <c r="D44" t="str">
        <f t="shared" si="0"/>
        <v>0054J000004vXObQAM</v>
      </c>
    </row>
    <row r="45" spans="1:4">
      <c r="A45" t="s">
        <v>1129</v>
      </c>
      <c r="B45" t="s">
        <v>1206</v>
      </c>
      <c r="C45" t="s">
        <v>1207</v>
      </c>
      <c r="D45" t="str">
        <f t="shared" si="0"/>
        <v>0054J000004vXOdQAM</v>
      </c>
    </row>
    <row r="46" spans="1:4">
      <c r="A46" t="s">
        <v>1129</v>
      </c>
      <c r="B46" t="s">
        <v>1208</v>
      </c>
      <c r="C46" t="s">
        <v>1209</v>
      </c>
      <c r="D46" t="str">
        <f t="shared" si="0"/>
        <v>0054J000004vXOgQAM</v>
      </c>
    </row>
    <row r="47" spans="1:4">
      <c r="A47" t="s">
        <v>1129</v>
      </c>
      <c r="B47" t="s">
        <v>1210</v>
      </c>
      <c r="C47" t="s">
        <v>1211</v>
      </c>
      <c r="D47" t="str">
        <f t="shared" si="0"/>
        <v>0054J000004vXOhQAM</v>
      </c>
    </row>
    <row r="48" spans="1:4">
      <c r="A48" t="s">
        <v>1129</v>
      </c>
      <c r="B48" t="s">
        <v>1212</v>
      </c>
      <c r="C48" t="s">
        <v>1213</v>
      </c>
      <c r="D48" t="str">
        <f t="shared" si="0"/>
        <v>0054J000004vXOiQAM</v>
      </c>
    </row>
    <row r="49" spans="1:4">
      <c r="A49" t="s">
        <v>1129</v>
      </c>
      <c r="B49" t="s">
        <v>1214</v>
      </c>
      <c r="C49" t="s">
        <v>1215</v>
      </c>
      <c r="D49" t="str">
        <f t="shared" si="0"/>
        <v>0054J000004vXOlQAM</v>
      </c>
    </row>
    <row r="50" spans="1:4">
      <c r="A50" t="s">
        <v>1129</v>
      </c>
      <c r="B50" t="s">
        <v>1216</v>
      </c>
      <c r="C50" t="s">
        <v>1217</v>
      </c>
      <c r="D50" t="str">
        <f t="shared" si="0"/>
        <v>0054J000004vXOnQAM</v>
      </c>
    </row>
    <row r="51" spans="1:4">
      <c r="A51" t="s">
        <v>1129</v>
      </c>
      <c r="B51" t="s">
        <v>1218</v>
      </c>
      <c r="C51" t="s">
        <v>1219</v>
      </c>
      <c r="D51" t="str">
        <f t="shared" si="0"/>
        <v>0054J000004vXOoQAM</v>
      </c>
    </row>
    <row r="52" spans="1:4">
      <c r="A52" t="s">
        <v>1129</v>
      </c>
      <c r="B52" t="s">
        <v>1220</v>
      </c>
      <c r="C52" t="s">
        <v>1221</v>
      </c>
      <c r="D52" t="str">
        <f t="shared" si="0"/>
        <v>0054J000004vXOpQAM</v>
      </c>
    </row>
    <row r="53" spans="1:4">
      <c r="A53" t="s">
        <v>1129</v>
      </c>
      <c r="B53" t="s">
        <v>1222</v>
      </c>
      <c r="C53" t="s">
        <v>1223</v>
      </c>
      <c r="D53" t="str">
        <f t="shared" si="0"/>
        <v>0054J000004vXOqQAM</v>
      </c>
    </row>
    <row r="54" spans="1:4">
      <c r="A54" t="s">
        <v>1129</v>
      </c>
      <c r="B54" t="s">
        <v>1224</v>
      </c>
      <c r="C54" t="s">
        <v>1225</v>
      </c>
      <c r="D54" t="str">
        <f t="shared" si="0"/>
        <v>0054J000004vXOsQAM</v>
      </c>
    </row>
    <row r="55" spans="1:4">
      <c r="A55" t="s">
        <v>1129</v>
      </c>
      <c r="B55" t="s">
        <v>1226</v>
      </c>
      <c r="C55" t="s">
        <v>1227</v>
      </c>
      <c r="D55" t="str">
        <f t="shared" si="0"/>
        <v>0054J000004vXOvQAM</v>
      </c>
    </row>
    <row r="56" spans="1:4">
      <c r="A56" t="s">
        <v>1129</v>
      </c>
      <c r="B56" t="s">
        <v>1228</v>
      </c>
      <c r="C56" t="s">
        <v>1229</v>
      </c>
      <c r="D56" t="str">
        <f t="shared" si="0"/>
        <v>0054J000004vXOwQAM</v>
      </c>
    </row>
    <row r="57" spans="1:4">
      <c r="A57" t="s">
        <v>1129</v>
      </c>
      <c r="B57" t="s">
        <v>1230</v>
      </c>
      <c r="C57" t="s">
        <v>1231</v>
      </c>
      <c r="D57" t="str">
        <f t="shared" si="0"/>
        <v>0054J000004vXOxQAM</v>
      </c>
    </row>
    <row r="58" spans="1:4">
      <c r="A58" t="s">
        <v>1129</v>
      </c>
      <c r="B58" t="s">
        <v>1006</v>
      </c>
      <c r="C58" t="s">
        <v>924</v>
      </c>
      <c r="D58" t="str">
        <f t="shared" si="0"/>
        <v>0054J000004vXOyQAM</v>
      </c>
    </row>
    <row r="59" spans="1:4">
      <c r="A59" t="s">
        <v>1129</v>
      </c>
      <c r="B59" t="s">
        <v>1232</v>
      </c>
      <c r="C59" t="s">
        <v>1233</v>
      </c>
      <c r="D59" t="str">
        <f t="shared" si="0"/>
        <v>0054J000004vXP0QAM</v>
      </c>
    </row>
    <row r="60" spans="1:4">
      <c r="A60" t="s">
        <v>1129</v>
      </c>
      <c r="B60" t="s">
        <v>1234</v>
      </c>
      <c r="C60" t="s">
        <v>1235</v>
      </c>
      <c r="D60" t="str">
        <f t="shared" si="0"/>
        <v>0054J000004vXP1QAM</v>
      </c>
    </row>
    <row r="61" spans="1:4">
      <c r="A61" t="s">
        <v>1129</v>
      </c>
      <c r="B61" t="s">
        <v>1236</v>
      </c>
      <c r="C61" t="s">
        <v>1237</v>
      </c>
      <c r="D61" t="str">
        <f t="shared" si="0"/>
        <v>0054J000004vXP2QAM</v>
      </c>
    </row>
    <row r="62" spans="1:4">
      <c r="A62" t="s">
        <v>1129</v>
      </c>
      <c r="B62" t="s">
        <v>1238</v>
      </c>
      <c r="C62" t="s">
        <v>1239</v>
      </c>
      <c r="D62" t="str">
        <f t="shared" si="0"/>
        <v>0054J000004vXP3QAM</v>
      </c>
    </row>
    <row r="63" spans="1:4">
      <c r="A63" t="s">
        <v>1129</v>
      </c>
      <c r="B63" t="s">
        <v>1240</v>
      </c>
      <c r="C63" t="s">
        <v>1241</v>
      </c>
      <c r="D63" t="str">
        <f t="shared" si="0"/>
        <v>0054J000004vXP4QAM</v>
      </c>
    </row>
    <row r="64" spans="1:4">
      <c r="A64" t="s">
        <v>1129</v>
      </c>
      <c r="B64" t="s">
        <v>1242</v>
      </c>
      <c r="C64" t="s">
        <v>1243</v>
      </c>
      <c r="D64" t="str">
        <f t="shared" si="0"/>
        <v>0054J000004vXP6QAM</v>
      </c>
    </row>
    <row r="65" spans="1:4">
      <c r="A65" t="s">
        <v>1129</v>
      </c>
      <c r="B65" t="s">
        <v>1244</v>
      </c>
      <c r="C65" t="s">
        <v>1245</v>
      </c>
      <c r="D65" t="str">
        <f t="shared" si="0"/>
        <v>0054J000004vXPBQA2</v>
      </c>
    </row>
    <row r="66" spans="1:4">
      <c r="A66" t="s">
        <v>1129</v>
      </c>
      <c r="B66" t="s">
        <v>1246</v>
      </c>
      <c r="C66" t="s">
        <v>1247</v>
      </c>
      <c r="D66" t="str">
        <f t="shared" si="0"/>
        <v>0054J000004vXPFQA2</v>
      </c>
    </row>
    <row r="67" spans="1:4">
      <c r="A67" t="s">
        <v>1129</v>
      </c>
      <c r="B67" t="s">
        <v>1248</v>
      </c>
      <c r="C67" t="s">
        <v>1249</v>
      </c>
      <c r="D67" t="str">
        <f t="shared" ref="D67:D130" si="1">B67</f>
        <v>0054J000004vXPGQA2</v>
      </c>
    </row>
    <row r="68" spans="1:4">
      <c r="A68" t="s">
        <v>1129</v>
      </c>
      <c r="B68" t="s">
        <v>1008</v>
      </c>
      <c r="C68" t="s">
        <v>921</v>
      </c>
      <c r="D68" t="str">
        <f t="shared" si="1"/>
        <v>0054J000004vXPHQA2</v>
      </c>
    </row>
    <row r="69" spans="1:4">
      <c r="A69" t="s">
        <v>1129</v>
      </c>
      <c r="B69" t="s">
        <v>1009</v>
      </c>
      <c r="C69" t="s">
        <v>930</v>
      </c>
      <c r="D69" t="str">
        <f t="shared" si="1"/>
        <v>0054J000004vXPIQA2</v>
      </c>
    </row>
    <row r="70" spans="1:4">
      <c r="A70" t="s">
        <v>1129</v>
      </c>
      <c r="B70" t="s">
        <v>1010</v>
      </c>
      <c r="C70" t="s">
        <v>923</v>
      </c>
      <c r="D70" t="str">
        <f t="shared" si="1"/>
        <v>0054J000004vXPJQA2</v>
      </c>
    </row>
    <row r="71" spans="1:4">
      <c r="A71" t="s">
        <v>1129</v>
      </c>
      <c r="B71" t="s">
        <v>1011</v>
      </c>
      <c r="C71" t="s">
        <v>928</v>
      </c>
      <c r="D71" t="str">
        <f t="shared" si="1"/>
        <v>0054J000004vXPLQA2</v>
      </c>
    </row>
    <row r="72" spans="1:4">
      <c r="A72" t="s">
        <v>1129</v>
      </c>
      <c r="B72" t="s">
        <v>1013</v>
      </c>
      <c r="C72" t="s">
        <v>926</v>
      </c>
      <c r="D72" t="str">
        <f t="shared" si="1"/>
        <v>0054J000004vXPNQA2</v>
      </c>
    </row>
    <row r="73" spans="1:4">
      <c r="A73" t="s">
        <v>1129</v>
      </c>
      <c r="B73" t="s">
        <v>1250</v>
      </c>
      <c r="C73" t="s">
        <v>1251</v>
      </c>
      <c r="D73" t="str">
        <f t="shared" si="1"/>
        <v>0054J000004vXPOQA2</v>
      </c>
    </row>
    <row r="74" spans="1:4">
      <c r="A74" t="s">
        <v>1129</v>
      </c>
      <c r="B74" t="s">
        <v>1252</v>
      </c>
      <c r="C74" t="s">
        <v>1253</v>
      </c>
      <c r="D74" t="str">
        <f t="shared" si="1"/>
        <v>0054J000004vluqQAA</v>
      </c>
    </row>
    <row r="75" spans="1:4">
      <c r="A75" t="s">
        <v>1129</v>
      </c>
      <c r="B75" t="s">
        <v>1254</v>
      </c>
      <c r="C75" t="s">
        <v>1255</v>
      </c>
      <c r="D75" t="str">
        <f t="shared" si="1"/>
        <v>0054J000004vm7wQAA</v>
      </c>
    </row>
    <row r="76" spans="1:4">
      <c r="A76" t="s">
        <v>1129</v>
      </c>
      <c r="B76" t="s">
        <v>1256</v>
      </c>
      <c r="C76" t="s">
        <v>1257</v>
      </c>
      <c r="D76" t="str">
        <f t="shared" si="1"/>
        <v>0054J000004vm7xQAA</v>
      </c>
    </row>
    <row r="77" spans="1:4">
      <c r="A77" t="s">
        <v>1129</v>
      </c>
      <c r="B77" t="s">
        <v>1258</v>
      </c>
      <c r="C77" t="s">
        <v>1259</v>
      </c>
      <c r="D77" t="str">
        <f t="shared" si="1"/>
        <v>0054J000004vm7yQAA</v>
      </c>
    </row>
    <row r="78" spans="1:4">
      <c r="A78" t="s">
        <v>1129</v>
      </c>
      <c r="B78" t="s">
        <v>1260</v>
      </c>
      <c r="C78" t="s">
        <v>1261</v>
      </c>
      <c r="D78" t="str">
        <f t="shared" si="1"/>
        <v>0054J000004vm7zQAA</v>
      </c>
    </row>
    <row r="79" spans="1:4">
      <c r="A79" t="s">
        <v>1129</v>
      </c>
      <c r="B79" t="s">
        <v>1262</v>
      </c>
      <c r="C79" t="s">
        <v>1263</v>
      </c>
      <c r="D79" t="str">
        <f t="shared" si="1"/>
        <v>0054J000004vm80QAA</v>
      </c>
    </row>
    <row r="80" spans="1:4">
      <c r="A80" t="s">
        <v>1129</v>
      </c>
      <c r="B80" t="s">
        <v>1264</v>
      </c>
      <c r="C80" t="s">
        <v>1265</v>
      </c>
      <c r="D80" t="str">
        <f t="shared" si="1"/>
        <v>0054J000004vm81QAA</v>
      </c>
    </row>
    <row r="81" spans="1:4">
      <c r="A81" t="s">
        <v>1129</v>
      </c>
      <c r="B81" t="s">
        <v>1266</v>
      </c>
      <c r="C81" t="s">
        <v>1267</v>
      </c>
      <c r="D81" t="str">
        <f t="shared" si="1"/>
        <v>0054J000004vm82QAA</v>
      </c>
    </row>
    <row r="82" spans="1:4">
      <c r="A82" t="s">
        <v>1129</v>
      </c>
      <c r="B82" t="s">
        <v>1268</v>
      </c>
      <c r="C82" t="s">
        <v>1269</v>
      </c>
      <c r="D82" t="str">
        <f t="shared" si="1"/>
        <v>0054J000004vm83QAA</v>
      </c>
    </row>
    <row r="83" spans="1:4">
      <c r="A83" t="s">
        <v>1129</v>
      </c>
      <c r="B83" t="s">
        <v>1270</v>
      </c>
      <c r="C83" t="s">
        <v>1195</v>
      </c>
      <c r="D83" t="str">
        <f t="shared" si="1"/>
        <v>0054J000004vm84QAA</v>
      </c>
    </row>
    <row r="84" spans="1:4">
      <c r="A84" t="s">
        <v>1129</v>
      </c>
      <c r="B84" t="s">
        <v>1083</v>
      </c>
      <c r="C84" t="s">
        <v>1119</v>
      </c>
      <c r="D84" t="str">
        <f t="shared" si="1"/>
        <v>0054J000004vm86QAA</v>
      </c>
    </row>
    <row r="85" spans="1:4">
      <c r="A85" t="s">
        <v>1129</v>
      </c>
      <c r="B85" t="s">
        <v>1271</v>
      </c>
      <c r="C85" t="s">
        <v>1272</v>
      </c>
      <c r="D85" t="str">
        <f t="shared" si="1"/>
        <v>0054J000004vm87QAA</v>
      </c>
    </row>
    <row r="86" spans="1:4">
      <c r="A86" t="s">
        <v>1129</v>
      </c>
      <c r="B86" t="s">
        <v>1273</v>
      </c>
      <c r="C86" t="s">
        <v>1274</v>
      </c>
      <c r="D86" t="str">
        <f t="shared" si="1"/>
        <v>0054J000004vm88QAA</v>
      </c>
    </row>
    <row r="87" spans="1:4">
      <c r="A87" t="s">
        <v>1129</v>
      </c>
      <c r="B87" t="s">
        <v>1275</v>
      </c>
      <c r="C87" t="s">
        <v>1276</v>
      </c>
      <c r="D87" t="str">
        <f t="shared" si="1"/>
        <v>0054J000004vm89QAA</v>
      </c>
    </row>
    <row r="88" spans="1:4">
      <c r="A88" t="s">
        <v>1129</v>
      </c>
      <c r="B88" t="s">
        <v>1277</v>
      </c>
      <c r="C88" t="s">
        <v>1278</v>
      </c>
      <c r="D88" t="str">
        <f t="shared" si="1"/>
        <v>0054J000004vm8BQAQ</v>
      </c>
    </row>
    <row r="89" spans="1:4">
      <c r="A89" t="s">
        <v>1129</v>
      </c>
      <c r="B89" t="s">
        <v>1279</v>
      </c>
      <c r="C89" t="s">
        <v>1280</v>
      </c>
      <c r="D89" t="str">
        <f t="shared" si="1"/>
        <v>0054J000004vm8CQAQ</v>
      </c>
    </row>
    <row r="90" spans="1:4">
      <c r="A90" t="s">
        <v>1129</v>
      </c>
      <c r="B90" t="s">
        <v>1281</v>
      </c>
      <c r="C90" t="s">
        <v>1282</v>
      </c>
      <c r="D90" t="str">
        <f t="shared" si="1"/>
        <v>0054J000004vm8DQAQ</v>
      </c>
    </row>
    <row r="91" spans="1:4">
      <c r="A91" t="s">
        <v>1129</v>
      </c>
      <c r="B91" t="s">
        <v>1283</v>
      </c>
      <c r="C91" t="s">
        <v>1284</v>
      </c>
      <c r="D91" t="str">
        <f t="shared" si="1"/>
        <v>0054J000004vm8FQAQ</v>
      </c>
    </row>
    <row r="92" spans="1:4">
      <c r="A92" t="s">
        <v>1129</v>
      </c>
      <c r="B92" t="s">
        <v>1285</v>
      </c>
      <c r="C92" t="s">
        <v>1286</v>
      </c>
      <c r="D92" t="str">
        <f t="shared" si="1"/>
        <v>0054J000004vm8HQAQ</v>
      </c>
    </row>
    <row r="93" spans="1:4">
      <c r="A93" t="s">
        <v>1129</v>
      </c>
      <c r="B93" t="s">
        <v>1287</v>
      </c>
      <c r="C93" t="s">
        <v>1288</v>
      </c>
      <c r="D93" t="str">
        <f t="shared" si="1"/>
        <v>0054J000004vm8IQAQ</v>
      </c>
    </row>
    <row r="94" spans="1:4">
      <c r="A94" t="s">
        <v>1129</v>
      </c>
      <c r="B94" t="s">
        <v>1289</v>
      </c>
      <c r="C94" t="s">
        <v>1290</v>
      </c>
      <c r="D94" t="str">
        <f t="shared" si="1"/>
        <v>0054J000004vm8JQAQ</v>
      </c>
    </row>
    <row r="95" spans="1:4">
      <c r="A95" t="s">
        <v>1129</v>
      </c>
      <c r="B95" t="s">
        <v>1291</v>
      </c>
      <c r="C95" t="s">
        <v>1292</v>
      </c>
      <c r="D95" t="str">
        <f t="shared" si="1"/>
        <v>0054J000004vm8KQAQ</v>
      </c>
    </row>
    <row r="96" spans="1:4">
      <c r="A96" t="s">
        <v>1129</v>
      </c>
      <c r="B96" t="s">
        <v>1293</v>
      </c>
      <c r="C96" t="s">
        <v>1294</v>
      </c>
      <c r="D96" t="str">
        <f t="shared" si="1"/>
        <v>0054J000004vm8LQAQ</v>
      </c>
    </row>
    <row r="97" spans="1:4">
      <c r="A97" t="s">
        <v>1129</v>
      </c>
      <c r="B97" t="s">
        <v>1295</v>
      </c>
      <c r="C97" t="s">
        <v>1296</v>
      </c>
      <c r="D97" t="str">
        <f t="shared" si="1"/>
        <v>0054J000004vm8MQAQ</v>
      </c>
    </row>
    <row r="98" spans="1:4">
      <c r="A98" t="s">
        <v>1129</v>
      </c>
      <c r="B98" t="s">
        <v>1297</v>
      </c>
      <c r="C98" t="s">
        <v>1298</v>
      </c>
      <c r="D98" t="str">
        <f t="shared" si="1"/>
        <v>0054J000004vm8OQAQ</v>
      </c>
    </row>
    <row r="99" spans="1:4">
      <c r="A99" t="s">
        <v>1129</v>
      </c>
      <c r="B99" t="s">
        <v>1299</v>
      </c>
      <c r="C99" t="s">
        <v>1155</v>
      </c>
      <c r="D99" t="str">
        <f t="shared" si="1"/>
        <v>0054J000004vm8QQAQ</v>
      </c>
    </row>
    <row r="100" spans="1:4">
      <c r="A100" t="s">
        <v>1129</v>
      </c>
      <c r="B100" t="s">
        <v>1300</v>
      </c>
      <c r="C100" t="s">
        <v>1301</v>
      </c>
      <c r="D100" t="str">
        <f t="shared" si="1"/>
        <v>0054J000004vm8RQAQ</v>
      </c>
    </row>
    <row r="101" spans="1:4">
      <c r="A101" t="s">
        <v>1129</v>
      </c>
      <c r="B101" t="s">
        <v>1302</v>
      </c>
      <c r="C101" t="s">
        <v>1303</v>
      </c>
      <c r="D101" t="str">
        <f t="shared" si="1"/>
        <v>0054J000004vm8TQAQ</v>
      </c>
    </row>
    <row r="102" spans="1:4">
      <c r="A102" t="s">
        <v>1129</v>
      </c>
      <c r="B102" t="s">
        <v>1304</v>
      </c>
      <c r="C102" t="s">
        <v>1305</v>
      </c>
      <c r="D102" t="str">
        <f t="shared" si="1"/>
        <v>0054J000004vm8UQAQ</v>
      </c>
    </row>
    <row r="103" spans="1:4">
      <c r="A103" t="s">
        <v>1129</v>
      </c>
      <c r="B103" t="s">
        <v>1306</v>
      </c>
      <c r="C103" t="s">
        <v>1307</v>
      </c>
      <c r="D103" t="str">
        <f t="shared" si="1"/>
        <v>0054J000004vm8WQAQ</v>
      </c>
    </row>
    <row r="104" spans="1:4">
      <c r="A104" t="s">
        <v>1129</v>
      </c>
      <c r="B104" t="s">
        <v>1308</v>
      </c>
      <c r="C104" t="s">
        <v>1309</v>
      </c>
      <c r="D104" t="str">
        <f t="shared" si="1"/>
        <v>0054J000004vm8XQAQ</v>
      </c>
    </row>
    <row r="105" spans="1:4">
      <c r="A105" t="s">
        <v>1129</v>
      </c>
      <c r="B105" t="s">
        <v>1310</v>
      </c>
      <c r="C105" t="s">
        <v>1311</v>
      </c>
      <c r="D105" t="str">
        <f t="shared" si="1"/>
        <v>0054J000004vm8ZQAQ</v>
      </c>
    </row>
    <row r="106" spans="1:4">
      <c r="A106" t="s">
        <v>1129</v>
      </c>
      <c r="B106" t="s">
        <v>1312</v>
      </c>
      <c r="C106" t="s">
        <v>1313</v>
      </c>
      <c r="D106" t="str">
        <f t="shared" si="1"/>
        <v>0054J000004vm8aQAA</v>
      </c>
    </row>
    <row r="107" spans="1:4">
      <c r="A107" t="s">
        <v>1129</v>
      </c>
      <c r="B107" t="s">
        <v>1314</v>
      </c>
      <c r="C107" t="s">
        <v>1315</v>
      </c>
      <c r="D107" t="str">
        <f t="shared" si="1"/>
        <v>0054J000004vm8bQAA</v>
      </c>
    </row>
    <row r="108" spans="1:4">
      <c r="A108" t="s">
        <v>1129</v>
      </c>
      <c r="B108" t="s">
        <v>1316</v>
      </c>
      <c r="C108" t="s">
        <v>1317</v>
      </c>
      <c r="D108" t="str">
        <f t="shared" si="1"/>
        <v>0054J000004vm8cQAA</v>
      </c>
    </row>
    <row r="109" spans="1:4">
      <c r="A109" t="s">
        <v>1129</v>
      </c>
      <c r="B109" t="s">
        <v>1318</v>
      </c>
      <c r="C109" t="s">
        <v>1319</v>
      </c>
      <c r="D109" t="str">
        <f t="shared" si="1"/>
        <v>0054J000004vm8dQAA</v>
      </c>
    </row>
    <row r="110" spans="1:4">
      <c r="A110" t="s">
        <v>1129</v>
      </c>
      <c r="B110" t="s">
        <v>1320</v>
      </c>
      <c r="C110" t="s">
        <v>1321</v>
      </c>
      <c r="D110" t="str">
        <f t="shared" si="1"/>
        <v>0054J000004vm8eQAA</v>
      </c>
    </row>
    <row r="111" spans="1:4">
      <c r="A111" t="s">
        <v>1129</v>
      </c>
      <c r="B111" t="s">
        <v>1322</v>
      </c>
      <c r="C111" t="s">
        <v>1323</v>
      </c>
      <c r="D111" t="str">
        <f t="shared" si="1"/>
        <v>0054J000004vm8fQAA</v>
      </c>
    </row>
    <row r="112" spans="1:4">
      <c r="A112" t="s">
        <v>1129</v>
      </c>
      <c r="B112" t="s">
        <v>1324</v>
      </c>
      <c r="C112" t="s">
        <v>1325</v>
      </c>
      <c r="D112" t="str">
        <f t="shared" si="1"/>
        <v>0054J000004vm8gQAA</v>
      </c>
    </row>
    <row r="113" spans="1:4">
      <c r="A113" t="s">
        <v>1129</v>
      </c>
      <c r="B113" t="s">
        <v>1108</v>
      </c>
      <c r="C113" t="s">
        <v>916</v>
      </c>
      <c r="D113" t="str">
        <f t="shared" si="1"/>
        <v>0054J000004vm8hQAA</v>
      </c>
    </row>
    <row r="114" spans="1:4">
      <c r="A114" t="s">
        <v>1129</v>
      </c>
      <c r="B114" t="s">
        <v>1326</v>
      </c>
      <c r="C114" t="s">
        <v>1327</v>
      </c>
      <c r="D114" t="str">
        <f t="shared" si="1"/>
        <v>0054J000004vm8iQAA</v>
      </c>
    </row>
    <row r="115" spans="1:4">
      <c r="A115" t="s">
        <v>1129</v>
      </c>
      <c r="B115" t="s">
        <v>1328</v>
      </c>
      <c r="C115" t="s">
        <v>1329</v>
      </c>
      <c r="D115" t="str">
        <f t="shared" si="1"/>
        <v>0054J000004vm8jQAA</v>
      </c>
    </row>
    <row r="116" spans="1:4">
      <c r="A116" t="s">
        <v>1129</v>
      </c>
      <c r="B116" t="s">
        <v>1330</v>
      </c>
      <c r="C116" t="s">
        <v>1331</v>
      </c>
      <c r="D116" t="str">
        <f t="shared" si="1"/>
        <v>0054J000004vm8kQAA</v>
      </c>
    </row>
    <row r="117" spans="1:4">
      <c r="A117" t="s">
        <v>1129</v>
      </c>
      <c r="B117" t="s">
        <v>1332</v>
      </c>
      <c r="C117" t="s">
        <v>1333</v>
      </c>
      <c r="D117" t="str">
        <f t="shared" si="1"/>
        <v>0054J000004vm8nQAA</v>
      </c>
    </row>
    <row r="118" spans="1:4">
      <c r="A118" t="s">
        <v>1129</v>
      </c>
      <c r="B118" t="s">
        <v>1105</v>
      </c>
      <c r="C118" t="s">
        <v>913</v>
      </c>
      <c r="D118" t="str">
        <f t="shared" si="1"/>
        <v>0054J000004vm8oQAA</v>
      </c>
    </row>
    <row r="119" spans="1:4">
      <c r="A119" t="s">
        <v>1129</v>
      </c>
      <c r="B119" t="s">
        <v>1107</v>
      </c>
      <c r="C119" t="s">
        <v>915</v>
      </c>
      <c r="D119" t="str">
        <f t="shared" si="1"/>
        <v>0054J000004vm8pQAA</v>
      </c>
    </row>
    <row r="120" spans="1:4">
      <c r="A120" t="s">
        <v>1129</v>
      </c>
      <c r="B120" t="s">
        <v>1334</v>
      </c>
      <c r="C120" t="s">
        <v>1335</v>
      </c>
      <c r="D120" t="str">
        <f t="shared" si="1"/>
        <v>0054J000004vm8qQAA</v>
      </c>
    </row>
    <row r="121" spans="1:4">
      <c r="A121" t="s">
        <v>1129</v>
      </c>
      <c r="B121" t="s">
        <v>1336</v>
      </c>
      <c r="C121" t="s">
        <v>1337</v>
      </c>
      <c r="D121" t="str">
        <f t="shared" si="1"/>
        <v>0054J000004vm8sQAA</v>
      </c>
    </row>
    <row r="122" spans="1:4">
      <c r="A122" t="s">
        <v>1129</v>
      </c>
      <c r="B122" t="s">
        <v>1338</v>
      </c>
      <c r="C122" t="s">
        <v>1339</v>
      </c>
      <c r="D122" t="str">
        <f t="shared" si="1"/>
        <v>0054J000004vm8tQAA</v>
      </c>
    </row>
    <row r="123" spans="1:4">
      <c r="A123" t="s">
        <v>1129</v>
      </c>
      <c r="B123" t="s">
        <v>1340</v>
      </c>
      <c r="C123" t="s">
        <v>1341</v>
      </c>
      <c r="D123" t="str">
        <f t="shared" si="1"/>
        <v>0054J000004vm8uQAA</v>
      </c>
    </row>
    <row r="124" spans="1:4">
      <c r="A124" t="s">
        <v>1129</v>
      </c>
      <c r="B124" t="s">
        <v>1342</v>
      </c>
      <c r="C124" t="s">
        <v>1343</v>
      </c>
      <c r="D124" t="str">
        <f t="shared" si="1"/>
        <v>0054J000004vm8vQAA</v>
      </c>
    </row>
    <row r="125" spans="1:4">
      <c r="A125" t="s">
        <v>1129</v>
      </c>
      <c r="B125" t="s">
        <v>1103</v>
      </c>
      <c r="C125" t="s">
        <v>910</v>
      </c>
      <c r="D125" t="str">
        <f t="shared" si="1"/>
        <v>0054J000004vm8wQAA</v>
      </c>
    </row>
    <row r="126" spans="1:4">
      <c r="A126" t="s">
        <v>1129</v>
      </c>
      <c r="B126" t="s">
        <v>1104</v>
      </c>
      <c r="C126" t="s">
        <v>911</v>
      </c>
      <c r="D126" t="str">
        <f t="shared" si="1"/>
        <v>0054J000004vm8xQAA</v>
      </c>
    </row>
    <row r="127" spans="1:4">
      <c r="A127" t="s">
        <v>1129</v>
      </c>
      <c r="B127" t="s">
        <v>1344</v>
      </c>
      <c r="C127" t="s">
        <v>1345</v>
      </c>
      <c r="D127" t="str">
        <f t="shared" si="1"/>
        <v>0054J000004vm8zQAA</v>
      </c>
    </row>
    <row r="128" spans="1:4">
      <c r="A128" t="s">
        <v>1129</v>
      </c>
      <c r="B128" t="s">
        <v>1346</v>
      </c>
      <c r="C128" t="s">
        <v>1347</v>
      </c>
      <c r="D128" t="str">
        <f t="shared" si="1"/>
        <v>0054J000004vm90QAA</v>
      </c>
    </row>
    <row r="129" spans="1:4">
      <c r="A129" t="s">
        <v>1129</v>
      </c>
      <c r="B129" t="s">
        <v>1348</v>
      </c>
      <c r="C129" t="s">
        <v>1349</v>
      </c>
      <c r="D129" t="str">
        <f t="shared" si="1"/>
        <v>0054J000004vm91QAA</v>
      </c>
    </row>
    <row r="130" spans="1:4">
      <c r="A130" t="s">
        <v>1129</v>
      </c>
      <c r="B130" t="s">
        <v>1350</v>
      </c>
      <c r="C130" t="s">
        <v>1351</v>
      </c>
      <c r="D130" t="str">
        <f t="shared" si="1"/>
        <v>0054J000004vm92QAA</v>
      </c>
    </row>
    <row r="131" spans="1:4">
      <c r="A131" t="s">
        <v>1129</v>
      </c>
      <c r="B131" t="s">
        <v>1122</v>
      </c>
      <c r="C131" t="s">
        <v>1121</v>
      </c>
      <c r="D131" t="str">
        <f t="shared" ref="D131:D194" si="2">B131</f>
        <v>0054J000004vm95QAA</v>
      </c>
    </row>
    <row r="132" spans="1:4">
      <c r="A132" t="s">
        <v>1129</v>
      </c>
      <c r="B132" t="s">
        <v>1352</v>
      </c>
      <c r="C132" t="s">
        <v>1353</v>
      </c>
      <c r="D132" t="str">
        <f t="shared" si="2"/>
        <v>0054J000004vm98QAA</v>
      </c>
    </row>
    <row r="133" spans="1:4">
      <c r="A133" t="s">
        <v>1129</v>
      </c>
      <c r="B133" t="s">
        <v>997</v>
      </c>
      <c r="C133" t="s">
        <v>907</v>
      </c>
      <c r="D133" t="str">
        <f t="shared" si="2"/>
        <v>0054J000004vm99QAA</v>
      </c>
    </row>
    <row r="134" spans="1:4">
      <c r="A134" t="s">
        <v>1129</v>
      </c>
      <c r="B134" t="s">
        <v>1354</v>
      </c>
      <c r="C134" t="s">
        <v>1355</v>
      </c>
      <c r="D134" t="str">
        <f t="shared" si="2"/>
        <v>0054J000004vm9AQAQ</v>
      </c>
    </row>
    <row r="135" spans="1:4">
      <c r="A135" t="s">
        <v>1129</v>
      </c>
      <c r="B135" t="s">
        <v>998</v>
      </c>
      <c r="C135" t="s">
        <v>908</v>
      </c>
      <c r="D135" t="str">
        <f t="shared" si="2"/>
        <v>0054J000004vm9BQAQ</v>
      </c>
    </row>
    <row r="136" spans="1:4">
      <c r="A136" t="s">
        <v>1129</v>
      </c>
      <c r="B136" t="s">
        <v>1356</v>
      </c>
      <c r="C136" t="s">
        <v>1357</v>
      </c>
      <c r="D136" t="str">
        <f t="shared" si="2"/>
        <v>0054J000004vm9EQAQ</v>
      </c>
    </row>
    <row r="137" spans="1:4">
      <c r="A137" t="s">
        <v>1129</v>
      </c>
      <c r="B137" t="s">
        <v>1358</v>
      </c>
      <c r="C137" t="s">
        <v>1359</v>
      </c>
      <c r="D137" t="str">
        <f t="shared" si="2"/>
        <v>0054J000004vm9FQAQ</v>
      </c>
    </row>
    <row r="138" spans="1:4">
      <c r="A138" t="s">
        <v>1129</v>
      </c>
      <c r="B138" t="s">
        <v>1360</v>
      </c>
      <c r="C138" t="s">
        <v>1361</v>
      </c>
      <c r="D138" t="str">
        <f t="shared" si="2"/>
        <v>0054J000004vm9GQAQ</v>
      </c>
    </row>
    <row r="139" spans="1:4">
      <c r="A139" t="s">
        <v>1129</v>
      </c>
      <c r="B139" t="s">
        <v>1362</v>
      </c>
      <c r="C139" t="s">
        <v>1363</v>
      </c>
      <c r="D139" t="str">
        <f t="shared" si="2"/>
        <v>0054J000004vm9IQAQ</v>
      </c>
    </row>
    <row r="140" spans="1:4">
      <c r="A140" t="s">
        <v>1129</v>
      </c>
      <c r="B140" t="s">
        <v>1364</v>
      </c>
      <c r="C140" t="s">
        <v>1365</v>
      </c>
      <c r="D140" t="str">
        <f t="shared" si="2"/>
        <v>0054J000004vm9JQAQ</v>
      </c>
    </row>
    <row r="141" spans="1:4">
      <c r="A141" t="s">
        <v>1129</v>
      </c>
      <c r="B141" t="s">
        <v>1366</v>
      </c>
      <c r="C141" t="s">
        <v>1367</v>
      </c>
      <c r="D141" t="str">
        <f t="shared" si="2"/>
        <v>0054J000004vm9NQAQ</v>
      </c>
    </row>
    <row r="142" spans="1:4">
      <c r="A142" t="s">
        <v>1129</v>
      </c>
      <c r="B142" t="s">
        <v>1368</v>
      </c>
      <c r="C142" t="s">
        <v>1369</v>
      </c>
      <c r="D142" t="str">
        <f t="shared" si="2"/>
        <v>0054J000004vm9PQAQ</v>
      </c>
    </row>
    <row r="143" spans="1:4">
      <c r="A143" t="s">
        <v>1129</v>
      </c>
      <c r="B143" t="s">
        <v>1370</v>
      </c>
      <c r="C143" t="s">
        <v>1371</v>
      </c>
      <c r="D143" t="str">
        <f t="shared" si="2"/>
        <v>0054J000004vmFtQAI</v>
      </c>
    </row>
    <row r="144" spans="1:4">
      <c r="A144" t="s">
        <v>1129</v>
      </c>
      <c r="B144" t="s">
        <v>1372</v>
      </c>
      <c r="C144" t="s">
        <v>1373</v>
      </c>
      <c r="D144" t="str">
        <f t="shared" si="2"/>
        <v>0054J000004vtYxQAI</v>
      </c>
    </row>
    <row r="145" spans="1:4">
      <c r="A145" t="s">
        <v>1129</v>
      </c>
      <c r="B145" t="s">
        <v>1374</v>
      </c>
      <c r="C145" t="s">
        <v>1375</v>
      </c>
      <c r="D145" t="str">
        <f t="shared" si="2"/>
        <v>0054J000004vyEnQAI</v>
      </c>
    </row>
    <row r="146" spans="1:4">
      <c r="A146" t="s">
        <v>1129</v>
      </c>
      <c r="B146" t="s">
        <v>1376</v>
      </c>
      <c r="C146" t="s">
        <v>1377</v>
      </c>
      <c r="D146" t="str">
        <f t="shared" si="2"/>
        <v>0054J000004vyKbQAI</v>
      </c>
    </row>
    <row r="147" spans="1:4">
      <c r="A147" t="s">
        <v>1129</v>
      </c>
      <c r="B147" t="s">
        <v>1378</v>
      </c>
      <c r="C147" t="s">
        <v>1379</v>
      </c>
      <c r="D147" t="str">
        <f t="shared" si="2"/>
        <v>0054J000004vzhCQAQ</v>
      </c>
    </row>
    <row r="148" spans="1:4">
      <c r="A148" t="s">
        <v>1129</v>
      </c>
      <c r="B148" t="s">
        <v>1380</v>
      </c>
      <c r="C148" t="s">
        <v>1381</v>
      </c>
      <c r="D148" t="str">
        <f t="shared" si="2"/>
        <v>0054J000004wJdkQAE</v>
      </c>
    </row>
    <row r="149" spans="1:4">
      <c r="A149" t="s">
        <v>1129</v>
      </c>
      <c r="B149" t="s">
        <v>1382</v>
      </c>
      <c r="C149" t="s">
        <v>1383</v>
      </c>
      <c r="D149" t="str">
        <f t="shared" si="2"/>
        <v>0054J000004wOMUQA2</v>
      </c>
    </row>
    <row r="150" spans="1:4">
      <c r="A150" t="s">
        <v>1129</v>
      </c>
      <c r="B150" t="s">
        <v>1124</v>
      </c>
      <c r="C150" t="s">
        <v>1123</v>
      </c>
      <c r="D150" t="str">
        <f t="shared" si="2"/>
        <v>0054J000004wQh8QAE</v>
      </c>
    </row>
    <row r="151" spans="1:4">
      <c r="A151" t="s">
        <v>1129</v>
      </c>
      <c r="B151" t="s">
        <v>1016</v>
      </c>
      <c r="C151" t="s">
        <v>849</v>
      </c>
      <c r="D151" t="str">
        <f t="shared" si="2"/>
        <v>0054J000004wSINQA2</v>
      </c>
    </row>
    <row r="152" spans="1:4">
      <c r="A152" t="s">
        <v>1129</v>
      </c>
      <c r="B152" t="s">
        <v>1384</v>
      </c>
      <c r="C152" t="s">
        <v>1385</v>
      </c>
      <c r="D152" t="str">
        <f t="shared" si="2"/>
        <v>0054J000004wVAgQAM</v>
      </c>
    </row>
    <row r="153" spans="1:4">
      <c r="A153" t="s">
        <v>1129</v>
      </c>
      <c r="B153" t="s">
        <v>1386</v>
      </c>
      <c r="C153" t="s">
        <v>1387</v>
      </c>
      <c r="D153" t="str">
        <f t="shared" si="2"/>
        <v>0054J000004wZgCQAU</v>
      </c>
    </row>
    <row r="154" spans="1:4">
      <c r="A154" t="s">
        <v>1129</v>
      </c>
      <c r="B154" t="s">
        <v>1388</v>
      </c>
      <c r="C154" t="s">
        <v>1389</v>
      </c>
      <c r="D154" t="str">
        <f t="shared" si="2"/>
        <v>0054J000004wZgRQAU</v>
      </c>
    </row>
    <row r="155" spans="1:4">
      <c r="A155" t="s">
        <v>1129</v>
      </c>
      <c r="B155" t="s">
        <v>1014</v>
      </c>
      <c r="C155" t="s">
        <v>905</v>
      </c>
      <c r="D155" t="str">
        <f t="shared" si="2"/>
        <v>0054J000004waNuQAI</v>
      </c>
    </row>
    <row r="156" spans="1:4">
      <c r="A156" t="s">
        <v>1129</v>
      </c>
      <c r="B156" t="s">
        <v>1390</v>
      </c>
      <c r="C156" t="s">
        <v>1391</v>
      </c>
      <c r="D156" t="str">
        <f t="shared" si="2"/>
        <v>0054J000004wbROQAY</v>
      </c>
    </row>
    <row r="157" spans="1:4">
      <c r="A157" t="s">
        <v>1129</v>
      </c>
      <c r="B157" t="s">
        <v>1392</v>
      </c>
      <c r="C157" t="s">
        <v>1393</v>
      </c>
      <c r="D157" t="str">
        <f t="shared" si="2"/>
        <v>0054J000004wbYFQAY</v>
      </c>
    </row>
    <row r="158" spans="1:4">
      <c r="A158" t="s">
        <v>1129</v>
      </c>
      <c r="B158" t="s">
        <v>1394</v>
      </c>
      <c r="C158" t="s">
        <v>1395</v>
      </c>
      <c r="D158" t="str">
        <f t="shared" si="2"/>
        <v>0054J000004wc4kQAA</v>
      </c>
    </row>
    <row r="159" spans="1:4">
      <c r="A159" t="s">
        <v>1129</v>
      </c>
      <c r="B159" t="s">
        <v>1396</v>
      </c>
      <c r="C159" t="s">
        <v>1397</v>
      </c>
      <c r="D159" t="str">
        <f t="shared" si="2"/>
        <v>0054J000005HfxjQAC</v>
      </c>
    </row>
    <row r="160" spans="1:4">
      <c r="A160" t="s">
        <v>1129</v>
      </c>
      <c r="B160" t="s">
        <v>1017</v>
      </c>
      <c r="C160" t="s">
        <v>851</v>
      </c>
      <c r="D160" t="str">
        <f t="shared" si="2"/>
        <v>0054J000005JMoGQAW</v>
      </c>
    </row>
    <row r="161" spans="1:4">
      <c r="A161" t="s">
        <v>1129</v>
      </c>
      <c r="B161" t="s">
        <v>1126</v>
      </c>
      <c r="C161" t="s">
        <v>1125</v>
      </c>
      <c r="D161" t="str">
        <f t="shared" si="2"/>
        <v>0054J000005JMoIQAW</v>
      </c>
    </row>
    <row r="162" spans="1:4">
      <c r="A162" t="s">
        <v>1129</v>
      </c>
      <c r="B162" t="s">
        <v>1398</v>
      </c>
      <c r="C162" t="s">
        <v>1399</v>
      </c>
      <c r="D162" t="str">
        <f t="shared" si="2"/>
        <v>0054J000005JVgSQAW</v>
      </c>
    </row>
    <row r="163" spans="1:4">
      <c r="A163" t="s">
        <v>1129</v>
      </c>
      <c r="B163" t="s">
        <v>1106</v>
      </c>
      <c r="C163" t="s">
        <v>914</v>
      </c>
      <c r="D163" t="str">
        <f t="shared" si="2"/>
        <v>0054J000005JVuPQAW</v>
      </c>
    </row>
    <row r="164" spans="1:4">
      <c r="A164" t="s">
        <v>1129</v>
      </c>
      <c r="B164" t="s">
        <v>1400</v>
      </c>
      <c r="C164" t="s">
        <v>1401</v>
      </c>
      <c r="D164" t="str">
        <f t="shared" si="2"/>
        <v>0054J000005JWtDQAW</v>
      </c>
    </row>
    <row r="165" spans="1:4">
      <c r="A165" t="s">
        <v>1129</v>
      </c>
      <c r="B165" t="s">
        <v>1402</v>
      </c>
      <c r="C165" t="s">
        <v>1403</v>
      </c>
      <c r="D165" t="str">
        <f t="shared" si="2"/>
        <v>0054J000005jcbMQAQ</v>
      </c>
    </row>
    <row r="166" spans="1:4">
      <c r="A166" t="s">
        <v>1129</v>
      </c>
      <c r="B166" t="s">
        <v>1404</v>
      </c>
      <c r="C166" t="s">
        <v>1405</v>
      </c>
      <c r="D166" t="str">
        <f t="shared" si="2"/>
        <v>0054J000005jcbNQAQ</v>
      </c>
    </row>
    <row r="167" spans="1:4">
      <c r="A167" t="s">
        <v>1129</v>
      </c>
      <c r="B167" t="s">
        <v>1018</v>
      </c>
      <c r="C167" t="s">
        <v>816</v>
      </c>
      <c r="D167" t="str">
        <f t="shared" si="2"/>
        <v>0054J000006BkQgQAK</v>
      </c>
    </row>
    <row r="168" spans="1:4">
      <c r="A168" t="s">
        <v>1129</v>
      </c>
      <c r="B168" t="s">
        <v>1019</v>
      </c>
      <c r="C168" t="s">
        <v>922</v>
      </c>
      <c r="D168" t="str">
        <f t="shared" si="2"/>
        <v>0054J000006BlkiQAC</v>
      </c>
    </row>
    <row r="169" spans="1:4">
      <c r="A169" t="s">
        <v>1129</v>
      </c>
      <c r="B169" t="s">
        <v>1020</v>
      </c>
      <c r="C169" t="s">
        <v>943</v>
      </c>
      <c r="D169" t="str">
        <f t="shared" si="2"/>
        <v>0054J000006BlkxQAC</v>
      </c>
    </row>
    <row r="170" spans="1:4">
      <c r="A170" t="s">
        <v>1129</v>
      </c>
      <c r="B170" t="s">
        <v>1406</v>
      </c>
      <c r="C170" t="s">
        <v>1407</v>
      </c>
      <c r="D170" t="str">
        <f t="shared" si="2"/>
        <v>0054J000006BnvNQAS</v>
      </c>
    </row>
    <row r="171" spans="1:4">
      <c r="A171" t="s">
        <v>1129</v>
      </c>
      <c r="B171" t="s">
        <v>1408</v>
      </c>
      <c r="C171" t="s">
        <v>1409</v>
      </c>
      <c r="D171" t="str">
        <f t="shared" si="2"/>
        <v>0054J000006BnvSQAS</v>
      </c>
    </row>
    <row r="172" spans="1:4">
      <c r="A172" t="s">
        <v>1129</v>
      </c>
      <c r="B172" t="s">
        <v>1410</v>
      </c>
      <c r="C172" t="s">
        <v>1411</v>
      </c>
      <c r="D172" t="str">
        <f t="shared" si="2"/>
        <v>0054J000006BpXNQA0</v>
      </c>
    </row>
    <row r="173" spans="1:4">
      <c r="A173" t="s">
        <v>1129</v>
      </c>
      <c r="B173" t="s">
        <v>1412</v>
      </c>
      <c r="C173" t="s">
        <v>1413</v>
      </c>
      <c r="D173" t="str">
        <f t="shared" si="2"/>
        <v>0058d000000l9ViAAI</v>
      </c>
    </row>
    <row r="174" spans="1:4">
      <c r="A174" t="s">
        <v>1129</v>
      </c>
      <c r="B174" t="s">
        <v>1414</v>
      </c>
      <c r="C174" t="s">
        <v>1415</v>
      </c>
      <c r="D174" t="str">
        <f t="shared" si="2"/>
        <v>0058d000000lACRAA2</v>
      </c>
    </row>
    <row r="175" spans="1:4">
      <c r="A175" t="s">
        <v>1129</v>
      </c>
      <c r="B175" t="s">
        <v>1416</v>
      </c>
      <c r="C175" t="s">
        <v>1417</v>
      </c>
      <c r="D175" t="str">
        <f t="shared" si="2"/>
        <v>0058d000000lNbGAAU</v>
      </c>
    </row>
    <row r="176" spans="1:4">
      <c r="A176" t="s">
        <v>1129</v>
      </c>
      <c r="B176" t="s">
        <v>1418</v>
      </c>
      <c r="C176" t="s">
        <v>1419</v>
      </c>
      <c r="D176" t="str">
        <f t="shared" si="2"/>
        <v>0058d000000m3ZRAAY</v>
      </c>
    </row>
    <row r="177" spans="1:4">
      <c r="A177" t="s">
        <v>1129</v>
      </c>
      <c r="B177" t="s">
        <v>1420</v>
      </c>
      <c r="C177" t="s">
        <v>1421</v>
      </c>
      <c r="D177" t="str">
        <f t="shared" si="2"/>
        <v>0058d000000m53IAAQ</v>
      </c>
    </row>
    <row r="178" spans="1:4">
      <c r="A178" t="s">
        <v>1129</v>
      </c>
      <c r="B178" t="s">
        <v>1021</v>
      </c>
      <c r="C178" t="s">
        <v>828</v>
      </c>
      <c r="D178" t="str">
        <f t="shared" si="2"/>
        <v>0058d000000mAE2AAM</v>
      </c>
    </row>
    <row r="179" spans="1:4">
      <c r="A179" t="s">
        <v>1129</v>
      </c>
      <c r="B179" t="s">
        <v>1422</v>
      </c>
      <c r="C179" t="s">
        <v>1423</v>
      </c>
      <c r="D179" t="str">
        <f t="shared" si="2"/>
        <v>0058d000000mIsvAAE</v>
      </c>
    </row>
    <row r="180" spans="1:4">
      <c r="A180" t="s">
        <v>1129</v>
      </c>
      <c r="B180" t="s">
        <v>1424</v>
      </c>
      <c r="C180" t="s">
        <v>1425</v>
      </c>
      <c r="D180" t="str">
        <f t="shared" si="2"/>
        <v>0058d000000mPEAAA2</v>
      </c>
    </row>
    <row r="181" spans="1:4">
      <c r="A181" t="s">
        <v>1129</v>
      </c>
      <c r="B181" t="s">
        <v>1426</v>
      </c>
      <c r="C181" t="s">
        <v>1427</v>
      </c>
      <c r="D181" t="str">
        <f t="shared" si="2"/>
        <v>0058d000000mnkVAAQ</v>
      </c>
    </row>
    <row r="182" spans="1:4">
      <c r="A182" t="s">
        <v>1129</v>
      </c>
      <c r="B182" t="s">
        <v>1428</v>
      </c>
      <c r="C182" t="s">
        <v>1429</v>
      </c>
      <c r="D182" t="str">
        <f t="shared" si="2"/>
        <v>0058d000000n6XtAAI</v>
      </c>
    </row>
    <row r="183" spans="1:4">
      <c r="A183" t="s">
        <v>1129</v>
      </c>
      <c r="B183" t="s">
        <v>1430</v>
      </c>
      <c r="C183" t="s">
        <v>1431</v>
      </c>
      <c r="D183" t="str">
        <f t="shared" si="2"/>
        <v>0058d000001yXZhAAM</v>
      </c>
    </row>
    <row r="184" spans="1:4">
      <c r="A184" t="s">
        <v>1129</v>
      </c>
      <c r="B184" t="s">
        <v>1432</v>
      </c>
      <c r="C184" t="s">
        <v>1433</v>
      </c>
      <c r="D184" t="str">
        <f t="shared" si="2"/>
        <v>0058d000001yXeeAAE</v>
      </c>
    </row>
    <row r="185" spans="1:4">
      <c r="A185" t="s">
        <v>1129</v>
      </c>
      <c r="B185" t="s">
        <v>1434</v>
      </c>
      <c r="C185" t="s">
        <v>1435</v>
      </c>
      <c r="D185" t="str">
        <f t="shared" si="2"/>
        <v>0058d000001yXenAAE</v>
      </c>
    </row>
    <row r="186" spans="1:4">
      <c r="A186" t="s">
        <v>1129</v>
      </c>
      <c r="B186" t="s">
        <v>1024</v>
      </c>
      <c r="C186" t="s">
        <v>901</v>
      </c>
      <c r="D186" t="str">
        <f t="shared" si="2"/>
        <v>0058d000001yXerAAE</v>
      </c>
    </row>
    <row r="187" spans="1:4">
      <c r="A187" t="s">
        <v>1129</v>
      </c>
      <c r="B187" t="s">
        <v>1025</v>
      </c>
      <c r="C187" t="s">
        <v>877</v>
      </c>
      <c r="D187" t="str">
        <f t="shared" si="2"/>
        <v>0058d000001yXeuAAE</v>
      </c>
    </row>
    <row r="188" spans="1:4">
      <c r="A188" t="s">
        <v>1129</v>
      </c>
      <c r="B188" t="s">
        <v>1109</v>
      </c>
      <c r="C188" t="s">
        <v>917</v>
      </c>
      <c r="D188" t="str">
        <f t="shared" si="2"/>
        <v>0058d000001yXevAAE</v>
      </c>
    </row>
    <row r="189" spans="1:4">
      <c r="A189" t="s">
        <v>1129</v>
      </c>
      <c r="B189" t="s">
        <v>1436</v>
      </c>
      <c r="C189" t="s">
        <v>1437</v>
      </c>
      <c r="D189" t="str">
        <f t="shared" si="2"/>
        <v>0058d000001z0PjAAI</v>
      </c>
    </row>
    <row r="190" spans="1:4">
      <c r="A190" t="s">
        <v>1129</v>
      </c>
      <c r="B190" t="s">
        <v>1026</v>
      </c>
      <c r="C190" t="s">
        <v>871</v>
      </c>
      <c r="D190" t="str">
        <f t="shared" si="2"/>
        <v>0058d000001zVWjAAM</v>
      </c>
    </row>
    <row r="191" spans="1:4">
      <c r="A191" t="s">
        <v>1129</v>
      </c>
      <c r="B191" t="s">
        <v>1438</v>
      </c>
      <c r="C191" t="s">
        <v>1439</v>
      </c>
      <c r="D191" t="str">
        <f t="shared" si="2"/>
        <v>0058d000001zWfOAAU</v>
      </c>
    </row>
    <row r="192" spans="1:4">
      <c r="A192" t="s">
        <v>1129</v>
      </c>
      <c r="B192" t="s">
        <v>1440</v>
      </c>
      <c r="C192" t="s">
        <v>1441</v>
      </c>
      <c r="D192" t="str">
        <f t="shared" si="2"/>
        <v>0058d000001zsqDAAQ</v>
      </c>
    </row>
    <row r="193" spans="1:4">
      <c r="A193" t="s">
        <v>1129</v>
      </c>
      <c r="B193" t="s">
        <v>1027</v>
      </c>
      <c r="C193" t="s">
        <v>817</v>
      </c>
      <c r="D193" t="str">
        <f t="shared" si="2"/>
        <v>0058d00000202rVAAQ</v>
      </c>
    </row>
    <row r="194" spans="1:4">
      <c r="A194" t="s">
        <v>1129</v>
      </c>
      <c r="B194" t="s">
        <v>1442</v>
      </c>
      <c r="C194" t="s">
        <v>1443</v>
      </c>
      <c r="D194" t="str">
        <f t="shared" si="2"/>
        <v>0058d00000204EOAAY</v>
      </c>
    </row>
    <row r="195" spans="1:4">
      <c r="A195" t="s">
        <v>1129</v>
      </c>
      <c r="B195" t="s">
        <v>1028</v>
      </c>
      <c r="C195" t="s">
        <v>819</v>
      </c>
      <c r="D195" t="str">
        <f t="shared" ref="D195:D258" si="3">B195</f>
        <v>0058d0000020QoXAAU</v>
      </c>
    </row>
    <row r="196" spans="1:4">
      <c r="A196" t="s">
        <v>1129</v>
      </c>
      <c r="B196" t="s">
        <v>1444</v>
      </c>
      <c r="C196" t="s">
        <v>1445</v>
      </c>
      <c r="D196" t="str">
        <f t="shared" si="3"/>
        <v>0058d0000020XkeAAE</v>
      </c>
    </row>
    <row r="197" spans="1:4">
      <c r="A197" t="s">
        <v>1129</v>
      </c>
      <c r="B197" t="s">
        <v>1446</v>
      </c>
      <c r="C197" t="s">
        <v>1447</v>
      </c>
      <c r="D197" t="str">
        <f t="shared" si="3"/>
        <v>0058d0000020feeAAA</v>
      </c>
    </row>
    <row r="198" spans="1:4">
      <c r="A198" t="s">
        <v>1129</v>
      </c>
      <c r="B198" t="s">
        <v>1448</v>
      </c>
      <c r="C198" t="s">
        <v>1449</v>
      </c>
      <c r="D198" t="str">
        <f t="shared" si="3"/>
        <v>0058d0000021922AAA</v>
      </c>
    </row>
    <row r="199" spans="1:4">
      <c r="A199" t="s">
        <v>1129</v>
      </c>
      <c r="B199" t="s">
        <v>1029</v>
      </c>
      <c r="C199" t="s">
        <v>893</v>
      </c>
      <c r="D199" t="str">
        <f t="shared" si="3"/>
        <v>0058d0000021IvSAAU</v>
      </c>
    </row>
    <row r="200" spans="1:4">
      <c r="A200" t="s">
        <v>1129</v>
      </c>
      <c r="B200" t="s">
        <v>1450</v>
      </c>
      <c r="C200" t="s">
        <v>1451</v>
      </c>
      <c r="D200" t="str">
        <f t="shared" si="3"/>
        <v>0058d0000021JRSAA2</v>
      </c>
    </row>
    <row r="201" spans="1:4">
      <c r="A201" t="s">
        <v>1129</v>
      </c>
      <c r="B201" t="s">
        <v>1452</v>
      </c>
      <c r="C201" t="s">
        <v>1453</v>
      </c>
      <c r="D201" t="str">
        <f t="shared" si="3"/>
        <v>0058d0000021Xl1AAE</v>
      </c>
    </row>
    <row r="202" spans="1:4">
      <c r="A202" t="s">
        <v>1129</v>
      </c>
      <c r="B202" t="s">
        <v>1454</v>
      </c>
      <c r="C202" t="s">
        <v>1455</v>
      </c>
      <c r="D202" t="str">
        <f t="shared" si="3"/>
        <v>0058d0000021cPlAAI</v>
      </c>
    </row>
    <row r="203" spans="1:4">
      <c r="A203" t="s">
        <v>1129</v>
      </c>
      <c r="B203" t="s">
        <v>1456</v>
      </c>
      <c r="C203" t="s">
        <v>1457</v>
      </c>
      <c r="D203" t="str">
        <f t="shared" si="3"/>
        <v>0058d00000223F2AAI</v>
      </c>
    </row>
    <row r="204" spans="1:4">
      <c r="A204" t="s">
        <v>1129</v>
      </c>
      <c r="B204" t="s">
        <v>1458</v>
      </c>
      <c r="C204" t="s">
        <v>1459</v>
      </c>
      <c r="D204" t="str">
        <f t="shared" si="3"/>
        <v>0058d0000022NeRAAU</v>
      </c>
    </row>
    <row r="205" spans="1:4">
      <c r="A205" t="s">
        <v>1129</v>
      </c>
      <c r="B205" t="s">
        <v>1460</v>
      </c>
      <c r="C205" t="s">
        <v>1461</v>
      </c>
      <c r="D205" t="str">
        <f t="shared" si="3"/>
        <v>0058d0000022OHDAA2</v>
      </c>
    </row>
    <row r="206" spans="1:4">
      <c r="A206" t="s">
        <v>1129</v>
      </c>
      <c r="B206" t="s">
        <v>1462</v>
      </c>
      <c r="C206" t="s">
        <v>1463</v>
      </c>
      <c r="D206" t="str">
        <f t="shared" si="3"/>
        <v>0058d0000033sXzAAI</v>
      </c>
    </row>
    <row r="207" spans="1:4">
      <c r="A207" t="s">
        <v>1129</v>
      </c>
      <c r="B207" t="s">
        <v>1093</v>
      </c>
      <c r="C207" t="s">
        <v>1464</v>
      </c>
      <c r="D207" t="str">
        <f t="shared" si="3"/>
        <v>0058d00000343K8AAI</v>
      </c>
    </row>
    <row r="208" spans="1:4">
      <c r="A208" t="s">
        <v>1129</v>
      </c>
      <c r="B208" t="s">
        <v>1031</v>
      </c>
      <c r="C208" t="s">
        <v>942</v>
      </c>
      <c r="D208" t="str">
        <f t="shared" si="3"/>
        <v>0058d00000348B4AAI</v>
      </c>
    </row>
    <row r="209" spans="1:4">
      <c r="A209" t="s">
        <v>1129</v>
      </c>
      <c r="B209" t="s">
        <v>1465</v>
      </c>
      <c r="C209" t="s">
        <v>1466</v>
      </c>
      <c r="D209" t="str">
        <f t="shared" si="3"/>
        <v>0058d00000348vtAAA</v>
      </c>
    </row>
    <row r="210" spans="1:4">
      <c r="A210" t="s">
        <v>1129</v>
      </c>
      <c r="B210" t="s">
        <v>1467</v>
      </c>
      <c r="C210" t="s">
        <v>1468</v>
      </c>
      <c r="D210" t="str">
        <f t="shared" si="3"/>
        <v>0058d00000348wwAAA</v>
      </c>
    </row>
    <row r="211" spans="1:4">
      <c r="A211" t="s">
        <v>1129</v>
      </c>
      <c r="B211" t="s">
        <v>1469</v>
      </c>
      <c r="C211" t="s">
        <v>1149</v>
      </c>
      <c r="D211" t="str">
        <f t="shared" si="3"/>
        <v>0058d00000348xVAAQ</v>
      </c>
    </row>
    <row r="212" spans="1:4">
      <c r="A212" t="s">
        <v>1129</v>
      </c>
      <c r="B212" t="s">
        <v>1470</v>
      </c>
      <c r="C212" t="s">
        <v>918</v>
      </c>
      <c r="D212" t="str">
        <f t="shared" si="3"/>
        <v>0058d00000348xkAAA</v>
      </c>
    </row>
    <row r="213" spans="1:4">
      <c r="A213" t="s">
        <v>1129</v>
      </c>
      <c r="B213" t="s">
        <v>1471</v>
      </c>
      <c r="C213" t="s">
        <v>1472</v>
      </c>
      <c r="D213" t="str">
        <f t="shared" si="3"/>
        <v>0058d00000348y4AAA</v>
      </c>
    </row>
    <row r="214" spans="1:4">
      <c r="A214" t="s">
        <v>1129</v>
      </c>
      <c r="B214" t="s">
        <v>1041</v>
      </c>
      <c r="C214" t="s">
        <v>888</v>
      </c>
      <c r="D214" t="str">
        <f t="shared" si="3"/>
        <v>0058d0000034KXaAAM</v>
      </c>
    </row>
    <row r="215" spans="1:4">
      <c r="A215" t="s">
        <v>1129</v>
      </c>
      <c r="B215" t="s">
        <v>1042</v>
      </c>
      <c r="C215" t="s">
        <v>898</v>
      </c>
      <c r="D215" t="str">
        <f t="shared" si="3"/>
        <v>0058d0000034KXpAAM</v>
      </c>
    </row>
    <row r="216" spans="1:4">
      <c r="A216" t="s">
        <v>1129</v>
      </c>
      <c r="B216" t="s">
        <v>1043</v>
      </c>
      <c r="C216" t="s">
        <v>903</v>
      </c>
      <c r="D216" t="str">
        <f t="shared" si="3"/>
        <v>0058d0000034KYTAA2</v>
      </c>
    </row>
    <row r="217" spans="1:4">
      <c r="A217" t="s">
        <v>1129</v>
      </c>
      <c r="B217" t="s">
        <v>1097</v>
      </c>
      <c r="C217" t="s">
        <v>1473</v>
      </c>
      <c r="D217" t="str">
        <f t="shared" si="3"/>
        <v>0058d0000034KYsAAM</v>
      </c>
    </row>
    <row r="218" spans="1:4">
      <c r="A218" t="s">
        <v>1129</v>
      </c>
      <c r="B218" t="s">
        <v>1044</v>
      </c>
      <c r="C218" t="s">
        <v>873</v>
      </c>
      <c r="D218" t="str">
        <f t="shared" si="3"/>
        <v>0058d0000034KZ2AAM</v>
      </c>
    </row>
    <row r="219" spans="1:4">
      <c r="A219" t="s">
        <v>1129</v>
      </c>
      <c r="B219" t="s">
        <v>1086</v>
      </c>
      <c r="C219" t="s">
        <v>1474</v>
      </c>
      <c r="D219" t="str">
        <f t="shared" si="3"/>
        <v>0058d0000034KliAAE</v>
      </c>
    </row>
    <row r="220" spans="1:4">
      <c r="A220" t="s">
        <v>1129</v>
      </c>
      <c r="B220" t="s">
        <v>1035</v>
      </c>
      <c r="C220" t="s">
        <v>842</v>
      </c>
      <c r="D220" t="str">
        <f t="shared" si="3"/>
        <v>0058d0000034Km2AAE</v>
      </c>
    </row>
    <row r="221" spans="1:4">
      <c r="A221" t="s">
        <v>1129</v>
      </c>
      <c r="B221" t="s">
        <v>1036</v>
      </c>
      <c r="C221" t="s">
        <v>843</v>
      </c>
      <c r="D221" t="str">
        <f t="shared" si="3"/>
        <v>0058d0000034Km7AAE</v>
      </c>
    </row>
    <row r="222" spans="1:4">
      <c r="A222" t="s">
        <v>1129</v>
      </c>
      <c r="B222" t="s">
        <v>1037</v>
      </c>
      <c r="C222" t="s">
        <v>844</v>
      </c>
      <c r="D222" t="str">
        <f t="shared" si="3"/>
        <v>0058d0000034KmgAAE</v>
      </c>
    </row>
    <row r="223" spans="1:4">
      <c r="A223" t="s">
        <v>1129</v>
      </c>
      <c r="B223" t="s">
        <v>1038</v>
      </c>
      <c r="C223" t="s">
        <v>824</v>
      </c>
      <c r="D223" t="str">
        <f t="shared" si="3"/>
        <v>0058d0000034Kn5AAE</v>
      </c>
    </row>
    <row r="224" spans="1:4">
      <c r="A224" t="s">
        <v>1129</v>
      </c>
      <c r="B224" t="s">
        <v>1039</v>
      </c>
      <c r="C224" t="s">
        <v>823</v>
      </c>
      <c r="D224" t="str">
        <f t="shared" si="3"/>
        <v>0058d0000034Ks6AAE</v>
      </c>
    </row>
    <row r="225" spans="1:4">
      <c r="A225" t="s">
        <v>1129</v>
      </c>
      <c r="B225" t="s">
        <v>1475</v>
      </c>
      <c r="C225" t="s">
        <v>1476</v>
      </c>
      <c r="D225" t="str">
        <f t="shared" si="3"/>
        <v>0058d0000034KsVAAU</v>
      </c>
    </row>
    <row r="226" spans="1:4">
      <c r="A226" t="s">
        <v>1129</v>
      </c>
      <c r="B226" t="s">
        <v>1040</v>
      </c>
      <c r="C226" t="s">
        <v>820</v>
      </c>
      <c r="D226" t="str">
        <f t="shared" si="3"/>
        <v>0058d0000034KskAAE</v>
      </c>
    </row>
    <row r="227" spans="1:4">
      <c r="A227" t="s">
        <v>1129</v>
      </c>
      <c r="B227" t="s">
        <v>1477</v>
      </c>
      <c r="C227" t="s">
        <v>1478</v>
      </c>
      <c r="D227" t="str">
        <f t="shared" si="3"/>
        <v>0058d0000034KsuAAE</v>
      </c>
    </row>
    <row r="228" spans="1:4">
      <c r="A228" t="s">
        <v>1129</v>
      </c>
      <c r="B228" t="s">
        <v>1089</v>
      </c>
      <c r="C228" t="s">
        <v>1479</v>
      </c>
      <c r="D228" t="str">
        <f t="shared" si="3"/>
        <v>0058d0000034KtEAAU</v>
      </c>
    </row>
    <row r="229" spans="1:4">
      <c r="A229" t="s">
        <v>1129</v>
      </c>
      <c r="B229" t="s">
        <v>1045</v>
      </c>
      <c r="C229" t="s">
        <v>902</v>
      </c>
      <c r="D229" t="str">
        <f t="shared" si="3"/>
        <v>0058d0000034L6QAAU</v>
      </c>
    </row>
    <row r="230" spans="1:4">
      <c r="A230" t="s">
        <v>1129</v>
      </c>
      <c r="B230" t="s">
        <v>1480</v>
      </c>
      <c r="C230" t="s">
        <v>1481</v>
      </c>
      <c r="D230" t="str">
        <f t="shared" si="3"/>
        <v>0058d0000034SvqAAE</v>
      </c>
    </row>
    <row r="231" spans="1:4">
      <c r="A231" t="s">
        <v>1129</v>
      </c>
      <c r="B231" t="s">
        <v>1482</v>
      </c>
      <c r="C231" t="s">
        <v>866</v>
      </c>
      <c r="D231" t="str">
        <f t="shared" si="3"/>
        <v>0058d0000034c7JAAQ</v>
      </c>
    </row>
    <row r="232" spans="1:4">
      <c r="A232" t="s">
        <v>1129</v>
      </c>
      <c r="B232" t="s">
        <v>1032</v>
      </c>
      <c r="C232" t="s">
        <v>833</v>
      </c>
      <c r="D232" t="str">
        <f t="shared" si="3"/>
        <v>0058d0000034c7KAAQ</v>
      </c>
    </row>
    <row r="233" spans="1:4">
      <c r="A233" t="s">
        <v>1129</v>
      </c>
      <c r="B233" t="s">
        <v>1483</v>
      </c>
      <c r="C233" t="s">
        <v>1484</v>
      </c>
      <c r="D233" t="str">
        <f t="shared" si="3"/>
        <v>0058d0000034c7LAAQ</v>
      </c>
    </row>
    <row r="234" spans="1:4">
      <c r="A234" t="s">
        <v>1129</v>
      </c>
      <c r="B234" t="s">
        <v>1485</v>
      </c>
      <c r="C234" t="s">
        <v>1486</v>
      </c>
      <c r="D234" t="str">
        <f t="shared" si="3"/>
        <v>0058d0000034cXMAAY</v>
      </c>
    </row>
    <row r="235" spans="1:4">
      <c r="A235" t="s">
        <v>1129</v>
      </c>
      <c r="B235" t="s">
        <v>1487</v>
      </c>
      <c r="C235" t="s">
        <v>1488</v>
      </c>
      <c r="D235" t="str">
        <f t="shared" si="3"/>
        <v>0058d0000034cXOAAY</v>
      </c>
    </row>
    <row r="236" spans="1:4">
      <c r="A236" t="s">
        <v>1129</v>
      </c>
      <c r="B236" t="s">
        <v>1033</v>
      </c>
      <c r="C236" t="s">
        <v>876</v>
      </c>
      <c r="D236" t="str">
        <f t="shared" si="3"/>
        <v>0058d0000034e9SAAQ</v>
      </c>
    </row>
    <row r="237" spans="1:4">
      <c r="A237" t="s">
        <v>1129</v>
      </c>
      <c r="B237" t="s">
        <v>1489</v>
      </c>
      <c r="C237" t="s">
        <v>1490</v>
      </c>
      <c r="D237" t="str">
        <f t="shared" si="3"/>
        <v>0058d0000034i83AAA</v>
      </c>
    </row>
    <row r="238" spans="1:4">
      <c r="A238" t="s">
        <v>1129</v>
      </c>
      <c r="B238" t="s">
        <v>1491</v>
      </c>
      <c r="C238" t="s">
        <v>1492</v>
      </c>
      <c r="D238" t="str">
        <f t="shared" si="3"/>
        <v>0058d0000034qWaAAI</v>
      </c>
    </row>
    <row r="239" spans="1:4">
      <c r="A239" t="s">
        <v>1129</v>
      </c>
      <c r="B239" t="s">
        <v>1493</v>
      </c>
      <c r="C239" t="s">
        <v>1494</v>
      </c>
      <c r="D239" t="str">
        <f t="shared" si="3"/>
        <v>0058d0000034t2xAAA</v>
      </c>
    </row>
    <row r="240" spans="1:4">
      <c r="A240" t="s">
        <v>1129</v>
      </c>
      <c r="B240" t="s">
        <v>1495</v>
      </c>
      <c r="C240" t="s">
        <v>1496</v>
      </c>
      <c r="D240" t="str">
        <f t="shared" si="3"/>
        <v>0058d0000034t7KAAQ</v>
      </c>
    </row>
    <row r="241" spans="1:4">
      <c r="A241" t="s">
        <v>1129</v>
      </c>
      <c r="B241" t="s">
        <v>1497</v>
      </c>
      <c r="C241" t="s">
        <v>1498</v>
      </c>
      <c r="D241" t="str">
        <f t="shared" si="3"/>
        <v>0058d0000034t82AAA</v>
      </c>
    </row>
    <row r="242" spans="1:4">
      <c r="A242" t="s">
        <v>1129</v>
      </c>
      <c r="B242" t="s">
        <v>1499</v>
      </c>
      <c r="C242" t="s">
        <v>1500</v>
      </c>
      <c r="D242" t="str">
        <f t="shared" si="3"/>
        <v>0058d0000034t8JAAQ</v>
      </c>
    </row>
    <row r="243" spans="1:4">
      <c r="A243" t="s">
        <v>1129</v>
      </c>
      <c r="B243" t="s">
        <v>1501</v>
      </c>
      <c r="C243" t="s">
        <v>1502</v>
      </c>
      <c r="D243" t="str">
        <f t="shared" si="3"/>
        <v>0058d0000034t8WAAQ</v>
      </c>
    </row>
    <row r="244" spans="1:4">
      <c r="A244" t="s">
        <v>1129</v>
      </c>
      <c r="B244" t="s">
        <v>1503</v>
      </c>
      <c r="C244" t="s">
        <v>1504</v>
      </c>
      <c r="D244" t="str">
        <f t="shared" si="3"/>
        <v>0058d0000034t90AAA</v>
      </c>
    </row>
    <row r="245" spans="1:4">
      <c r="A245" t="s">
        <v>1129</v>
      </c>
      <c r="B245" t="s">
        <v>1505</v>
      </c>
      <c r="C245" t="s">
        <v>1506</v>
      </c>
      <c r="D245" t="str">
        <f t="shared" si="3"/>
        <v>0058d0000034tImAAI</v>
      </c>
    </row>
    <row r="246" spans="1:4">
      <c r="A246" t="s">
        <v>1129</v>
      </c>
      <c r="B246" t="s">
        <v>1507</v>
      </c>
      <c r="C246" t="s">
        <v>1508</v>
      </c>
      <c r="D246" t="str">
        <f t="shared" si="3"/>
        <v>0058d0000034tIrAAI</v>
      </c>
    </row>
    <row r="247" spans="1:4">
      <c r="A247" t="s">
        <v>1129</v>
      </c>
      <c r="B247" t="s">
        <v>1509</v>
      </c>
      <c r="C247" t="s">
        <v>1510</v>
      </c>
      <c r="D247" t="str">
        <f t="shared" si="3"/>
        <v>0058d0000034tRkAAI</v>
      </c>
    </row>
    <row r="248" spans="1:4">
      <c r="A248" t="s">
        <v>1129</v>
      </c>
      <c r="B248" t="s">
        <v>1511</v>
      </c>
      <c r="C248" t="s">
        <v>1512</v>
      </c>
      <c r="D248" t="str">
        <f t="shared" si="3"/>
        <v>0058d0000034tRuAAI</v>
      </c>
    </row>
    <row r="249" spans="1:4">
      <c r="A249" t="s">
        <v>1129</v>
      </c>
      <c r="B249" t="s">
        <v>1513</v>
      </c>
      <c r="C249" t="s">
        <v>1514</v>
      </c>
      <c r="D249" t="str">
        <f t="shared" si="3"/>
        <v>0058d0000034tS4AAI</v>
      </c>
    </row>
    <row r="250" spans="1:4">
      <c r="A250" t="s">
        <v>1129</v>
      </c>
      <c r="B250" t="s">
        <v>1515</v>
      </c>
      <c r="C250" t="s">
        <v>1516</v>
      </c>
      <c r="D250" t="str">
        <f t="shared" si="3"/>
        <v>0058d0000034tSJAAY</v>
      </c>
    </row>
    <row r="251" spans="1:4">
      <c r="A251" t="s">
        <v>1129</v>
      </c>
      <c r="B251" t="s">
        <v>1517</v>
      </c>
      <c r="C251" t="s">
        <v>1518</v>
      </c>
      <c r="D251" t="str">
        <f t="shared" si="3"/>
        <v>0058d0000034tSdAAI</v>
      </c>
    </row>
    <row r="252" spans="1:4">
      <c r="A252" t="s">
        <v>1129</v>
      </c>
      <c r="B252" t="s">
        <v>1519</v>
      </c>
      <c r="C252" t="s">
        <v>1520</v>
      </c>
      <c r="D252" t="str">
        <f t="shared" si="3"/>
        <v>0058d0000034tTRAAY</v>
      </c>
    </row>
    <row r="253" spans="1:4">
      <c r="A253" t="s">
        <v>1129</v>
      </c>
      <c r="B253" t="s">
        <v>1521</v>
      </c>
      <c r="C253" t="s">
        <v>1522</v>
      </c>
      <c r="D253" t="str">
        <f t="shared" si="3"/>
        <v>0058d0000034tTbAAI</v>
      </c>
    </row>
    <row r="254" spans="1:4">
      <c r="A254" t="s">
        <v>1129</v>
      </c>
      <c r="B254" t="s">
        <v>1523</v>
      </c>
      <c r="C254" t="s">
        <v>1524</v>
      </c>
      <c r="D254" t="str">
        <f t="shared" si="3"/>
        <v>0058d0000034tTvAAI</v>
      </c>
    </row>
    <row r="255" spans="1:4">
      <c r="A255" t="s">
        <v>1129</v>
      </c>
      <c r="B255" t="s">
        <v>1525</v>
      </c>
      <c r="C255" t="s">
        <v>1526</v>
      </c>
      <c r="D255" t="str">
        <f t="shared" si="3"/>
        <v>0058d0000034tUKAAY</v>
      </c>
    </row>
    <row r="256" spans="1:4">
      <c r="A256" t="s">
        <v>1129</v>
      </c>
      <c r="B256" t="s">
        <v>1527</v>
      </c>
      <c r="C256" t="s">
        <v>1528</v>
      </c>
      <c r="D256" t="str">
        <f t="shared" si="3"/>
        <v>0058d0000034tUjAAI</v>
      </c>
    </row>
    <row r="257" spans="1:4">
      <c r="A257" t="s">
        <v>1129</v>
      </c>
      <c r="B257" t="s">
        <v>1529</v>
      </c>
      <c r="C257" t="s">
        <v>1530</v>
      </c>
      <c r="D257" t="str">
        <f t="shared" si="3"/>
        <v>0058d0000034tV8AAI</v>
      </c>
    </row>
    <row r="258" spans="1:4">
      <c r="A258" t="s">
        <v>1129</v>
      </c>
      <c r="B258" t="s">
        <v>1531</v>
      </c>
      <c r="C258" t="s">
        <v>1532</v>
      </c>
      <c r="D258" t="str">
        <f t="shared" si="3"/>
        <v>0058d0000034tVNAAY</v>
      </c>
    </row>
    <row r="259" spans="1:4">
      <c r="A259" t="s">
        <v>1129</v>
      </c>
      <c r="B259" t="s">
        <v>1533</v>
      </c>
      <c r="C259" t="s">
        <v>1534</v>
      </c>
      <c r="D259" t="str">
        <f t="shared" ref="D259:D322" si="4">B259</f>
        <v>0058d0000034tVmAAI</v>
      </c>
    </row>
    <row r="260" spans="1:4">
      <c r="A260" t="s">
        <v>1129</v>
      </c>
      <c r="B260" t="s">
        <v>1535</v>
      </c>
      <c r="C260" t="s">
        <v>1536</v>
      </c>
      <c r="D260" t="str">
        <f t="shared" si="4"/>
        <v>0058d0000034tW1AAI</v>
      </c>
    </row>
    <row r="261" spans="1:4">
      <c r="A261" t="s">
        <v>1129</v>
      </c>
      <c r="B261" t="s">
        <v>1537</v>
      </c>
      <c r="C261" t="s">
        <v>1538</v>
      </c>
      <c r="D261" t="str">
        <f t="shared" si="4"/>
        <v>0058d0000034tW6AAI</v>
      </c>
    </row>
    <row r="262" spans="1:4">
      <c r="A262" t="s">
        <v>1129</v>
      </c>
      <c r="B262" t="s">
        <v>1539</v>
      </c>
      <c r="C262" t="s">
        <v>1540</v>
      </c>
      <c r="D262" t="str">
        <f t="shared" si="4"/>
        <v>0058d0000035784AAA</v>
      </c>
    </row>
    <row r="263" spans="1:4">
      <c r="A263" t="s">
        <v>1129</v>
      </c>
      <c r="B263" t="s">
        <v>1541</v>
      </c>
      <c r="C263" t="s">
        <v>1542</v>
      </c>
      <c r="D263" t="str">
        <f t="shared" si="4"/>
        <v>0058d000003578JAAQ</v>
      </c>
    </row>
    <row r="264" spans="1:4">
      <c r="A264" t="s">
        <v>1129</v>
      </c>
      <c r="B264" t="s">
        <v>1543</v>
      </c>
      <c r="C264" t="s">
        <v>1544</v>
      </c>
      <c r="D264" t="str">
        <f t="shared" si="4"/>
        <v>0058d0000035B23AAE</v>
      </c>
    </row>
    <row r="265" spans="1:4">
      <c r="A265" t="s">
        <v>1129</v>
      </c>
      <c r="B265" t="s">
        <v>1545</v>
      </c>
      <c r="C265" t="s">
        <v>1546</v>
      </c>
      <c r="D265" t="str">
        <f t="shared" si="4"/>
        <v>0058d0000035B3GAAU</v>
      </c>
    </row>
    <row r="266" spans="1:4">
      <c r="A266" t="s">
        <v>1129</v>
      </c>
      <c r="B266" t="s">
        <v>1547</v>
      </c>
      <c r="C266" t="s">
        <v>1548</v>
      </c>
      <c r="D266" t="str">
        <f t="shared" si="4"/>
        <v>0058d0000035B3LAAU</v>
      </c>
    </row>
    <row r="267" spans="1:4">
      <c r="A267" t="s">
        <v>1129</v>
      </c>
      <c r="B267" t="s">
        <v>1549</v>
      </c>
      <c r="C267" t="s">
        <v>1550</v>
      </c>
      <c r="D267" t="str">
        <f t="shared" si="4"/>
        <v>0058d0000035B3kAAE</v>
      </c>
    </row>
    <row r="268" spans="1:4">
      <c r="A268" t="s">
        <v>1129</v>
      </c>
      <c r="B268" t="s">
        <v>1551</v>
      </c>
      <c r="C268" t="s">
        <v>1552</v>
      </c>
      <c r="D268" t="str">
        <f t="shared" si="4"/>
        <v>0058d0000035B44AAE</v>
      </c>
    </row>
    <row r="269" spans="1:4">
      <c r="A269" t="s">
        <v>1129</v>
      </c>
      <c r="B269" t="s">
        <v>1553</v>
      </c>
      <c r="C269" t="s">
        <v>1554</v>
      </c>
      <c r="D269" t="str">
        <f t="shared" si="4"/>
        <v>0058d0000035B4YAAU</v>
      </c>
    </row>
    <row r="270" spans="1:4">
      <c r="A270" t="s">
        <v>1129</v>
      </c>
      <c r="B270" t="s">
        <v>1555</v>
      </c>
      <c r="C270" t="s">
        <v>1556</v>
      </c>
      <c r="D270" t="str">
        <f t="shared" si="4"/>
        <v>0058d0000035B95AAE</v>
      </c>
    </row>
    <row r="271" spans="1:4">
      <c r="A271" t="s">
        <v>1129</v>
      </c>
      <c r="B271" t="s">
        <v>1557</v>
      </c>
      <c r="C271" t="s">
        <v>1558</v>
      </c>
      <c r="D271" t="str">
        <f t="shared" si="4"/>
        <v>0058d0000035B9tAAE</v>
      </c>
    </row>
    <row r="272" spans="1:4">
      <c r="A272" t="s">
        <v>1129</v>
      </c>
      <c r="B272" t="s">
        <v>1559</v>
      </c>
      <c r="C272" t="s">
        <v>1560</v>
      </c>
      <c r="D272" t="str">
        <f t="shared" si="4"/>
        <v>0058d0000035BAwAAM</v>
      </c>
    </row>
    <row r="273" spans="1:4">
      <c r="A273" t="s">
        <v>1129</v>
      </c>
      <c r="B273" t="s">
        <v>1561</v>
      </c>
      <c r="C273" t="s">
        <v>1562</v>
      </c>
      <c r="D273" t="str">
        <f t="shared" si="4"/>
        <v>0058d0000035BB1AAM</v>
      </c>
    </row>
    <row r="274" spans="1:4">
      <c r="A274" t="s">
        <v>1129</v>
      </c>
      <c r="B274" t="s">
        <v>1563</v>
      </c>
      <c r="C274" t="s">
        <v>1564</v>
      </c>
      <c r="D274" t="str">
        <f t="shared" si="4"/>
        <v>0058d0000035BBLAA2</v>
      </c>
    </row>
    <row r="275" spans="1:4">
      <c r="A275" t="s">
        <v>1129</v>
      </c>
      <c r="B275" t="s">
        <v>1565</v>
      </c>
      <c r="C275" t="s">
        <v>1566</v>
      </c>
      <c r="D275" t="str">
        <f t="shared" si="4"/>
        <v>0058d0000035BBkAAM</v>
      </c>
    </row>
    <row r="276" spans="1:4">
      <c r="A276" t="s">
        <v>1129</v>
      </c>
      <c r="B276" t="s">
        <v>1567</v>
      </c>
      <c r="C276" t="s">
        <v>1568</v>
      </c>
      <c r="D276" t="str">
        <f t="shared" si="4"/>
        <v>0058d0000043jUlAAI</v>
      </c>
    </row>
    <row r="277" spans="1:4">
      <c r="A277" t="s">
        <v>1129</v>
      </c>
      <c r="B277" t="s">
        <v>1569</v>
      </c>
      <c r="C277" t="s">
        <v>1570</v>
      </c>
      <c r="D277" t="str">
        <f t="shared" si="4"/>
        <v>0058d0000043mtfAAA</v>
      </c>
    </row>
    <row r="278" spans="1:4">
      <c r="A278" t="s">
        <v>1129</v>
      </c>
      <c r="B278" t="s">
        <v>1571</v>
      </c>
      <c r="C278" t="s">
        <v>1572</v>
      </c>
      <c r="D278" t="str">
        <f t="shared" si="4"/>
        <v>0058d0000043sEOAAY</v>
      </c>
    </row>
    <row r="279" spans="1:4">
      <c r="A279" t="s">
        <v>1129</v>
      </c>
      <c r="B279" t="s">
        <v>1573</v>
      </c>
      <c r="C279" t="s">
        <v>1574</v>
      </c>
      <c r="D279" t="str">
        <f t="shared" si="4"/>
        <v>0058d0000043sJEAAY</v>
      </c>
    </row>
    <row r="280" spans="1:4">
      <c r="A280" t="s">
        <v>1129</v>
      </c>
      <c r="B280" t="s">
        <v>1575</v>
      </c>
      <c r="C280" t="s">
        <v>1576</v>
      </c>
      <c r="D280" t="str">
        <f t="shared" si="4"/>
        <v>0058d0000043ssPAAQ</v>
      </c>
    </row>
    <row r="281" spans="1:4">
      <c r="A281" t="s">
        <v>1129</v>
      </c>
      <c r="B281" t="s">
        <v>1577</v>
      </c>
      <c r="C281" t="s">
        <v>1578</v>
      </c>
      <c r="D281" t="str">
        <f t="shared" si="4"/>
        <v>0058d00000449t6AAA</v>
      </c>
    </row>
    <row r="282" spans="1:4">
      <c r="A282" t="s">
        <v>1129</v>
      </c>
      <c r="B282" t="s">
        <v>1046</v>
      </c>
      <c r="C282" t="s">
        <v>889</v>
      </c>
      <c r="D282" t="str">
        <f t="shared" si="4"/>
        <v>0058d000004Cx8uAAC</v>
      </c>
    </row>
    <row r="283" spans="1:4">
      <c r="A283" t="s">
        <v>1129</v>
      </c>
      <c r="B283" t="s">
        <v>1579</v>
      </c>
      <c r="C283" t="s">
        <v>1580</v>
      </c>
      <c r="D283" t="str">
        <f t="shared" si="4"/>
        <v>0058d000004D1hUAAS</v>
      </c>
    </row>
    <row r="284" spans="1:4">
      <c r="A284" t="s">
        <v>1129</v>
      </c>
      <c r="B284" t="s">
        <v>1581</v>
      </c>
      <c r="C284" t="s">
        <v>1582</v>
      </c>
      <c r="D284" t="str">
        <f t="shared" si="4"/>
        <v>0058d000004D2IcAAK</v>
      </c>
    </row>
    <row r="285" spans="1:4">
      <c r="A285" t="s">
        <v>1129</v>
      </c>
      <c r="B285" t="s">
        <v>1047</v>
      </c>
      <c r="C285" t="s">
        <v>854</v>
      </c>
      <c r="D285" t="str">
        <f t="shared" si="4"/>
        <v>0058d000004DM6nAAG</v>
      </c>
    </row>
    <row r="286" spans="1:4">
      <c r="A286" t="s">
        <v>1129</v>
      </c>
      <c r="B286" t="s">
        <v>1583</v>
      </c>
      <c r="C286" t="s">
        <v>1584</v>
      </c>
      <c r="D286" t="str">
        <f t="shared" si="4"/>
        <v>0058d000004DOMXAA4</v>
      </c>
    </row>
    <row r="287" spans="1:4">
      <c r="A287" t="s">
        <v>1129</v>
      </c>
      <c r="B287" t="s">
        <v>1585</v>
      </c>
      <c r="C287" t="s">
        <v>1586</v>
      </c>
      <c r="D287" t="str">
        <f t="shared" si="4"/>
        <v>0058d000004DynQAAS</v>
      </c>
    </row>
    <row r="288" spans="1:4">
      <c r="A288" t="s">
        <v>1129</v>
      </c>
      <c r="B288" t="s">
        <v>1587</v>
      </c>
      <c r="C288" t="s">
        <v>1588</v>
      </c>
      <c r="D288" t="str">
        <f t="shared" si="4"/>
        <v>0058d000004E4NCAA0</v>
      </c>
    </row>
    <row r="289" spans="1:4">
      <c r="A289" t="s">
        <v>1129</v>
      </c>
      <c r="B289" t="s">
        <v>1048</v>
      </c>
      <c r="C289" t="s">
        <v>875</v>
      </c>
      <c r="D289" t="str">
        <f t="shared" si="4"/>
        <v>0058d000004En5hAAC</v>
      </c>
    </row>
    <row r="290" spans="1:4">
      <c r="A290" t="s">
        <v>1129</v>
      </c>
      <c r="B290" t="s">
        <v>1589</v>
      </c>
      <c r="C290" t="s">
        <v>1590</v>
      </c>
      <c r="D290" t="str">
        <f t="shared" si="4"/>
        <v>0058d000004EqA5AAK</v>
      </c>
    </row>
    <row r="291" spans="1:4">
      <c r="A291" t="s">
        <v>1129</v>
      </c>
      <c r="B291" t="s">
        <v>1098</v>
      </c>
      <c r="C291" t="s">
        <v>1591</v>
      </c>
      <c r="D291" t="str">
        <f t="shared" si="4"/>
        <v>0058d000004FHK0AAO</v>
      </c>
    </row>
    <row r="292" spans="1:4">
      <c r="A292" t="s">
        <v>1129</v>
      </c>
      <c r="B292" t="s">
        <v>1049</v>
      </c>
      <c r="C292" t="s">
        <v>939</v>
      </c>
      <c r="D292" t="str">
        <f t="shared" si="4"/>
        <v>0058d000004FsUgAAK</v>
      </c>
    </row>
    <row r="293" spans="1:4">
      <c r="A293" t="s">
        <v>1129</v>
      </c>
      <c r="B293" t="s">
        <v>1592</v>
      </c>
      <c r="C293" t="s">
        <v>1593</v>
      </c>
      <c r="D293" t="str">
        <f t="shared" si="4"/>
        <v>0058d000004GTmUAAW</v>
      </c>
    </row>
    <row r="294" spans="1:4">
      <c r="A294" t="s">
        <v>1129</v>
      </c>
      <c r="B294" t="s">
        <v>1090</v>
      </c>
      <c r="C294" t="s">
        <v>1594</v>
      </c>
      <c r="D294" t="str">
        <f t="shared" si="4"/>
        <v>0058d000004GtmhAAC</v>
      </c>
    </row>
    <row r="295" spans="1:4">
      <c r="A295" t="s">
        <v>1129</v>
      </c>
      <c r="B295" t="s">
        <v>1050</v>
      </c>
      <c r="C295" t="s">
        <v>879</v>
      </c>
      <c r="D295" t="str">
        <f t="shared" si="4"/>
        <v>0058d000004GuDNAA0</v>
      </c>
    </row>
    <row r="296" spans="1:4">
      <c r="A296" t="s">
        <v>1129</v>
      </c>
      <c r="B296" t="s">
        <v>1595</v>
      </c>
      <c r="C296" t="s">
        <v>1596</v>
      </c>
      <c r="D296" t="str">
        <f t="shared" si="4"/>
        <v>0058d000004GuOhAAK</v>
      </c>
    </row>
    <row r="297" spans="1:4">
      <c r="A297" t="s">
        <v>1129</v>
      </c>
      <c r="B297" t="s">
        <v>1597</v>
      </c>
      <c r="C297" t="s">
        <v>1598</v>
      </c>
      <c r="D297" t="str">
        <f t="shared" si="4"/>
        <v>0058d000004H0b4AAC</v>
      </c>
    </row>
    <row r="298" spans="1:4">
      <c r="A298" t="s">
        <v>1129</v>
      </c>
      <c r="B298" t="s">
        <v>1088</v>
      </c>
      <c r="C298" t="s">
        <v>1599</v>
      </c>
      <c r="D298" t="str">
        <f t="shared" si="4"/>
        <v>0058d000004H4neAAC</v>
      </c>
    </row>
    <row r="299" spans="1:4">
      <c r="A299" t="s">
        <v>1129</v>
      </c>
      <c r="B299" t="s">
        <v>1051</v>
      </c>
      <c r="C299" t="s">
        <v>890</v>
      </c>
      <c r="D299" t="str">
        <f t="shared" si="4"/>
        <v>0058d000005QXRuAAO</v>
      </c>
    </row>
    <row r="300" spans="1:4">
      <c r="A300" t="s">
        <v>1129</v>
      </c>
      <c r="B300" t="s">
        <v>1052</v>
      </c>
      <c r="C300" t="s">
        <v>827</v>
      </c>
      <c r="D300" t="str">
        <f t="shared" si="4"/>
        <v>0058d000005QzutAAC</v>
      </c>
    </row>
    <row r="301" spans="1:4">
      <c r="A301" t="s">
        <v>1129</v>
      </c>
      <c r="B301" t="s">
        <v>1053</v>
      </c>
      <c r="C301" t="s">
        <v>886</v>
      </c>
      <c r="D301" t="str">
        <f t="shared" si="4"/>
        <v>0058d000005R8xzAAC</v>
      </c>
    </row>
    <row r="302" spans="1:4">
      <c r="A302" t="s">
        <v>1129</v>
      </c>
      <c r="B302" t="s">
        <v>1055</v>
      </c>
      <c r="C302" t="s">
        <v>825</v>
      </c>
      <c r="D302" t="str">
        <f t="shared" si="4"/>
        <v>0058d000005RQ1sAAG</v>
      </c>
    </row>
    <row r="303" spans="1:4">
      <c r="A303" t="s">
        <v>1129</v>
      </c>
      <c r="B303" t="s">
        <v>1600</v>
      </c>
      <c r="C303" t="s">
        <v>1601</v>
      </c>
      <c r="D303" t="str">
        <f t="shared" si="4"/>
        <v>0058d000005Rf3MAAS</v>
      </c>
    </row>
    <row r="304" spans="1:4">
      <c r="A304" t="s">
        <v>1129</v>
      </c>
      <c r="B304" t="s">
        <v>1602</v>
      </c>
      <c r="C304" t="s">
        <v>1603</v>
      </c>
      <c r="D304" t="str">
        <f t="shared" si="4"/>
        <v>0058d000005Rx0uAAC</v>
      </c>
    </row>
    <row r="305" spans="1:4">
      <c r="A305" t="s">
        <v>1129</v>
      </c>
      <c r="B305" t="s">
        <v>1604</v>
      </c>
      <c r="C305" t="s">
        <v>1605</v>
      </c>
      <c r="D305" t="str">
        <f t="shared" si="4"/>
        <v>0058d000005SY9KAAW</v>
      </c>
    </row>
    <row r="306" spans="1:4">
      <c r="A306" t="s">
        <v>1129</v>
      </c>
      <c r="B306" t="s">
        <v>1056</v>
      </c>
      <c r="C306" t="s">
        <v>858</v>
      </c>
      <c r="D306" t="str">
        <f t="shared" si="4"/>
        <v>0058d000005TEYFAA4</v>
      </c>
    </row>
    <row r="307" spans="1:4">
      <c r="A307" t="s">
        <v>1129</v>
      </c>
      <c r="B307" t="s">
        <v>1606</v>
      </c>
      <c r="C307" t="s">
        <v>1607</v>
      </c>
      <c r="D307" t="str">
        <f t="shared" si="4"/>
        <v>0058d000005TgdbAAC</v>
      </c>
    </row>
    <row r="308" spans="1:4">
      <c r="A308" t="s">
        <v>1129</v>
      </c>
      <c r="B308" t="s">
        <v>1101</v>
      </c>
      <c r="C308" t="s">
        <v>1608</v>
      </c>
      <c r="D308" t="str">
        <f t="shared" si="4"/>
        <v>0058d000005ToH7AAK</v>
      </c>
    </row>
    <row r="309" spans="1:4">
      <c r="A309" t="s">
        <v>1129</v>
      </c>
      <c r="B309" t="s">
        <v>1609</v>
      </c>
      <c r="C309" t="s">
        <v>1610</v>
      </c>
      <c r="D309" t="str">
        <f t="shared" si="4"/>
        <v>0058d000006a54kAAA</v>
      </c>
    </row>
    <row r="310" spans="1:4">
      <c r="A310" t="s">
        <v>1129</v>
      </c>
      <c r="B310" t="s">
        <v>1611</v>
      </c>
      <c r="C310" t="s">
        <v>1612</v>
      </c>
      <c r="D310" t="str">
        <f t="shared" si="4"/>
        <v>0058d000006aqUrAAI</v>
      </c>
    </row>
    <row r="311" spans="1:4">
      <c r="A311" t="s">
        <v>1129</v>
      </c>
      <c r="B311" t="s">
        <v>1613</v>
      </c>
      <c r="C311" t="s">
        <v>1614</v>
      </c>
      <c r="D311" t="str">
        <f t="shared" si="4"/>
        <v>0058d000006b67QAAQ</v>
      </c>
    </row>
    <row r="312" spans="1:4">
      <c r="A312" t="s">
        <v>1129</v>
      </c>
      <c r="B312" t="s">
        <v>1058</v>
      </c>
      <c r="C312" t="s">
        <v>883</v>
      </c>
      <c r="D312" t="str">
        <f t="shared" si="4"/>
        <v>0058d000006b6mpAAA</v>
      </c>
    </row>
    <row r="313" spans="1:4">
      <c r="A313" t="s">
        <v>1129</v>
      </c>
      <c r="B313" t="s">
        <v>1615</v>
      </c>
      <c r="C313" t="s">
        <v>1616</v>
      </c>
      <c r="D313" t="str">
        <f t="shared" si="4"/>
        <v>0058d000006bfxBAAQ</v>
      </c>
    </row>
    <row r="314" spans="1:4">
      <c r="A314" t="s">
        <v>1129</v>
      </c>
      <c r="B314" t="s">
        <v>1061</v>
      </c>
      <c r="C314" t="s">
        <v>845</v>
      </c>
      <c r="D314" t="str">
        <f t="shared" si="4"/>
        <v>0058d000006c3QUAAY</v>
      </c>
    </row>
    <row r="315" spans="1:4">
      <c r="A315" t="s">
        <v>1129</v>
      </c>
      <c r="B315" t="s">
        <v>1617</v>
      </c>
      <c r="C315" t="s">
        <v>1618</v>
      </c>
      <c r="D315" t="str">
        <f t="shared" si="4"/>
        <v>0058d000006c3ivAAA</v>
      </c>
    </row>
    <row r="316" spans="1:4">
      <c r="A316" t="s">
        <v>1129</v>
      </c>
      <c r="B316" t="s">
        <v>1619</v>
      </c>
      <c r="C316" t="s">
        <v>1620</v>
      </c>
      <c r="D316" t="str">
        <f t="shared" si="4"/>
        <v>0058d000006cFljAAE</v>
      </c>
    </row>
    <row r="317" spans="1:4">
      <c r="A317" t="s">
        <v>1129</v>
      </c>
      <c r="B317" t="s">
        <v>1621</v>
      </c>
      <c r="C317" t="s">
        <v>1622</v>
      </c>
      <c r="D317" t="str">
        <f t="shared" si="4"/>
        <v>0058d000006cQAaAAM</v>
      </c>
    </row>
    <row r="318" spans="1:4">
      <c r="A318" t="s">
        <v>1129</v>
      </c>
      <c r="B318" t="s">
        <v>1623</v>
      </c>
      <c r="C318" t="s">
        <v>1624</v>
      </c>
      <c r="D318" t="str">
        <f t="shared" si="4"/>
        <v>0058d000006caH9AAI</v>
      </c>
    </row>
    <row r="319" spans="1:4">
      <c r="A319" t="s">
        <v>1129</v>
      </c>
      <c r="B319" t="s">
        <v>1062</v>
      </c>
      <c r="C319" t="s">
        <v>884</v>
      </c>
      <c r="D319" t="str">
        <f t="shared" si="4"/>
        <v>0058d000006cbqpAAA</v>
      </c>
    </row>
    <row r="320" spans="1:4">
      <c r="A320" t="s">
        <v>1129</v>
      </c>
      <c r="B320" t="s">
        <v>1625</v>
      </c>
      <c r="C320" t="s">
        <v>1626</v>
      </c>
      <c r="D320" t="str">
        <f t="shared" si="4"/>
        <v>0058d000006cf2pAAA</v>
      </c>
    </row>
    <row r="321" spans="1:4">
      <c r="A321" t="s">
        <v>1129</v>
      </c>
      <c r="B321" t="s">
        <v>1627</v>
      </c>
      <c r="C321" t="s">
        <v>1628</v>
      </c>
      <c r="D321" t="str">
        <f t="shared" si="4"/>
        <v>0058d000006chmkAAA</v>
      </c>
    </row>
    <row r="322" spans="1:4">
      <c r="A322" t="s">
        <v>1129</v>
      </c>
      <c r="B322" t="s">
        <v>1063</v>
      </c>
      <c r="C322" t="s">
        <v>855</v>
      </c>
      <c r="D322" t="str">
        <f t="shared" si="4"/>
        <v>0058d000006chw2AAA</v>
      </c>
    </row>
    <row r="323" spans="1:4">
      <c r="A323" t="s">
        <v>1129</v>
      </c>
      <c r="B323" t="s">
        <v>1064</v>
      </c>
      <c r="C323" t="s">
        <v>847</v>
      </c>
      <c r="D323" t="str">
        <f t="shared" ref="D323:D386" si="5">B323</f>
        <v>0058d000006chw3AAA</v>
      </c>
    </row>
    <row r="324" spans="1:4">
      <c r="A324" t="s">
        <v>1129</v>
      </c>
      <c r="B324" t="s">
        <v>1065</v>
      </c>
      <c r="C324" t="s">
        <v>878</v>
      </c>
      <c r="D324" t="str">
        <f t="shared" si="5"/>
        <v>0058d000006csAqAAI</v>
      </c>
    </row>
    <row r="325" spans="1:4">
      <c r="A325" t="s">
        <v>1129</v>
      </c>
      <c r="B325" t="s">
        <v>1629</v>
      </c>
      <c r="C325" t="s">
        <v>1630</v>
      </c>
      <c r="D325" t="str">
        <f t="shared" si="5"/>
        <v>005UE000000lVmjYAE</v>
      </c>
    </row>
    <row r="326" spans="1:4">
      <c r="A326" t="s">
        <v>1129</v>
      </c>
      <c r="B326" t="s">
        <v>1631</v>
      </c>
      <c r="C326" t="s">
        <v>1632</v>
      </c>
      <c r="D326" t="str">
        <f t="shared" si="5"/>
        <v>005UE000000orPZYAY</v>
      </c>
    </row>
    <row r="327" spans="1:4">
      <c r="A327" t="s">
        <v>1129</v>
      </c>
      <c r="B327" t="s">
        <v>1633</v>
      </c>
      <c r="C327" t="s">
        <v>1634</v>
      </c>
      <c r="D327" t="str">
        <f t="shared" si="5"/>
        <v>005UE000001SQwfYAG</v>
      </c>
    </row>
    <row r="328" spans="1:4">
      <c r="A328" t="s">
        <v>1129</v>
      </c>
      <c r="B328" t="s">
        <v>1635</v>
      </c>
      <c r="C328" t="s">
        <v>1636</v>
      </c>
      <c r="D328" t="str">
        <f t="shared" si="5"/>
        <v>005UE000001ZaVxYAK</v>
      </c>
    </row>
    <row r="329" spans="1:4">
      <c r="A329" t="s">
        <v>1129</v>
      </c>
      <c r="B329" t="s">
        <v>1637</v>
      </c>
      <c r="C329" t="s">
        <v>936</v>
      </c>
      <c r="D329" t="str">
        <f t="shared" si="5"/>
        <v>005UE000001aCGbYAM</v>
      </c>
    </row>
    <row r="330" spans="1:4">
      <c r="A330" t="s">
        <v>1129</v>
      </c>
      <c r="B330" t="s">
        <v>1638</v>
      </c>
      <c r="C330" t="s">
        <v>1639</v>
      </c>
      <c r="D330" t="str">
        <f t="shared" si="5"/>
        <v>005UE000001lHaLYAU</v>
      </c>
    </row>
    <row r="331" spans="1:4">
      <c r="D331">
        <f t="shared" si="5"/>
        <v>0</v>
      </c>
    </row>
    <row r="332" spans="1:4">
      <c r="D332">
        <f t="shared" si="5"/>
        <v>0</v>
      </c>
    </row>
    <row r="333" spans="1:4">
      <c r="D333">
        <f t="shared" si="5"/>
        <v>0</v>
      </c>
    </row>
    <row r="334" spans="1:4">
      <c r="D334">
        <f t="shared" si="5"/>
        <v>0</v>
      </c>
    </row>
    <row r="335" spans="1:4">
      <c r="D335">
        <f t="shared" si="5"/>
        <v>0</v>
      </c>
    </row>
    <row r="336" spans="1:4">
      <c r="D336">
        <f t="shared" si="5"/>
        <v>0</v>
      </c>
    </row>
    <row r="337" spans="4:4">
      <c r="D337">
        <f t="shared" si="5"/>
        <v>0</v>
      </c>
    </row>
    <row r="338" spans="4:4">
      <c r="D338">
        <f t="shared" si="5"/>
        <v>0</v>
      </c>
    </row>
    <row r="339" spans="4:4">
      <c r="D339">
        <f t="shared" si="5"/>
        <v>0</v>
      </c>
    </row>
    <row r="340" spans="4:4">
      <c r="D340">
        <f t="shared" si="5"/>
        <v>0</v>
      </c>
    </row>
    <row r="341" spans="4:4">
      <c r="D341">
        <f t="shared" si="5"/>
        <v>0</v>
      </c>
    </row>
    <row r="342" spans="4:4">
      <c r="D342">
        <f t="shared" si="5"/>
        <v>0</v>
      </c>
    </row>
    <row r="343" spans="4:4">
      <c r="D343">
        <f t="shared" si="5"/>
        <v>0</v>
      </c>
    </row>
    <row r="344" spans="4:4">
      <c r="D344">
        <f t="shared" si="5"/>
        <v>0</v>
      </c>
    </row>
    <row r="345" spans="4:4">
      <c r="D345">
        <f t="shared" si="5"/>
        <v>0</v>
      </c>
    </row>
    <row r="346" spans="4:4">
      <c r="D346">
        <f t="shared" si="5"/>
        <v>0</v>
      </c>
    </row>
    <row r="347" spans="4:4">
      <c r="D347">
        <f t="shared" si="5"/>
        <v>0</v>
      </c>
    </row>
    <row r="348" spans="4:4">
      <c r="D348">
        <f t="shared" si="5"/>
        <v>0</v>
      </c>
    </row>
    <row r="349" spans="4:4">
      <c r="D349">
        <f t="shared" si="5"/>
        <v>0</v>
      </c>
    </row>
    <row r="350" spans="4:4">
      <c r="D350">
        <f t="shared" si="5"/>
        <v>0</v>
      </c>
    </row>
    <row r="351" spans="4:4">
      <c r="D351">
        <f t="shared" si="5"/>
        <v>0</v>
      </c>
    </row>
    <row r="352" spans="4:4">
      <c r="D352">
        <f t="shared" si="5"/>
        <v>0</v>
      </c>
    </row>
    <row r="353" spans="4:4">
      <c r="D353">
        <f t="shared" si="5"/>
        <v>0</v>
      </c>
    </row>
    <row r="354" spans="4:4">
      <c r="D354">
        <f t="shared" si="5"/>
        <v>0</v>
      </c>
    </row>
    <row r="355" spans="4:4">
      <c r="D355">
        <f t="shared" si="5"/>
        <v>0</v>
      </c>
    </row>
    <row r="356" spans="4:4">
      <c r="D356">
        <f t="shared" si="5"/>
        <v>0</v>
      </c>
    </row>
    <row r="357" spans="4:4">
      <c r="D357">
        <f t="shared" si="5"/>
        <v>0</v>
      </c>
    </row>
    <row r="358" spans="4:4">
      <c r="D358">
        <f t="shared" si="5"/>
        <v>0</v>
      </c>
    </row>
    <row r="359" spans="4:4">
      <c r="D359">
        <f t="shared" si="5"/>
        <v>0</v>
      </c>
    </row>
    <row r="360" spans="4:4">
      <c r="D360">
        <f t="shared" si="5"/>
        <v>0</v>
      </c>
    </row>
    <row r="361" spans="4:4">
      <c r="D361">
        <f t="shared" si="5"/>
        <v>0</v>
      </c>
    </row>
    <row r="362" spans="4:4">
      <c r="D362">
        <f t="shared" si="5"/>
        <v>0</v>
      </c>
    </row>
    <row r="363" spans="4:4">
      <c r="D363">
        <f t="shared" si="5"/>
        <v>0</v>
      </c>
    </row>
    <row r="364" spans="4:4">
      <c r="D364">
        <f t="shared" si="5"/>
        <v>0</v>
      </c>
    </row>
    <row r="365" spans="4:4">
      <c r="D365">
        <f t="shared" si="5"/>
        <v>0</v>
      </c>
    </row>
    <row r="366" spans="4:4">
      <c r="D366">
        <f t="shared" si="5"/>
        <v>0</v>
      </c>
    </row>
    <row r="367" spans="4:4">
      <c r="D367">
        <f t="shared" si="5"/>
        <v>0</v>
      </c>
    </row>
    <row r="368" spans="4:4">
      <c r="D368">
        <f t="shared" si="5"/>
        <v>0</v>
      </c>
    </row>
    <row r="369" spans="4:4">
      <c r="D369">
        <f t="shared" si="5"/>
        <v>0</v>
      </c>
    </row>
    <row r="370" spans="4:4">
      <c r="D370">
        <f t="shared" si="5"/>
        <v>0</v>
      </c>
    </row>
    <row r="371" spans="4:4">
      <c r="D371">
        <f t="shared" si="5"/>
        <v>0</v>
      </c>
    </row>
    <row r="372" spans="4:4">
      <c r="D372">
        <f t="shared" si="5"/>
        <v>0</v>
      </c>
    </row>
    <row r="373" spans="4:4">
      <c r="D373">
        <f t="shared" si="5"/>
        <v>0</v>
      </c>
    </row>
    <row r="374" spans="4:4">
      <c r="D374">
        <f t="shared" si="5"/>
        <v>0</v>
      </c>
    </row>
    <row r="375" spans="4:4">
      <c r="D375">
        <f t="shared" si="5"/>
        <v>0</v>
      </c>
    </row>
    <row r="376" spans="4:4">
      <c r="D376">
        <f t="shared" si="5"/>
        <v>0</v>
      </c>
    </row>
    <row r="377" spans="4:4">
      <c r="D377">
        <f t="shared" si="5"/>
        <v>0</v>
      </c>
    </row>
    <row r="378" spans="4:4">
      <c r="D378">
        <f t="shared" si="5"/>
        <v>0</v>
      </c>
    </row>
    <row r="379" spans="4:4">
      <c r="D379">
        <f t="shared" si="5"/>
        <v>0</v>
      </c>
    </row>
    <row r="380" spans="4:4">
      <c r="D380">
        <f t="shared" si="5"/>
        <v>0</v>
      </c>
    </row>
    <row r="381" spans="4:4">
      <c r="D381">
        <f t="shared" si="5"/>
        <v>0</v>
      </c>
    </row>
    <row r="382" spans="4:4">
      <c r="D382">
        <f t="shared" si="5"/>
        <v>0</v>
      </c>
    </row>
    <row r="383" spans="4:4">
      <c r="D383">
        <f t="shared" si="5"/>
        <v>0</v>
      </c>
    </row>
    <row r="384" spans="4:4">
      <c r="D384">
        <f t="shared" si="5"/>
        <v>0</v>
      </c>
    </row>
    <row r="385" spans="4:4">
      <c r="D385">
        <f t="shared" si="5"/>
        <v>0</v>
      </c>
    </row>
    <row r="386" spans="4:4">
      <c r="D386">
        <f t="shared" si="5"/>
        <v>0</v>
      </c>
    </row>
    <row r="387" spans="4:4">
      <c r="D387">
        <f t="shared" ref="D387:D450" si="6">B387</f>
        <v>0</v>
      </c>
    </row>
    <row r="388" spans="4:4">
      <c r="D388">
        <f t="shared" si="6"/>
        <v>0</v>
      </c>
    </row>
    <row r="389" spans="4:4">
      <c r="D389">
        <f t="shared" si="6"/>
        <v>0</v>
      </c>
    </row>
    <row r="390" spans="4:4">
      <c r="D390">
        <f t="shared" si="6"/>
        <v>0</v>
      </c>
    </row>
    <row r="391" spans="4:4">
      <c r="D391">
        <f t="shared" si="6"/>
        <v>0</v>
      </c>
    </row>
    <row r="392" spans="4:4">
      <c r="D392">
        <f t="shared" si="6"/>
        <v>0</v>
      </c>
    </row>
    <row r="393" spans="4:4">
      <c r="D393">
        <f t="shared" si="6"/>
        <v>0</v>
      </c>
    </row>
    <row r="394" spans="4:4">
      <c r="D394">
        <f t="shared" si="6"/>
        <v>0</v>
      </c>
    </row>
    <row r="395" spans="4:4">
      <c r="D395">
        <f t="shared" si="6"/>
        <v>0</v>
      </c>
    </row>
    <row r="396" spans="4:4">
      <c r="D396">
        <f t="shared" si="6"/>
        <v>0</v>
      </c>
    </row>
    <row r="397" spans="4:4">
      <c r="D397">
        <f t="shared" si="6"/>
        <v>0</v>
      </c>
    </row>
    <row r="398" spans="4:4">
      <c r="D398">
        <f t="shared" si="6"/>
        <v>0</v>
      </c>
    </row>
    <row r="399" spans="4:4">
      <c r="D399">
        <f t="shared" si="6"/>
        <v>0</v>
      </c>
    </row>
    <row r="400" spans="4:4">
      <c r="D400">
        <f t="shared" si="6"/>
        <v>0</v>
      </c>
    </row>
    <row r="401" spans="4:4">
      <c r="D401">
        <f t="shared" si="6"/>
        <v>0</v>
      </c>
    </row>
    <row r="402" spans="4:4">
      <c r="D402">
        <f t="shared" si="6"/>
        <v>0</v>
      </c>
    </row>
    <row r="403" spans="4:4">
      <c r="D403">
        <f t="shared" si="6"/>
        <v>0</v>
      </c>
    </row>
    <row r="404" spans="4:4">
      <c r="D404">
        <f t="shared" si="6"/>
        <v>0</v>
      </c>
    </row>
    <row r="405" spans="4:4">
      <c r="D405">
        <f t="shared" si="6"/>
        <v>0</v>
      </c>
    </row>
    <row r="406" spans="4:4">
      <c r="D406">
        <f t="shared" si="6"/>
        <v>0</v>
      </c>
    </row>
    <row r="407" spans="4:4">
      <c r="D407">
        <f t="shared" si="6"/>
        <v>0</v>
      </c>
    </row>
    <row r="408" spans="4:4">
      <c r="D408">
        <f t="shared" si="6"/>
        <v>0</v>
      </c>
    </row>
    <row r="409" spans="4:4">
      <c r="D409">
        <f t="shared" si="6"/>
        <v>0</v>
      </c>
    </row>
    <row r="410" spans="4:4">
      <c r="D410">
        <f t="shared" si="6"/>
        <v>0</v>
      </c>
    </row>
    <row r="411" spans="4:4">
      <c r="D411">
        <f t="shared" si="6"/>
        <v>0</v>
      </c>
    </row>
    <row r="412" spans="4:4">
      <c r="D412">
        <f t="shared" si="6"/>
        <v>0</v>
      </c>
    </row>
    <row r="413" spans="4:4">
      <c r="D413">
        <f t="shared" si="6"/>
        <v>0</v>
      </c>
    </row>
    <row r="414" spans="4:4">
      <c r="D414">
        <f t="shared" si="6"/>
        <v>0</v>
      </c>
    </row>
    <row r="415" spans="4:4">
      <c r="D415">
        <f t="shared" si="6"/>
        <v>0</v>
      </c>
    </row>
    <row r="416" spans="4:4">
      <c r="D416">
        <f t="shared" si="6"/>
        <v>0</v>
      </c>
    </row>
    <row r="417" spans="4:4">
      <c r="D417">
        <f t="shared" si="6"/>
        <v>0</v>
      </c>
    </row>
    <row r="418" spans="4:4">
      <c r="D418">
        <f t="shared" si="6"/>
        <v>0</v>
      </c>
    </row>
    <row r="419" spans="4:4">
      <c r="D419">
        <f t="shared" si="6"/>
        <v>0</v>
      </c>
    </row>
    <row r="420" spans="4:4">
      <c r="D420">
        <f t="shared" si="6"/>
        <v>0</v>
      </c>
    </row>
    <row r="421" spans="4:4">
      <c r="D421">
        <f t="shared" si="6"/>
        <v>0</v>
      </c>
    </row>
    <row r="422" spans="4:4">
      <c r="D422">
        <f t="shared" si="6"/>
        <v>0</v>
      </c>
    </row>
    <row r="423" spans="4:4">
      <c r="D423">
        <f t="shared" si="6"/>
        <v>0</v>
      </c>
    </row>
    <row r="424" spans="4:4">
      <c r="D424">
        <f t="shared" si="6"/>
        <v>0</v>
      </c>
    </row>
    <row r="425" spans="4:4">
      <c r="D425">
        <f t="shared" si="6"/>
        <v>0</v>
      </c>
    </row>
    <row r="426" spans="4:4">
      <c r="D426">
        <f t="shared" si="6"/>
        <v>0</v>
      </c>
    </row>
    <row r="427" spans="4:4">
      <c r="D427">
        <f t="shared" si="6"/>
        <v>0</v>
      </c>
    </row>
    <row r="428" spans="4:4">
      <c r="D428">
        <f t="shared" si="6"/>
        <v>0</v>
      </c>
    </row>
    <row r="429" spans="4:4">
      <c r="D429">
        <f t="shared" si="6"/>
        <v>0</v>
      </c>
    </row>
    <row r="430" spans="4:4">
      <c r="D430">
        <f t="shared" si="6"/>
        <v>0</v>
      </c>
    </row>
    <row r="431" spans="4:4">
      <c r="D431">
        <f t="shared" si="6"/>
        <v>0</v>
      </c>
    </row>
    <row r="432" spans="4:4">
      <c r="D432">
        <f t="shared" si="6"/>
        <v>0</v>
      </c>
    </row>
    <row r="433" spans="4:4">
      <c r="D433">
        <f t="shared" si="6"/>
        <v>0</v>
      </c>
    </row>
    <row r="434" spans="4:4">
      <c r="D434">
        <f t="shared" si="6"/>
        <v>0</v>
      </c>
    </row>
    <row r="435" spans="4:4">
      <c r="D435">
        <f t="shared" si="6"/>
        <v>0</v>
      </c>
    </row>
    <row r="436" spans="4:4">
      <c r="D436">
        <f t="shared" si="6"/>
        <v>0</v>
      </c>
    </row>
    <row r="437" spans="4:4">
      <c r="D437">
        <f t="shared" si="6"/>
        <v>0</v>
      </c>
    </row>
    <row r="438" spans="4:4">
      <c r="D438">
        <f t="shared" si="6"/>
        <v>0</v>
      </c>
    </row>
    <row r="439" spans="4:4">
      <c r="D439">
        <f t="shared" si="6"/>
        <v>0</v>
      </c>
    </row>
    <row r="440" spans="4:4">
      <c r="D440">
        <f t="shared" si="6"/>
        <v>0</v>
      </c>
    </row>
    <row r="441" spans="4:4">
      <c r="D441">
        <f t="shared" si="6"/>
        <v>0</v>
      </c>
    </row>
    <row r="442" spans="4:4">
      <c r="D442">
        <f t="shared" si="6"/>
        <v>0</v>
      </c>
    </row>
    <row r="443" spans="4:4">
      <c r="D443">
        <f t="shared" si="6"/>
        <v>0</v>
      </c>
    </row>
    <row r="444" spans="4:4">
      <c r="D444">
        <f t="shared" si="6"/>
        <v>0</v>
      </c>
    </row>
    <row r="445" spans="4:4">
      <c r="D445">
        <f t="shared" si="6"/>
        <v>0</v>
      </c>
    </row>
    <row r="446" spans="4:4">
      <c r="D446">
        <f t="shared" si="6"/>
        <v>0</v>
      </c>
    </row>
    <row r="447" spans="4:4">
      <c r="D447">
        <f t="shared" si="6"/>
        <v>0</v>
      </c>
    </row>
    <row r="448" spans="4:4">
      <c r="D448">
        <f t="shared" si="6"/>
        <v>0</v>
      </c>
    </row>
    <row r="449" spans="4:4">
      <c r="D449">
        <f t="shared" si="6"/>
        <v>0</v>
      </c>
    </row>
    <row r="450" spans="4:4">
      <c r="D450">
        <f t="shared" si="6"/>
        <v>0</v>
      </c>
    </row>
    <row r="451" spans="4:4">
      <c r="D451">
        <f t="shared" ref="D451:D514" si="7">B451</f>
        <v>0</v>
      </c>
    </row>
    <row r="452" spans="4:4">
      <c r="D452">
        <f t="shared" si="7"/>
        <v>0</v>
      </c>
    </row>
    <row r="453" spans="4:4">
      <c r="D453">
        <f t="shared" si="7"/>
        <v>0</v>
      </c>
    </row>
    <row r="454" spans="4:4">
      <c r="D454">
        <f t="shared" si="7"/>
        <v>0</v>
      </c>
    </row>
    <row r="455" spans="4:4">
      <c r="D455">
        <f t="shared" si="7"/>
        <v>0</v>
      </c>
    </row>
    <row r="456" spans="4:4">
      <c r="D456">
        <f t="shared" si="7"/>
        <v>0</v>
      </c>
    </row>
    <row r="457" spans="4:4">
      <c r="D457">
        <f t="shared" si="7"/>
        <v>0</v>
      </c>
    </row>
    <row r="458" spans="4:4">
      <c r="D458">
        <f t="shared" si="7"/>
        <v>0</v>
      </c>
    </row>
    <row r="459" spans="4:4">
      <c r="D459">
        <f t="shared" si="7"/>
        <v>0</v>
      </c>
    </row>
    <row r="460" spans="4:4">
      <c r="D460">
        <f t="shared" si="7"/>
        <v>0</v>
      </c>
    </row>
    <row r="461" spans="4:4">
      <c r="D461">
        <f t="shared" si="7"/>
        <v>0</v>
      </c>
    </row>
    <row r="462" spans="4:4">
      <c r="D462">
        <f t="shared" si="7"/>
        <v>0</v>
      </c>
    </row>
    <row r="463" spans="4:4">
      <c r="D463">
        <f t="shared" si="7"/>
        <v>0</v>
      </c>
    </row>
    <row r="464" spans="4:4">
      <c r="D464">
        <f t="shared" si="7"/>
        <v>0</v>
      </c>
    </row>
    <row r="465" spans="4:4">
      <c r="D465">
        <f t="shared" si="7"/>
        <v>0</v>
      </c>
    </row>
    <row r="466" spans="4:4">
      <c r="D466">
        <f t="shared" si="7"/>
        <v>0</v>
      </c>
    </row>
    <row r="467" spans="4:4">
      <c r="D467">
        <f t="shared" si="7"/>
        <v>0</v>
      </c>
    </row>
    <row r="468" spans="4:4">
      <c r="D468">
        <f t="shared" si="7"/>
        <v>0</v>
      </c>
    </row>
    <row r="469" spans="4:4">
      <c r="D469">
        <f t="shared" si="7"/>
        <v>0</v>
      </c>
    </row>
    <row r="470" spans="4:4">
      <c r="D470">
        <f t="shared" si="7"/>
        <v>0</v>
      </c>
    </row>
    <row r="471" spans="4:4">
      <c r="D471">
        <f t="shared" si="7"/>
        <v>0</v>
      </c>
    </row>
    <row r="472" spans="4:4">
      <c r="D472">
        <f t="shared" si="7"/>
        <v>0</v>
      </c>
    </row>
    <row r="473" spans="4:4">
      <c r="D473">
        <f t="shared" si="7"/>
        <v>0</v>
      </c>
    </row>
    <row r="474" spans="4:4">
      <c r="D474">
        <f t="shared" si="7"/>
        <v>0</v>
      </c>
    </row>
    <row r="475" spans="4:4">
      <c r="D475">
        <f t="shared" si="7"/>
        <v>0</v>
      </c>
    </row>
    <row r="476" spans="4:4">
      <c r="D476">
        <f t="shared" si="7"/>
        <v>0</v>
      </c>
    </row>
    <row r="477" spans="4:4">
      <c r="D477">
        <f t="shared" si="7"/>
        <v>0</v>
      </c>
    </row>
    <row r="478" spans="4:4">
      <c r="D478">
        <f t="shared" si="7"/>
        <v>0</v>
      </c>
    </row>
    <row r="479" spans="4:4">
      <c r="D479">
        <f t="shared" si="7"/>
        <v>0</v>
      </c>
    </row>
    <row r="480" spans="4:4">
      <c r="D480">
        <f t="shared" si="7"/>
        <v>0</v>
      </c>
    </row>
    <row r="481" spans="4:4">
      <c r="D481">
        <f t="shared" si="7"/>
        <v>0</v>
      </c>
    </row>
    <row r="482" spans="4:4">
      <c r="D482">
        <f t="shared" si="7"/>
        <v>0</v>
      </c>
    </row>
    <row r="483" spans="4:4">
      <c r="D483">
        <f t="shared" si="7"/>
        <v>0</v>
      </c>
    </row>
    <row r="484" spans="4:4">
      <c r="D484">
        <f t="shared" si="7"/>
        <v>0</v>
      </c>
    </row>
    <row r="485" spans="4:4">
      <c r="D485">
        <f t="shared" si="7"/>
        <v>0</v>
      </c>
    </row>
    <row r="486" spans="4:4">
      <c r="D486">
        <f t="shared" si="7"/>
        <v>0</v>
      </c>
    </row>
    <row r="487" spans="4:4">
      <c r="D487">
        <f t="shared" si="7"/>
        <v>0</v>
      </c>
    </row>
    <row r="488" spans="4:4">
      <c r="D488">
        <f t="shared" si="7"/>
        <v>0</v>
      </c>
    </row>
    <row r="489" spans="4:4">
      <c r="D489">
        <f t="shared" si="7"/>
        <v>0</v>
      </c>
    </row>
    <row r="490" spans="4:4">
      <c r="D490">
        <f t="shared" si="7"/>
        <v>0</v>
      </c>
    </row>
    <row r="491" spans="4:4">
      <c r="D491">
        <f t="shared" si="7"/>
        <v>0</v>
      </c>
    </row>
    <row r="492" spans="4:4">
      <c r="D492">
        <f t="shared" si="7"/>
        <v>0</v>
      </c>
    </row>
    <row r="493" spans="4:4">
      <c r="D493">
        <f t="shared" si="7"/>
        <v>0</v>
      </c>
    </row>
    <row r="494" spans="4:4">
      <c r="D494">
        <f t="shared" si="7"/>
        <v>0</v>
      </c>
    </row>
    <row r="495" spans="4:4">
      <c r="D495">
        <f t="shared" si="7"/>
        <v>0</v>
      </c>
    </row>
    <row r="496" spans="4:4">
      <c r="D496">
        <f t="shared" si="7"/>
        <v>0</v>
      </c>
    </row>
    <row r="497" spans="4:4">
      <c r="D497">
        <f t="shared" si="7"/>
        <v>0</v>
      </c>
    </row>
    <row r="498" spans="4:4">
      <c r="D498">
        <f t="shared" si="7"/>
        <v>0</v>
      </c>
    </row>
    <row r="499" spans="4:4">
      <c r="D499">
        <f t="shared" si="7"/>
        <v>0</v>
      </c>
    </row>
    <row r="500" spans="4:4">
      <c r="D500">
        <f t="shared" si="7"/>
        <v>0</v>
      </c>
    </row>
    <row r="501" spans="4:4">
      <c r="D501">
        <f t="shared" si="7"/>
        <v>0</v>
      </c>
    </row>
    <row r="502" spans="4:4">
      <c r="D502">
        <f t="shared" si="7"/>
        <v>0</v>
      </c>
    </row>
    <row r="503" spans="4:4">
      <c r="D503">
        <f t="shared" si="7"/>
        <v>0</v>
      </c>
    </row>
    <row r="504" spans="4:4">
      <c r="D504">
        <f t="shared" si="7"/>
        <v>0</v>
      </c>
    </row>
    <row r="505" spans="4:4">
      <c r="D505">
        <f t="shared" si="7"/>
        <v>0</v>
      </c>
    </row>
    <row r="506" spans="4:4">
      <c r="D506">
        <f t="shared" si="7"/>
        <v>0</v>
      </c>
    </row>
    <row r="507" spans="4:4">
      <c r="D507">
        <f t="shared" si="7"/>
        <v>0</v>
      </c>
    </row>
    <row r="508" spans="4:4">
      <c r="D508">
        <f t="shared" si="7"/>
        <v>0</v>
      </c>
    </row>
    <row r="509" spans="4:4">
      <c r="D509">
        <f t="shared" si="7"/>
        <v>0</v>
      </c>
    </row>
    <row r="510" spans="4:4">
      <c r="D510">
        <f t="shared" si="7"/>
        <v>0</v>
      </c>
    </row>
    <row r="511" spans="4:4">
      <c r="D511">
        <f t="shared" si="7"/>
        <v>0</v>
      </c>
    </row>
    <row r="512" spans="4:4">
      <c r="D512">
        <f t="shared" si="7"/>
        <v>0</v>
      </c>
    </row>
    <row r="513" spans="4:4">
      <c r="D513">
        <f t="shared" si="7"/>
        <v>0</v>
      </c>
    </row>
    <row r="514" spans="4:4">
      <c r="D514">
        <f t="shared" si="7"/>
        <v>0</v>
      </c>
    </row>
    <row r="515" spans="4:4">
      <c r="D515">
        <f t="shared" ref="D515:D563" si="8">B515</f>
        <v>0</v>
      </c>
    </row>
    <row r="516" spans="4:4">
      <c r="D516">
        <f t="shared" si="8"/>
        <v>0</v>
      </c>
    </row>
    <row r="517" spans="4:4">
      <c r="D517">
        <f t="shared" si="8"/>
        <v>0</v>
      </c>
    </row>
    <row r="518" spans="4:4">
      <c r="D518">
        <f t="shared" si="8"/>
        <v>0</v>
      </c>
    </row>
    <row r="519" spans="4:4">
      <c r="D519">
        <f t="shared" si="8"/>
        <v>0</v>
      </c>
    </row>
    <row r="520" spans="4:4">
      <c r="D520">
        <f t="shared" si="8"/>
        <v>0</v>
      </c>
    </row>
    <row r="521" spans="4:4">
      <c r="D521">
        <f t="shared" si="8"/>
        <v>0</v>
      </c>
    </row>
    <row r="522" spans="4:4">
      <c r="D522">
        <f t="shared" si="8"/>
        <v>0</v>
      </c>
    </row>
    <row r="523" spans="4:4">
      <c r="D523">
        <f t="shared" si="8"/>
        <v>0</v>
      </c>
    </row>
    <row r="524" spans="4:4">
      <c r="D524">
        <f t="shared" si="8"/>
        <v>0</v>
      </c>
    </row>
    <row r="525" spans="4:4">
      <c r="D525">
        <f t="shared" si="8"/>
        <v>0</v>
      </c>
    </row>
    <row r="526" spans="4:4">
      <c r="D526">
        <f t="shared" si="8"/>
        <v>0</v>
      </c>
    </row>
    <row r="527" spans="4:4">
      <c r="D527">
        <f t="shared" si="8"/>
        <v>0</v>
      </c>
    </row>
    <row r="528" spans="4:4">
      <c r="D528">
        <f t="shared" si="8"/>
        <v>0</v>
      </c>
    </row>
    <row r="529" spans="4:4">
      <c r="D529">
        <f t="shared" si="8"/>
        <v>0</v>
      </c>
    </row>
    <row r="530" spans="4:4">
      <c r="D530">
        <f t="shared" si="8"/>
        <v>0</v>
      </c>
    </row>
    <row r="531" spans="4:4">
      <c r="D531">
        <f t="shared" si="8"/>
        <v>0</v>
      </c>
    </row>
    <row r="532" spans="4:4">
      <c r="D532">
        <f t="shared" si="8"/>
        <v>0</v>
      </c>
    </row>
    <row r="533" spans="4:4">
      <c r="D533">
        <f t="shared" si="8"/>
        <v>0</v>
      </c>
    </row>
    <row r="534" spans="4:4">
      <c r="D534">
        <f t="shared" si="8"/>
        <v>0</v>
      </c>
    </row>
    <row r="535" spans="4:4">
      <c r="D535">
        <f t="shared" si="8"/>
        <v>0</v>
      </c>
    </row>
    <row r="536" spans="4:4">
      <c r="D536">
        <f t="shared" si="8"/>
        <v>0</v>
      </c>
    </row>
    <row r="537" spans="4:4">
      <c r="D537">
        <f t="shared" si="8"/>
        <v>0</v>
      </c>
    </row>
    <row r="538" spans="4:4">
      <c r="D538">
        <f t="shared" si="8"/>
        <v>0</v>
      </c>
    </row>
    <row r="539" spans="4:4">
      <c r="D539">
        <f t="shared" si="8"/>
        <v>0</v>
      </c>
    </row>
    <row r="540" spans="4:4">
      <c r="D540">
        <f t="shared" si="8"/>
        <v>0</v>
      </c>
    </row>
    <row r="541" spans="4:4">
      <c r="D541">
        <f t="shared" si="8"/>
        <v>0</v>
      </c>
    </row>
    <row r="542" spans="4:4">
      <c r="D542">
        <f t="shared" si="8"/>
        <v>0</v>
      </c>
    </row>
    <row r="543" spans="4:4">
      <c r="D543">
        <f t="shared" si="8"/>
        <v>0</v>
      </c>
    </row>
    <row r="544" spans="4:4">
      <c r="D544">
        <f t="shared" si="8"/>
        <v>0</v>
      </c>
    </row>
    <row r="545" spans="4:4">
      <c r="D545">
        <f t="shared" si="8"/>
        <v>0</v>
      </c>
    </row>
    <row r="546" spans="4:4">
      <c r="D546">
        <f t="shared" si="8"/>
        <v>0</v>
      </c>
    </row>
    <row r="547" spans="4:4">
      <c r="D547">
        <f t="shared" si="8"/>
        <v>0</v>
      </c>
    </row>
    <row r="548" spans="4:4">
      <c r="D548">
        <f t="shared" si="8"/>
        <v>0</v>
      </c>
    </row>
    <row r="549" spans="4:4">
      <c r="D549">
        <f t="shared" si="8"/>
        <v>0</v>
      </c>
    </row>
    <row r="550" spans="4:4">
      <c r="D550">
        <f t="shared" si="8"/>
        <v>0</v>
      </c>
    </row>
    <row r="551" spans="4:4">
      <c r="D551">
        <f t="shared" si="8"/>
        <v>0</v>
      </c>
    </row>
    <row r="552" spans="4:4">
      <c r="D552">
        <f t="shared" si="8"/>
        <v>0</v>
      </c>
    </row>
    <row r="553" spans="4:4">
      <c r="D553">
        <f t="shared" si="8"/>
        <v>0</v>
      </c>
    </row>
    <row r="554" spans="4:4">
      <c r="D554">
        <f t="shared" si="8"/>
        <v>0</v>
      </c>
    </row>
    <row r="555" spans="4:4">
      <c r="D555">
        <f t="shared" si="8"/>
        <v>0</v>
      </c>
    </row>
    <row r="556" spans="4:4">
      <c r="D556">
        <f t="shared" si="8"/>
        <v>0</v>
      </c>
    </row>
    <row r="557" spans="4:4">
      <c r="D557">
        <f t="shared" si="8"/>
        <v>0</v>
      </c>
    </row>
    <row r="558" spans="4:4">
      <c r="D558">
        <f t="shared" si="8"/>
        <v>0</v>
      </c>
    </row>
    <row r="559" spans="4:4">
      <c r="D559">
        <f t="shared" si="8"/>
        <v>0</v>
      </c>
    </row>
    <row r="560" spans="4:4">
      <c r="D560">
        <f t="shared" si="8"/>
        <v>0</v>
      </c>
    </row>
    <row r="561" spans="4:4">
      <c r="D561">
        <f t="shared" si="8"/>
        <v>0</v>
      </c>
    </row>
    <row r="562" spans="4:4">
      <c r="D562">
        <f t="shared" si="8"/>
        <v>0</v>
      </c>
    </row>
    <row r="563" spans="4:4">
      <c r="D563">
        <f t="shared" si="8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71D6F5-FF46-4B98-B4C1-02D1B663532C}"/>
</file>

<file path=customXml/itemProps2.xml><?xml version="1.0" encoding="utf-8"?>
<ds:datastoreItem xmlns:ds="http://schemas.openxmlformats.org/officeDocument/2006/customXml" ds:itemID="{95250AA6-9DBB-44C5-9D9B-066B9A8007AB}"/>
</file>

<file path=customXml/itemProps3.xml><?xml version="1.0" encoding="utf-8"?>
<ds:datastoreItem xmlns:ds="http://schemas.openxmlformats.org/officeDocument/2006/customXml" ds:itemID="{2883CB34-3C04-465E-B357-C292F710AB3A}"/>
</file>

<file path=customXml/itemProps4.xml><?xml version="1.0" encoding="utf-8"?>
<ds:datastoreItem xmlns:ds="http://schemas.openxmlformats.org/officeDocument/2006/customXml" ds:itemID="{CC3C994A-07E8-4DF3-BFF1-2082282C0F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Grainger PLC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Smycz</dc:creator>
  <cp:keywords/>
  <dc:description/>
  <cp:lastModifiedBy>Sachin Deshmukh</cp:lastModifiedBy>
  <cp:revision/>
  <dcterms:created xsi:type="dcterms:W3CDTF">2023-11-09T12:35:09Z</dcterms:created>
  <dcterms:modified xsi:type="dcterms:W3CDTF">2024-04-18T12:58:15Z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