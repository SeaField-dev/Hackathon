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openboxsoftwareweb.sharepoint.com/sites/GraingerPLC/Project Documents/On the Market Salesforce Integration/01. Sales/"/>
    </mc:Choice>
  </mc:AlternateContent>
  <xr:revisionPtr revIDLastSave="837" documentId="8_{A487D414-4839-4584-96C7-4B5FACCDA093}" xr6:coauthVersionLast="47" xr6:coauthVersionMax="47" xr10:uidLastSave="{07F73429-8071-4AC0-86FC-23DC772AE92B}"/>
  <bookViews>
    <workbookView xWindow="28680" yWindow="-120" windowWidth="29040" windowHeight="15720" tabRatio="699" xr2:uid="{82DBA3FB-BAAE-4513-8EBD-08C2C1522918}"/>
  </bookViews>
  <sheets>
    <sheet name="SOW" sheetId="6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" i="6" l="1"/>
  <c r="F7" i="6" s="1"/>
  <c r="E3" i="6"/>
  <c r="E7" i="6" s="1"/>
  <c r="I6" i="6"/>
  <c r="H6" i="6"/>
  <c r="I5" i="6"/>
  <c r="I4" i="6"/>
  <c r="I2" i="6"/>
  <c r="H5" i="6"/>
  <c r="H4" i="6"/>
  <c r="H2" i="6"/>
  <c r="I3" i="6" l="1"/>
  <c r="I7" i="6" s="1"/>
  <c r="H3" i="6"/>
  <c r="H7" i="6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F3EAEC71-99D6-45F0-B5F6-7CA824947569}" keepAlive="1" name="Query - Reporting Backlog Items" description="Connection to the 'Reporting Backlog Items' query in the workbook." type="5" refreshedVersion="7" background="1" saveData="1">
    <dbPr connection="Provider=Microsoft.Mashup.OleDb.1;Data Source=$Workbook$;Location=&quot;Reporting Backlog Items&quot;;Extended Properties=&quot;&quot;" command="SELECT * FROM [Reporting Backlog Items]"/>
  </connection>
</connections>
</file>

<file path=xl/sharedStrings.xml><?xml version="1.0" encoding="utf-8"?>
<sst xmlns="http://schemas.openxmlformats.org/spreadsheetml/2006/main" count="37" uniqueCount="29">
  <si>
    <t>Lower Bound</t>
  </si>
  <si>
    <t>Upper Bound</t>
  </si>
  <si>
    <t>UAT</t>
  </si>
  <si>
    <t>Phase</t>
  </si>
  <si>
    <t>Hour Rate</t>
  </si>
  <si>
    <t>Analysis</t>
  </si>
  <si>
    <t>Build</t>
  </si>
  <si>
    <t>Min</t>
  </si>
  <si>
    <t>Max</t>
  </si>
  <si>
    <t>Total</t>
  </si>
  <si>
    <t>Hours</t>
  </si>
  <si>
    <t>90 - 120</t>
  </si>
  <si>
    <t>2 - 4</t>
  </si>
  <si>
    <t>10 - 20</t>
  </si>
  <si>
    <t>3 - 6</t>
  </si>
  <si>
    <t>115 - 160</t>
  </si>
  <si>
    <t>Project Management</t>
  </si>
  <si>
    <t>Production</t>
  </si>
  <si>
    <t>User Acceptance Testing</t>
  </si>
  <si>
    <t>Week 1</t>
  </si>
  <si>
    <t>Week 2</t>
  </si>
  <si>
    <t>Week 3</t>
  </si>
  <si>
    <t>Week 4</t>
  </si>
  <si>
    <t>Week 5</t>
  </si>
  <si>
    <t>Production Support</t>
  </si>
  <si>
    <t>Analysis &amp; Build</t>
  </si>
  <si>
    <t>Leave</t>
  </si>
  <si>
    <t>Sachin</t>
  </si>
  <si>
    <t>Sam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</si>
</sst>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£-809]#,##0.00"/>
  </numFmts>
  <fonts count="3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7" tint="0.79998168889431442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3">
    <xf numFmtId="0" fontId="0" fillId="0" borderId="0" xfId="0"/>
    <xf numFmtId="164" fontId="0" fillId="0" borderId="0" xfId="0" applyNumberFormat="1" applyAlignment="1">
      <alignment wrapText="1"/>
    </xf>
    <xf numFmtId="164" fontId="2" fillId="0" borderId="0" xfId="0" applyNumberFormat="1" applyFont="1" applyAlignment="1">
      <alignment wrapText="1"/>
    </xf>
    <xf numFmtId="164" fontId="0" fillId="0" borderId="0" xfId="0" applyNumberFormat="1"/>
    <xf numFmtId="0" fontId="0" fillId="0" borderId="1" xfId="0" applyBorder="1"/>
    <xf numFmtId="164" fontId="0" fillId="0" borderId="1" xfId="0" applyNumberFormat="1" applyBorder="1"/>
    <xf numFmtId="0" fontId="2" fillId="0" borderId="1" xfId="0" applyFont="1" applyBorder="1"/>
    <xf numFmtId="164" fontId="2" fillId="0" borderId="2" xfId="0" applyNumberFormat="1" applyFont="1" applyBorder="1"/>
    <xf numFmtId="0" fontId="0" fillId="0" borderId="1" xfId="0" applyBorder="1" applyAlignment="1">
      <alignment horizontal="right"/>
    </xf>
    <xf numFmtId="16" fontId="0" fillId="0" borderId="1" xfId="0" quotePrefix="1" applyNumberFormat="1" applyBorder="1" applyAlignment="1">
      <alignment horizontal="right"/>
    </xf>
    <xf numFmtId="0" fontId="0" fillId="0" borderId="1" xfId="0" quotePrefix="1" applyBorder="1" applyAlignment="1">
      <alignment horizontal="right"/>
    </xf>
    <xf numFmtId="0" fontId="2" fillId="2" borderId="1" xfId="0" applyFont="1" applyFill="1" applyBorder="1"/>
    <xf numFmtId="0" fontId="2" fillId="0" borderId="2" xfId="0" applyFont="1" applyBorder="1" applyAlignment="1">
      <alignment horizontal="right"/>
    </xf>
    <xf numFmtId="0" fontId="2" fillId="4" borderId="1" xfId="0" applyFont="1" applyFill="1" applyBorder="1" applyAlignment="1">
      <alignment horizontal="center"/>
    </xf>
    <xf numFmtId="0" fontId="2" fillId="6" borderId="1" xfId="0" applyFont="1" applyFill="1" applyBorder="1"/>
    <xf numFmtId="0" fontId="0" fillId="7" borderId="1" xfId="0" applyFill="1" applyBorder="1"/>
    <xf numFmtId="0" fontId="0" fillId="7" borderId="3" xfId="0" applyFill="1" applyBorder="1" applyAlignment="1">
      <alignment horizontal="center" vertical="center"/>
    </xf>
    <xf numFmtId="0" fontId="0" fillId="7" borderId="4" xfId="0" applyFill="1" applyBorder="1" applyAlignment="1">
      <alignment horizontal="center" vertical="center"/>
    </xf>
    <xf numFmtId="0" fontId="2" fillId="5" borderId="5" xfId="0" applyFont="1" applyFill="1" applyBorder="1" applyAlignment="1">
      <alignment horizontal="center"/>
    </xf>
    <xf numFmtId="0" fontId="2" fillId="5" borderId="6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0" fontId="2" fillId="5" borderId="1" xfId="0" applyFont="1" applyFill="1" applyBorder="1" applyAlignment="1">
      <alignment horizontal="center"/>
    </xf>
    <xf numFmtId="16" fontId="2" fillId="0" borderId="1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connections" Target="connections.xml"/><Relationship Id="rId7" Type="http://schemas.openxmlformats.org/officeDocument/2006/relationships/customXml" Target="../customXml/item1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11" Type="http://schemas.openxmlformats.org/officeDocument/2006/relationships/customXml" Target="../customXml/item5.xml"/><Relationship Id="rId5" Type="http://schemas.openxmlformats.org/officeDocument/2006/relationships/sharedStrings" Target="sharedStrings.xml"/><Relationship Id="rId10" Type="http://schemas.openxmlformats.org/officeDocument/2006/relationships/customXml" Target="../customXml/item4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D45C31-82AF-4E79-8650-807BDC491094}">
  <dimension ref="A1:P17"/>
  <sheetViews>
    <sheetView tabSelected="1" workbookViewId="0">
      <selection activeCell="H27" sqref="H27"/>
    </sheetView>
  </sheetViews>
  <sheetFormatPr defaultRowHeight="15" x14ac:dyDescent="0.25"/>
  <cols>
    <col min="1" max="1" width="14" bestFit="1" customWidth="1"/>
    <col min="2" max="2" width="10" bestFit="1" customWidth="1"/>
    <col min="3" max="3" width="5.28515625" customWidth="1"/>
    <col min="4" max="4" width="22.85546875" bestFit="1" customWidth="1"/>
    <col min="5" max="5" width="9.5703125" customWidth="1"/>
    <col min="6" max="6" width="11.7109375" bestFit="1" customWidth="1"/>
    <col min="7" max="7" width="11.7109375" customWidth="1"/>
    <col min="8" max="9" width="12.5703125" bestFit="1" customWidth="1"/>
  </cols>
  <sheetData>
    <row r="1" spans="1:16" x14ac:dyDescent="0.25">
      <c r="A1" t="s">
        <v>4</v>
      </c>
      <c r="B1" s="1">
        <v>120</v>
      </c>
      <c r="C1" s="2"/>
      <c r="D1" s="11" t="s">
        <v>3</v>
      </c>
      <c r="E1" s="11" t="s">
        <v>7</v>
      </c>
      <c r="F1" s="11" t="s">
        <v>8</v>
      </c>
      <c r="G1" s="11" t="s">
        <v>10</v>
      </c>
      <c r="H1" s="11" t="s">
        <v>0</v>
      </c>
      <c r="I1" s="11" t="s">
        <v>1</v>
      </c>
      <c r="L1" s="11" t="s">
        <v>19</v>
      </c>
      <c r="M1" s="11" t="s">
        <v>20</v>
      </c>
      <c r="N1" s="11" t="s">
        <v>21</v>
      </c>
      <c r="O1" s="11" t="s">
        <v>22</v>
      </c>
      <c r="P1" s="11" t="s">
        <v>23</v>
      </c>
    </row>
    <row r="2" spans="1:16" x14ac:dyDescent="0.25">
      <c r="B2" s="1"/>
      <c r="C2" s="1"/>
      <c r="D2" s="4" t="s">
        <v>5</v>
      </c>
      <c r="E2" s="4">
        <v>10</v>
      </c>
      <c r="F2" s="4">
        <v>10</v>
      </c>
      <c r="G2" s="8">
        <v>10</v>
      </c>
      <c r="H2" s="5">
        <f>E2*B$1</f>
        <v>1200</v>
      </c>
      <c r="I2" s="5">
        <f>F2*B$1</f>
        <v>1200</v>
      </c>
      <c r="L2" s="20" t="s">
        <v>25</v>
      </c>
      <c r="M2" s="20"/>
      <c r="N2" s="4"/>
      <c r="O2" s="4"/>
      <c r="P2" s="4"/>
    </row>
    <row r="3" spans="1:16" x14ac:dyDescent="0.25">
      <c r="C3" s="1"/>
      <c r="D3" s="4" t="s">
        <v>6</v>
      </c>
      <c r="E3" s="4">
        <f>60+30</f>
        <v>90</v>
      </c>
      <c r="F3" s="4">
        <f>90+30</f>
        <v>120</v>
      </c>
      <c r="G3" s="8" t="s">
        <v>11</v>
      </c>
      <c r="H3" s="5">
        <f>E3*B$1</f>
        <v>10800</v>
      </c>
      <c r="I3" s="5">
        <f>F3*B$1</f>
        <v>14400</v>
      </c>
      <c r="L3" s="4"/>
      <c r="M3" s="4"/>
      <c r="N3" s="13" t="s">
        <v>2</v>
      </c>
      <c r="O3" s="4"/>
      <c r="P3" s="4"/>
    </row>
    <row r="4" spans="1:16" x14ac:dyDescent="0.25">
      <c r="B4" s="3"/>
      <c r="C4" s="3"/>
      <c r="D4" s="4" t="s">
        <v>16</v>
      </c>
      <c r="E4" s="4">
        <v>2</v>
      </c>
      <c r="F4" s="4">
        <v>4</v>
      </c>
      <c r="G4" s="9" t="s">
        <v>12</v>
      </c>
      <c r="H4" s="5">
        <f>E4*B$1</f>
        <v>240</v>
      </c>
      <c r="I4" s="5">
        <f>F4*B$1</f>
        <v>480</v>
      </c>
      <c r="L4" s="4"/>
      <c r="M4" s="4"/>
      <c r="N4" s="4"/>
      <c r="O4" s="21" t="s">
        <v>24</v>
      </c>
      <c r="P4" s="21"/>
    </row>
    <row r="5" spans="1:16" x14ac:dyDescent="0.25">
      <c r="D5" s="4" t="s">
        <v>18</v>
      </c>
      <c r="E5" s="4">
        <v>10</v>
      </c>
      <c r="F5" s="4">
        <v>20</v>
      </c>
      <c r="G5" s="9" t="s">
        <v>13</v>
      </c>
      <c r="H5" s="5">
        <f>E5*B$1</f>
        <v>1200</v>
      </c>
      <c r="I5" s="5">
        <f>F5*B$1</f>
        <v>2400</v>
      </c>
    </row>
    <row r="6" spans="1:16" x14ac:dyDescent="0.25">
      <c r="D6" s="4" t="s">
        <v>17</v>
      </c>
      <c r="E6" s="4">
        <v>3</v>
      </c>
      <c r="F6" s="4">
        <v>6</v>
      </c>
      <c r="G6" s="10" t="s">
        <v>14</v>
      </c>
      <c r="H6" s="5">
        <f>E6*B$1</f>
        <v>360</v>
      </c>
      <c r="I6" s="5">
        <f>F6*B$1</f>
        <v>720</v>
      </c>
    </row>
    <row r="7" spans="1:16" ht="15.75" thickBot="1" x14ac:dyDescent="0.3">
      <c r="D7" s="6" t="s">
        <v>9</v>
      </c>
      <c r="E7" s="6">
        <f>SUM(E2:E6)</f>
        <v>115</v>
      </c>
      <c r="F7" s="6">
        <f>SUM(F2:F6)</f>
        <v>160</v>
      </c>
      <c r="G7" s="12" t="s">
        <v>15</v>
      </c>
      <c r="H7" s="7">
        <f>SUM(H2:H6)</f>
        <v>13800</v>
      </c>
      <c r="I7" s="7">
        <f>SUM(I2:I6)</f>
        <v>19200</v>
      </c>
    </row>
    <row r="8" spans="1:16" ht="15.75" thickTop="1" x14ac:dyDescent="0.25"/>
    <row r="10" spans="1:16" x14ac:dyDescent="0.25">
      <c r="L10" s="22">
        <v>45845</v>
      </c>
      <c r="M10" s="22">
        <v>45852</v>
      </c>
      <c r="N10" s="22">
        <v>45859</v>
      </c>
      <c r="O10" s="22">
        <v>45866</v>
      </c>
      <c r="P10" s="22">
        <v>45873</v>
      </c>
    </row>
    <row r="11" spans="1:16" x14ac:dyDescent="0.25">
      <c r="L11" s="14" t="s">
        <v>19</v>
      </c>
      <c r="M11" s="14" t="s">
        <v>20</v>
      </c>
      <c r="N11" s="14" t="s">
        <v>21</v>
      </c>
      <c r="O11" s="14" t="s">
        <v>22</v>
      </c>
      <c r="P11" s="14" t="s">
        <v>23</v>
      </c>
    </row>
    <row r="12" spans="1:16" x14ac:dyDescent="0.25">
      <c r="L12" s="20" t="s">
        <v>25</v>
      </c>
      <c r="M12" s="20"/>
      <c r="N12" s="6"/>
      <c r="O12" s="6"/>
      <c r="P12" s="6"/>
    </row>
    <row r="13" spans="1:16" x14ac:dyDescent="0.25">
      <c r="L13" s="6"/>
      <c r="M13" s="6"/>
      <c r="N13" s="13" t="s">
        <v>2</v>
      </c>
      <c r="O13" s="6"/>
      <c r="P13" s="6"/>
    </row>
    <row r="14" spans="1:16" x14ac:dyDescent="0.25">
      <c r="L14" s="6"/>
      <c r="M14" s="6"/>
      <c r="N14" s="6"/>
      <c r="O14" s="18" t="s">
        <v>24</v>
      </c>
      <c r="P14" s="19"/>
    </row>
    <row r="16" spans="1:16" x14ac:dyDescent="0.25">
      <c r="K16" s="16" t="s">
        <v>26</v>
      </c>
      <c r="L16" s="15" t="s">
        <v>27</v>
      </c>
      <c r="M16" s="4"/>
      <c r="N16" s="4"/>
      <c r="O16" s="4"/>
      <c r="P16" s="4"/>
    </row>
    <row r="17" spans="11:16" x14ac:dyDescent="0.25">
      <c r="K17" s="17"/>
      <c r="L17" s="4"/>
      <c r="M17" s="15" t="s">
        <v>28</v>
      </c>
      <c r="N17" s="4"/>
      <c r="O17" s="4"/>
      <c r="P17" s="4"/>
    </row>
  </sheetData>
  <mergeCells count="5">
    <mergeCell ref="K16:K17"/>
    <mergeCell ref="O14:P14"/>
    <mergeCell ref="L2:M2"/>
    <mergeCell ref="O4:P4"/>
    <mergeCell ref="L12:M12"/>
  </mergeCells>
  <phoneticPr fontId="1" type="noConversion"/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Client Project Document" ma:contentTypeID="0x010100B16301FA1C2D5E4DB9305F31D037531D02070300B4E123A7400DE24C83BA9D1BFCD12C10" ma:contentTypeVersion="3" ma:contentTypeDescription="A document associated with a project for a client." ma:contentTypeScope="" ma:versionID="9d6581bc5c99e8ea3938d4fa8ba888f5">
  <xsd:schema xmlns:xsd="http://www.w3.org/2001/XMLSchema" xmlns:xs="http://www.w3.org/2001/XMLSchema" xmlns:p="http://schemas.microsoft.com/office/2006/metadata/properties" xmlns:ns2="1ffbd5dc-7a64-4097-8396-87f6c90b212f" targetNamespace="http://schemas.microsoft.com/office/2006/metadata/properties" ma:root="true" ma:fieldsID="a0c1b2c62e26289b034b466cfffa7cd3" ns2:_="">
    <xsd:import namespace="1ffbd5dc-7a64-4097-8396-87f6c90b212f"/>
    <xsd:element name="properties">
      <xsd:complexType>
        <xsd:sequence>
          <xsd:element name="documentManagement">
            <xsd:complexType>
              <xsd:all>
                <xsd:element ref="ns2:TaxCatchAll" minOccurs="0"/>
                <xsd:element ref="ns2:TaxCatchAllLabel" minOccurs="0"/>
                <xsd:element ref="ns2:nae5750f31d8428b9a1182bd8e59d390" minOccurs="0"/>
                <xsd:element ref="ns2:ica44df5449d49f98766f83f0bd254a7" minOccurs="0"/>
                <xsd:element ref="ns2:f0dc22cb723843c1bfbb2e8bcc9db6e4" minOccurs="0"/>
                <xsd:element ref="ns2:k6ebf865df8440b3a55c1aa81c9bae7c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ffbd5dc-7a64-4097-8396-87f6c90b212f" elementFormDefault="qualified">
    <xsd:import namespace="http://schemas.microsoft.com/office/2006/documentManagement/types"/>
    <xsd:import namespace="http://schemas.microsoft.com/office/infopath/2007/PartnerControls"/>
    <xsd:element name="TaxCatchAll" ma:index="8" nillable="true" ma:displayName="Taxonomy Catch All Column" ma:hidden="true" ma:list="{45250ea2-cfef-416b-9e22-46de40794d29}" ma:internalName="TaxCatchAll" ma:showField="CatchAllData" ma:web="025eec05-af72-44fb-9d53-267083c6e74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9" nillable="true" ma:displayName="Taxonomy Catch All Column1" ma:hidden="true" ma:list="{45250ea2-cfef-416b-9e22-46de40794d29}" ma:internalName="TaxCatchAllLabel" ma:readOnly="true" ma:showField="CatchAllDataLabel" ma:web="025eec05-af72-44fb-9d53-267083c6e74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nae5750f31d8428b9a1182bd8e59d390" ma:index="10" ma:taxonomy="true" ma:internalName="nae5750f31d8428b9a1182bd8e59d390" ma:taxonomyFieldName="Division" ma:displayName="Division" ma:readOnly="false" ma:default="1;#Custom Software|cecfb662-fc63-4c9e-b6e4-2e3797fe6f4f" ma:fieldId="{7ae5750f-31d8-428b-9a11-82bd8e59d390}" ma:sspId="5676dd91-060c-4b71-810a-dbdca5582071" ma:termSetId="32b39d25-b397-4982-8e8d-74d5df186044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ica44df5449d49f98766f83f0bd254a7" ma:index="12" ma:taxonomy="true" ma:internalName="ica44df5449d49f98766f83f0bd254a7" ma:taxonomyFieldName="Client" ma:displayName="Client" ma:default="6;#Grainger PLC|a74f1cb5-e995-4f9e-8521-6d52e2c6bf08" ma:fieldId="{2ca44df5-449d-49f9-8766-f83f0bd254a7}" ma:sspId="5676dd91-060c-4b71-810a-dbdca5582071" ma:termSetId="26f19758-7225-4257-8796-285d454d16a6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f0dc22cb723843c1bfbb2e8bcc9db6e4" ma:index="14" nillable="true" ma:taxonomy="true" ma:internalName="f0dc22cb723843c1bfbb2e8bcc9db6e4" ma:taxonomyFieldName="Client_x0020_Project" ma:displayName="Client Application" ma:default="" ma:fieldId="{f0dc22cb-7238-43c1-bfbb-2e8bcc9db6e4}" ma:sspId="5676dd91-060c-4b71-810a-dbdca5582071" ma:termSetId="503923a6-a4d2-4c0f-8ec0-fee4966b50a0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k6ebf865df8440b3a55c1aa81c9bae7c" ma:index="16" nillable="true" ma:taxonomy="true" ma:internalName="k6ebf865df8440b3a55c1aa81c9bae7c" ma:taxonomyFieldName="Project_x0020_Document_x0020_Type" ma:displayName="Project Document Type" ma:default="4;#Generic Project Document|258c2ed6-b93b-4ffe-8901-a23f2dc98ec9" ma:fieldId="{46ebf865-df84-40b3-a55c-1aa81c9bae7c}" ma:sspId="5676dd91-060c-4b71-810a-dbdca5582071" ma:termSetId="79e5d870-6e8b-4a88-8554-c2a1e06e1585" ma:anchorId="00000000-0000-0000-0000-000000000000" ma:open="false" ma:isKeyword="false">
      <xsd:complexType>
        <xsd:sequence>
          <xsd:element ref="pc:Terms" minOccurs="0" maxOccurs="1"/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��
</file>

<file path=customXml/item3.xml><?xml version="1.0" encoding="utf-8"?>
<?mso-contentType ?>
<SharedContentType xmlns="Microsoft.SharePoint.Taxonomy.ContentTypeSync" SourceId="5676dd91-060c-4b71-810a-dbdca5582071" ContentTypeId="0x010100B16301FA1C2D5E4DB9305F31D037531D020703" PreviousValue="false"/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1ffbd5dc-7a64-4097-8396-87f6c90b212f">
      <Value>6</Value>
      <Value>5</Value>
      <Value>4</Value>
    </TaxCatchAll>
    <nae5750f31d8428b9a1182bd8e59d390 xmlns="1ffbd5dc-7a64-4097-8396-87f6c90b212f">
      <Terms xmlns="http://schemas.microsoft.com/office/infopath/2007/PartnerControls">
        <TermInfo xmlns="http://schemas.microsoft.com/office/infopath/2007/PartnerControls">
          <TermName xmlns="http://schemas.microsoft.com/office/infopath/2007/PartnerControls">Enterprise Solutions</TermName>
          <TermId xmlns="http://schemas.microsoft.com/office/infopath/2007/PartnerControls">08c57b01-67e8-4a4f-abc6-ffb3392ace7f</TermId>
        </TermInfo>
      </Terms>
    </nae5750f31d8428b9a1182bd8e59d390>
    <k6ebf865df8440b3a55c1aa81c9bae7c xmlns="1ffbd5dc-7a64-4097-8396-87f6c90b212f">
      <Terms xmlns="http://schemas.microsoft.com/office/infopath/2007/PartnerControls">
        <TermInfo xmlns="http://schemas.microsoft.com/office/infopath/2007/PartnerControls">
          <TermName xmlns="http://schemas.microsoft.com/office/infopath/2007/PartnerControls">Generic Project Document</TermName>
          <TermId xmlns="http://schemas.microsoft.com/office/infopath/2007/PartnerControls">258c2ed6-b93b-4ffe-8901-a23f2dc98ec9</TermId>
        </TermInfo>
      </Terms>
    </k6ebf865df8440b3a55c1aa81c9bae7c>
    <f0dc22cb723843c1bfbb2e8bcc9db6e4 xmlns="1ffbd5dc-7a64-4097-8396-87f6c90b212f">
      <Terms xmlns="http://schemas.microsoft.com/office/infopath/2007/PartnerControls"/>
    </f0dc22cb723843c1bfbb2e8bcc9db6e4>
    <ica44df5449d49f98766f83f0bd254a7 xmlns="1ffbd5dc-7a64-4097-8396-87f6c90b212f">
      <Terms xmlns="http://schemas.microsoft.com/office/infopath/2007/PartnerControls">
        <TermInfo xmlns="http://schemas.microsoft.com/office/infopath/2007/PartnerControls">
          <TermName xmlns="http://schemas.microsoft.com/office/infopath/2007/PartnerControls">Grainger PLC</TermName>
          <TermId xmlns="http://schemas.microsoft.com/office/infopath/2007/PartnerControls">a74f1cb5-e995-4f9e-8521-6d52e2c6bf08</TermId>
        </TermInfo>
      </Terms>
    </ica44df5449d49f98766f83f0bd254a7>
  </documentManagement>
</p:properties>
</file>

<file path=customXml/item5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68B697D0-2A47-4FFF-8B59-9332FA271C3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ffbd5dc-7a64-4097-8396-87f6c90b212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43EC73B4-88A6-4256-B10D-3BE936A451DE}">
  <ds:schemaRefs>
    <ds:schemaRef ds:uri="http://schemas.microsoft.com/DataMashup"/>
  </ds:schemaRefs>
</ds:datastoreItem>
</file>

<file path=customXml/itemProps3.xml><?xml version="1.0" encoding="utf-8"?>
<ds:datastoreItem xmlns:ds="http://schemas.openxmlformats.org/officeDocument/2006/customXml" ds:itemID="{340A80DA-DC97-4A08-819E-AB28A13F8909}">
  <ds:schemaRefs>
    <ds:schemaRef ds:uri="Microsoft.SharePoint.Taxonomy.ContentTypeSync"/>
  </ds:schemaRefs>
</ds:datastoreItem>
</file>

<file path=customXml/itemProps4.xml><?xml version="1.0" encoding="utf-8"?>
<ds:datastoreItem xmlns:ds="http://schemas.openxmlformats.org/officeDocument/2006/customXml" ds:itemID="{88195739-F48A-45FA-B14B-AA6F1092D482}">
  <ds:schemaRefs>
    <ds:schemaRef ds:uri="http://schemas.microsoft.com/office/2006/metadata/properties"/>
    <ds:schemaRef ds:uri="http://schemas.microsoft.com/office/2006/documentManagement/types"/>
    <ds:schemaRef ds:uri="http://www.w3.org/XML/1998/namespace"/>
    <ds:schemaRef ds:uri="http://purl.org/dc/terms/"/>
    <ds:schemaRef ds:uri="http://schemas.openxmlformats.org/package/2006/metadata/core-properties"/>
    <ds:schemaRef ds:uri="http://purl.org/dc/dcmitype/"/>
    <ds:schemaRef ds:uri="http://purl.org/dc/elements/1.1/"/>
    <ds:schemaRef ds:uri="1ffbd5dc-7a64-4097-8396-87f6c90b212f"/>
    <ds:schemaRef ds:uri="http://schemas.microsoft.com/office/infopath/2007/PartnerControls"/>
  </ds:schemaRefs>
</ds:datastoreItem>
</file>

<file path=customXml/itemProps5.xml><?xml version="1.0" encoding="utf-8"?>
<ds:datastoreItem xmlns:ds="http://schemas.openxmlformats.org/officeDocument/2006/customXml" ds:itemID="{1DCBB8FA-0BE6-4FFA-B672-F251BED2EE0A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SOW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Gary Benkenstein</dc:creator>
  <cp:keywords/>
  <dc:description/>
  <cp:lastModifiedBy>Shaun Barrett</cp:lastModifiedBy>
  <cp:revision/>
  <dcterms:created xsi:type="dcterms:W3CDTF">2020-08-13T15:11:43Z</dcterms:created>
  <dcterms:modified xsi:type="dcterms:W3CDTF">2025-07-11T07:36:12Z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Project Document Type">
    <vt:lpwstr>4;#Generic Project Document|258c2ed6-b93b-4ffe-8901-a23f2dc98ec9</vt:lpwstr>
  </property>
  <property fmtid="{D5CDD505-2E9C-101B-9397-08002B2CF9AE}" pid="3" name="MediaServiceImageTags">
    <vt:lpwstr/>
  </property>
  <property fmtid="{D5CDD505-2E9C-101B-9397-08002B2CF9AE}" pid="4" name="ContentTypeId">
    <vt:lpwstr>0x010100B16301FA1C2D5E4DB9305F31D037531D02070300B4E123A7400DE24C83BA9D1BFCD12C10</vt:lpwstr>
  </property>
  <property fmtid="{D5CDD505-2E9C-101B-9397-08002B2CF9AE}" pid="5" name="lcf76f155ced4ddcb4097134ff3c332f">
    <vt:lpwstr/>
  </property>
  <property fmtid="{D5CDD505-2E9C-101B-9397-08002B2CF9AE}" pid="6" name="Division">
    <vt:lpwstr>5;#Enterprise Solutions|08c57b01-67e8-4a4f-abc6-ffb3392ace7f</vt:lpwstr>
  </property>
  <property fmtid="{D5CDD505-2E9C-101B-9397-08002B2CF9AE}" pid="7" name="Client">
    <vt:lpwstr>6;#Grainger PLC|a74f1cb5-e995-4f9e-8521-6d52e2c6bf08</vt:lpwstr>
  </property>
  <property fmtid="{D5CDD505-2E9C-101B-9397-08002B2CF9AE}" pid="8" name="Client Project">
    <vt:lpwstr/>
  </property>
  <property fmtid="{D5CDD505-2E9C-101B-9397-08002B2CF9AE}" pid="9" name="Business Document Type">
    <vt:lpwstr>5;#Project Delivery Document|464596ad-2211-4003-92ff-a963197d93b9</vt:lpwstr>
  </property>
  <property fmtid="{D5CDD505-2E9C-101B-9397-08002B2CF9AE}" pid="10" name="l992f389a8bb4e119e73ef90413f377d">
    <vt:lpwstr>Project Delivery Document|464596ad-2211-4003-92ff-a963197d93b9</vt:lpwstr>
  </property>
  <property fmtid="{D5CDD505-2E9C-101B-9397-08002B2CF9AE}" pid="11" name="xd_ProgID">
    <vt:lpwstr/>
  </property>
  <property fmtid="{D5CDD505-2E9C-101B-9397-08002B2CF9AE}" pid="12" name="ComplianceAssetId">
    <vt:lpwstr/>
  </property>
  <property fmtid="{D5CDD505-2E9C-101B-9397-08002B2CF9AE}" pid="13" name="TemplateUrl">
    <vt:lpwstr/>
  </property>
  <property fmtid="{D5CDD505-2E9C-101B-9397-08002B2CF9AE}" pid="14" name="_ExtendedDescription">
    <vt:lpwstr/>
  </property>
  <property fmtid="{D5CDD505-2E9C-101B-9397-08002B2CF9AE}" pid="15" name="TriggerFlowInfo">
    <vt:lpwstr/>
  </property>
  <property fmtid="{D5CDD505-2E9C-101B-9397-08002B2CF9AE}" pid="16" name="xd_Signature">
    <vt:bool>false</vt:bool>
  </property>
  <property fmtid="{D5CDD505-2E9C-101B-9397-08002B2CF9AE}" pid="17" name="Order">
    <vt:r8>28100</vt:r8>
  </property>
  <property fmtid="{D5CDD505-2E9C-101B-9397-08002B2CF9AE}" pid="18" name="Project_x0020_Document_x0020_Type">
    <vt:lpwstr>4;#Generic Project Document|258c2ed6-b93b-4ffe-8901-a23f2dc98ec9</vt:lpwstr>
  </property>
  <property fmtid="{D5CDD505-2E9C-101B-9397-08002B2CF9AE}" pid="19" name="Client_x0020_Project">
    <vt:lpwstr/>
  </property>
  <property fmtid="{D5CDD505-2E9C-101B-9397-08002B2CF9AE}" pid="20" name="nae5750f31d8428b9a1182bd8e59d390">
    <vt:lpwstr>Enterprise Solutions|08c57b01-67e8-4a4f-abc6-ffb3392ace7f</vt:lpwstr>
  </property>
  <property fmtid="{D5CDD505-2E9C-101B-9397-08002B2CF9AE}" pid="21" name="k6ebf865df8440b3a55c1aa81c9bae7c">
    <vt:lpwstr>Generic Project Document|258c2ed6-b93b-4ffe-8901-a23f2dc98ec9</vt:lpwstr>
  </property>
  <property fmtid="{D5CDD505-2E9C-101B-9397-08002B2CF9AE}" pid="22" name="ica44df5449d49f98766f83f0bd254a7">
    <vt:lpwstr>Grainger PLC|a74f1cb5-e995-4f9e-8521-6d52e2c6bf08</vt:lpwstr>
  </property>
  <property fmtid="{D5CDD505-2E9C-101B-9397-08002B2CF9AE}" pid="23" name="SharedWithUsers">
    <vt:lpwstr/>
  </property>
</Properties>
</file>